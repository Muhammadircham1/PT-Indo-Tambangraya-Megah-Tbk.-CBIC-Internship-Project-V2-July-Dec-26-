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Yasmine\Outlook\2025\05. May\"/>
    </mc:Choice>
  </mc:AlternateContent>
  <xr:revisionPtr revIDLastSave="0" documentId="13_ncr:1_{B2CE02F1-DCAF-478B-9378-646080DFE58C}" xr6:coauthVersionLast="47" xr6:coauthVersionMax="47" xr10:uidLastSave="{00000000-0000-0000-0000-000000000000}"/>
  <bookViews>
    <workbookView xWindow="-110" yWindow="-110" windowWidth="19420" windowHeight="11620" tabRatio="370" firstSheet="1" activeTab="2" xr2:uid="{00000000-000D-0000-FFFF-FFFF00000000}"/>
  </bookViews>
  <sheets>
    <sheet name="Budget 2025" sheetId="3" r:id="rId1"/>
    <sheet name="Outlook 4+8" sheetId="2" r:id="rId2"/>
    <sheet name="Outlook Quarterly 4+8" sheetId="5" r:id="rId3"/>
    <sheet name="BudgVSact. June" sheetId="4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_1A1_Z1...A10_Z10" localSheetId="0">#REF!</definedName>
    <definedName name="_1A1_Z1...A10_Z10">#REF!</definedName>
    <definedName name="_Apr">[1]Validation!$A$33</definedName>
    <definedName name="_Aug">[1]Validation!$A$37</definedName>
    <definedName name="_Chubu1">[1]Validation!$A$5</definedName>
    <definedName name="_Chubu2">[1]Validation!$A$6</definedName>
    <definedName name="_Chubu3">[1]Validation!$A$7</definedName>
    <definedName name="_ChubuP1">[1]Chubu!$V$203</definedName>
    <definedName name="_ChubuP2">[1]Chubu!$V$204</definedName>
    <definedName name="_CLP">[1]Validation!$A$17</definedName>
    <definedName name="_CLPP1">[1]CLP!$V$203</definedName>
    <definedName name="_CLPP2">[1]CLP!$V$204</definedName>
    <definedName name="_DATE" localSheetId="0">#REF!</definedName>
    <definedName name="_DATE">#REF!</definedName>
    <definedName name="_Dec">[1]Validation!$A$41</definedName>
    <definedName name="_ENEL1">[1]Validation!$A$11</definedName>
    <definedName name="_ENELP1">'[1]Enel '!$V$264</definedName>
    <definedName name="_ENELP2">'[1]Enel '!$V$265</definedName>
    <definedName name="_EPDC">[1]Validation!$A$8</definedName>
    <definedName name="_EPDCP1">[1]EPDC!$V$203</definedName>
    <definedName name="_EPDCP2">[1]EPDC!$V$204</definedName>
    <definedName name="_Feb">[1]Validation!$A$31</definedName>
    <definedName name="_ffggggg" localSheetId="0">#REF!</definedName>
    <definedName name="_ffggggg">#REF!</definedName>
    <definedName name="_Formosa1">[1]Validation!$A$15</definedName>
    <definedName name="_Formosa2">[1]Validation!$A$16</definedName>
    <definedName name="_FORMOSAP1">[1]Formosa!$V$264</definedName>
    <definedName name="_FORMOSAP2">[1]Formosa!$V$265</definedName>
    <definedName name="_fs1" localSheetId="0">#REF!</definedName>
    <definedName name="_fs1">#REF!</definedName>
    <definedName name="_HEK1">[1]Validation!$A$20</definedName>
    <definedName name="_HEK2">[1]Validation!$A$21</definedName>
    <definedName name="_HEKP1">[1]HEK!$V$203</definedName>
    <definedName name="_HEKP2">[1]HEK!$V$204</definedName>
    <definedName name="_Huaneng1">[1]Validation!$A$18</definedName>
    <definedName name="_Huaneng2">[1]Validation!$A$19</definedName>
    <definedName name="_HUANP1">[1]Huaneng!$V$394</definedName>
    <definedName name="_HUANP2">[1]Huaneng!$V$395</definedName>
    <definedName name="_Jan">[1]Validation!$A$30</definedName>
    <definedName name="_Jul">[1]Validation!$A$36</definedName>
    <definedName name="_Jun">[1]Validation!$A$35</definedName>
    <definedName name="_Key1" localSheetId="0" hidden="1">#REF!</definedName>
    <definedName name="_Key1" hidden="1">#REF!</definedName>
    <definedName name="_Kobe">[1]Validation!$A$9</definedName>
    <definedName name="_KOBEP1">'[1]Kobe Steel'!$V$264</definedName>
    <definedName name="_KOBEP2">'[1]Kobe Steel'!$V$265</definedName>
    <definedName name="_Kospo">[1]Validation!$A$13</definedName>
    <definedName name="_KOSPOP1">[1]Kospo!$V$203</definedName>
    <definedName name="_KOSPOP2">[1]Kospo!$V$204</definedName>
    <definedName name="_Kowepo">[1]Validation!$A$14</definedName>
    <definedName name="_KOWEPOP1">[1]Kowepo!$V$264</definedName>
    <definedName name="_KOWEPOP2">[1]Kowepo!$V$265</definedName>
    <definedName name="_Mar">[1]Validation!$A$32</definedName>
    <definedName name="_May">[1]Validation!$A$34</definedName>
    <definedName name="_Nov">[1]Validation!$A$40</definedName>
    <definedName name="_Oct">[1]Validation!$A$39</definedName>
    <definedName name="_Order1" hidden="1">255</definedName>
    <definedName name="_Order2" hidden="1">255</definedName>
    <definedName name="_Sep">[1]Validation!$A$38</definedName>
    <definedName name="_SHIKOKUP1">[1]Shikoku!$V$203</definedName>
    <definedName name="_SHIKOKUP2">[1]Shikoku!$V$204</definedName>
    <definedName name="_Sort" localSheetId="0" hidden="1">#REF!</definedName>
    <definedName name="_Sort" hidden="1">#REF!</definedName>
    <definedName name="_Tirreno">[1]Validation!$A$12</definedName>
    <definedName name="_TIRRENOP1">[1]Tirreno!$V$264</definedName>
    <definedName name="_TIRRENOP2">[1]Tirreno!$V$265</definedName>
    <definedName name="_TJB1">[1]Validation!$A$22</definedName>
    <definedName name="_TJB2">[1]Validation!$A$23</definedName>
    <definedName name="_TJB3">[1]Validation!$A$24</definedName>
    <definedName name="_TJBP1">[1]TJB!$V$394</definedName>
    <definedName name="_TJBP2">[1]TJB!$V$395</definedName>
    <definedName name="a">'[2]MTD OB Forecasting'!#REF!</definedName>
    <definedName name="A01.PA_Plan">[3]Data!$B$73:$AH$82</definedName>
    <definedName name="A02.PA_Actual">[3]Data!$B$86:$AH$95</definedName>
    <definedName name="A03.UA_Actual">[3]Data!$B$112:$AH$121</definedName>
    <definedName name="A04.Prodty_Plan">[3]Data!$B$3:$AH$16</definedName>
    <definedName name="A05.Prodty_Actual">[3]Data!$B$20:$AH$33</definedName>
    <definedName name="A06.Prod_Actual">[3]Data!$B$150:$AH$153</definedName>
    <definedName name="A07.Dist_Plan">[3]Data!$B$37:$AG$46</definedName>
    <definedName name="A08.Dist_Actual">[3]Data!$B$157:$AH$161</definedName>
    <definedName name="A09.Fuel">[3]Data!$B$166:$AH$173</definedName>
    <definedName name="A1_Z1...A10_Z10" localSheetId="0">#REF!</definedName>
    <definedName name="A1_Z1...A10_Z10">#REF!</definedName>
    <definedName name="A10.Fuel_EGI">[3]Data!$B$177:$AH$208</definedName>
    <definedName name="A11.HM">[3]Data!$B$212:$AH$243</definedName>
    <definedName name="A12.Idle">[3]Data!$B$139:$AG$144</definedName>
    <definedName name="aa" localSheetId="0" hidden="1">{#N/A,#N/A,FALSE,"M01";#N/A,#N/A,FALSE,"M02";#N/A,#N/A,FALSE,"M03";#N/A,#N/A,FALSE,"M04";#N/A,#N/A,FALSE,"M05";#N/A,#N/A,FALSE,"M08"}</definedName>
    <definedName name="aa" hidden="1">{#N/A,#N/A,FALSE,"M01";#N/A,#N/A,FALSE,"M02";#N/A,#N/A,FALSE,"M03";#N/A,#N/A,FALSE,"M04";#N/A,#N/A,FALSE,"M05";#N/A,#N/A,FALSE,"M08"}</definedName>
    <definedName name="aaa" localSheetId="0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localSheetId="0" hidden="1">{#N/A,#N/A,FALSE,"QR";#N/A,#N/A,FALSE,"R02";#N/A,#N/A,FALSE,"R04";#N/A,#N/A,FALSE,"R05";#N/A,#N/A,FALSE,"R08"}</definedName>
    <definedName name="aaaa" hidden="1">{#N/A,#N/A,FALSE,"QR";#N/A,#N/A,FALSE,"R02";#N/A,#N/A,FALSE,"R04";#N/A,#N/A,FALSE,"R05";#N/A,#N/A,FALSE,"R08"}</definedName>
    <definedName name="aaaaa" localSheetId="0" hidden="1">{#N/A,#N/A,FALSE,"M06";#N/A,#N/A,FALSE,"M07"}</definedName>
    <definedName name="aaaaa" hidden="1">{#N/A,#N/A,FALSE,"M06";#N/A,#N/A,FALSE,"M07"}</definedName>
    <definedName name="ab">'[2]MTD OB Forecasting'!#REF!</definedName>
    <definedName name="Act_Cost">[3]Data!$B$316:$AH$324</definedName>
    <definedName name="ACTHAUL">'[4]HAUL C1,C2,C3'!$B$9:$BJ$41</definedName>
    <definedName name="ACTHAUL2">'[4]HAUL C1,C2,C3'!$B$45:$BK$82</definedName>
    <definedName name="ACTHAUL3">'[4]HAUL C1,C2,C3'!$B$85:$BK$122</definedName>
    <definedName name="actual" localSheetId="0">#REF!</definedName>
    <definedName name="actual">#REF!</definedName>
    <definedName name="ADFFF" localSheetId="0">#REF!</definedName>
    <definedName name="ADFFF">#REF!</definedName>
    <definedName name="afafa" localSheetId="0">#REF!</definedName>
    <definedName name="afafa">#REF!</definedName>
    <definedName name="Anas_f">'[5]MTD OB Forecasting'!#REF!</definedName>
    <definedName name="ance">'[5]MTD OB Forecasting'!#REF!</definedName>
    <definedName name="anscount" hidden="1">6</definedName>
    <definedName name="anto">'[5]MTD OB Forecasting'!#REF!</definedName>
    <definedName name="anto1">'[5]MTD OB Forecasting'!#REF!</definedName>
    <definedName name="AS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[3]Data!$B$51:$AG$69</definedName>
    <definedName name="b" localSheetId="0">#REF!</definedName>
    <definedName name="b">#REF!</definedName>
    <definedName name="bb" localSheetId="0" hidden="1">{#N/A,#N/A,FALSE,"M01";#N/A,#N/A,FALSE,"M02";#N/A,#N/A,FALSE,"M03";#N/A,#N/A,FALSE,"M04";#N/A,#N/A,FALSE,"M05";#N/A,#N/A,FALSE,"M08"}</definedName>
    <definedName name="bb" hidden="1">{#N/A,#N/A,FALSE,"M01";#N/A,#N/A,FALSE,"M02";#N/A,#N/A,FALSE,"M03";#N/A,#N/A,FALSE,"M04";#N/A,#N/A,FALSE,"M05";#N/A,#N/A,FALSE,"M08"}</definedName>
    <definedName name="bd" localSheetId="0">#REF!</definedName>
    <definedName name="bd">#REF!</definedName>
    <definedName name="BEK">[6]BEK!$A$1:$T$56</definedName>
    <definedName name="Bharinto" localSheetId="0">Business_Unit</definedName>
    <definedName name="Bharinto" localSheetId="2">Business_Unit</definedName>
    <definedName name="Bharinto">Business_Unit</definedName>
    <definedName name="BKKKLK" localSheetId="0">#REF!</definedName>
    <definedName name="BKKKLK">#REF!</definedName>
    <definedName name="BONUS" localSheetId="0">#REF!</definedName>
    <definedName name="BONUS">#REF!</definedName>
    <definedName name="BTS1BW" localSheetId="0">#REF!</definedName>
    <definedName name="BTS1BW">#REF!</definedName>
    <definedName name="BTS1FW" localSheetId="0">#REF!</definedName>
    <definedName name="BTS1FW">#REF!</definedName>
    <definedName name="BTS1HW" localSheetId="0">#REF!</definedName>
    <definedName name="BTS1HW">#REF!</definedName>
    <definedName name="BTS2BW" localSheetId="0">#REF!</definedName>
    <definedName name="BTS2BW">#REF!</definedName>
    <definedName name="BTS2FW" localSheetId="0">#REF!</definedName>
    <definedName name="BTS2FW">#REF!</definedName>
    <definedName name="BTS2HW" localSheetId="0">#REF!</definedName>
    <definedName name="BTS2HW">#REF!</definedName>
    <definedName name="Budget">'[6]Budget &amp; Outlook'!$E$5:$R$42</definedName>
    <definedName name="bulanan">[7]Database!$AN$1:$BY$473</definedName>
    <definedName name="BusinessUnit">[8]!Business_Unit</definedName>
    <definedName name="cc" localSheetId="0" hidden="1">{#N/A,#N/A,FALSE,"QR";#N/A,#N/A,FALSE,"R02";#N/A,#N/A,FALSE,"R04";#N/A,#N/A,FALSE,"R05";#N/A,#N/A,FALSE,"R08"}</definedName>
    <definedName name="cc" hidden="1">{#N/A,#N/A,FALSE,"QR";#N/A,#N/A,FALSE,"R02";#N/A,#N/A,FALSE,"R04";#N/A,#N/A,FALSE,"R05";#N/A,#N/A,FALSE,"R08"}</definedName>
    <definedName name="CCR" localSheetId="0">#REF!</definedName>
    <definedName name="CCR">#REF!</definedName>
    <definedName name="CD" localSheetId="0">#REF!</definedName>
    <definedName name="CD">#REF!</definedName>
    <definedName name="Company">[8]!Company</definedName>
    <definedName name="COS" localSheetId="0">#REF!</definedName>
    <definedName name="COS">#REF!</definedName>
    <definedName name="CostCenter">[8]!Cost_Center</definedName>
    <definedName name="COSUBCO1" localSheetId="0">#REF!</definedName>
    <definedName name="COSUBCO1">#REF!</definedName>
    <definedName name="COSUBCO2" localSheetId="0">#REF!</definedName>
    <definedName name="COSUBCO2">#REF!</definedName>
    <definedName name="COSUBCO3" localSheetId="0">#REF!</definedName>
    <definedName name="COSUBCO3">#REF!</definedName>
    <definedName name="COSUBCO4" localSheetId="0">#REF!</definedName>
    <definedName name="COSUBCO4">#REF!</definedName>
    <definedName name="COSUBCO5" localSheetId="0">#REF!</definedName>
    <definedName name="COSUBCO5">#REF!</definedName>
    <definedName name="COSUBCO6" localSheetId="0">#REF!</definedName>
    <definedName name="COSUBCO6">#REF!</definedName>
    <definedName name="COSUBOB1" localSheetId="0">#REF!</definedName>
    <definedName name="COSUBOB1">#REF!</definedName>
    <definedName name="COSUBOB10" localSheetId="0">#REF!</definedName>
    <definedName name="COSUBOB10">#REF!</definedName>
    <definedName name="COSUBOB11" localSheetId="0">#REF!</definedName>
    <definedName name="COSUBOB11">#REF!</definedName>
    <definedName name="COSUBOB12" localSheetId="0">#REF!</definedName>
    <definedName name="COSUBOB12">#REF!</definedName>
    <definedName name="COSUBOB2" localSheetId="0">#REF!</definedName>
    <definedName name="COSUBOB2">#REF!</definedName>
    <definedName name="COSUBOB3" localSheetId="0">#REF!</definedName>
    <definedName name="COSUBOB3">#REF!</definedName>
    <definedName name="COSUBOB4" localSheetId="0">#REF!</definedName>
    <definedName name="COSUBOB4">#REF!</definedName>
    <definedName name="COSUBOB5" localSheetId="0">#REF!</definedName>
    <definedName name="COSUBOB5">#REF!</definedName>
    <definedName name="COSUBOB6" localSheetId="0">#REF!</definedName>
    <definedName name="COSUBOB6">#REF!</definedName>
    <definedName name="COSUBOB7" localSheetId="0">#REF!</definedName>
    <definedName name="COSUBOB7">#REF!</definedName>
    <definedName name="COSUBOB8" localSheetId="0">#REF!</definedName>
    <definedName name="COSUBOB8">#REF!</definedName>
    <definedName name="COSUBOB9" localSheetId="0">#REF!</definedName>
    <definedName name="COSUBOB9">#REF!</definedName>
    <definedName name="CUSTOMER">[9]dBase!$C$2:$C$4381</definedName>
    <definedName name="d" localSheetId="0" hidden="1">{#N/A,#N/A,FALSE,"M01";#N/A,#N/A,FALSE,"M02";#N/A,#N/A,FALSE,"M03";#N/A,#N/A,FALSE,"M04";#N/A,#N/A,FALSE,"M05";#N/A,#N/A,FALSE,"M08"}</definedName>
    <definedName name="d" hidden="1">{#N/A,#N/A,FALSE,"M01";#N/A,#N/A,FALSE,"M02";#N/A,#N/A,FALSE,"M03";#N/A,#N/A,FALSE,"M04";#N/A,#N/A,FALSE,"M05";#N/A,#N/A,FALSE,"M08"}</definedName>
    <definedName name="DAFAF" localSheetId="0">#REF!</definedName>
    <definedName name="DAFAF">#REF!</definedName>
    <definedName name="DAFDAF" localSheetId="0">#REF!</definedName>
    <definedName name="DAFDAF">#REF!</definedName>
    <definedName name="DATA_ASAL" localSheetId="0">#REF!</definedName>
    <definedName name="DATA_ASAL">#REF!</definedName>
    <definedName name="DATA_ASAL_10">[10]HOURLY!$B$1:$AA$833</definedName>
    <definedName name="DATA_ASAL_17">[10]HOURLY!$B$1:$AA$833</definedName>
    <definedName name="DATA_ASAL_19">[10]HOURLY!$B$1:$AA$833</definedName>
    <definedName name="DATA_ASAL_20">[10]HOURLY!$B$1:$AA$833</definedName>
    <definedName name="DATA_ASAL_3">[10]HOURLY!$B$1:$AA$833</definedName>
    <definedName name="DATA_ASAL_3_1">[10]HOURLY!$B$1:$AA$833</definedName>
    <definedName name="DATA_ASAL_4">[10]HOURLY!$B$1:$AA$833</definedName>
    <definedName name="DATA_ASAL_6">[10]HOURLY!$B$1:$AA$833</definedName>
    <definedName name="DATA_ASAL_6_1">[10]HOURLY!$B$1:$AA$833</definedName>
    <definedName name="DATA_ASAL_7">[10]HOURLY!$B$1:$AA$833</definedName>
    <definedName name="DATA_ASAL_7_1">[10]HOURLY!$B$1:$AA$833</definedName>
    <definedName name="DATA_ASAL_8">[10]HOURLY!$B$1:$AA$833</definedName>
    <definedName name="DATA_ASAL_9">[10]HOURLY!$B$1:$AA$833</definedName>
    <definedName name="Data_Plan">[11]summary!$B$12:$AN$42</definedName>
    <definedName name="Data_Plan_1">[11]summary!$B$12:$AN$42</definedName>
    <definedName name="Data_Plan_1_1">[11]summary!$B$12:$AN$42</definedName>
    <definedName name="Data_Plan_10">[12]summary!$B$12:$AN$42</definedName>
    <definedName name="Data_Plan_11">[11]summary!$B$12:$AN$42</definedName>
    <definedName name="Data_Plan_13">[11]summary!$B$12:$AN$42</definedName>
    <definedName name="Data_Plan_16">[11]summary!$B$12:$AN$42</definedName>
    <definedName name="Data_Plan_17">[13]summary!$B$12:$AN$42</definedName>
    <definedName name="Data_Plan_19">[14]summary!$B$12:$AN$42</definedName>
    <definedName name="Data_Plan_2">[11]summary!$B$12:$AN$42</definedName>
    <definedName name="Data_Plan_2_1">[11]summary!$B$12:$AN$42</definedName>
    <definedName name="Data_Plan_20">[15]summary!$B$12:$AN$42</definedName>
    <definedName name="Data_Plan_3">[16]summary!$B$12:$AN$42</definedName>
    <definedName name="Data_Plan_3_1">[16]summary!$B$12:$AN$42</definedName>
    <definedName name="Data_Plan_4">[16]summary!$B$12:$AN$42</definedName>
    <definedName name="Data_Plan_6">[16]summary!$B$12:$AN$42</definedName>
    <definedName name="Data_Plan_6_1">[13]summary!$B$12:$AN$42</definedName>
    <definedName name="Data_Plan_7">[16]summary!$B$12:$AN$42</definedName>
    <definedName name="Data_Plan_7_1">[12]summary!$B$12:$AN$42</definedName>
    <definedName name="Data_Plan_8">[13]summary!$B$12:$AN$42</definedName>
    <definedName name="Data_Plan_9">[13]summary!$B$12:$AN$42</definedName>
    <definedName name="Dataprm">'[17]Summ PRM'!$C$6:$BM$108</definedName>
    <definedName name="dd" localSheetId="0" hidden="1">{#N/A,#N/A,FALSE,"M06";#N/A,#N/A,FALSE,"M07"}</definedName>
    <definedName name="dd" hidden="1">{#N/A,#N/A,FALSE,"M06";#N/A,#N/A,FALSE,"M07"}</definedName>
    <definedName name="ddd" localSheetId="0" hidden="1">{#N/A,#N/A,FALSE,"M01";#N/A,#N/A,FALSE,"M02";#N/A,#N/A,FALSE,"M03";#N/A,#N/A,FALSE,"M04";#N/A,#N/A,FALSE,"M05";#N/A,#N/A,FALSE,"M08"}</definedName>
    <definedName name="ddd" hidden="1">{#N/A,#N/A,FALSE,"M01";#N/A,#N/A,FALSE,"M02";#N/A,#N/A,FALSE,"M03";#N/A,#N/A,FALSE,"M04";#N/A,#N/A,FALSE,"M05";#N/A,#N/A,FALSE,"M08"}</definedName>
    <definedName name="ddddd" localSheetId="0">#REF!</definedName>
    <definedName name="ddddd">#REF!</definedName>
    <definedName name="DF" localSheetId="0">#REF!</definedName>
    <definedName name="DF">#REF!</definedName>
    <definedName name="dfm">'[2]MTD OB Forecasting'!#REF!</definedName>
    <definedName name="DIST">[18]Run!$E$5:$I$30</definedName>
    <definedName name="DIST_1">[18]Run!$E$5:$I$30</definedName>
    <definedName name="DIST_1_1">[18]Run!$E$5:$I$30</definedName>
    <definedName name="DIST_10">[19]Run!$E$5:$I$30</definedName>
    <definedName name="DIST_11">[18]Run!$E$5:$I$30</definedName>
    <definedName name="DIST_13">[18]Run!$E$5:$I$30</definedName>
    <definedName name="DIST_16">[18]Run!$E$5:$I$30</definedName>
    <definedName name="DIST_17">[20]Run!$E$5:$I$30</definedName>
    <definedName name="DIST_19">[21]Run!$E$5:$I$30</definedName>
    <definedName name="DIST_2">[18]Run!$E$5:$I$30</definedName>
    <definedName name="DIST_2_1">[18]Run!$E$5:$I$30</definedName>
    <definedName name="DIST_20">[22]Run!$E$5:$I$30</definedName>
    <definedName name="DIST_3">[23]Run!$E$5:$I$30</definedName>
    <definedName name="DIST_3_1">[23]Run!$E$5:$I$30</definedName>
    <definedName name="DIST_4">[23]Run!$E$5:$I$30</definedName>
    <definedName name="DIST_6">[23]Run!$E$5:$I$30</definedName>
    <definedName name="DIST_6_1">[20]Run!$E$5:$I$30</definedName>
    <definedName name="DIST_7">[23]Run!$E$5:$I$30</definedName>
    <definedName name="DIST_7_1">[19]Run!$E$5:$I$30</definedName>
    <definedName name="DIST_8">[20]Run!$E$5:$I$30</definedName>
    <definedName name="DIST_9">[20]Run!$E$5:$I$30</definedName>
    <definedName name="DISTANCE">[24]Run!$E$5:$I$31</definedName>
    <definedName name="Distance_10">[3]Data!$B$157:$AG$161</definedName>
    <definedName name="Distance_11">[3]Data!$B$157:$AG$161</definedName>
    <definedName name="Distance_11_1">[3]Data!$B$157:$AG$161</definedName>
    <definedName name="Distance_12">[3]Data!$B$157:$AG$161</definedName>
    <definedName name="Distance_12_1">[3]Data!$B$157:$AG$161</definedName>
    <definedName name="Distance_13">[3]Data!$B$157:$AG$161</definedName>
    <definedName name="Distance_13_1">[3]Data!$B$157:$AG$161</definedName>
    <definedName name="Distance_14">[3]Data!$B$157:$AG$161</definedName>
    <definedName name="Distance_15">[3]Data!$B$157:$AG$161</definedName>
    <definedName name="Distance_16">[3]Data!$B$157:$AG$161</definedName>
    <definedName name="Distance_8">[3]Data!$B$157:$AG$161</definedName>
    <definedName name="Distance_9">[3]Data!$B$157:$AG$161</definedName>
    <definedName name="DOWN">[25]ACUM!$ED$34:$FJ$57</definedName>
    <definedName name="DS" localSheetId="0">#REF!</definedName>
    <definedName name="DS">#REF!</definedName>
    <definedName name="DUMPBIN">'[4]HAUL C1,C2,C3'!$BL$7:$BM$41</definedName>
    <definedName name="DUMPBIN1">'[4]HAUL C1,C2,C3'!$V$48:$W$82</definedName>
    <definedName name="e" localSheetId="0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localSheetId="0" hidden="1">{#N/A,#N/A,FALSE,"M06";#N/A,#N/A,FALSE,"M07"}</definedName>
    <definedName name="ebe" hidden="1">{#N/A,#N/A,FALSE,"M06";#N/A,#N/A,FALSE,"M07"}</definedName>
    <definedName name="ee" localSheetId="0" hidden="1">{#N/A,#N/A,FALSE,"M01";#N/A,#N/A,FALSE,"M02";#N/A,#N/A,FALSE,"M03";#N/A,#N/A,FALSE,"M04";#N/A,#N/A,FALSE,"M05";#N/A,#N/A,FALSE,"M08"}</definedName>
    <definedName name="ee" hidden="1">{#N/A,#N/A,FALSE,"M01";#N/A,#N/A,FALSE,"M02";#N/A,#N/A,FALSE,"M03";#N/A,#N/A,FALSE,"M04";#N/A,#N/A,FALSE,"M05";#N/A,#N/A,FALSE,"M08"}</definedName>
    <definedName name="eewq" localSheetId="0">#REF!</definedName>
    <definedName name="eewq">#REF!</definedName>
    <definedName name="eqe" localSheetId="0">#REF!</definedName>
    <definedName name="eqe">#REF!</definedName>
    <definedName name="esa">[26]Project!$A$3:$A$1003</definedName>
    <definedName name="EXCA_COAL" localSheetId="0">#REF!</definedName>
    <definedName name="EXCA_COAL">#REF!</definedName>
    <definedName name="EXCA_OB" localSheetId="0">#REF!</definedName>
    <definedName name="EXCA_OB">#REF!</definedName>
    <definedName name="excel">'[5]MTD OB Forecasting'!#REF!</definedName>
    <definedName name="Excel_01">'[2]MTD OB Forecasting'!#REF!</definedName>
    <definedName name="excel_02">'[2]MTD OB Forecasting'!#REF!</definedName>
    <definedName name="Excel_BuiltIn__FilterDatabase_1" localSheetId="0">#REF!</definedName>
    <definedName name="Excel_BuiltIn__FilterDatabase_1">#REF!</definedName>
    <definedName name="Excel_BuiltIn__FilterDatabase_1_1">[27]Project!$Q$7:$Q$10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10">'[5]MTD OB Forecasting'!#REF!</definedName>
    <definedName name="Excel_BuiltIn_Print_Area_10_1">'[5]MTD OB Forecasting'!#REF!</definedName>
    <definedName name="Excel_BuiltIn_Print_Area_10_20">'[2]MTD OB Forecasting'!#REF!</definedName>
    <definedName name="Excel_BuiltIn_Print_Area_13" localSheetId="0">#REF!</definedName>
    <definedName name="Excel_BuiltIn_Print_Area_13">#REF!</definedName>
    <definedName name="Excel_BuiltIn_Print_Titles" localSheetId="0">#REF!</definedName>
    <definedName name="Excel_BuiltIn_Print_Titles">#REF!</definedName>
    <definedName name="Excel_BuiltIn_Print_Titles_1" localSheetId="0">#REF!</definedName>
    <definedName name="Excel_BuiltIn_Print_Titles_1">#REF!</definedName>
    <definedName name="ExchageCode">[8]!Exchange_Code</definedName>
    <definedName name="ExchangeRate">'[28]Detail Exp.'!$Z$3</definedName>
    <definedName name="f" localSheetId="0" hidden="1">{#N/A,#N/A,FALSE,"M06";#N/A,#N/A,FALSE,"M07"}</definedName>
    <definedName name="f" hidden="1">{#N/A,#N/A,FALSE,"M06";#N/A,#N/A,FALSE,"M07"}</definedName>
    <definedName name="FD" localSheetId="0">#REF!</definedName>
    <definedName name="FD">#REF!</definedName>
    <definedName name="FF" localSheetId="0">#REF!</definedName>
    <definedName name="FF">#REF!</definedName>
    <definedName name="ffff" localSheetId="0">#REF!</definedName>
    <definedName name="ffff">#REF!</definedName>
    <definedName name="fs" localSheetId="0">#REF!</definedName>
    <definedName name="fs">#REF!</definedName>
    <definedName name="Fuel">[3]Data!$B$177:$AG$208</definedName>
    <definedName name="Fuel_MTD">[3]Data!$B$247:$AG$277</definedName>
    <definedName name="Fuel_STO">[3]Data!$B$166:$AG$173</definedName>
    <definedName name="g" localSheetId="0" hidden="1">{#N/A,#N/A,FALSE,"M01";#N/A,#N/A,FALSE,"M02";#N/A,#N/A,FALSE,"M03";#N/A,#N/A,FALSE,"M04";#N/A,#N/A,FALSE,"M05";#N/A,#N/A,FALSE,"M08"}</definedName>
    <definedName name="g" hidden="1">{#N/A,#N/A,FALSE,"M01";#N/A,#N/A,FALSE,"M02";#N/A,#N/A,FALSE,"M03";#N/A,#N/A,FALSE,"M04";#N/A,#N/A,FALSE,"M05";#N/A,#N/A,FALSE,"M08"}</definedName>
    <definedName name="ggg" localSheetId="0" hidden="1">{#N/A,#N/A,FALSE,"QR";#N/A,#N/A,FALSE,"R02";#N/A,#N/A,FALSE,"R04";#N/A,#N/A,FALSE,"R05";#N/A,#N/A,FALSE,"R08"}</definedName>
    <definedName name="ggg" hidden="1">{#N/A,#N/A,FALSE,"QR";#N/A,#N/A,FALSE,"R02";#N/A,#N/A,FALSE,"R04";#N/A,#N/A,FALSE,"R05";#N/A,#N/A,FALSE,"R08"}</definedName>
    <definedName name="GNRL_OB" localSheetId="0">#REF!</definedName>
    <definedName name="GNRL_OB">#REF!</definedName>
    <definedName name="GT" localSheetId="0">#REF!</definedName>
    <definedName name="GT">#REF!</definedName>
    <definedName name="h" localSheetId="0" hidden="1">{#N/A,#N/A,FALSE,"M01";#N/A,#N/A,FALSE,"M02";#N/A,#N/A,FALSE,"M03";#N/A,#N/A,FALSE,"M04";#N/A,#N/A,FALSE,"M05";#N/A,#N/A,FALSE,"M08"}</definedName>
    <definedName name="h" hidden="1">{#N/A,#N/A,FALSE,"M01";#N/A,#N/A,FALSE,"M02";#N/A,#N/A,FALSE,"M03";#N/A,#N/A,FALSE,"M04";#N/A,#N/A,FALSE,"M05";#N/A,#N/A,FALSE,"M08"}</definedName>
    <definedName name="harian" localSheetId="0">#REF!</definedName>
    <definedName name="harian">#REF!</definedName>
    <definedName name="HAUL_COAL" localSheetId="0">#REF!</definedName>
    <definedName name="HAUL_COAL">#REF!</definedName>
    <definedName name="HAUL_OB" localSheetId="0">#REF!</definedName>
    <definedName name="HAUL_OB">#REF!</definedName>
    <definedName name="HAULPLAN">'[4]OB PLAN'!$B$46:$Q$79</definedName>
    <definedName name="HC" localSheetId="0">#REF!</definedName>
    <definedName name="HC">#REF!</definedName>
    <definedName name="he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0">#REF!</definedName>
    <definedName name="hfhahfha">#REF!</definedName>
    <definedName name="hhka334" localSheetId="0">#REF!</definedName>
    <definedName name="hhka334">#REF!</definedName>
    <definedName name="HJKKKLLL" localSheetId="0">#REF!</definedName>
    <definedName name="HJKKKLLL">#REF!</definedName>
    <definedName name="HL2brm" localSheetId="0">#REF!</definedName>
    <definedName name="HL2brm">#REF!</definedName>
    <definedName name="HL3brm" localSheetId="0">#REF!</definedName>
    <definedName name="HL3brm">#REF!</definedName>
    <definedName name="HLS2BW" localSheetId="0">#REF!</definedName>
    <definedName name="HLS2BW">#REF!</definedName>
    <definedName name="HLS2FW" localSheetId="0">#REF!</definedName>
    <definedName name="HLS2FW">#REF!</definedName>
    <definedName name="HLS2HW" localSheetId="0">#REF!</definedName>
    <definedName name="HLS2HW">#REF!</definedName>
    <definedName name="HLS3BW" localSheetId="0">#REF!</definedName>
    <definedName name="HLS3BW">#REF!</definedName>
    <definedName name="HLS3FW" localSheetId="0">#REF!</definedName>
    <definedName name="HLS3FW">#REF!</definedName>
    <definedName name="HLS3HW" localSheetId="0">#REF!</definedName>
    <definedName name="HLS3HW">#REF!</definedName>
    <definedName name="HM">[3]Data!$B$212:$AG$243</definedName>
    <definedName name="HO" localSheetId="0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dle">[3]Data!$B$139:$AG$144</definedName>
    <definedName name="IMM">[6]IMM!$A$2:$Y$60</definedName>
    <definedName name="IMM.LCV.BCT" localSheetId="0">#REF!</definedName>
    <definedName name="IMM.LCV.BCT">#REF!</definedName>
    <definedName name="IMM.LCV.BoCT" localSheetId="0">#REF!</definedName>
    <definedName name="IMM.LCV.BoCT">#REF!</definedName>
    <definedName name="IMM.LCV.Samarinda" localSheetId="0">#REF!</definedName>
    <definedName name="IMM.LCV.Samarinda">#REF!</definedName>
    <definedName name="IMM.West.BCT" localSheetId="0">#REF!</definedName>
    <definedName name="IMM.West.BCT">#REF!</definedName>
    <definedName name="IMM.West.BoCT" localSheetId="0">#REF!</definedName>
    <definedName name="IMM.West.BoCT">#REF!</definedName>
    <definedName name="IMM.West.Samarinda" localSheetId="0">#REF!</definedName>
    <definedName name="IMM.West.Samarinda">#REF!</definedName>
    <definedName name="I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>[9]dBase!$BA$2:$BA$4381</definedName>
    <definedName name="ITMBONUS1">[9]dBase!$AZ$2:$AZ$4381</definedName>
    <definedName name="itoy" localSheetId="0" hidden="1">{"Valuation",#N/A,TRUE,"Valuation Summary";"Financial Statements",#N/A,TRUE,"Results";"Results",#N/A,TRUE,"Results";"Ratios",#N/A,TRUE,"Results";"P2 Summary",#N/A,TRUE,"Results"}</definedName>
    <definedName name="itoy" hidden="1">{"Valuation",#N/A,TRUE,"Valuation Summary";"Financial Statements",#N/A,TRUE,"Results";"Results",#N/A,TRUE,"Results";"Ratios",#N/A,TRUE,"Results";"P2 Summary",#N/A,TRUE,"Results"}</definedName>
    <definedName name="iu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>'[5]MTD OB Forecasting'!#REF!</definedName>
    <definedName name="JBG">[6]JBG!$B$3:$AK$87</definedName>
    <definedName name="jigsaw" localSheetId="0">#REF!</definedName>
    <definedName name="jigsaw">#REF!</definedName>
    <definedName name="jk">'[5]MTD OB Forecasting'!#REF!</definedName>
    <definedName name="Jum_Unit">[3]Data!$B$125:$AG$135</definedName>
    <definedName name="K" localSheetId="0">#REF!</definedName>
    <definedName name="K">#REF!</definedName>
    <definedName name="kj">'[5]MTD OB Forecasting'!#REF!</definedName>
    <definedName name="kl">'[2]MTD OB Forecasting'!#REF!</definedName>
    <definedName name="klj">'[5]MTD OB Forecasting'!#REF!</definedName>
    <definedName name="Konversi">'[3]Konversi Jarak'!$A$4:$B$34</definedName>
    <definedName name="KR1BW" localSheetId="0">#REF!</definedName>
    <definedName name="KR1BW">#REF!</definedName>
    <definedName name="KR1FW" localSheetId="0">#REF!</definedName>
    <definedName name="KR1FW">#REF!</definedName>
    <definedName name="KR1HW" localSheetId="0">#REF!</definedName>
    <definedName name="KR1HW">#REF!</definedName>
    <definedName name="KR2BW" localSheetId="0">#REF!</definedName>
    <definedName name="KR2BW">#REF!</definedName>
    <definedName name="KR2FW" localSheetId="0">#REF!</definedName>
    <definedName name="KR2FW">#REF!</definedName>
    <definedName name="KR2HW" localSheetId="0">#REF!</definedName>
    <definedName name="KR2HW">#REF!</definedName>
    <definedName name="kris">'[5]MTD OB Forecasting'!#REF!</definedName>
    <definedName name="kristisnto">'[2]MTD OB Forecasting'!#REF!</definedName>
    <definedName name="KTD">[6]EMB!$A$4:$AX$55</definedName>
    <definedName name="L" localSheetId="0">#REF!</definedName>
    <definedName name="L">#REF!</definedName>
    <definedName name="limcount" hidden="1">2</definedName>
    <definedName name="LIST_11" localSheetId="0">#REF!</definedName>
    <definedName name="LIST_11">#REF!</definedName>
    <definedName name="LIST_12" localSheetId="0">#REF!</definedName>
    <definedName name="LIST_12">#REF!</definedName>
    <definedName name="LIST_19">[29]LIST!$C$3:$AC$438</definedName>
    <definedName name="LIST_20">[30]LIST!$C$3:$AC$438</definedName>
    <definedName name="LIST_8" localSheetId="0">#REF!</definedName>
    <definedName name="LIST_8">#REF!</definedName>
    <definedName name="LIST_9" localSheetId="0">#REF!</definedName>
    <definedName name="LIST_9">#REF!</definedName>
    <definedName name="LO" localSheetId="0">#REF!</definedName>
    <definedName name="LO">#REF!</definedName>
    <definedName name="LOAD_COAL" localSheetId="0">#REF!</definedName>
    <definedName name="LOAD_COAL">#REF!</definedName>
    <definedName name="LOAD_OB" localSheetId="0">#REF!</definedName>
    <definedName name="LOAD_OB">#REF!</definedName>
    <definedName name="lose" localSheetId="0">#REF!</definedName>
    <definedName name="lose">#REF!</definedName>
    <definedName name="MEASTHITS" localSheetId="0">#REF!</definedName>
    <definedName name="MEASTHITS">#REF!</definedName>
    <definedName name="MEASTMHITS" localSheetId="0">#REF!</definedName>
    <definedName name="MEASTMHITS">#REF!</definedName>
    <definedName name="minesche" localSheetId="0">#REF!</definedName>
    <definedName name="minesche">#REF!</definedName>
    <definedName name="MMHITS" localSheetId="0">#REF!</definedName>
    <definedName name="MMHITS">#REF!</definedName>
    <definedName name="MOHH">[25]ACUM!$ED$94:$FJ$117</definedName>
    <definedName name="MONTH">[9]dBase!$BE$2:$BE$4381</definedName>
    <definedName name="MSYINV" localSheetId="0">#REF!</definedName>
    <definedName name="MSYINV">#REF!</definedName>
    <definedName name="MTDMHCV" localSheetId="0">#REF!</definedName>
    <definedName name="MTDMHCV">#REF!</definedName>
    <definedName name="MTOTAL" localSheetId="0">#REF!</definedName>
    <definedName name="MTOTAL">#REF!</definedName>
    <definedName name="MWASH" localSheetId="0">#REF!</definedName>
    <definedName name="MWASH">#REF!</definedName>
    <definedName name="MWESTHITS" localSheetId="0">#REF!</definedName>
    <definedName name="MWESTHITS">#REF!</definedName>
    <definedName name="MWESTLOTS" localSheetId="0">#REF!</definedName>
    <definedName name="MWESTLOTS">#REF!</definedName>
    <definedName name="N" localSheetId="0">#REF!</definedName>
    <definedName name="N">#REF!</definedName>
    <definedName name="NAR">[31]sum_MSY!$DL$7:$DM$21</definedName>
    <definedName name="nav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>'[5]MTD OB Forecasting'!#REF!</definedName>
    <definedName name="nhg">'[2]MTD OB Forecasting'!#REF!</definedName>
    <definedName name="nn" localSheetId="0">#REF!</definedName>
    <definedName name="nn">#REF!</definedName>
    <definedName name="nnn" localSheetId="0">#REF!</definedName>
    <definedName name="nnn">#REF!</definedName>
    <definedName name="nnnnn">[32]!Exchange_Code</definedName>
    <definedName name="NOM_11" localSheetId="0">#REF!</definedName>
    <definedName name="NOM_11">#REF!</definedName>
    <definedName name="NOM_12" localSheetId="0">#REF!</definedName>
    <definedName name="NOM_12">#REF!</definedName>
    <definedName name="NOM_19">[29]LIST!$B$4:$AE$437</definedName>
    <definedName name="NOM_20">[30]LIST!$B$4:$AE$437</definedName>
    <definedName name="NOM_8" localSheetId="0">#REF!</definedName>
    <definedName name="NOM_8">#REF!</definedName>
    <definedName name="NOM_9" localSheetId="0">#REF!</definedName>
    <definedName name="NOM_9">#REF!</definedName>
    <definedName name="O" localSheetId="0">#REF!</definedName>
    <definedName name="O">#REF!</definedName>
    <definedName name="OB" localSheetId="0">#REF!</definedName>
    <definedName name="OB">#REF!</definedName>
    <definedName name="oi" localSheetId="0" hidden="1">{"Valuation",#N/A,TRUE,"Valuation Summary";"Financial Statements",#N/A,TRUE,"Results";"Results",#N/A,TRUE,"Results";"Ratios",#N/A,TRUE,"Results";"P2 Summary",#N/A,TRUE,"Results"}</definedName>
    <definedName name="oi" hidden="1">{"Valuation",#N/A,TRUE,"Valuation Summary";"Financial Statements",#N/A,TRUE,"Results";"Results",#N/A,TRUE,"Results";"Ratios",#N/A,TRUE,"Results";"P2 Summary",#N/A,TRUE,"Results"}</definedName>
    <definedName name="operator">[33]bantuan!$B$2:$C$30</definedName>
    <definedName name="OPT_GL">[34]OPT_GL!$B$4:$S$33</definedName>
    <definedName name="OPT_GL_1">[34]OPT_GL!$B$4:$S$33</definedName>
    <definedName name="OPT_GL_1_1">[34]OPT_GL!$B$4:$S$33</definedName>
    <definedName name="OPT_GL_11">[34]OPT_GL!$B$4:$S$33</definedName>
    <definedName name="OPT_GL_11_1">[34]OPT_GL!$B$4:$S$33</definedName>
    <definedName name="OPT_GL_12">[34]OPT_GL!$B$4:$S$33</definedName>
    <definedName name="OPT_GL_13">[34]OPT_GL!$B$4:$S$33</definedName>
    <definedName name="OPT_GL_16">[34]OPT_GL!$B$4:$S$33</definedName>
    <definedName name="OPT_GL_17">[34]OPT_GL!$B$4:$S$33</definedName>
    <definedName name="OPT_GL_19">[34]OPT_GL!$B$4:$S$33</definedName>
    <definedName name="OPT_GL_2">[34]OPT_GL!$B$4:$S$33</definedName>
    <definedName name="OPT_GL_2_1">[34]OPT_GL!$B$4:$S$33</definedName>
    <definedName name="OPT_GL_20">[34]OPT_GL!$B$4:$S$33</definedName>
    <definedName name="OPT_GL_6">[34]OPT_GL!$B$4:$S$33</definedName>
    <definedName name="OPT_GL_8">[34]OPT_GL!$B$4:$S$33</definedName>
    <definedName name="OPT_GL_8_1">[34]OPT_GL!$B$4:$S$33</definedName>
    <definedName name="OPT_GL_9">[34]OPT_GL!$B$4:$S$33</definedName>
    <definedName name="OPT_GL_9_1">[34]OPT_GL!$B$4:$S$33</definedName>
    <definedName name="ORE" localSheetId="0">#REF!</definedName>
    <definedName name="ORE">#REF!</definedName>
    <definedName name="Outlook">'[6]Budget &amp; Outlook'!$T$5:$AG$41</definedName>
    <definedName name="P" localSheetId="0">#REF!</definedName>
    <definedName name="P">#REF!</definedName>
    <definedName name="PA_Actual">[3]Data!$B$86:$AG$95</definedName>
    <definedName name="PA_Plan">[3]Data!$B$73:$AG$82</definedName>
    <definedName name="paijo">'[2]MTD OB Forecasting'!#REF!</definedName>
    <definedName name="PASS" localSheetId="0">#REF!</definedName>
    <definedName name="PASS">#REF!</definedName>
    <definedName name="PASS1" localSheetId="0">#REF!</definedName>
    <definedName name="PASS1">#REF!</definedName>
    <definedName name="PEASTHITS" localSheetId="0">#REF!</definedName>
    <definedName name="PEASTHITS">#REF!</definedName>
    <definedName name="PEMB" localSheetId="0">#REF!</definedName>
    <definedName name="PEMB">#REF!</definedName>
    <definedName name="PENALTY">[9]dBonus!$C$7:$J$73</definedName>
    <definedName name="pit_10">'[5]MTD OB Forecasting'!#REF!</definedName>
    <definedName name="PJBG" localSheetId="0">#REF!</definedName>
    <definedName name="PJBG">#REF!</definedName>
    <definedName name="Plan">[35]Plan!$A$3:$A$187</definedName>
    <definedName name="PLAN_1">[36]SUM!$B$34:$AB$58</definedName>
    <definedName name="PLAN_1_1">[36]SUM!$B$34:$AB$58</definedName>
    <definedName name="PLAN_11">[36]SUM!$B$34:$AB$58</definedName>
    <definedName name="PLAN_11_1">[36]SUM!$B$34:$AB$58</definedName>
    <definedName name="PLAN_12">[36]SUM!$B$34:$AB$58</definedName>
    <definedName name="PLAN_13">[36]SUM!$B$34:$AB$58</definedName>
    <definedName name="PLAN_16">[36]SUM!$B$34:$AB$58</definedName>
    <definedName name="PLAN_17">[36]SUM!$B$34:$AB$58</definedName>
    <definedName name="PLAN_19">[36]SUM!$B$34:$AB$58</definedName>
    <definedName name="PLAN_2">[36]SUM!$B$34:$AB$58</definedName>
    <definedName name="PLAN_2_1">[36]SUM!$B$34:$AB$58</definedName>
    <definedName name="PLAN_20">[36]SUM!$B$34:$AB$58</definedName>
    <definedName name="PLAN_6">[36]SUM!$B$34:$AB$58</definedName>
    <definedName name="PLAN_8">[36]SUM!$B$34:$AB$58</definedName>
    <definedName name="PLAN_8_1">[36]SUM!$B$34:$AB$58</definedName>
    <definedName name="PLAN_9">[36]SUM!$B$34:$AB$58</definedName>
    <definedName name="PLAN_9_1">[36]SUM!$B$34:$AB$58</definedName>
    <definedName name="PLAN_DAILY">'[37]Daily Plan'!$BH$8:$CA$33</definedName>
    <definedName name="PLAN_MONTHLY">[38]summary!$B$12:$AO$45</definedName>
    <definedName name="PLAN_MONTHLY_1">[38]summary!$B$12:$AO$45</definedName>
    <definedName name="PLAN_MONTHLY_1_1">[38]summary!$B$12:$AO$45</definedName>
    <definedName name="PLAN_MONTHLY_10">[39]summary!$B$12:$AO$45</definedName>
    <definedName name="PLAN_MONTHLY_11">[38]summary!$B$12:$AO$45</definedName>
    <definedName name="PLAN_MONTHLY_13">[38]summary!$B$12:$AO$45</definedName>
    <definedName name="PLAN_MONTHLY_16">[38]summary!$B$12:$AO$45</definedName>
    <definedName name="PLAN_MONTHLY_17">[40]summary!$B$12:$AO$45</definedName>
    <definedName name="PLAN_MONTHLY_19">[14]summary!$B$12:$AO$45</definedName>
    <definedName name="PLAN_MONTHLY_2">[38]summary!$B$12:$AO$45</definedName>
    <definedName name="PLAN_MONTHLY_2_1">[38]summary!$B$12:$AO$45</definedName>
    <definedName name="PLAN_MONTHLY_20">[41]summary!$B$12:$AO$45</definedName>
    <definedName name="PLAN_MONTHLY_3">[42]summary!$B$12:$AO$45</definedName>
    <definedName name="PLAN_MONTHLY_3_1">[42]summary!$B$12:$AO$45</definedName>
    <definedName name="PLAN_MONTHLY_4">[42]summary!$B$12:$AO$45</definedName>
    <definedName name="PLAN_MONTHLY_6">[42]summary!$B$12:$AO$45</definedName>
    <definedName name="PLAN_MONTHLY_6_1">[40]summary!$B$12:$AO$45</definedName>
    <definedName name="PLAN_MONTHLY_7">[42]summary!$B$12:$AO$45</definedName>
    <definedName name="PLAN_MONTHLY_7_1">[39]summary!$B$12:$AO$45</definedName>
    <definedName name="PLAN_MONTHLY_8">[40]summary!$B$12:$AO$45</definedName>
    <definedName name="PLAN_MONTHLY_9">[40]summary!$B$12:$AO$45</definedName>
    <definedName name="pm3brm" localSheetId="0">#REF!</definedName>
    <definedName name="pm3brm">#REF!</definedName>
    <definedName name="PMEASTHITS" localSheetId="0">#REF!</definedName>
    <definedName name="PMEASTHITS">#REF!</definedName>
    <definedName name="PMS3BW" localSheetId="0">#REF!</definedName>
    <definedName name="PMS3BW">#REF!</definedName>
    <definedName name="PMS3FW" localSheetId="0">#REF!</definedName>
    <definedName name="PMS3FW">#REF!</definedName>
    <definedName name="PMS3HW" localSheetId="0">#REF!</definedName>
    <definedName name="PMS3HW">#REF!</definedName>
    <definedName name="populasi" localSheetId="0">#REF!</definedName>
    <definedName name="populasi">#REF!</definedName>
    <definedName name="_xlnm.Print_Area" localSheetId="0">#REF!</definedName>
    <definedName name="_xlnm.Print_Area">#REF!</definedName>
    <definedName name="_xlnm.Print_Titles">#N/A</definedName>
    <definedName name="Print2" localSheetId="0">#REF!</definedName>
    <definedName name="Print2">#REF!</definedName>
    <definedName name="prod" localSheetId="0">#REF!</definedName>
    <definedName name="prod">#REF!</definedName>
    <definedName name="PROD_COAL">'[43]DP Report'!$F$42:$F$42</definedName>
    <definedName name="PROD_OB">'[43]DP Report'!$F$33:$F$33</definedName>
    <definedName name="ProdBdgt">'[44]Sum Prod &amp; Sales Bdgt'!$C$2:$T$21</definedName>
    <definedName name="Prodty_Actual">[3]Data!$B$20:$AG$33</definedName>
    <definedName name="Prodty_Plan">[3]Data!$B$3:$AG$16</definedName>
    <definedName name="Production">[3]Data!$B$149:$AG$153</definedName>
    <definedName name="produksi" localSheetId="0">#REF!</definedName>
    <definedName name="produksi">#REF!</definedName>
    <definedName name="Project">[35]Project!$A$3:$A$1003</definedName>
    <definedName name="Project1">[27]Project!$A$3:$A$1003</definedName>
    <definedName name="PSYINV2" localSheetId="0">#REF!</definedName>
    <definedName name="PSYINV2">#REF!</definedName>
    <definedName name="PT" localSheetId="0">#REF!</definedName>
    <definedName name="PT">#REF!</definedName>
    <definedName name="PTCMHCVHITS" localSheetId="0">#REF!</definedName>
    <definedName name="PTCMHCVHITS">#REF!</definedName>
    <definedName name="PTCMHCVLOTS" localSheetId="0">#REF!</definedName>
    <definedName name="PTCMHCVLOTS">#REF!</definedName>
    <definedName name="PTCMLCVLOTS" localSheetId="0">#REF!</definedName>
    <definedName name="PTCMLCVLOTS">#REF!</definedName>
    <definedName name="PTDMHCV" localSheetId="0">#REF!</definedName>
    <definedName name="PTDMHCV">#REF!</definedName>
    <definedName name="PTOTAL" localSheetId="0">#REF!</definedName>
    <definedName name="PTOTAL">#REF!</definedName>
    <definedName name="PWESTLOTS" localSheetId="0">#REF!</definedName>
    <definedName name="PWESTLOTS">#REF!</definedName>
    <definedName name="q" localSheetId="0">#REF!</definedName>
    <definedName name="q">#REF!</definedName>
    <definedName name="QWS" localSheetId="0">#REF!</definedName>
    <definedName name="QWS">#REF!</definedName>
    <definedName name="rcc" localSheetId="0">#REF!</definedName>
    <definedName name="rcc">#REF!</definedName>
    <definedName name="RD" localSheetId="0">#REF!</definedName>
    <definedName name="RD">#REF!</definedName>
    <definedName name="re" localSheetId="0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N_KPTJ">[25]TJ!$C$4:$Y$432</definedName>
    <definedName name="REN_LMA">[25]LM!$C$4:$Y$168</definedName>
    <definedName name="RENTAL">[25]ACUM!$B$4:$CT$27</definedName>
    <definedName name="rp">[45]OFFICE!$AW$6</definedName>
    <definedName name="SC" localSheetId="0">#REF!</definedName>
    <definedName name="SC">#REF!</definedName>
    <definedName name="sdhjfwsa\">'[2]MTD OB Forecasting'!#REF!</definedName>
    <definedName name="sencount" hidden="1">2</definedName>
    <definedName name="SFfuel">[46]Assumptions!$D$473</definedName>
    <definedName name="Shikoku">[1]Validation!$A$10</definedName>
    <definedName name="SlsBudget">'[44]Sum Prod &amp; Sales Bdgt'!$C$35:$P$49</definedName>
    <definedName name="SO" localSheetId="0">#REF!</definedName>
    <definedName name="SO">#REF!</definedName>
    <definedName name="SPRD_COAL" localSheetId="0">#REF!</definedName>
    <definedName name="SPRD_COAL">#REF!</definedName>
    <definedName name="SPRD_OB" localSheetId="0">#REF!</definedName>
    <definedName name="SPRD_OB">#REF!</definedName>
    <definedName name="ssss" localSheetId="0">#REF!</definedName>
    <definedName name="ssss">#REF!</definedName>
    <definedName name="STB">[25]ACUM!$ED$64:$FJ$87</definedName>
    <definedName name="SubAccount">[47]!Sub_Account</definedName>
    <definedName name="subhan">'[5]MTD OB Forecasting'!#REF!</definedName>
    <definedName name="SummPRM">'[48]Summ PRM'!$B$6:$BO$108</definedName>
    <definedName name="suryanto">'[2]MTD OB Forecasting'!#REF!</definedName>
    <definedName name="TCM">[6]TCM!$A$2:$KE$234</definedName>
    <definedName name="TDM">[6]TDM!$A$4:$EW$40</definedName>
    <definedName name="test" localSheetId="0">#REF!</definedName>
    <definedName name="test">#REF!</definedName>
    <definedName name="TONNAGE">[9]dBase!$R$2:$R$4381</definedName>
    <definedName name="TOP_COSTUM" localSheetId="0">#REF!</definedName>
    <definedName name="TOP_COSTUM">#REF!</definedName>
    <definedName name="total" localSheetId="0">#REF!</definedName>
    <definedName name="total">#REF!</definedName>
    <definedName name="TUNAS">[25]ACUM!$B$4:$CT$27</definedName>
    <definedName name="TYPE">[9]dBase!$BC$2:$BC$4381</definedName>
    <definedName name="UA_Actual">[3]Data!$B$112:$AG$121</definedName>
    <definedName name="UA_Plan">[3]Data!$B$99:$AG$108</definedName>
    <definedName name="uu" localSheetId="0" hidden="1">{"Valuation",#N/A,TRUE,"Valuation Summary";"Financial Statements",#N/A,TRUE,"Results";"Results",#N/A,TRUE,"Results";"Ratios",#N/A,TRUE,"Results";"P2 Summary",#N/A,TRUE,"Results"}</definedName>
    <definedName name="uu" hidden="1">{"Valuation",#N/A,TRUE,"Valuation Summary";"Financial Statements",#N/A,TRUE,"Results";"Results",#N/A,TRUE,"Results";"Ratios",#N/A,TRUE,"Results";"P2 Summary",#N/A,TRUE,"Results"}</definedName>
    <definedName name="WASTE" localSheetId="0">#REF!</definedName>
    <definedName name="WASTE">#REF!</definedName>
    <definedName name="Wh" localSheetId="0">#REF!</definedName>
    <definedName name="Wh">#REF!</definedName>
    <definedName name="WORK">[25]ACUM!$ED$4:$FJ$27</definedName>
    <definedName name="Worksheet2016" localSheetId="0">#REF!</definedName>
    <definedName name="Worksheet2016">#REF!</definedName>
    <definedName name="wrn.M." localSheetId="0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localSheetId="0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Valuation._.LB." localSheetId="0" hidden="1">{"Assumptions",#N/A,FALSE,"ASSUMPTION";"Cash Minimum",#N/A,FALSE,"ASSUMPTION"}</definedName>
    <definedName name="wrn.Valuation._.LB." hidden="1">{"Assumptions",#N/A,FALSE,"ASSUMPTION";"Cash Minimum",#N/A,FALSE,"ASSUMPTION"}</definedName>
    <definedName name="wrn.Variance." localSheetId="0" hidden="1">{#N/A,#N/A,FALSE,"M06";#N/A,#N/A,FALSE,"M07"}</definedName>
    <definedName name="wrn.Variance." hidden="1">{#N/A,#N/A,FALSE,"M06";#N/A,#N/A,FALSE,"M07"}</definedName>
    <definedName name="WS">'[6]WS-Daily'!$B$5:$GJ$1957</definedName>
    <definedName name="WSA" localSheetId="0">#REF!</definedName>
    <definedName name="WSA">#REF!</definedName>
    <definedName name="Y" localSheetId="0" hidden="1">{#N/A,#N/A,FALSE,"M01";#N/A,#N/A,FALSE,"M02";#N/A,#N/A,FALSE,"M03";#N/A,#N/A,FALSE,"M04";#N/A,#N/A,FALSE,"M05";#N/A,#N/A,FALSE,"M08"}</definedName>
    <definedName name="Y" hidden="1">{#N/A,#N/A,FALSE,"M01";#N/A,#N/A,FALSE,"M02";#N/A,#N/A,FALSE,"M03";#N/A,#N/A,FALSE,"M04";#N/A,#N/A,FALSE,"M05";#N/A,#N/A,FALSE,"M08"}</definedName>
    <definedName name="yes">'[5]MTD OB Forecasting'!#REF!</definedName>
    <definedName name="yun">'[5]MTD OB Forecasting'!#REF!</definedName>
    <definedName name="yusuf">'[2]MTD OB Forecasting'!#REF!</definedName>
    <definedName name="z">'[5]MTD OB Forecasting'!#REF!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3" i="5" l="1"/>
  <c r="D183" i="5"/>
  <c r="C183" i="5"/>
  <c r="B183" i="5"/>
  <c r="E182" i="5"/>
  <c r="D182" i="5"/>
  <c r="C182" i="5"/>
  <c r="B182" i="5"/>
  <c r="E181" i="5"/>
  <c r="D181" i="5"/>
  <c r="C181" i="5"/>
  <c r="B181" i="5"/>
  <c r="E180" i="5"/>
  <c r="D180" i="5"/>
  <c r="C180" i="5"/>
  <c r="B180" i="5"/>
  <c r="E179" i="5"/>
  <c r="D179" i="5"/>
  <c r="C179" i="5"/>
  <c r="B179" i="5"/>
  <c r="E169" i="5"/>
  <c r="D169" i="5"/>
  <c r="C169" i="5"/>
  <c r="B169" i="5"/>
  <c r="E168" i="5"/>
  <c r="D168" i="5"/>
  <c r="C168" i="5"/>
  <c r="B168" i="5"/>
  <c r="E167" i="5"/>
  <c r="D167" i="5"/>
  <c r="C167" i="5"/>
  <c r="B167" i="5"/>
  <c r="E166" i="5"/>
  <c r="D166" i="5"/>
  <c r="C166" i="5"/>
  <c r="B166" i="5"/>
  <c r="E165" i="5"/>
  <c r="D165" i="5"/>
  <c r="C165" i="5"/>
  <c r="B165" i="5"/>
  <c r="E153" i="5"/>
  <c r="D153" i="5"/>
  <c r="C153" i="5"/>
  <c r="B153" i="5"/>
  <c r="E152" i="5"/>
  <c r="D152" i="5"/>
  <c r="C152" i="5"/>
  <c r="B152" i="5"/>
  <c r="E151" i="5"/>
  <c r="D151" i="5"/>
  <c r="C151" i="5"/>
  <c r="B151" i="5"/>
  <c r="E150" i="5"/>
  <c r="D150" i="5"/>
  <c r="C150" i="5"/>
  <c r="B150" i="5"/>
  <c r="E149" i="5"/>
  <c r="D149" i="5"/>
  <c r="C149" i="5"/>
  <c r="B149" i="5"/>
  <c r="E137" i="5"/>
  <c r="D137" i="5"/>
  <c r="C137" i="5"/>
  <c r="B137" i="5"/>
  <c r="E136" i="5"/>
  <c r="D136" i="5"/>
  <c r="C136" i="5"/>
  <c r="B136" i="5"/>
  <c r="E135" i="5"/>
  <c r="D135" i="5"/>
  <c r="C135" i="5"/>
  <c r="B135" i="5"/>
  <c r="E134" i="5"/>
  <c r="D134" i="5"/>
  <c r="C134" i="5"/>
  <c r="B134" i="5"/>
  <c r="E133" i="5"/>
  <c r="D133" i="5"/>
  <c r="C133" i="5"/>
  <c r="B133" i="5"/>
  <c r="E122" i="5"/>
  <c r="D122" i="5"/>
  <c r="C122" i="5"/>
  <c r="B122" i="5"/>
  <c r="E121" i="5"/>
  <c r="D121" i="5"/>
  <c r="C121" i="5"/>
  <c r="B121" i="5"/>
  <c r="E120" i="5"/>
  <c r="D120" i="5"/>
  <c r="C120" i="5"/>
  <c r="B120" i="5"/>
  <c r="E119" i="5"/>
  <c r="D119" i="5"/>
  <c r="C119" i="5"/>
  <c r="B119" i="5"/>
  <c r="E118" i="5"/>
  <c r="D118" i="5"/>
  <c r="C118" i="5"/>
  <c r="B118" i="5"/>
  <c r="E116" i="5"/>
  <c r="D116" i="5"/>
  <c r="C116" i="5"/>
  <c r="B116" i="5"/>
  <c r="E115" i="5"/>
  <c r="D115" i="5"/>
  <c r="C115" i="5"/>
  <c r="B115" i="5"/>
  <c r="E114" i="5"/>
  <c r="D114" i="5"/>
  <c r="C114" i="5"/>
  <c r="B114" i="5"/>
  <c r="E113" i="5"/>
  <c r="D113" i="5"/>
  <c r="C113" i="5"/>
  <c r="B113" i="5"/>
  <c r="E112" i="5"/>
  <c r="D112" i="5"/>
  <c r="C112" i="5"/>
  <c r="B112" i="5"/>
  <c r="E85" i="5"/>
  <c r="D85" i="5"/>
  <c r="C85" i="5"/>
  <c r="B85" i="5"/>
  <c r="E84" i="5"/>
  <c r="D84" i="5"/>
  <c r="C84" i="5"/>
  <c r="B84" i="5"/>
  <c r="E83" i="5"/>
  <c r="D83" i="5"/>
  <c r="C83" i="5"/>
  <c r="B83" i="5"/>
  <c r="E82" i="5"/>
  <c r="D82" i="5"/>
  <c r="C82" i="5"/>
  <c r="B82" i="5"/>
  <c r="E81" i="5"/>
  <c r="D81" i="5"/>
  <c r="C81" i="5"/>
  <c r="B81" i="5"/>
  <c r="E79" i="5"/>
  <c r="D79" i="5"/>
  <c r="C79" i="5"/>
  <c r="B79" i="5"/>
  <c r="E78" i="5"/>
  <c r="D78" i="5"/>
  <c r="C78" i="5"/>
  <c r="B78" i="5"/>
  <c r="E77" i="5"/>
  <c r="D77" i="5"/>
  <c r="C77" i="5"/>
  <c r="B77" i="5"/>
  <c r="E76" i="5"/>
  <c r="D76" i="5"/>
  <c r="C76" i="5"/>
  <c r="B76" i="5"/>
  <c r="E75" i="5"/>
  <c r="D75" i="5"/>
  <c r="C75" i="5"/>
  <c r="B75" i="5"/>
  <c r="E53" i="5"/>
  <c r="D53" i="5"/>
  <c r="C53" i="5"/>
  <c r="B53" i="5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8" i="5"/>
  <c r="D48" i="5"/>
  <c r="C48" i="5"/>
  <c r="B48" i="5"/>
  <c r="F48" i="5" s="1"/>
  <c r="E42" i="5"/>
  <c r="D42" i="5"/>
  <c r="C42" i="5"/>
  <c r="B42" i="5"/>
  <c r="E36" i="5"/>
  <c r="D36" i="5"/>
  <c r="C36" i="5"/>
  <c r="B36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E24" i="5"/>
  <c r="D24" i="5"/>
  <c r="C24" i="5"/>
  <c r="B24" i="5"/>
  <c r="C25" i="5"/>
  <c r="B25" i="5"/>
  <c r="E18" i="5"/>
  <c r="D18" i="5"/>
  <c r="C18" i="5"/>
  <c r="B18" i="5"/>
  <c r="N16" i="2"/>
  <c r="E23" i="5"/>
  <c r="D23" i="5"/>
  <c r="E22" i="5"/>
  <c r="D22" i="5"/>
  <c r="E21" i="5"/>
  <c r="D21" i="5"/>
  <c r="E20" i="5"/>
  <c r="D20" i="5"/>
  <c r="E19" i="5"/>
  <c r="D19" i="5"/>
  <c r="C23" i="5"/>
  <c r="C22" i="5"/>
  <c r="C21" i="5"/>
  <c r="C20" i="5"/>
  <c r="C19" i="5"/>
  <c r="B23" i="5"/>
  <c r="B22" i="5"/>
  <c r="B21" i="5"/>
  <c r="B20" i="5"/>
  <c r="B19" i="5"/>
  <c r="F42" i="5" l="1"/>
  <c r="E178" i="5" l="1"/>
  <c r="D178" i="5"/>
  <c r="C178" i="5"/>
  <c r="B178" i="5"/>
  <c r="F182" i="5" s="1"/>
  <c r="E175" i="5"/>
  <c r="D175" i="5"/>
  <c r="D174" i="5" s="1"/>
  <c r="C175" i="5"/>
  <c r="B175" i="5"/>
  <c r="F175" i="5" s="1"/>
  <c r="F174" i="5" s="1"/>
  <c r="E173" i="5"/>
  <c r="D173" i="5"/>
  <c r="C173" i="5"/>
  <c r="B173" i="5"/>
  <c r="F173" i="5" s="1"/>
  <c r="E164" i="5"/>
  <c r="D164" i="5"/>
  <c r="C164" i="5"/>
  <c r="B164" i="5"/>
  <c r="F164" i="5" s="1"/>
  <c r="E163" i="5"/>
  <c r="D163" i="5"/>
  <c r="C163" i="5"/>
  <c r="B163" i="5"/>
  <c r="F168" i="5" s="1"/>
  <c r="E160" i="5"/>
  <c r="D160" i="5"/>
  <c r="C160" i="5"/>
  <c r="B160" i="5"/>
  <c r="E159" i="5"/>
  <c r="D159" i="5"/>
  <c r="D158" i="5" s="1"/>
  <c r="C159" i="5"/>
  <c r="C158" i="5" s="1"/>
  <c r="B159" i="5"/>
  <c r="B158" i="5" s="1"/>
  <c r="E157" i="5"/>
  <c r="E156" i="5" s="1"/>
  <c r="E162" i="5" s="1"/>
  <c r="D157" i="5"/>
  <c r="D156" i="5" s="1"/>
  <c r="D162" i="5" s="1"/>
  <c r="C157" i="5"/>
  <c r="C156" i="5" s="1"/>
  <c r="B157" i="5"/>
  <c r="B156" i="5" s="1"/>
  <c r="E148" i="5"/>
  <c r="D148" i="5"/>
  <c r="C148" i="5"/>
  <c r="B148" i="5"/>
  <c r="F151" i="5" s="1"/>
  <c r="E144" i="5"/>
  <c r="D144" i="5"/>
  <c r="C144" i="5"/>
  <c r="B144" i="5"/>
  <c r="F144" i="5" s="1"/>
  <c r="E143" i="5"/>
  <c r="D143" i="5"/>
  <c r="C143" i="5"/>
  <c r="B143" i="5"/>
  <c r="F143" i="5" s="1"/>
  <c r="E141" i="5"/>
  <c r="E140" i="5" s="1"/>
  <c r="D141" i="5"/>
  <c r="D140" i="5" s="1"/>
  <c r="C141" i="5"/>
  <c r="C140" i="5" s="1"/>
  <c r="B141" i="5"/>
  <c r="F141" i="5" s="1"/>
  <c r="E132" i="5"/>
  <c r="D132" i="5"/>
  <c r="C132" i="5"/>
  <c r="B132" i="5"/>
  <c r="F132" i="5" s="1"/>
  <c r="E131" i="5"/>
  <c r="D131" i="5"/>
  <c r="C131" i="5"/>
  <c r="B131" i="5"/>
  <c r="F131" i="5" s="1"/>
  <c r="E128" i="5"/>
  <c r="D128" i="5"/>
  <c r="C128" i="5"/>
  <c r="B128" i="5"/>
  <c r="F128" i="5" s="1"/>
  <c r="E126" i="5"/>
  <c r="E125" i="5" s="1"/>
  <c r="D126" i="5"/>
  <c r="D125" i="5" s="1"/>
  <c r="C126" i="5"/>
  <c r="C125" i="5" s="1"/>
  <c r="B126" i="5"/>
  <c r="F126" i="5" s="1"/>
  <c r="F125" i="5" s="1"/>
  <c r="E117" i="5"/>
  <c r="D117" i="5"/>
  <c r="C117" i="5"/>
  <c r="B117" i="5"/>
  <c r="F118" i="5" s="1"/>
  <c r="E111" i="5"/>
  <c r="D111" i="5"/>
  <c r="C111" i="5"/>
  <c r="B111" i="5"/>
  <c r="F115" i="5" s="1"/>
  <c r="E107" i="5"/>
  <c r="D107" i="5"/>
  <c r="C107" i="5"/>
  <c r="B107" i="5"/>
  <c r="F107" i="5" s="1"/>
  <c r="E106" i="5"/>
  <c r="E104" i="5" s="1"/>
  <c r="D106" i="5"/>
  <c r="C106" i="5"/>
  <c r="B106" i="5"/>
  <c r="F106" i="5" s="1"/>
  <c r="E105" i="5"/>
  <c r="D105" i="5"/>
  <c r="C105" i="5"/>
  <c r="B105" i="5"/>
  <c r="E103" i="5"/>
  <c r="D103" i="5"/>
  <c r="C103" i="5"/>
  <c r="B103" i="5"/>
  <c r="F103" i="5" s="1"/>
  <c r="E102" i="5"/>
  <c r="D102" i="5"/>
  <c r="C102" i="5"/>
  <c r="B102" i="5"/>
  <c r="F102" i="5" s="1"/>
  <c r="E101" i="5"/>
  <c r="E100" i="5" s="1"/>
  <c r="D101" i="5"/>
  <c r="D100" i="5" s="1"/>
  <c r="D109" i="5" s="1"/>
  <c r="C101" i="5"/>
  <c r="C100" i="5" s="1"/>
  <c r="C109" i="5" s="1"/>
  <c r="B101" i="5"/>
  <c r="F101" i="5" s="1"/>
  <c r="E80" i="5"/>
  <c r="D80" i="5"/>
  <c r="C80" i="5"/>
  <c r="B80" i="5"/>
  <c r="F80" i="5" s="1"/>
  <c r="E74" i="5"/>
  <c r="D74" i="5"/>
  <c r="C74" i="5"/>
  <c r="B74" i="5"/>
  <c r="F77" i="5" s="1"/>
  <c r="E69" i="5"/>
  <c r="D69" i="5"/>
  <c r="C69" i="5"/>
  <c r="B69" i="5"/>
  <c r="F69" i="5" s="1"/>
  <c r="E68" i="5"/>
  <c r="D68" i="5"/>
  <c r="D66" i="5" s="1"/>
  <c r="C68" i="5"/>
  <c r="C66" i="5" s="1"/>
  <c r="B68" i="5"/>
  <c r="B66" i="5" s="1"/>
  <c r="E67" i="5"/>
  <c r="D67" i="5"/>
  <c r="C67" i="5"/>
  <c r="B67" i="5"/>
  <c r="F67" i="5" s="1"/>
  <c r="E64" i="5"/>
  <c r="D64" i="5"/>
  <c r="C64" i="5"/>
  <c r="B64" i="5"/>
  <c r="E63" i="5"/>
  <c r="D63" i="5"/>
  <c r="C63" i="5"/>
  <c r="B63" i="5"/>
  <c r="E62" i="5"/>
  <c r="D62" i="5"/>
  <c r="C62" i="5"/>
  <c r="B62" i="5"/>
  <c r="E61" i="5"/>
  <c r="D61" i="5"/>
  <c r="C61" i="5"/>
  <c r="B61" i="5"/>
  <c r="E59" i="5"/>
  <c r="D59" i="5"/>
  <c r="C59" i="5"/>
  <c r="B59" i="5"/>
  <c r="E58" i="5"/>
  <c r="D58" i="5"/>
  <c r="C58" i="5"/>
  <c r="B58" i="5"/>
  <c r="E57" i="5"/>
  <c r="D57" i="5"/>
  <c r="C57" i="5"/>
  <c r="B57" i="5"/>
  <c r="F27" i="5"/>
  <c r="E16" i="5"/>
  <c r="D16" i="5"/>
  <c r="C16" i="5"/>
  <c r="B16" i="5"/>
  <c r="E15" i="5"/>
  <c r="D15" i="5"/>
  <c r="C15" i="5"/>
  <c r="B15" i="5"/>
  <c r="F15" i="5" s="1"/>
  <c r="E14" i="5"/>
  <c r="E13" i="5" s="1"/>
  <c r="D14" i="5"/>
  <c r="D13" i="5" s="1"/>
  <c r="C14" i="5"/>
  <c r="B14" i="5"/>
  <c r="F14" i="5" s="1"/>
  <c r="E11" i="5"/>
  <c r="D11" i="5"/>
  <c r="C11" i="5"/>
  <c r="F11" i="5" s="1"/>
  <c r="B11" i="5"/>
  <c r="E10" i="5"/>
  <c r="D10" i="5"/>
  <c r="C10" i="5"/>
  <c r="B10" i="5"/>
  <c r="E9" i="5"/>
  <c r="E8" i="5" s="1"/>
  <c r="D9" i="5"/>
  <c r="C9" i="5"/>
  <c r="B9" i="5"/>
  <c r="B8" i="5" s="1"/>
  <c r="E7" i="5"/>
  <c r="D7" i="5"/>
  <c r="C7" i="5"/>
  <c r="B7" i="5"/>
  <c r="F7" i="5" s="1"/>
  <c r="E6" i="5"/>
  <c r="E5" i="5" s="1"/>
  <c r="D6" i="5"/>
  <c r="D5" i="5" s="1"/>
  <c r="C6" i="5"/>
  <c r="C5" i="5" s="1"/>
  <c r="B6" i="5"/>
  <c r="H183" i="5"/>
  <c r="H182" i="5"/>
  <c r="H181" i="5"/>
  <c r="F181" i="5"/>
  <c r="H180" i="5"/>
  <c r="H179" i="5"/>
  <c r="H178" i="5"/>
  <c r="F178" i="5"/>
  <c r="H177" i="5"/>
  <c r="H176" i="5"/>
  <c r="H175" i="5"/>
  <c r="H174" i="5"/>
  <c r="E174" i="5"/>
  <c r="C174" i="5"/>
  <c r="B174" i="5"/>
  <c r="H173" i="5"/>
  <c r="H172" i="5"/>
  <c r="E172" i="5"/>
  <c r="D172" i="5"/>
  <c r="C172" i="5"/>
  <c r="B172" i="5"/>
  <c r="H169" i="5"/>
  <c r="F169" i="5"/>
  <c r="H168" i="5"/>
  <c r="H167" i="5"/>
  <c r="H166" i="5"/>
  <c r="H165" i="5"/>
  <c r="H164" i="5"/>
  <c r="H163" i="5"/>
  <c r="F163" i="5"/>
  <c r="H162" i="5"/>
  <c r="H161" i="5"/>
  <c r="F160" i="5"/>
  <c r="H159" i="5"/>
  <c r="F159" i="5"/>
  <c r="F158" i="5" s="1"/>
  <c r="H158" i="5"/>
  <c r="E158" i="5"/>
  <c r="H157" i="5"/>
  <c r="H156" i="5"/>
  <c r="H153" i="5"/>
  <c r="H152" i="5"/>
  <c r="H151" i="5"/>
  <c r="H150" i="5"/>
  <c r="H149" i="5"/>
  <c r="H148" i="5"/>
  <c r="H147" i="5"/>
  <c r="H146" i="5"/>
  <c r="F145" i="5"/>
  <c r="H144" i="5"/>
  <c r="H143" i="5"/>
  <c r="H142" i="5"/>
  <c r="H141" i="5"/>
  <c r="H140" i="5"/>
  <c r="H137" i="5"/>
  <c r="F137" i="5"/>
  <c r="H136" i="5"/>
  <c r="F136" i="5"/>
  <c r="H135" i="5"/>
  <c r="F135" i="5"/>
  <c r="H134" i="5"/>
  <c r="F134" i="5"/>
  <c r="H133" i="5"/>
  <c r="H132" i="5"/>
  <c r="H131" i="5"/>
  <c r="H130" i="5"/>
  <c r="H129" i="5"/>
  <c r="H128" i="5"/>
  <c r="H127" i="5"/>
  <c r="E127" i="5"/>
  <c r="D127" i="5"/>
  <c r="C127" i="5"/>
  <c r="B127" i="5"/>
  <c r="H126" i="5"/>
  <c r="H125" i="5"/>
  <c r="H122" i="5"/>
  <c r="F122" i="5"/>
  <c r="H121" i="5"/>
  <c r="F121" i="5"/>
  <c r="H120" i="5"/>
  <c r="F120" i="5"/>
  <c r="H119" i="5"/>
  <c r="H118" i="5"/>
  <c r="H117" i="5"/>
  <c r="F117" i="5"/>
  <c r="H116" i="5"/>
  <c r="F116" i="5"/>
  <c r="H115" i="5"/>
  <c r="H114" i="5"/>
  <c r="H113" i="5"/>
  <c r="H112" i="5"/>
  <c r="H111" i="5"/>
  <c r="F111" i="5"/>
  <c r="H110" i="5"/>
  <c r="E110" i="5"/>
  <c r="D110" i="5"/>
  <c r="C110" i="5"/>
  <c r="B110" i="5"/>
  <c r="H109" i="5"/>
  <c r="H108" i="5"/>
  <c r="H107" i="5"/>
  <c r="H106" i="5"/>
  <c r="H105" i="5"/>
  <c r="H104" i="5"/>
  <c r="H103" i="5"/>
  <c r="H102" i="5"/>
  <c r="H101" i="5"/>
  <c r="H100" i="5"/>
  <c r="H97" i="5"/>
  <c r="F97" i="5"/>
  <c r="H96" i="5"/>
  <c r="F96" i="5"/>
  <c r="H95" i="5"/>
  <c r="F95" i="5"/>
  <c r="H94" i="5"/>
  <c r="F94" i="5"/>
  <c r="H93" i="5"/>
  <c r="F93" i="5"/>
  <c r="H92" i="5"/>
  <c r="F92" i="5"/>
  <c r="H91" i="5"/>
  <c r="F91" i="5"/>
  <c r="H90" i="5"/>
  <c r="F90" i="5"/>
  <c r="H89" i="5"/>
  <c r="F89" i="5"/>
  <c r="H88" i="5"/>
  <c r="F88" i="5"/>
  <c r="H87" i="5"/>
  <c r="F87" i="5"/>
  <c r="H86" i="5"/>
  <c r="F86" i="5"/>
  <c r="H85" i="5"/>
  <c r="F85" i="5"/>
  <c r="H84" i="5"/>
  <c r="F84" i="5"/>
  <c r="H83" i="5"/>
  <c r="F83" i="5"/>
  <c r="H82" i="5"/>
  <c r="F82" i="5"/>
  <c r="H81" i="5"/>
  <c r="F81" i="5"/>
  <c r="H80" i="5"/>
  <c r="H79" i="5"/>
  <c r="H78" i="5"/>
  <c r="H77" i="5"/>
  <c r="H76" i="5"/>
  <c r="H75" i="5"/>
  <c r="F75" i="5"/>
  <c r="H74" i="5"/>
  <c r="F74" i="5"/>
  <c r="H73" i="5"/>
  <c r="H72" i="5"/>
  <c r="E72" i="5"/>
  <c r="D72" i="5"/>
  <c r="C72" i="5"/>
  <c r="B72" i="5"/>
  <c r="H71" i="5"/>
  <c r="E71" i="5"/>
  <c r="D71" i="5"/>
  <c r="D70" i="5" s="1"/>
  <c r="C71" i="5"/>
  <c r="B71" i="5"/>
  <c r="H70" i="5"/>
  <c r="H69" i="5"/>
  <c r="H68" i="5"/>
  <c r="H67" i="5"/>
  <c r="H66" i="5"/>
  <c r="E66" i="5"/>
  <c r="H65" i="5"/>
  <c r="H63" i="5"/>
  <c r="H62" i="5"/>
  <c r="H61" i="5"/>
  <c r="H60" i="5"/>
  <c r="H59" i="5"/>
  <c r="H58" i="5"/>
  <c r="H57" i="5"/>
  <c r="H56" i="5"/>
  <c r="H53" i="5"/>
  <c r="F53" i="5"/>
  <c r="H52" i="5"/>
  <c r="F52" i="5"/>
  <c r="H51" i="5"/>
  <c r="F51" i="5"/>
  <c r="H50" i="5"/>
  <c r="F50" i="5"/>
  <c r="H49" i="5"/>
  <c r="F49" i="5"/>
  <c r="H48" i="5"/>
  <c r="H47" i="5"/>
  <c r="F47" i="5"/>
  <c r="H46" i="5"/>
  <c r="F46" i="5"/>
  <c r="H45" i="5"/>
  <c r="F45" i="5"/>
  <c r="H44" i="5"/>
  <c r="F44" i="5"/>
  <c r="H43" i="5"/>
  <c r="F43" i="5"/>
  <c r="H42" i="5"/>
  <c r="H41" i="5"/>
  <c r="F41" i="5"/>
  <c r="H40" i="5"/>
  <c r="F40" i="5"/>
  <c r="H39" i="5"/>
  <c r="H38" i="5"/>
  <c r="H37" i="5"/>
  <c r="H36" i="5"/>
  <c r="H35" i="5"/>
  <c r="F35" i="5"/>
  <c r="H34" i="5"/>
  <c r="F34" i="5"/>
  <c r="H33" i="5"/>
  <c r="F33" i="5"/>
  <c r="H32" i="5"/>
  <c r="F32" i="5"/>
  <c r="H31" i="5"/>
  <c r="F31" i="5"/>
  <c r="H30" i="5"/>
  <c r="F30" i="5"/>
  <c r="H29" i="5"/>
  <c r="H28" i="5"/>
  <c r="F28" i="5"/>
  <c r="H27" i="5"/>
  <c r="H26" i="5"/>
  <c r="F26" i="5"/>
  <c r="H25" i="5"/>
  <c r="F25" i="5"/>
  <c r="H24" i="5"/>
  <c r="F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D161" i="5" l="1"/>
  <c r="C8" i="5"/>
  <c r="C12" i="5" s="1"/>
  <c r="F76" i="5"/>
  <c r="F157" i="5"/>
  <c r="F156" i="5" s="1"/>
  <c r="F10" i="5"/>
  <c r="F16" i="5"/>
  <c r="E142" i="5"/>
  <c r="E146" i="5" s="1"/>
  <c r="C13" i="5"/>
  <c r="B104" i="5"/>
  <c r="B108" i="5" s="1"/>
  <c r="D8" i="5"/>
  <c r="D12" i="5" s="1"/>
  <c r="C142" i="5"/>
  <c r="F112" i="5"/>
  <c r="D142" i="5"/>
  <c r="D146" i="5" s="1"/>
  <c r="F78" i="5"/>
  <c r="B125" i="5"/>
  <c r="B129" i="5" s="1"/>
  <c r="C104" i="5"/>
  <c r="C108" i="5" s="1"/>
  <c r="F150" i="5"/>
  <c r="B100" i="5"/>
  <c r="F113" i="5"/>
  <c r="F79" i="5"/>
  <c r="D104" i="5"/>
  <c r="D108" i="5" s="1"/>
  <c r="E161" i="5"/>
  <c r="B5" i="5"/>
  <c r="F5" i="5" s="1"/>
  <c r="F39" i="5"/>
  <c r="F37" i="5"/>
  <c r="F38" i="5"/>
  <c r="F36" i="5"/>
  <c r="F19" i="5"/>
  <c r="F183" i="5"/>
  <c r="F180" i="5"/>
  <c r="F179" i="5"/>
  <c r="C176" i="5"/>
  <c r="E176" i="5"/>
  <c r="B176" i="5"/>
  <c r="F166" i="5"/>
  <c r="F167" i="5"/>
  <c r="F165" i="5"/>
  <c r="C161" i="5"/>
  <c r="F161" i="5"/>
  <c r="B161" i="5"/>
  <c r="F153" i="5"/>
  <c r="F148" i="5"/>
  <c r="F152" i="5"/>
  <c r="C147" i="5"/>
  <c r="F149" i="5"/>
  <c r="B142" i="5"/>
  <c r="B140" i="5"/>
  <c r="F140" i="5" s="1"/>
  <c r="F133" i="5"/>
  <c r="F119" i="5"/>
  <c r="F114" i="5"/>
  <c r="F110" i="5"/>
  <c r="F105" i="5"/>
  <c r="F104" i="5" s="1"/>
  <c r="I104" i="5" s="1"/>
  <c r="E108" i="5"/>
  <c r="F68" i="5"/>
  <c r="F66" i="5" s="1"/>
  <c r="F29" i="5"/>
  <c r="B13" i="5"/>
  <c r="F13" i="5" s="1"/>
  <c r="D17" i="5"/>
  <c r="F9" i="5"/>
  <c r="F8" i="5" s="1"/>
  <c r="I8" i="5" s="1"/>
  <c r="E12" i="5"/>
  <c r="B12" i="5"/>
  <c r="C17" i="5"/>
  <c r="E17" i="5"/>
  <c r="F6" i="5"/>
  <c r="B177" i="5"/>
  <c r="F72" i="5"/>
  <c r="F127" i="5"/>
  <c r="I127" i="5" s="1"/>
  <c r="B109" i="5"/>
  <c r="F142" i="5"/>
  <c r="I142" i="5" s="1"/>
  <c r="I158" i="5"/>
  <c r="C146" i="5"/>
  <c r="B70" i="5"/>
  <c r="F100" i="5"/>
  <c r="F109" i="5" s="1"/>
  <c r="E129" i="5"/>
  <c r="E109" i="5"/>
  <c r="E70" i="5"/>
  <c r="C129" i="5"/>
  <c r="D129" i="5"/>
  <c r="C177" i="5"/>
  <c r="F71" i="5"/>
  <c r="D176" i="5"/>
  <c r="D177" i="5"/>
  <c r="D147" i="5"/>
  <c r="F130" i="5"/>
  <c r="F129" i="5"/>
  <c r="I125" i="5"/>
  <c r="C70" i="5"/>
  <c r="F70" i="5" s="1"/>
  <c r="C130" i="5"/>
  <c r="D130" i="5"/>
  <c r="E147" i="5"/>
  <c r="F172" i="5"/>
  <c r="E130" i="5"/>
  <c r="F162" i="5"/>
  <c r="I156" i="5"/>
  <c r="E177" i="5"/>
  <c r="B162" i="5"/>
  <c r="C162" i="5"/>
  <c r="F147" i="5" l="1"/>
  <c r="I140" i="5"/>
  <c r="B130" i="5"/>
  <c r="B17" i="5"/>
  <c r="F20" i="5"/>
  <c r="F22" i="5"/>
  <c r="F21" i="5"/>
  <c r="F18" i="5"/>
  <c r="F23" i="5"/>
  <c r="B147" i="5"/>
  <c r="B146" i="5"/>
  <c r="F146" i="5"/>
  <c r="F108" i="5"/>
  <c r="I100" i="5"/>
  <c r="I5" i="5"/>
  <c r="F12" i="5"/>
  <c r="F17" i="5"/>
  <c r="F176" i="5"/>
  <c r="F177" i="5"/>
  <c r="N160" i="2" l="1"/>
  <c r="M158" i="2"/>
  <c r="L158" i="2"/>
  <c r="K158" i="2"/>
  <c r="J158" i="2"/>
  <c r="I158" i="2"/>
  <c r="H158" i="2"/>
  <c r="G158" i="2"/>
  <c r="F158" i="2"/>
  <c r="E158" i="2"/>
  <c r="D158" i="2"/>
  <c r="C158" i="2"/>
  <c r="B158" i="2"/>
  <c r="N138" i="3" l="1"/>
  <c r="N179" i="2"/>
  <c r="C125" i="2" l="1"/>
  <c r="C130" i="2" s="1"/>
  <c r="C127" i="2"/>
  <c r="N133" i="2"/>
  <c r="C129" i="2" l="1"/>
  <c r="P183" i="2"/>
  <c r="P182" i="2"/>
  <c r="P181" i="2"/>
  <c r="P180" i="2"/>
  <c r="P179" i="2"/>
  <c r="P178" i="2"/>
  <c r="P177" i="2"/>
  <c r="P176" i="2"/>
  <c r="P175" i="2"/>
  <c r="P174" i="2"/>
  <c r="P173" i="2"/>
  <c r="P172" i="2"/>
  <c r="N183" i="2"/>
  <c r="N182" i="2"/>
  <c r="N181" i="2"/>
  <c r="N180" i="2"/>
  <c r="N178" i="2" l="1"/>
  <c r="N175" i="2"/>
  <c r="N174" i="2" s="1"/>
  <c r="M174" i="2"/>
  <c r="L174" i="2"/>
  <c r="K174" i="2"/>
  <c r="J174" i="2"/>
  <c r="I174" i="2"/>
  <c r="H174" i="2"/>
  <c r="G174" i="2"/>
  <c r="F174" i="2"/>
  <c r="E174" i="2"/>
  <c r="D174" i="2"/>
  <c r="C174" i="2"/>
  <c r="B174" i="2"/>
  <c r="N173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M177" i="2" l="1"/>
  <c r="M176" i="2"/>
  <c r="F176" i="2"/>
  <c r="F177" i="2"/>
  <c r="H176" i="2"/>
  <c r="H177" i="2"/>
  <c r="I176" i="2"/>
  <c r="I177" i="2"/>
  <c r="J177" i="2"/>
  <c r="J176" i="2"/>
  <c r="D177" i="2"/>
  <c r="D176" i="2"/>
  <c r="G177" i="2"/>
  <c r="G176" i="2"/>
  <c r="K177" i="2"/>
  <c r="K176" i="2"/>
  <c r="E176" i="2"/>
  <c r="E177" i="2"/>
  <c r="L176" i="2"/>
  <c r="L177" i="2"/>
  <c r="C176" i="2"/>
  <c r="C177" i="2"/>
  <c r="N172" i="2"/>
  <c r="N176" i="2" s="1"/>
  <c r="B176" i="2"/>
  <c r="B177" i="2"/>
  <c r="N177" i="2" l="1"/>
  <c r="P165" i="2"/>
  <c r="P153" i="2"/>
  <c r="P152" i="2"/>
  <c r="P151" i="2"/>
  <c r="P150" i="2"/>
  <c r="P169" i="2"/>
  <c r="P168" i="2"/>
  <c r="P167" i="2"/>
  <c r="P166" i="2"/>
  <c r="P164" i="2"/>
  <c r="N69" i="2" l="1"/>
  <c r="P69" i="2"/>
  <c r="M135" i="3" l="1"/>
  <c r="L135" i="3"/>
  <c r="K135" i="3"/>
  <c r="J135" i="3"/>
  <c r="I135" i="3"/>
  <c r="H135" i="3"/>
  <c r="G135" i="3"/>
  <c r="F135" i="3"/>
  <c r="E135" i="3"/>
  <c r="D135" i="3"/>
  <c r="C135" i="3"/>
  <c r="B135" i="3"/>
  <c r="N127" i="3"/>
  <c r="N126" i="3"/>
  <c r="N125" i="3"/>
  <c r="N124" i="3"/>
  <c r="N123" i="3"/>
  <c r="N41" i="3"/>
  <c r="N40" i="3"/>
  <c r="N39" i="3"/>
  <c r="N38" i="3"/>
  <c r="N37" i="3"/>
  <c r="N42" i="3" l="1"/>
  <c r="P42" i="2" s="1"/>
  <c r="M8" i="2" l="1"/>
  <c r="L8" i="2"/>
  <c r="K8" i="2"/>
  <c r="J8" i="2"/>
  <c r="I8" i="2"/>
  <c r="H8" i="2"/>
  <c r="G8" i="2"/>
  <c r="F8" i="2"/>
  <c r="E8" i="2"/>
  <c r="D8" i="2"/>
  <c r="C8" i="2"/>
  <c r="B8" i="2"/>
  <c r="P144" i="2"/>
  <c r="P143" i="2"/>
  <c r="N185" i="3" l="1"/>
  <c r="N184" i="3"/>
  <c r="N183" i="3"/>
  <c r="N182" i="3"/>
  <c r="N181" i="3"/>
  <c r="N180" i="3"/>
  <c r="N177" i="3"/>
  <c r="N176" i="3" s="1"/>
  <c r="M176" i="3"/>
  <c r="L176" i="3"/>
  <c r="K176" i="3"/>
  <c r="J176" i="3"/>
  <c r="I176" i="3"/>
  <c r="H176" i="3"/>
  <c r="G176" i="3"/>
  <c r="F176" i="3"/>
  <c r="E176" i="3"/>
  <c r="D176" i="3"/>
  <c r="C176" i="3"/>
  <c r="B176" i="3"/>
  <c r="N175" i="3"/>
  <c r="N174" i="3" s="1"/>
  <c r="M174" i="3"/>
  <c r="L174" i="3"/>
  <c r="K174" i="3"/>
  <c r="J174" i="3"/>
  <c r="I174" i="3"/>
  <c r="H174" i="3"/>
  <c r="H179" i="3" s="1"/>
  <c r="G174" i="3"/>
  <c r="G179" i="3" s="1"/>
  <c r="F174" i="3"/>
  <c r="F179" i="3" s="1"/>
  <c r="E174" i="3"/>
  <c r="D174" i="3"/>
  <c r="D179" i="3" s="1"/>
  <c r="C174" i="3"/>
  <c r="C179" i="3" s="1"/>
  <c r="B174" i="3"/>
  <c r="B179" i="3" s="1"/>
  <c r="N168" i="3"/>
  <c r="N169" i="3"/>
  <c r="N170" i="3"/>
  <c r="N171" i="3"/>
  <c r="N167" i="3"/>
  <c r="N154" i="3"/>
  <c r="N155" i="3"/>
  <c r="N156" i="3"/>
  <c r="N157" i="3"/>
  <c r="N153" i="3"/>
  <c r="N139" i="3"/>
  <c r="N140" i="3"/>
  <c r="N141" i="3"/>
  <c r="N142" i="3"/>
  <c r="N118" i="3"/>
  <c r="N119" i="3"/>
  <c r="N120" i="3"/>
  <c r="N121" i="3"/>
  <c r="N117" i="3"/>
  <c r="C147" i="3"/>
  <c r="D147" i="3"/>
  <c r="E147" i="3"/>
  <c r="F147" i="3"/>
  <c r="G147" i="3"/>
  <c r="H147" i="3"/>
  <c r="I147" i="3"/>
  <c r="J147" i="3"/>
  <c r="K147" i="3"/>
  <c r="L147" i="3"/>
  <c r="M147" i="3"/>
  <c r="B147" i="3"/>
  <c r="N147" i="3" s="1"/>
  <c r="N148" i="3"/>
  <c r="J178" i="3" l="1"/>
  <c r="L178" i="3"/>
  <c r="B178" i="3"/>
  <c r="C178" i="3"/>
  <c r="E178" i="3"/>
  <c r="I178" i="3"/>
  <c r="M178" i="3"/>
  <c r="K178" i="3"/>
  <c r="G178" i="3"/>
  <c r="H178" i="3"/>
  <c r="F178" i="3"/>
  <c r="N178" i="3"/>
  <c r="E179" i="3"/>
  <c r="D178" i="3"/>
  <c r="I179" i="3"/>
  <c r="J179" i="3"/>
  <c r="K179" i="3"/>
  <c r="L179" i="3"/>
  <c r="M179" i="3"/>
  <c r="N179" i="3"/>
  <c r="N87" i="3"/>
  <c r="N88" i="3"/>
  <c r="N89" i="3"/>
  <c r="N90" i="3"/>
  <c r="N86" i="3"/>
  <c r="N81" i="3"/>
  <c r="N82" i="3"/>
  <c r="N83" i="3"/>
  <c r="N84" i="3"/>
  <c r="N80" i="3"/>
  <c r="N75" i="3"/>
  <c r="N76" i="3"/>
  <c r="N77" i="3"/>
  <c r="N78" i="3"/>
  <c r="N74" i="3"/>
  <c r="N50" i="3"/>
  <c r="N51" i="3"/>
  <c r="N52" i="3"/>
  <c r="N53" i="3"/>
  <c r="N49" i="3"/>
  <c r="N44" i="3"/>
  <c r="N45" i="3"/>
  <c r="N46" i="3"/>
  <c r="N47" i="3"/>
  <c r="N43" i="3"/>
  <c r="N32" i="3"/>
  <c r="N33" i="3"/>
  <c r="N34" i="3"/>
  <c r="N35" i="3"/>
  <c r="N31" i="3"/>
  <c r="N26" i="3"/>
  <c r="N27" i="3"/>
  <c r="N28" i="3"/>
  <c r="N29" i="3"/>
  <c r="N25" i="3"/>
  <c r="N20" i="3"/>
  <c r="N21" i="3"/>
  <c r="N22" i="3"/>
  <c r="N23" i="3"/>
  <c r="N19" i="3"/>
  <c r="N11" i="3" l="1"/>
  <c r="P11" i="2" s="1"/>
  <c r="C8" i="3"/>
  <c r="D8" i="3"/>
  <c r="E8" i="3"/>
  <c r="F8" i="3"/>
  <c r="G8" i="3"/>
  <c r="H8" i="3"/>
  <c r="I8" i="3"/>
  <c r="J8" i="3"/>
  <c r="K8" i="3"/>
  <c r="L8" i="3"/>
  <c r="M8" i="3"/>
  <c r="B8" i="3"/>
  <c r="B5" i="3"/>
  <c r="C5" i="3"/>
  <c r="D5" i="3"/>
  <c r="E5" i="3"/>
  <c r="F5" i="3"/>
  <c r="G5" i="3"/>
  <c r="H5" i="3"/>
  <c r="I5" i="3"/>
  <c r="J5" i="3"/>
  <c r="K5" i="3"/>
  <c r="L5" i="3"/>
  <c r="M5" i="3"/>
  <c r="B100" i="2" l="1"/>
  <c r="C100" i="2"/>
  <c r="D100" i="2"/>
  <c r="E100" i="2"/>
  <c r="F100" i="2"/>
  <c r="G100" i="2"/>
  <c r="H100" i="2"/>
  <c r="I100" i="2"/>
  <c r="J100" i="2"/>
  <c r="K100" i="2"/>
  <c r="L100" i="2"/>
  <c r="M100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M108" i="2" l="1"/>
  <c r="B108" i="2"/>
  <c r="E108" i="2"/>
  <c r="K108" i="2"/>
  <c r="J108" i="2"/>
  <c r="I108" i="2"/>
  <c r="H108" i="2"/>
  <c r="G108" i="2"/>
  <c r="F108" i="2"/>
  <c r="C108" i="2"/>
  <c r="L108" i="2"/>
  <c r="D108" i="2"/>
  <c r="N114" i="2"/>
  <c r="N120" i="2"/>
  <c r="N64" i="2" l="1"/>
  <c r="N166" i="2" l="1"/>
  <c r="N167" i="2"/>
  <c r="N168" i="2"/>
  <c r="N165" i="2"/>
  <c r="N169" i="2"/>
  <c r="N163" i="2" l="1"/>
  <c r="N164" i="2"/>
  <c r="H9" i="4" l="1"/>
  <c r="H8" i="4"/>
  <c r="H7" i="4"/>
  <c r="G7" i="4"/>
  <c r="G8" i="4"/>
  <c r="G9" i="4"/>
  <c r="F6" i="4"/>
  <c r="D6" i="4"/>
  <c r="N144" i="2"/>
  <c r="N145" i="2"/>
  <c r="C142" i="2"/>
  <c r="D142" i="2"/>
  <c r="E142" i="2"/>
  <c r="F142" i="2"/>
  <c r="G142" i="2"/>
  <c r="H142" i="2"/>
  <c r="I142" i="2"/>
  <c r="J142" i="2"/>
  <c r="K142" i="2"/>
  <c r="L142" i="2"/>
  <c r="M142" i="2"/>
  <c r="J6" i="4" l="1"/>
  <c r="B110" i="2" l="1"/>
  <c r="B109" i="2" s="1"/>
  <c r="N111" i="2" l="1"/>
  <c r="B127" i="2" l="1"/>
  <c r="D127" i="2"/>
  <c r="E127" i="2"/>
  <c r="F127" i="2"/>
  <c r="G127" i="2"/>
  <c r="H127" i="2"/>
  <c r="I127" i="2"/>
  <c r="J127" i="2"/>
  <c r="K127" i="2"/>
  <c r="L127" i="2"/>
  <c r="M127" i="2"/>
  <c r="F7" i="4" l="1"/>
  <c r="H13" i="2"/>
  <c r="N119" i="2" l="1"/>
  <c r="N121" i="2"/>
  <c r="N122" i="2"/>
  <c r="N118" i="2"/>
  <c r="N113" i="2"/>
  <c r="N115" i="2"/>
  <c r="N116" i="2"/>
  <c r="N112" i="2"/>
  <c r="N82" i="2" l="1"/>
  <c r="N83" i="2"/>
  <c r="N84" i="2"/>
  <c r="N85" i="2"/>
  <c r="N81" i="2"/>
  <c r="N79" i="2"/>
  <c r="N78" i="2"/>
  <c r="N77" i="2"/>
  <c r="N76" i="2"/>
  <c r="N75" i="2"/>
  <c r="B142" i="2" l="1"/>
  <c r="F8" i="4" s="1"/>
  <c r="N143" i="2"/>
  <c r="C60" i="2" l="1"/>
  <c r="D60" i="2"/>
  <c r="E60" i="2"/>
  <c r="F60" i="2"/>
  <c r="G60" i="2"/>
  <c r="H60" i="2"/>
  <c r="I60" i="2"/>
  <c r="J60" i="2"/>
  <c r="K60" i="2"/>
  <c r="L60" i="2"/>
  <c r="M60" i="2"/>
  <c r="B60" i="2"/>
  <c r="F5" i="4" l="1"/>
  <c r="N68" i="2"/>
  <c r="N67" i="2"/>
  <c r="N60" i="2"/>
  <c r="N101" i="2"/>
  <c r="N150" i="2" l="1"/>
  <c r="N151" i="2"/>
  <c r="N153" i="2"/>
  <c r="N152" i="2"/>
  <c r="N149" i="2"/>
  <c r="N134" i="2" l="1"/>
  <c r="N135" i="2"/>
  <c r="N136" i="2"/>
  <c r="N137" i="2"/>
  <c r="N50" i="2" l="1"/>
  <c r="N51" i="2"/>
  <c r="N52" i="2"/>
  <c r="N53" i="2"/>
  <c r="N49" i="2"/>
  <c r="N44" i="2"/>
  <c r="N45" i="2"/>
  <c r="N46" i="2"/>
  <c r="N47" i="2"/>
  <c r="N43" i="2"/>
  <c r="N38" i="2"/>
  <c r="N39" i="2"/>
  <c r="N40" i="2"/>
  <c r="N41" i="2"/>
  <c r="N37" i="2"/>
  <c r="N32" i="2"/>
  <c r="N33" i="2"/>
  <c r="N34" i="2"/>
  <c r="N35" i="2"/>
  <c r="N31" i="2"/>
  <c r="N29" i="2"/>
  <c r="N26" i="2"/>
  <c r="N27" i="2"/>
  <c r="N28" i="2"/>
  <c r="N25" i="2"/>
  <c r="N20" i="2"/>
  <c r="N21" i="2"/>
  <c r="N22" i="2"/>
  <c r="N23" i="2"/>
  <c r="N19" i="2"/>
  <c r="N94" i="2"/>
  <c r="N95" i="2"/>
  <c r="N96" i="2"/>
  <c r="N97" i="2"/>
  <c r="N93" i="2"/>
  <c r="N88" i="2"/>
  <c r="N89" i="2"/>
  <c r="N90" i="2"/>
  <c r="N91" i="2"/>
  <c r="N87" i="2"/>
  <c r="B125" i="2" l="1"/>
  <c r="D125" i="2"/>
  <c r="E125" i="2"/>
  <c r="F125" i="2"/>
  <c r="G125" i="2"/>
  <c r="H125" i="2"/>
  <c r="I125" i="2"/>
  <c r="J125" i="2"/>
  <c r="K125" i="2"/>
  <c r="L125" i="2"/>
  <c r="M125" i="2"/>
  <c r="D7" i="4" l="1"/>
  <c r="J7" i="4" s="1"/>
  <c r="L130" i="2"/>
  <c r="L129" i="2"/>
  <c r="M129" i="2"/>
  <c r="M130" i="2"/>
  <c r="K130" i="2"/>
  <c r="K129" i="2"/>
  <c r="J130" i="2"/>
  <c r="J129" i="2"/>
  <c r="I130" i="2"/>
  <c r="I129" i="2"/>
  <c r="H130" i="2"/>
  <c r="H129" i="2"/>
  <c r="G130" i="2"/>
  <c r="G129" i="2"/>
  <c r="F130" i="2"/>
  <c r="F129" i="2"/>
  <c r="E129" i="2"/>
  <c r="E130" i="2"/>
  <c r="D129" i="2"/>
  <c r="D130" i="2"/>
  <c r="B129" i="2"/>
  <c r="B130" i="2"/>
  <c r="N132" i="2"/>
  <c r="N18" i="2" l="1"/>
  <c r="N11" i="2"/>
  <c r="F4" i="4" l="1"/>
  <c r="P149" i="2"/>
  <c r="P137" i="2"/>
  <c r="P136" i="2"/>
  <c r="P135" i="2"/>
  <c r="P134" i="2"/>
  <c r="P133" i="2"/>
  <c r="P122" i="2"/>
  <c r="P121" i="2"/>
  <c r="P120" i="2"/>
  <c r="P119" i="2"/>
  <c r="P118" i="2"/>
  <c r="P116" i="2"/>
  <c r="P115" i="2"/>
  <c r="P114" i="2"/>
  <c r="P113" i="2"/>
  <c r="P112" i="2"/>
  <c r="N36" i="2"/>
  <c r="N42" i="2"/>
  <c r="N48" i="2"/>
  <c r="M13" i="3" l="1"/>
  <c r="L13" i="3"/>
  <c r="K13" i="3"/>
  <c r="J13" i="3"/>
  <c r="I13" i="3"/>
  <c r="H13" i="3"/>
  <c r="G13" i="3"/>
  <c r="F13" i="3"/>
  <c r="E13" i="3"/>
  <c r="D13" i="3"/>
  <c r="C13" i="3"/>
  <c r="B13" i="3"/>
  <c r="N16" i="3"/>
  <c r="G4" i="4" l="1"/>
  <c r="N9" i="2" l="1"/>
  <c r="N10" i="2"/>
  <c r="N86" i="2"/>
  <c r="P53" i="2"/>
  <c r="P52" i="2"/>
  <c r="P51" i="2"/>
  <c r="P50" i="2"/>
  <c r="P49" i="2"/>
  <c r="N8" i="2" l="1"/>
  <c r="N48" i="3"/>
  <c r="P97" i="2"/>
  <c r="P96" i="2"/>
  <c r="P95" i="2"/>
  <c r="P94" i="2"/>
  <c r="P93" i="2"/>
  <c r="P91" i="2"/>
  <c r="P90" i="2"/>
  <c r="P89" i="2"/>
  <c r="P88" i="2"/>
  <c r="P87" i="2"/>
  <c r="P85" i="2"/>
  <c r="P84" i="2"/>
  <c r="P83" i="2"/>
  <c r="P82" i="2"/>
  <c r="P81" i="2"/>
  <c r="P79" i="2"/>
  <c r="P78" i="2"/>
  <c r="P77" i="2"/>
  <c r="P76" i="2"/>
  <c r="P75" i="2"/>
  <c r="P19" i="2"/>
  <c r="P20" i="2"/>
  <c r="P21" i="2"/>
  <c r="P22" i="2"/>
  <c r="P23" i="2"/>
  <c r="P25" i="2"/>
  <c r="P26" i="2"/>
  <c r="P27" i="2"/>
  <c r="P28" i="2"/>
  <c r="P29" i="2"/>
  <c r="P31" i="2"/>
  <c r="P32" i="2"/>
  <c r="P33" i="2"/>
  <c r="P34" i="2"/>
  <c r="P35" i="2"/>
  <c r="P37" i="2"/>
  <c r="P38" i="2"/>
  <c r="P39" i="2"/>
  <c r="P40" i="2"/>
  <c r="P41" i="2"/>
  <c r="P43" i="2"/>
  <c r="P44" i="2"/>
  <c r="P45" i="2"/>
  <c r="P46" i="2"/>
  <c r="P47" i="2"/>
  <c r="N97" i="3"/>
  <c r="P92" i="2" s="1"/>
  <c r="N91" i="3"/>
  <c r="P86" i="2" s="1"/>
  <c r="P48" i="2" l="1"/>
  <c r="P16" i="2"/>
  <c r="N136" i="3"/>
  <c r="P131" i="2" s="1"/>
  <c r="N122" i="3" l="1"/>
  <c r="P117" i="2" s="1"/>
  <c r="C109" i="3"/>
  <c r="D109" i="3"/>
  <c r="E109" i="3"/>
  <c r="F109" i="3"/>
  <c r="G109" i="3"/>
  <c r="H109" i="3"/>
  <c r="I109" i="3"/>
  <c r="J109" i="3"/>
  <c r="K109" i="3"/>
  <c r="L109" i="3"/>
  <c r="M109" i="3"/>
  <c r="B109" i="3"/>
  <c r="E6" i="4" l="1"/>
  <c r="L6" i="4" s="1"/>
  <c r="N109" i="3"/>
  <c r="P104" i="2" s="1"/>
  <c r="N85" i="3"/>
  <c r="N79" i="3"/>
  <c r="P80" i="2" s="1"/>
  <c r="N73" i="3"/>
  <c r="P74" i="2" s="1"/>
  <c r="N36" i="3" l="1"/>
  <c r="P36" i="2" s="1"/>
  <c r="N30" i="3"/>
  <c r="P30" i="2" s="1"/>
  <c r="N24" i="3"/>
  <c r="P24" i="2" s="1"/>
  <c r="N18" i="3"/>
  <c r="P18" i="2" s="1"/>
  <c r="N148" i="2" l="1"/>
  <c r="C140" i="2"/>
  <c r="D140" i="2"/>
  <c r="E140" i="2"/>
  <c r="F140" i="2"/>
  <c r="G140" i="2"/>
  <c r="H140" i="2"/>
  <c r="I140" i="2"/>
  <c r="J140" i="2"/>
  <c r="K140" i="2"/>
  <c r="L140" i="2"/>
  <c r="M140" i="2"/>
  <c r="B140" i="2"/>
  <c r="D8" i="4" l="1"/>
  <c r="B147" i="2"/>
  <c r="J8" i="4" l="1"/>
  <c r="N24" i="2"/>
  <c r="N30" i="2"/>
  <c r="N92" i="2"/>
  <c r="N80" i="2"/>
  <c r="N74" i="2"/>
  <c r="N117" i="2"/>
  <c r="N140" i="2" l="1"/>
  <c r="J156" i="2" l="1"/>
  <c r="K156" i="2"/>
  <c r="L156" i="2"/>
  <c r="M156" i="2"/>
  <c r="M162" i="2" l="1"/>
  <c r="M161" i="2"/>
  <c r="L162" i="2"/>
  <c r="L161" i="2"/>
  <c r="K162" i="2"/>
  <c r="K161" i="2"/>
  <c r="J162" i="2"/>
  <c r="J161" i="2"/>
  <c r="B13" i="2" l="1"/>
  <c r="G13" i="2"/>
  <c r="F13" i="2"/>
  <c r="J13" i="2"/>
  <c r="I13" i="2"/>
  <c r="M13" i="2"/>
  <c r="E13" i="2"/>
  <c r="L13" i="2"/>
  <c r="D13" i="2"/>
  <c r="K13" i="2"/>
  <c r="C13" i="2"/>
  <c r="H4" i="4" l="1"/>
  <c r="N127" i="2"/>
  <c r="C110" i="2"/>
  <c r="C109" i="2" s="1"/>
  <c r="D110" i="2"/>
  <c r="D109" i="2" s="1"/>
  <c r="E110" i="2"/>
  <c r="E109" i="2" s="1"/>
  <c r="F110" i="2"/>
  <c r="F109" i="2" s="1"/>
  <c r="G110" i="2"/>
  <c r="G109" i="2" s="1"/>
  <c r="H110" i="2"/>
  <c r="H109" i="2" s="1"/>
  <c r="I110" i="2"/>
  <c r="I109" i="2" s="1"/>
  <c r="J110" i="2"/>
  <c r="J109" i="2" s="1"/>
  <c r="K110" i="2"/>
  <c r="K109" i="2" s="1"/>
  <c r="L110" i="2"/>
  <c r="L109" i="2" s="1"/>
  <c r="M110" i="2"/>
  <c r="M109" i="2" s="1"/>
  <c r="N110" i="2"/>
  <c r="H6" i="4" l="1"/>
  <c r="N166" i="3"/>
  <c r="P163" i="2" s="1"/>
  <c r="N163" i="3"/>
  <c r="P159" i="2" s="1"/>
  <c r="M162" i="3"/>
  <c r="L162" i="3"/>
  <c r="K162" i="3"/>
  <c r="J162" i="3"/>
  <c r="I162" i="3"/>
  <c r="H162" i="3"/>
  <c r="G162" i="3"/>
  <c r="F162" i="3"/>
  <c r="E162" i="3"/>
  <c r="D162" i="3"/>
  <c r="C162" i="3"/>
  <c r="B162" i="3"/>
  <c r="N161" i="3"/>
  <c r="M160" i="3"/>
  <c r="M165" i="3" s="1"/>
  <c r="L160" i="3"/>
  <c r="K160" i="3"/>
  <c r="K165" i="3" s="1"/>
  <c r="J160" i="3"/>
  <c r="I160" i="3"/>
  <c r="H160" i="3"/>
  <c r="G160" i="3"/>
  <c r="F160" i="3"/>
  <c r="F165" i="3" s="1"/>
  <c r="E160" i="3"/>
  <c r="D160" i="3"/>
  <c r="C160" i="3"/>
  <c r="B160" i="3"/>
  <c r="N152" i="3"/>
  <c r="P148" i="2" s="1"/>
  <c r="N149" i="3"/>
  <c r="E8" i="4"/>
  <c r="L8" i="4" s="1"/>
  <c r="N146" i="3"/>
  <c r="M145" i="3"/>
  <c r="M151" i="3" s="1"/>
  <c r="L145" i="3"/>
  <c r="K145" i="3"/>
  <c r="J145" i="3"/>
  <c r="I145" i="3"/>
  <c r="H145" i="3"/>
  <c r="G145" i="3"/>
  <c r="F145" i="3"/>
  <c r="E145" i="3"/>
  <c r="E151" i="3" s="1"/>
  <c r="D145" i="3"/>
  <c r="D151" i="3" s="1"/>
  <c r="C145" i="3"/>
  <c r="B145" i="3"/>
  <c r="N137" i="3"/>
  <c r="P132" i="2" s="1"/>
  <c r="N133" i="3"/>
  <c r="P128" i="2" s="1"/>
  <c r="M132" i="3"/>
  <c r="L132" i="3"/>
  <c r="K132" i="3"/>
  <c r="J132" i="3"/>
  <c r="I132" i="3"/>
  <c r="H132" i="3"/>
  <c r="G132" i="3"/>
  <c r="F132" i="3"/>
  <c r="E132" i="3"/>
  <c r="D132" i="3"/>
  <c r="C132" i="3"/>
  <c r="B132" i="3"/>
  <c r="N131" i="3"/>
  <c r="P126" i="2" s="1"/>
  <c r="M130" i="3"/>
  <c r="L130" i="3"/>
  <c r="K130" i="3"/>
  <c r="J130" i="3"/>
  <c r="I130" i="3"/>
  <c r="H130" i="3"/>
  <c r="G130" i="3"/>
  <c r="F130" i="3"/>
  <c r="E130" i="3"/>
  <c r="D130" i="3"/>
  <c r="C130" i="3"/>
  <c r="B130" i="3"/>
  <c r="N116" i="3"/>
  <c r="P111" i="2" s="1"/>
  <c r="M115" i="3"/>
  <c r="L115" i="3"/>
  <c r="K115" i="3"/>
  <c r="J115" i="3"/>
  <c r="I115" i="3"/>
  <c r="H115" i="3"/>
  <c r="G115" i="3"/>
  <c r="F115" i="3"/>
  <c r="E115" i="3"/>
  <c r="D115" i="3"/>
  <c r="C115" i="3"/>
  <c r="B115" i="3"/>
  <c r="N112" i="3"/>
  <c r="P107" i="2" s="1"/>
  <c r="N111" i="3"/>
  <c r="P106" i="2" s="1"/>
  <c r="N110" i="3"/>
  <c r="P105" i="2" s="1"/>
  <c r="N108" i="3"/>
  <c r="P103" i="2" s="1"/>
  <c r="N107" i="3"/>
  <c r="P102" i="2" s="1"/>
  <c r="N106" i="3"/>
  <c r="P101" i="2" s="1"/>
  <c r="M105" i="3"/>
  <c r="L105" i="3"/>
  <c r="K105" i="3"/>
  <c r="J105" i="3"/>
  <c r="I105" i="3"/>
  <c r="H105" i="3"/>
  <c r="G105" i="3"/>
  <c r="F105" i="3"/>
  <c r="E105" i="3"/>
  <c r="D105" i="3"/>
  <c r="C105" i="3"/>
  <c r="B105" i="3"/>
  <c r="M71" i="3"/>
  <c r="L71" i="3"/>
  <c r="K71" i="3"/>
  <c r="J71" i="3"/>
  <c r="I71" i="3"/>
  <c r="H71" i="3"/>
  <c r="G71" i="3"/>
  <c r="F71" i="3"/>
  <c r="E71" i="3"/>
  <c r="D71" i="3"/>
  <c r="C71" i="3"/>
  <c r="B71" i="3"/>
  <c r="M70" i="3"/>
  <c r="L70" i="3"/>
  <c r="K70" i="3"/>
  <c r="J70" i="3"/>
  <c r="I70" i="3"/>
  <c r="H70" i="3"/>
  <c r="G70" i="3"/>
  <c r="F70" i="3"/>
  <c r="E70" i="3"/>
  <c r="D70" i="3"/>
  <c r="C70" i="3"/>
  <c r="B70" i="3"/>
  <c r="M68" i="3"/>
  <c r="L68" i="3"/>
  <c r="K68" i="3"/>
  <c r="J68" i="3"/>
  <c r="I68" i="3"/>
  <c r="H68" i="3"/>
  <c r="G68" i="3"/>
  <c r="F68" i="3"/>
  <c r="E68" i="3"/>
  <c r="D68" i="3"/>
  <c r="C68" i="3"/>
  <c r="B68" i="3"/>
  <c r="M67" i="3"/>
  <c r="L67" i="3"/>
  <c r="K67" i="3"/>
  <c r="J67" i="3"/>
  <c r="I67" i="3"/>
  <c r="H67" i="3"/>
  <c r="G67" i="3"/>
  <c r="F67" i="3"/>
  <c r="E67" i="3"/>
  <c r="D67" i="3"/>
  <c r="C67" i="3"/>
  <c r="B67" i="3"/>
  <c r="M66" i="3"/>
  <c r="L66" i="3"/>
  <c r="K66" i="3"/>
  <c r="J66" i="3"/>
  <c r="I66" i="3"/>
  <c r="H66" i="3"/>
  <c r="G66" i="3"/>
  <c r="F66" i="3"/>
  <c r="E66" i="3"/>
  <c r="D66" i="3"/>
  <c r="C66" i="3"/>
  <c r="B66" i="3"/>
  <c r="N63" i="3"/>
  <c r="P63" i="2" s="1"/>
  <c r="N62" i="3"/>
  <c r="P62" i="2" s="1"/>
  <c r="N61" i="3"/>
  <c r="M60" i="3"/>
  <c r="L60" i="3"/>
  <c r="K60" i="3"/>
  <c r="J60" i="3"/>
  <c r="I60" i="3"/>
  <c r="H60" i="3"/>
  <c r="G60" i="3"/>
  <c r="F60" i="3"/>
  <c r="E60" i="3"/>
  <c r="D60" i="3"/>
  <c r="C60" i="3"/>
  <c r="B60" i="3"/>
  <c r="N59" i="3"/>
  <c r="P59" i="2" s="1"/>
  <c r="N58" i="3"/>
  <c r="P58" i="2" s="1"/>
  <c r="N57" i="3"/>
  <c r="P57" i="2" s="1"/>
  <c r="M56" i="3"/>
  <c r="L56" i="3"/>
  <c r="K56" i="3"/>
  <c r="J56" i="3"/>
  <c r="I56" i="3"/>
  <c r="H56" i="3"/>
  <c r="G56" i="3"/>
  <c r="F56" i="3"/>
  <c r="E56" i="3"/>
  <c r="D56" i="3"/>
  <c r="C56" i="3"/>
  <c r="B56" i="3"/>
  <c r="N10" i="3"/>
  <c r="P10" i="2" s="1"/>
  <c r="N9" i="3"/>
  <c r="P9" i="2" s="1"/>
  <c r="N7" i="3"/>
  <c r="P7" i="2" s="1"/>
  <c r="N6" i="3"/>
  <c r="P6" i="2" s="1"/>
  <c r="C9" i="4" l="1"/>
  <c r="E7" i="4"/>
  <c r="L7" i="4" s="1"/>
  <c r="C6" i="4"/>
  <c r="I6" i="4" s="1"/>
  <c r="P142" i="2"/>
  <c r="C7" i="4"/>
  <c r="B134" i="3"/>
  <c r="C134" i="3"/>
  <c r="D134" i="3"/>
  <c r="G6" i="4"/>
  <c r="E134" i="3"/>
  <c r="N162" i="3"/>
  <c r="P158" i="2" s="1"/>
  <c r="M134" i="3"/>
  <c r="N145" i="3"/>
  <c r="P140" i="2" s="1"/>
  <c r="Q140" i="2" s="1"/>
  <c r="P141" i="2"/>
  <c r="B151" i="3"/>
  <c r="C8" i="4"/>
  <c r="F134" i="3"/>
  <c r="J134" i="3"/>
  <c r="K134" i="3"/>
  <c r="L134" i="3"/>
  <c r="G134" i="3"/>
  <c r="H134" i="3"/>
  <c r="N160" i="3"/>
  <c r="P156" i="2" s="1"/>
  <c r="P157" i="2"/>
  <c r="C5" i="4"/>
  <c r="I134" i="3"/>
  <c r="E9" i="4"/>
  <c r="K6" i="4"/>
  <c r="E5" i="4"/>
  <c r="L5" i="4" s="1"/>
  <c r="E4" i="4"/>
  <c r="C4" i="4"/>
  <c r="N132" i="3"/>
  <c r="P127" i="2" s="1"/>
  <c r="Q127" i="2" s="1"/>
  <c r="N60" i="3"/>
  <c r="P60" i="2" s="1"/>
  <c r="Q60" i="2" s="1"/>
  <c r="P61" i="2"/>
  <c r="B69" i="3"/>
  <c r="B164" i="3"/>
  <c r="N105" i="3"/>
  <c r="P100" i="2" s="1"/>
  <c r="G69" i="3"/>
  <c r="M113" i="3"/>
  <c r="L113" i="3"/>
  <c r="E113" i="3"/>
  <c r="F114" i="3"/>
  <c r="D69" i="3"/>
  <c r="M150" i="3"/>
  <c r="N130" i="3"/>
  <c r="L69" i="3"/>
  <c r="D113" i="3"/>
  <c r="C114" i="3"/>
  <c r="F150" i="3"/>
  <c r="H164" i="3"/>
  <c r="F65" i="3"/>
  <c r="F72" i="3" s="1"/>
  <c r="N115" i="3"/>
  <c r="P110" i="2" s="1"/>
  <c r="H113" i="3"/>
  <c r="J113" i="3"/>
  <c r="D164" i="3"/>
  <c r="C164" i="3"/>
  <c r="M12" i="3"/>
  <c r="K113" i="3"/>
  <c r="E164" i="3"/>
  <c r="G164" i="3"/>
  <c r="I113" i="3"/>
  <c r="M64" i="3"/>
  <c r="M114" i="3"/>
  <c r="G150" i="3"/>
  <c r="E64" i="3"/>
  <c r="K12" i="3"/>
  <c r="N56" i="3"/>
  <c r="H150" i="3"/>
  <c r="G113" i="3"/>
  <c r="I69" i="3"/>
  <c r="G114" i="3"/>
  <c r="I150" i="3"/>
  <c r="D65" i="3"/>
  <c r="H65" i="3"/>
  <c r="J69" i="3"/>
  <c r="B113" i="3"/>
  <c r="I114" i="3"/>
  <c r="K69" i="3"/>
  <c r="C113" i="3"/>
  <c r="K114" i="3"/>
  <c r="N66" i="3"/>
  <c r="P67" i="2" s="1"/>
  <c r="E150" i="3"/>
  <c r="C65" i="3"/>
  <c r="C72" i="3" s="1"/>
  <c r="B17" i="3"/>
  <c r="E17" i="3"/>
  <c r="H17" i="3"/>
  <c r="L17" i="3"/>
  <c r="C12" i="3"/>
  <c r="E12" i="3"/>
  <c r="H12" i="3"/>
  <c r="G12" i="3"/>
  <c r="J150" i="3"/>
  <c r="E65" i="3"/>
  <c r="G65" i="3"/>
  <c r="G72" i="3" s="1"/>
  <c r="B114" i="3"/>
  <c r="L150" i="3"/>
  <c r="N14" i="3"/>
  <c r="P14" i="2" s="1"/>
  <c r="F12" i="3"/>
  <c r="M69" i="3"/>
  <c r="N71" i="3"/>
  <c r="P72" i="2" s="1"/>
  <c r="I164" i="3"/>
  <c r="I65" i="3"/>
  <c r="J164" i="3"/>
  <c r="J65" i="3"/>
  <c r="J72" i="3" s="1"/>
  <c r="N68" i="3"/>
  <c r="N70" i="3"/>
  <c r="P71" i="2" s="1"/>
  <c r="K164" i="3"/>
  <c r="K65" i="3"/>
  <c r="C69" i="3"/>
  <c r="F151" i="3"/>
  <c r="L164" i="3"/>
  <c r="N8" i="3"/>
  <c r="P8" i="2" s="1"/>
  <c r="Q8" i="2" s="1"/>
  <c r="N15" i="3"/>
  <c r="P15" i="2" s="1"/>
  <c r="C64" i="3"/>
  <c r="H69" i="3"/>
  <c r="B150" i="3"/>
  <c r="H151" i="3"/>
  <c r="M164" i="3"/>
  <c r="F164" i="3"/>
  <c r="M65" i="3"/>
  <c r="E69" i="3"/>
  <c r="C150" i="3"/>
  <c r="J151" i="3"/>
  <c r="C165" i="3"/>
  <c r="D12" i="3"/>
  <c r="K64" i="3"/>
  <c r="N67" i="3"/>
  <c r="P68" i="2" s="1"/>
  <c r="F69" i="3"/>
  <c r="J114" i="3"/>
  <c r="D150" i="3"/>
  <c r="L151" i="3"/>
  <c r="E165" i="3"/>
  <c r="K150" i="3"/>
  <c r="L12" i="3"/>
  <c r="L65" i="3"/>
  <c r="L72" i="3" s="1"/>
  <c r="E114" i="3"/>
  <c r="N5" i="3"/>
  <c r="P5" i="2" s="1"/>
  <c r="G165" i="3"/>
  <c r="I165" i="3"/>
  <c r="I12" i="3"/>
  <c r="I64" i="3"/>
  <c r="B12" i="3"/>
  <c r="J12" i="3"/>
  <c r="B64" i="3"/>
  <c r="J64" i="3"/>
  <c r="H114" i="3"/>
  <c r="G151" i="3"/>
  <c r="H165" i="3"/>
  <c r="D64" i="3"/>
  <c r="L64" i="3"/>
  <c r="I151" i="3"/>
  <c r="B165" i="3"/>
  <c r="J165" i="3"/>
  <c r="F64" i="3"/>
  <c r="D114" i="3"/>
  <c r="L114" i="3"/>
  <c r="C151" i="3"/>
  <c r="K151" i="3"/>
  <c r="D165" i="3"/>
  <c r="L165" i="3"/>
  <c r="G64" i="3"/>
  <c r="B65" i="3"/>
  <c r="F113" i="3"/>
  <c r="H64" i="3"/>
  <c r="I9" i="4" l="1"/>
  <c r="N134" i="3"/>
  <c r="P129" i="2" s="1"/>
  <c r="P125" i="2"/>
  <c r="N165" i="3"/>
  <c r="P162" i="2" s="1"/>
  <c r="N150" i="3"/>
  <c r="P146" i="2" s="1"/>
  <c r="N164" i="3"/>
  <c r="P161" i="2" s="1"/>
  <c r="I7" i="4"/>
  <c r="K7" i="4"/>
  <c r="I8" i="4"/>
  <c r="K8" i="4"/>
  <c r="N151" i="3"/>
  <c r="P147" i="2" s="1"/>
  <c r="G5" i="4"/>
  <c r="G10" i="4" s="1"/>
  <c r="N114" i="3"/>
  <c r="P109" i="2" s="1"/>
  <c r="N113" i="3"/>
  <c r="P108" i="2" s="1"/>
  <c r="I5" i="4"/>
  <c r="E10" i="4"/>
  <c r="L4" i="4"/>
  <c r="C10" i="4"/>
  <c r="I4" i="4"/>
  <c r="N64" i="3"/>
  <c r="P65" i="2" s="1"/>
  <c r="P56" i="2"/>
  <c r="N135" i="3"/>
  <c r="D72" i="3"/>
  <c r="N65" i="3"/>
  <c r="H72" i="3"/>
  <c r="N12" i="3"/>
  <c r="P12" i="2" s="1"/>
  <c r="N69" i="3"/>
  <c r="P70" i="2" s="1"/>
  <c r="F17" i="3"/>
  <c r="I17" i="3"/>
  <c r="C17" i="3"/>
  <c r="M72" i="3"/>
  <c r="B72" i="3"/>
  <c r="M17" i="3"/>
  <c r="G17" i="3"/>
  <c r="E72" i="3"/>
  <c r="K72" i="3"/>
  <c r="J17" i="3"/>
  <c r="K17" i="3"/>
  <c r="D17" i="3"/>
  <c r="I72" i="3"/>
  <c r="N13" i="3"/>
  <c r="I10" i="4" l="1"/>
  <c r="P130" i="2"/>
  <c r="N17" i="3"/>
  <c r="P17" i="2" s="1"/>
  <c r="P13" i="2"/>
  <c r="N72" i="3"/>
  <c r="P73" i="2" s="1"/>
  <c r="P66" i="2"/>
  <c r="M72" i="2"/>
  <c r="L72" i="2"/>
  <c r="K72" i="2"/>
  <c r="J72" i="2"/>
  <c r="I72" i="2"/>
  <c r="H72" i="2"/>
  <c r="G72" i="2"/>
  <c r="F72" i="2"/>
  <c r="E72" i="2"/>
  <c r="D72" i="2"/>
  <c r="C72" i="2"/>
  <c r="M71" i="2"/>
  <c r="L71" i="2"/>
  <c r="K71" i="2"/>
  <c r="J71" i="2"/>
  <c r="I71" i="2"/>
  <c r="H71" i="2"/>
  <c r="G71" i="2"/>
  <c r="F71" i="2"/>
  <c r="E71" i="2"/>
  <c r="D71" i="2"/>
  <c r="C71" i="2"/>
  <c r="B72" i="2"/>
  <c r="B71" i="2"/>
  <c r="N159" i="2" l="1"/>
  <c r="N158" i="2" s="1"/>
  <c r="N157" i="2"/>
  <c r="I156" i="2"/>
  <c r="H156" i="2"/>
  <c r="G156" i="2"/>
  <c r="F156" i="2"/>
  <c r="E156" i="2"/>
  <c r="D156" i="2"/>
  <c r="C156" i="2"/>
  <c r="B156" i="2"/>
  <c r="B161" i="2" s="1"/>
  <c r="F9" i="4" l="1"/>
  <c r="L9" i="4" s="1"/>
  <c r="D9" i="4"/>
  <c r="E162" i="2"/>
  <c r="E161" i="2"/>
  <c r="F162" i="2"/>
  <c r="F161" i="2"/>
  <c r="G161" i="2"/>
  <c r="G162" i="2"/>
  <c r="H161" i="2"/>
  <c r="H162" i="2"/>
  <c r="I162" i="2"/>
  <c r="I161" i="2"/>
  <c r="B162" i="2"/>
  <c r="D162" i="2"/>
  <c r="D161" i="2"/>
  <c r="N156" i="2"/>
  <c r="C162" i="2"/>
  <c r="C161" i="2"/>
  <c r="Q158" i="2"/>
  <c r="N142" i="2"/>
  <c r="Q142" i="2" s="1"/>
  <c r="C146" i="2"/>
  <c r="N141" i="2"/>
  <c r="G147" i="2"/>
  <c r="E147" i="2"/>
  <c r="F10" i="4" l="1"/>
  <c r="F11" i="4" s="1"/>
  <c r="J9" i="4"/>
  <c r="N162" i="2"/>
  <c r="Q156" i="2"/>
  <c r="K9" i="4"/>
  <c r="N161" i="2"/>
  <c r="B146" i="2"/>
  <c r="F146" i="2"/>
  <c r="H146" i="2"/>
  <c r="J146" i="2"/>
  <c r="I146" i="2"/>
  <c r="D146" i="2"/>
  <c r="M146" i="2"/>
  <c r="K146" i="2"/>
  <c r="L146" i="2"/>
  <c r="E146" i="2"/>
  <c r="D147" i="2"/>
  <c r="H147" i="2"/>
  <c r="L147" i="2"/>
  <c r="G146" i="2"/>
  <c r="I147" i="2"/>
  <c r="J147" i="2"/>
  <c r="C147" i="2"/>
  <c r="K147" i="2"/>
  <c r="M147" i="2"/>
  <c r="F147" i="2"/>
  <c r="L10" i="4" l="1"/>
  <c r="N72" i="2"/>
  <c r="N71" i="2"/>
  <c r="M70" i="2"/>
  <c r="L70" i="2"/>
  <c r="K70" i="2"/>
  <c r="J70" i="2"/>
  <c r="I70" i="2"/>
  <c r="H70" i="2"/>
  <c r="G70" i="2"/>
  <c r="F70" i="2"/>
  <c r="E70" i="2"/>
  <c r="D70" i="2"/>
  <c r="C70" i="2"/>
  <c r="B70" i="2"/>
  <c r="N63" i="2"/>
  <c r="N70" i="2" l="1"/>
  <c r="N131" i="2" l="1"/>
  <c r="N128" i="2"/>
  <c r="N126" i="2"/>
  <c r="N125" i="2" l="1"/>
  <c r="Q125" i="2" s="1"/>
  <c r="N107" i="2"/>
  <c r="N106" i="2"/>
  <c r="N105" i="2"/>
  <c r="N103" i="2"/>
  <c r="N102" i="2"/>
  <c r="N104" i="2" l="1"/>
  <c r="Q104" i="2" s="1"/>
  <c r="N129" i="2"/>
  <c r="N130" i="2"/>
  <c r="N100" i="2"/>
  <c r="Q100" i="2" s="1"/>
  <c r="N62" i="2"/>
  <c r="N61" i="2"/>
  <c r="N59" i="2"/>
  <c r="N58" i="2"/>
  <c r="N57" i="2"/>
  <c r="M56" i="2"/>
  <c r="M65" i="2" s="1"/>
  <c r="L56" i="2"/>
  <c r="K56" i="2"/>
  <c r="J56" i="2"/>
  <c r="I56" i="2"/>
  <c r="H56" i="2"/>
  <c r="G56" i="2"/>
  <c r="F56" i="2"/>
  <c r="E56" i="2"/>
  <c r="D56" i="2"/>
  <c r="C56" i="2"/>
  <c r="B56" i="2"/>
  <c r="N15" i="2"/>
  <c r="N14" i="2"/>
  <c r="N7" i="2"/>
  <c r="N6" i="2"/>
  <c r="M5" i="2"/>
  <c r="L5" i="2"/>
  <c r="K5" i="2"/>
  <c r="J5" i="2"/>
  <c r="I5" i="2"/>
  <c r="H5" i="2"/>
  <c r="G5" i="2"/>
  <c r="F5" i="2"/>
  <c r="E5" i="2"/>
  <c r="D5" i="2"/>
  <c r="C5" i="2"/>
  <c r="B5" i="2"/>
  <c r="D5" i="4" l="1"/>
  <c r="K5" i="4" s="1"/>
  <c r="D4" i="4"/>
  <c r="N108" i="2"/>
  <c r="N109" i="2"/>
  <c r="B65" i="2"/>
  <c r="N56" i="2"/>
  <c r="Q56" i="2" s="1"/>
  <c r="C65" i="2"/>
  <c r="K65" i="2"/>
  <c r="H65" i="2"/>
  <c r="D65" i="2"/>
  <c r="L65" i="2"/>
  <c r="D66" i="2"/>
  <c r="C66" i="2"/>
  <c r="K66" i="2"/>
  <c r="J65" i="2"/>
  <c r="E65" i="2"/>
  <c r="I65" i="2"/>
  <c r="I66" i="2"/>
  <c r="F65" i="2"/>
  <c r="E66" i="2"/>
  <c r="G65" i="2"/>
  <c r="F66" i="2"/>
  <c r="G66" i="2"/>
  <c r="K17" i="2"/>
  <c r="H66" i="2"/>
  <c r="L66" i="2"/>
  <c r="M66" i="2"/>
  <c r="J66" i="2"/>
  <c r="B66" i="2"/>
  <c r="E12" i="2"/>
  <c r="M12" i="2"/>
  <c r="I17" i="2"/>
  <c r="J12" i="2"/>
  <c r="L17" i="2"/>
  <c r="J17" i="2"/>
  <c r="I12" i="2"/>
  <c r="F17" i="2"/>
  <c r="B17" i="2"/>
  <c r="C17" i="2"/>
  <c r="M17" i="2"/>
  <c r="D17" i="2"/>
  <c r="D12" i="2"/>
  <c r="L12" i="2"/>
  <c r="N13" i="2"/>
  <c r="G12" i="2"/>
  <c r="H12" i="2"/>
  <c r="B12" i="2"/>
  <c r="E17" i="2"/>
  <c r="G17" i="2"/>
  <c r="H17" i="2"/>
  <c r="C12" i="2"/>
  <c r="K12" i="2"/>
  <c r="F12" i="2"/>
  <c r="N5" i="2"/>
  <c r="Q5" i="2" s="1"/>
  <c r="J5" i="4" l="1"/>
  <c r="D10" i="4"/>
  <c r="J10" i="4" s="1"/>
  <c r="K4" i="4"/>
  <c r="J4" i="4"/>
  <c r="H5" i="4"/>
  <c r="H10" i="4" s="1"/>
  <c r="H11" i="4" s="1"/>
  <c r="L73" i="2"/>
  <c r="I73" i="2"/>
  <c r="H73" i="2"/>
  <c r="B73" i="2"/>
  <c r="G73" i="2"/>
  <c r="F73" i="2"/>
  <c r="K73" i="2"/>
  <c r="J73" i="2"/>
  <c r="E73" i="2"/>
  <c r="C73" i="2"/>
  <c r="M73" i="2"/>
  <c r="D73" i="2"/>
  <c r="N65" i="2"/>
  <c r="N66" i="2"/>
  <c r="N17" i="2"/>
  <c r="N12" i="2"/>
  <c r="N146" i="2"/>
  <c r="N147" i="2"/>
  <c r="K10" i="4" l="1"/>
  <c r="N73" i="2"/>
  <c r="E60" i="5" l="1"/>
  <c r="E56" i="5"/>
  <c r="D60" i="5"/>
  <c r="D56" i="5"/>
  <c r="C60" i="5"/>
  <c r="F58" i="5"/>
  <c r="C56" i="5"/>
  <c r="F63" i="5"/>
  <c r="F61" i="5"/>
  <c r="F62" i="5"/>
  <c r="B60" i="5"/>
  <c r="F60" i="5" s="1"/>
  <c r="I60" i="5" s="1"/>
  <c r="F59" i="5"/>
  <c r="B56" i="5"/>
  <c r="F64" i="5"/>
  <c r="D65" i="5" l="1"/>
  <c r="B65" i="5"/>
  <c r="B73" i="5"/>
  <c r="E65" i="5"/>
  <c r="E73" i="5"/>
  <c r="C73" i="5"/>
  <c r="C65" i="5"/>
  <c r="F57" i="5"/>
  <c r="F56" i="5" s="1"/>
  <c r="D73" i="5"/>
  <c r="F65" i="5" l="1"/>
  <c r="F73" i="5"/>
  <c r="I5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</authors>
  <commentList>
    <comment ref="A8" authorId="0" shapeId="0" xr:uid="{A08F4CCB-19A0-4CDE-A936-853B8711DECC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high ash</t>
        </r>
      </text>
    </comment>
    <comment ref="A86" authorId="0" shapeId="0" xr:uid="{F1968AB2-A534-4FAB-9BE5-22852BD76CCE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92" authorId="0" shapeId="0" xr:uid="{3BEDADDB-4D88-4A44-8E63-8C20CAD0F5C9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100" authorId="0" shapeId="0" xr:uid="{31DEB31C-2BBA-452C-B3C3-33FF060525BB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</t>
        </r>
      </text>
    </comment>
    <comment ref="A125" authorId="0" shapeId="0" xr:uid="{1B8F1832-A724-45B9-BE51-8C0FFA161D92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 and sliding volume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</authors>
  <commentList>
    <comment ref="A8" authorId="0" shapeId="0" xr:uid="{2CD201F9-0378-4356-BC1B-C05272806B91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high ash</t>
        </r>
      </text>
    </comment>
    <comment ref="A86" authorId="0" shapeId="0" xr:uid="{E5C6D72D-224E-4ECB-A088-46D0836E698B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92" authorId="0" shapeId="0" xr:uid="{A0CDE5AD-48AC-42B6-BDC2-B2117F57A4D7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100" authorId="0" shapeId="0" xr:uid="{5DEFCD6B-07EF-406C-B992-F15671D8E2BB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</t>
        </r>
      </text>
    </comment>
    <comment ref="A125" authorId="0" shapeId="0" xr:uid="{523FF6E1-6B06-45B6-9D4C-815DD3432BC4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 and sliding volume</t>
        </r>
      </text>
    </comment>
  </commentList>
</comments>
</file>

<file path=xl/sharedStrings.xml><?xml version="1.0" encoding="utf-8"?>
<sst xmlns="http://schemas.openxmlformats.org/spreadsheetml/2006/main" count="819" uniqueCount="97">
  <si>
    <t>IMM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</si>
  <si>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</si>
  <si>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</si>
  <si>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</si>
  <si>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</si>
  <si>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</si>
  <si>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</si>
  <si>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</si>
  <si>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</si>
  <si>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</si>
  <si>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</si>
  <si>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</si>
  <si>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</si>
  <si>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</si>
  <si>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OB Removal (KBcm)</t>
  </si>
  <si>
    <t>PAMA (WB)</t>
  </si>
  <si>
    <t>PAMA (EB)</t>
  </si>
  <si>
    <t>ROM Production (Kton)</t>
  </si>
  <si>
    <t>SR ROM Total</t>
  </si>
  <si>
    <t>FC Product (Kton)</t>
  </si>
  <si>
    <t>SR FC Total</t>
  </si>
  <si>
    <t>IMM-WB.HCV.LS</t>
  </si>
  <si>
    <t>TS</t>
  </si>
  <si>
    <t>Ash</t>
  </si>
  <si>
    <t>Moist</t>
  </si>
  <si>
    <t>TM</t>
  </si>
  <si>
    <t>IMM-WB.HCV.HS</t>
  </si>
  <si>
    <t>IMM-EB.MCV.LS</t>
  </si>
  <si>
    <t>IMM-EB.MCV.MS</t>
  </si>
  <si>
    <t>IMM-EB.MCV.HS</t>
  </si>
  <si>
    <t>TRUST</t>
  </si>
  <si>
    <t>TCM</t>
  </si>
  <si>
    <t>SR ROM with void</t>
  </si>
  <si>
    <t>FC Product CP (Kton)</t>
  </si>
  <si>
    <t>SR FC</t>
  </si>
  <si>
    <t xml:space="preserve">TCM.HCV.LS </t>
  </si>
  <si>
    <t>Sul &lt; 0.7</t>
  </si>
  <si>
    <t>ASH &lt; 5.0</t>
  </si>
  <si>
    <t>IM</t>
  </si>
  <si>
    <t xml:space="preserve">TCM.HCV.HS </t>
  </si>
  <si>
    <t>Sul &lt; 2.0</t>
  </si>
  <si>
    <t>TCM.HCV.MS</t>
  </si>
  <si>
    <t>Sul  &lt; 1.2</t>
  </si>
  <si>
    <t>SR ROM</t>
  </si>
  <si>
    <t>JBG</t>
  </si>
  <si>
    <t>SNS</t>
  </si>
  <si>
    <t>JBG Coal Loading</t>
  </si>
  <si>
    <t>FC Production (Ktons)</t>
  </si>
  <si>
    <t>BEK</t>
  </si>
  <si>
    <t>FC Product (KTons)</t>
  </si>
  <si>
    <t>JBG FC Product (Kton) / JBG</t>
  </si>
  <si>
    <t>TIS</t>
  </si>
  <si>
    <t>GPK</t>
  </si>
  <si>
    <t xml:space="preserve">EBH.HCV.LS </t>
  </si>
  <si>
    <t xml:space="preserve">MBL.MCV.MS </t>
  </si>
  <si>
    <t>PJPN</t>
  </si>
  <si>
    <t>MAP</t>
  </si>
  <si>
    <t>PAMA</t>
  </si>
  <si>
    <t>FC Product 3rd party (Kton)</t>
  </si>
  <si>
    <t>Contractor</t>
  </si>
  <si>
    <t>CV(GAR)</t>
  </si>
  <si>
    <t>Done</t>
  </si>
  <si>
    <t>Out.</t>
  </si>
  <si>
    <t>ITM plan year 2024</t>
  </si>
  <si>
    <t>TCM.LCV.MS.HA</t>
  </si>
  <si>
    <t>Contractor Pit UCE ext</t>
  </si>
  <si>
    <t>Sul  &lt; 1</t>
  </si>
  <si>
    <t>ASH</t>
  </si>
  <si>
    <t>Fine Coal</t>
  </si>
  <si>
    <t>Pit UCE-Extend</t>
  </si>
  <si>
    <t>Fine Coal (WB)</t>
  </si>
  <si>
    <t>ARKA</t>
  </si>
  <si>
    <t>SLS</t>
  </si>
  <si>
    <t>TIS.HCV.HS</t>
  </si>
  <si>
    <t>Other Contractor</t>
  </si>
  <si>
    <t>SITES</t>
  </si>
  <si>
    <t>OB</t>
  </si>
  <si>
    <t>Budget</t>
  </si>
  <si>
    <t>Actual</t>
  </si>
  <si>
    <t>ROM</t>
  </si>
  <si>
    <t>Diff. (Act.%)</t>
  </si>
  <si>
    <t>TOTAL</t>
  </si>
  <si>
    <t>FC</t>
  </si>
  <si>
    <t>SR (OB/ROM)</t>
  </si>
  <si>
    <t>Budget 2025</t>
  </si>
  <si>
    <t>As of 18 Nov'24</t>
  </si>
  <si>
    <t>NPR</t>
  </si>
  <si>
    <t>CV(GAD)</t>
  </si>
  <si>
    <t>Act.</t>
  </si>
  <si>
    <t>BEK.HCV.LS</t>
  </si>
  <si>
    <t>BEK.HCV.HS</t>
  </si>
  <si>
    <t>ITM outlook 2025 (4+8)</t>
  </si>
  <si>
    <t>ROM PIT I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</si>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</sst>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4" fillId="0" borderId="0"/>
    <xf numFmtId="9" fontId="4" fillId="0" borderId="0" applyFont="0" applyFill="0" applyBorder="0" applyAlignment="0" applyProtection="0"/>
    <xf numFmtId="164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5">
    <xf numFmtId="0" fontId="0" fillId="0" borderId="0" xfId="0"/>
    <xf numFmtId="0" fontId="0" fillId="3" borderId="0" xfId="0" applyFill="1"/>
    <xf numFmtId="0" fontId="3" fillId="3" borderId="0" xfId="0" applyFont="1" applyFill="1"/>
    <xf numFmtId="0" fontId="5" fillId="3" borderId="0" xfId="0" applyFont="1" applyFill="1"/>
    <xf numFmtId="0" fontId="0" fillId="3" borderId="0" xfId="0" applyFill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/>
    </xf>
    <xf numFmtId="43" fontId="0" fillId="3" borderId="1" xfId="1" applyFont="1" applyFill="1" applyBorder="1"/>
    <xf numFmtId="165" fontId="0" fillId="3" borderId="1" xfId="1" applyNumberFormat="1" applyFont="1" applyFill="1" applyBorder="1"/>
    <xf numFmtId="0" fontId="3" fillId="2" borderId="1" xfId="0" applyFont="1" applyFill="1" applyBorder="1"/>
    <xf numFmtId="165" fontId="3" fillId="2" borderId="1" xfId="1" applyNumberFormat="1" applyFont="1" applyFill="1" applyBorder="1"/>
    <xf numFmtId="43" fontId="3" fillId="2" borderId="1" xfId="1" applyFont="1" applyFill="1" applyBorder="1"/>
    <xf numFmtId="165" fontId="0" fillId="3" borderId="0" xfId="0" applyNumberFormat="1" applyFill="1"/>
    <xf numFmtId="43" fontId="0" fillId="3" borderId="0" xfId="0" applyNumberFormat="1" applyFill="1"/>
    <xf numFmtId="165" fontId="0" fillId="0" borderId="1" xfId="1" applyNumberFormat="1" applyFont="1" applyFill="1" applyBorder="1"/>
    <xf numFmtId="43" fontId="0" fillId="0" borderId="1" xfId="1" applyFont="1" applyFill="1" applyBorder="1"/>
    <xf numFmtId="0" fontId="8" fillId="0" borderId="1" xfId="0" applyFont="1" applyBorder="1" applyAlignment="1">
      <alignment horizontal="center" vertical="center"/>
    </xf>
    <xf numFmtId="9" fontId="0" fillId="0" borderId="0" xfId="7" applyFont="1"/>
    <xf numFmtId="165" fontId="0" fillId="0" borderId="1" xfId="1" applyNumberFormat="1" applyFont="1" applyBorder="1" applyAlignment="1">
      <alignment horizontal="left"/>
    </xf>
    <xf numFmtId="165" fontId="0" fillId="0" borderId="1" xfId="1" applyNumberFormat="1" applyFont="1" applyBorder="1"/>
    <xf numFmtId="43" fontId="0" fillId="0" borderId="1" xfId="1" applyFont="1" applyBorder="1"/>
    <xf numFmtId="9" fontId="0" fillId="0" borderId="1" xfId="7" applyFont="1" applyBorder="1"/>
    <xf numFmtId="0" fontId="2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5" fontId="0" fillId="6" borderId="1" xfId="0" applyNumberFormat="1" applyFill="1" applyBorder="1"/>
    <xf numFmtId="43" fontId="0" fillId="6" borderId="1" xfId="1" applyFont="1" applyFill="1" applyBorder="1"/>
    <xf numFmtId="9" fontId="0" fillId="6" borderId="1" xfId="7" applyFont="1" applyFill="1" applyBorder="1"/>
    <xf numFmtId="9" fontId="3" fillId="3" borderId="0" xfId="7" applyFont="1" applyFill="1"/>
    <xf numFmtId="0" fontId="3" fillId="7" borderId="1" xfId="0" applyFont="1" applyFill="1" applyBorder="1"/>
    <xf numFmtId="165" fontId="3" fillId="7" borderId="1" xfId="1" applyNumberFormat="1" applyFont="1" applyFill="1" applyBorder="1"/>
    <xf numFmtId="165" fontId="0" fillId="8" borderId="1" xfId="1" applyNumberFormat="1" applyFont="1" applyFill="1" applyBorder="1"/>
    <xf numFmtId="43" fontId="0" fillId="8" borderId="1" xfId="1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65" fontId="3" fillId="3" borderId="0" xfId="0" applyNumberFormat="1" applyFont="1" applyFill="1"/>
  </cellXfs>
  <cellStyles count="9">
    <cellStyle name="Comma" xfId="1" builtinId="3"/>
    <cellStyle name="Comma 4 3" xfId="5" xr:uid="{00000000-0005-0000-0000-000001000000}"/>
    <cellStyle name="Normal" xfId="0" builtinId="0"/>
    <cellStyle name="Normal 2 2" xfId="2" xr:uid="{00000000-0005-0000-0000-000003000000}"/>
    <cellStyle name="Normal 3" xfId="4" xr:uid="{00000000-0005-0000-0000-000004000000}"/>
    <cellStyle name="Normal 5" xfId="8" xr:uid="{B3D36331-AB3B-4E6D-8495-D2CA8331041D}"/>
    <cellStyle name="Percent" xfId="7" builtinId="5"/>
    <cellStyle name="Percent 10" xfId="3" xr:uid="{00000000-0005-0000-0000-000005000000}"/>
    <cellStyle name="Percent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50" Type="http://schemas.openxmlformats.org/officeDocument/2006/relationships/externalLink" Target="externalLinks/externalLink46.xml"/><Relationship Id="rId55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calcChain" Target="calcChain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echat_A\AppData\Local\Temp\wz93cb\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%20I%20F%20A%20I%20(05Mar14)/BUDGET/SUMMARY/Y2014/Monthly/03%20Weekly%20Performance%20Updatemanua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Budget%202008%20-%20All/Documents%20and%20Settings/yuliana_t.BANPUINDO/My%20Documents/Budget%202006/3.%20Bontang%20Revision/Macr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PLAN%202013\Sales\2013%20Sales%20Plan_2012-11-21_(V.3)%20Budget%20R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diyanto%20Nasution\REPORT\DPR\July\Users\MJAZUL~1\AppData\Local\Temp\notes758E9C\Users\MJAZUL~1\AppData\Local\Temp\notes758E9C\01_Hourly\2007\01_Jan\Hourly%2031_Jan_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ASA~1\AppData\Local\Temp\notes758E9C\CBM%20Templat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33_08_83133_53000_Mine%20Planning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07%20BOD%20&amp;%20CBM%20JULY%202009/DOCUME~1/bono_b/LOCALS~1/Temp/notesFFF692/DOCUME~1/firman_a/LOCALS~1/Temp/notesE1EF34/2007%20BOD%20CBM%20Jan/DOCUME~1/Bono_b/LOCALS~1/Temp/notesFFF692/Document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HITY~1\AppData\Local\Temp\7zO70FD.tmp\1212_sum_quality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2008%20-%20All\Documents%20and%20Settings\yuliana_t.BANPUINDO\My%20Documents\Budget%202006\3.%20Bontang%20Revision\Macr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BALANCING%20INVENTORY\Coal%20Balancing%20%202013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1.1%20First%20Draft%20TDM%20Coal%20Quality%20(27jul12)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Macro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OPERATION/Report%20P%20E%20R%20F%20O%20R%20M%20A%20N%20C%20E/09%20BOD%20&amp;%20CBM%20SEP%202013/2013%20BOD%20Report%20Act.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form"/>
      <sheetName val="Control Effectiveness"/>
      <sheetName val="Base"/>
      <sheetName val="Base Actual"/>
      <sheetName val="Production Budget 2016"/>
      <sheetName val="FC Quality"/>
      <sheetName val="Control Effectivenes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 refreshError="1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 refreshError="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 refreshError="1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 refreshError="1"/>
      <sheetData sheetId="14" refreshError="1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 refreshError="1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 refreshError="1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 refreshError="1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 refreshError="1">
        <row r="264">
          <cell r="V264">
            <v>-1.45</v>
          </cell>
        </row>
        <row r="265">
          <cell r="V265">
            <v>-1.45</v>
          </cell>
        </row>
      </sheetData>
      <sheetData sheetId="19" refreshError="1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 refreshError="1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 refreshError="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 refreshError="1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 refreshError="1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Base"/>
      <sheetName val="TABLE"/>
      <sheetName val="Housekeeping"/>
      <sheetName val="Summ PRM"/>
      <sheetName val="OVERBURDEN"/>
      <sheetName val="SUBKON"/>
      <sheetName val="MAINTENANCE"/>
      <sheetName val="rate"/>
      <sheetName val="summary"/>
      <sheetName val="Run"/>
      <sheetName val="Data"/>
      <sheetName val="Konversi Jarak"/>
      <sheetName val="ACUM"/>
      <sheetName val="TJ"/>
      <sheetName val="LM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KPTJ001"/>
      <sheetName val="Parameter"/>
      <sheetName val="Blasting_per_block"/>
      <sheetName val="Master "/>
      <sheetName val="Konversi_Jarak"/>
      <sheetName val="Master_Evaluasi"/>
      <sheetName val="Target_Lost_Time"/>
      <sheetName val="MASTER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PS"/>
      <sheetName val="Plant"/>
      <sheetName val="EWH-UA"/>
      <sheetName val="MTD OB Forecasting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COA"/>
      <sheetName val="DRILL&amp;BLAST"/>
      <sheetName val="DOZING"/>
      <sheetName val="PLAN CC"/>
      <sheetName val="PLAN CM"/>
      <sheetName val="PLAN OB"/>
      <sheetName val="Formula"/>
      <sheetName val="CA110_sep10"/>
      <sheetName val="Cost from Acc"/>
      <sheetName val="SUPPORT"/>
      <sheetName val="DOZER"/>
      <sheetName val="EXCA"/>
      <sheetName val="HAULER"/>
      <sheetName val="Update"/>
      <sheetName val="Row Data"/>
      <sheetName val="March_april _2_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March-april (2)"/>
      <sheetName val="Resume Eng"/>
      <sheetName val="Galian 1"/>
      <sheetName val="Cost Parameter"/>
      <sheetName val="TABEL STOCK"/>
      <sheetName val="smu"/>
      <sheetName val="Wheel Grp"/>
    </sheetNames>
    <sheetDataSet>
      <sheetData sheetId="0" refreshError="1">
        <row r="3">
          <cell r="B3">
            <v>38776</v>
          </cell>
          <cell r="C3">
            <v>38777</v>
          </cell>
          <cell r="D3">
            <v>38778</v>
          </cell>
          <cell r="E3">
            <v>38779</v>
          </cell>
          <cell r="F3">
            <v>38780</v>
          </cell>
          <cell r="G3">
            <v>38781</v>
          </cell>
          <cell r="H3">
            <v>38782</v>
          </cell>
          <cell r="I3">
            <v>38783</v>
          </cell>
          <cell r="J3">
            <v>38784</v>
          </cell>
          <cell r="K3">
            <v>38785</v>
          </cell>
          <cell r="L3">
            <v>38786</v>
          </cell>
          <cell r="M3">
            <v>38787</v>
          </cell>
          <cell r="N3">
            <v>38788</v>
          </cell>
          <cell r="O3">
            <v>38789</v>
          </cell>
          <cell r="P3">
            <v>38790</v>
          </cell>
          <cell r="Q3">
            <v>38791</v>
          </cell>
          <cell r="R3">
            <v>38792</v>
          </cell>
          <cell r="S3">
            <v>38793</v>
          </cell>
          <cell r="T3">
            <v>38794</v>
          </cell>
          <cell r="U3">
            <v>38795</v>
          </cell>
          <cell r="V3">
            <v>38796</v>
          </cell>
          <cell r="W3">
            <v>38797</v>
          </cell>
          <cell r="X3">
            <v>38798</v>
          </cell>
          <cell r="Y3">
            <v>38799</v>
          </cell>
          <cell r="Z3">
            <v>38800</v>
          </cell>
          <cell r="AA3">
            <v>38801</v>
          </cell>
          <cell r="AB3">
            <v>38802</v>
          </cell>
          <cell r="AC3">
            <v>38803</v>
          </cell>
          <cell r="AD3">
            <v>38804</v>
          </cell>
          <cell r="AE3">
            <v>38805</v>
          </cell>
          <cell r="AF3">
            <v>38806</v>
          </cell>
          <cell r="AG3">
            <v>38807</v>
          </cell>
          <cell r="AH3" t="str">
            <v>Avg</v>
          </cell>
        </row>
        <row r="4">
          <cell r="B4">
            <v>1658</v>
          </cell>
          <cell r="C4">
            <v>1658</v>
          </cell>
          <cell r="D4">
            <v>1646.47</v>
          </cell>
          <cell r="E4">
            <v>1673</v>
          </cell>
          <cell r="F4">
            <v>1673</v>
          </cell>
          <cell r="G4">
            <v>1673</v>
          </cell>
          <cell r="H4">
            <v>1673</v>
          </cell>
          <cell r="I4">
            <v>1673</v>
          </cell>
          <cell r="J4">
            <v>1450</v>
          </cell>
          <cell r="K4">
            <v>1450</v>
          </cell>
          <cell r="AH4">
            <v>1618.8300000000002</v>
          </cell>
        </row>
        <row r="5">
          <cell r="B5">
            <v>805.77</v>
          </cell>
          <cell r="C5">
            <v>805.77</v>
          </cell>
          <cell r="D5">
            <v>786.21</v>
          </cell>
          <cell r="E5">
            <v>809.45</v>
          </cell>
          <cell r="F5">
            <v>809.45</v>
          </cell>
          <cell r="G5">
            <v>809.45</v>
          </cell>
          <cell r="H5">
            <v>809.45</v>
          </cell>
          <cell r="I5">
            <v>809.45</v>
          </cell>
          <cell r="J5">
            <v>830</v>
          </cell>
          <cell r="K5">
            <v>800</v>
          </cell>
          <cell r="AH5">
            <v>807.6922222222222</v>
          </cell>
        </row>
        <row r="6">
          <cell r="B6">
            <v>834.66</v>
          </cell>
          <cell r="C6">
            <v>834.66</v>
          </cell>
          <cell r="D6">
            <v>754.84</v>
          </cell>
          <cell r="E6">
            <v>891.27</v>
          </cell>
          <cell r="F6">
            <v>891.27</v>
          </cell>
          <cell r="G6">
            <v>891.27</v>
          </cell>
          <cell r="H6">
            <v>891.27</v>
          </cell>
          <cell r="I6">
            <v>891.27</v>
          </cell>
          <cell r="J6">
            <v>875</v>
          </cell>
          <cell r="K6">
            <v>875</v>
          </cell>
          <cell r="AH6">
            <v>866.20555555555563</v>
          </cell>
        </row>
        <row r="7">
          <cell r="B7">
            <v>1047.33</v>
          </cell>
          <cell r="C7">
            <v>1047.33</v>
          </cell>
          <cell r="D7">
            <v>1028.78</v>
          </cell>
          <cell r="E7">
            <v>1067.23</v>
          </cell>
          <cell r="F7">
            <v>1067.23</v>
          </cell>
          <cell r="G7">
            <v>1067.23</v>
          </cell>
          <cell r="H7">
            <v>1067.23</v>
          </cell>
          <cell r="I7">
            <v>1067.23</v>
          </cell>
          <cell r="J7">
            <v>1050</v>
          </cell>
          <cell r="K7">
            <v>1050</v>
          </cell>
          <cell r="AH7">
            <v>1056.9177777777777</v>
          </cell>
        </row>
        <row r="8">
          <cell r="B8">
            <v>836.75</v>
          </cell>
          <cell r="C8">
            <v>836.75</v>
          </cell>
          <cell r="D8">
            <v>727.09</v>
          </cell>
          <cell r="E8">
            <v>781.65</v>
          </cell>
          <cell r="F8">
            <v>781.65</v>
          </cell>
          <cell r="G8">
            <v>781.65</v>
          </cell>
          <cell r="H8">
            <v>781.65</v>
          </cell>
          <cell r="I8">
            <v>781.65</v>
          </cell>
          <cell r="J8">
            <v>800</v>
          </cell>
          <cell r="K8">
            <v>800</v>
          </cell>
          <cell r="AH8">
            <v>785.78777777777782</v>
          </cell>
        </row>
        <row r="9">
          <cell r="B9">
            <v>761</v>
          </cell>
          <cell r="C9">
            <v>761</v>
          </cell>
          <cell r="D9">
            <v>737.45</v>
          </cell>
          <cell r="E9">
            <v>850</v>
          </cell>
          <cell r="F9">
            <v>850</v>
          </cell>
          <cell r="G9">
            <v>850</v>
          </cell>
          <cell r="H9">
            <v>850</v>
          </cell>
          <cell r="I9">
            <v>850</v>
          </cell>
          <cell r="J9">
            <v>750</v>
          </cell>
          <cell r="K9">
            <v>750</v>
          </cell>
          <cell r="AH9">
            <v>805.38333333333333</v>
          </cell>
        </row>
        <row r="10">
          <cell r="B10">
            <v>300</v>
          </cell>
          <cell r="C10">
            <v>300</v>
          </cell>
          <cell r="D10">
            <v>361.51</v>
          </cell>
          <cell r="E10">
            <v>388</v>
          </cell>
          <cell r="F10">
            <v>388</v>
          </cell>
          <cell r="G10">
            <v>388</v>
          </cell>
          <cell r="H10">
            <v>388</v>
          </cell>
          <cell r="I10">
            <v>388</v>
          </cell>
          <cell r="J10">
            <v>450</v>
          </cell>
          <cell r="K10">
            <v>450</v>
          </cell>
          <cell r="AH10">
            <v>389.05666666666667</v>
          </cell>
        </row>
        <row r="11">
          <cell r="B11">
            <v>338.61</v>
          </cell>
          <cell r="C11">
            <v>338.61</v>
          </cell>
          <cell r="D11">
            <v>293.01</v>
          </cell>
          <cell r="E11">
            <v>375.06</v>
          </cell>
          <cell r="F11">
            <v>375.06</v>
          </cell>
          <cell r="G11">
            <v>375.06</v>
          </cell>
          <cell r="H11">
            <v>375.06</v>
          </cell>
          <cell r="I11">
            <v>375.06</v>
          </cell>
          <cell r="J11">
            <v>300</v>
          </cell>
          <cell r="K11">
            <v>300</v>
          </cell>
          <cell r="AH11">
            <v>345.21333333333337</v>
          </cell>
        </row>
        <row r="12">
          <cell r="B12">
            <v>266.74</v>
          </cell>
          <cell r="C12">
            <v>266.74</v>
          </cell>
          <cell r="D12">
            <v>264.95</v>
          </cell>
          <cell r="E12">
            <v>333.31</v>
          </cell>
          <cell r="F12">
            <v>333.31</v>
          </cell>
          <cell r="G12">
            <v>333.31</v>
          </cell>
          <cell r="H12">
            <v>333.31</v>
          </cell>
          <cell r="I12">
            <v>333.31</v>
          </cell>
          <cell r="J12">
            <v>300</v>
          </cell>
          <cell r="K12">
            <v>300</v>
          </cell>
          <cell r="AH12">
            <v>310.91555555555556</v>
          </cell>
        </row>
        <row r="14">
          <cell r="B14">
            <v>420</v>
          </cell>
          <cell r="C14">
            <v>420</v>
          </cell>
          <cell r="D14">
            <v>420</v>
          </cell>
          <cell r="E14">
            <v>420</v>
          </cell>
          <cell r="F14">
            <v>420</v>
          </cell>
          <cell r="G14">
            <v>420</v>
          </cell>
          <cell r="H14">
            <v>420</v>
          </cell>
          <cell r="I14">
            <v>420</v>
          </cell>
          <cell r="J14">
            <v>420</v>
          </cell>
          <cell r="K14">
            <v>420</v>
          </cell>
          <cell r="L14">
            <v>420</v>
          </cell>
          <cell r="M14">
            <v>420</v>
          </cell>
          <cell r="N14">
            <v>420</v>
          </cell>
          <cell r="O14">
            <v>420</v>
          </cell>
          <cell r="P14">
            <v>420</v>
          </cell>
          <cell r="Q14">
            <v>420</v>
          </cell>
          <cell r="R14">
            <v>420</v>
          </cell>
          <cell r="S14">
            <v>420</v>
          </cell>
          <cell r="T14">
            <v>420</v>
          </cell>
          <cell r="U14">
            <v>420</v>
          </cell>
          <cell r="V14">
            <v>420</v>
          </cell>
          <cell r="W14">
            <v>420</v>
          </cell>
          <cell r="X14">
            <v>420</v>
          </cell>
          <cell r="Y14">
            <v>420</v>
          </cell>
          <cell r="Z14">
            <v>420</v>
          </cell>
          <cell r="AA14">
            <v>420</v>
          </cell>
          <cell r="AB14">
            <v>420</v>
          </cell>
          <cell r="AC14">
            <v>420</v>
          </cell>
          <cell r="AD14">
            <v>420</v>
          </cell>
          <cell r="AE14">
            <v>420</v>
          </cell>
          <cell r="AF14">
            <v>420</v>
          </cell>
          <cell r="AG14">
            <v>420</v>
          </cell>
          <cell r="AH14">
            <v>420</v>
          </cell>
        </row>
        <row r="15">
          <cell r="B15">
            <v>210</v>
          </cell>
          <cell r="C15">
            <v>210</v>
          </cell>
          <cell r="D15">
            <v>210</v>
          </cell>
          <cell r="E15">
            <v>210</v>
          </cell>
          <cell r="F15">
            <v>210</v>
          </cell>
          <cell r="G15">
            <v>210</v>
          </cell>
          <cell r="H15">
            <v>210</v>
          </cell>
          <cell r="I15">
            <v>210</v>
          </cell>
          <cell r="J15">
            <v>210</v>
          </cell>
          <cell r="K15">
            <v>210</v>
          </cell>
          <cell r="L15">
            <v>210</v>
          </cell>
          <cell r="M15">
            <v>210</v>
          </cell>
          <cell r="N15">
            <v>210</v>
          </cell>
          <cell r="O15">
            <v>210</v>
          </cell>
          <cell r="P15">
            <v>210</v>
          </cell>
          <cell r="Q15">
            <v>210</v>
          </cell>
          <cell r="R15">
            <v>210</v>
          </cell>
          <cell r="S15">
            <v>210</v>
          </cell>
          <cell r="T15">
            <v>210</v>
          </cell>
          <cell r="U15">
            <v>210</v>
          </cell>
          <cell r="V15">
            <v>210</v>
          </cell>
          <cell r="W15">
            <v>210</v>
          </cell>
          <cell r="X15">
            <v>210</v>
          </cell>
          <cell r="Y15">
            <v>210</v>
          </cell>
          <cell r="Z15">
            <v>210</v>
          </cell>
          <cell r="AA15">
            <v>210</v>
          </cell>
          <cell r="AB15">
            <v>210</v>
          </cell>
          <cell r="AC15">
            <v>210</v>
          </cell>
          <cell r="AD15">
            <v>210</v>
          </cell>
          <cell r="AE15">
            <v>210</v>
          </cell>
          <cell r="AF15">
            <v>210</v>
          </cell>
          <cell r="AG15">
            <v>210</v>
          </cell>
          <cell r="AH15">
            <v>210</v>
          </cell>
        </row>
        <row r="16">
          <cell r="B16">
            <v>210</v>
          </cell>
          <cell r="C16">
            <v>210</v>
          </cell>
          <cell r="D16">
            <v>210</v>
          </cell>
          <cell r="E16">
            <v>210</v>
          </cell>
          <cell r="F16">
            <v>210</v>
          </cell>
          <cell r="G16">
            <v>210</v>
          </cell>
          <cell r="H16">
            <v>210</v>
          </cell>
          <cell r="I16">
            <v>210</v>
          </cell>
          <cell r="J16">
            <v>210</v>
          </cell>
          <cell r="K16">
            <v>210</v>
          </cell>
          <cell r="L16">
            <v>210</v>
          </cell>
          <cell r="M16">
            <v>210</v>
          </cell>
          <cell r="N16">
            <v>210</v>
          </cell>
          <cell r="O16">
            <v>210</v>
          </cell>
          <cell r="P16">
            <v>210</v>
          </cell>
          <cell r="Q16">
            <v>210</v>
          </cell>
          <cell r="R16">
            <v>210</v>
          </cell>
          <cell r="S16">
            <v>210</v>
          </cell>
          <cell r="T16">
            <v>210</v>
          </cell>
          <cell r="U16">
            <v>210</v>
          </cell>
          <cell r="V16">
            <v>210</v>
          </cell>
          <cell r="W16">
            <v>210</v>
          </cell>
          <cell r="X16">
            <v>210</v>
          </cell>
          <cell r="Y16">
            <v>210</v>
          </cell>
          <cell r="Z16">
            <v>210</v>
          </cell>
          <cell r="AA16">
            <v>210</v>
          </cell>
          <cell r="AB16">
            <v>210</v>
          </cell>
          <cell r="AC16">
            <v>210</v>
          </cell>
          <cell r="AD16">
            <v>210</v>
          </cell>
          <cell r="AE16">
            <v>210</v>
          </cell>
          <cell r="AF16">
            <v>210</v>
          </cell>
          <cell r="AG16">
            <v>210</v>
          </cell>
          <cell r="AH16">
            <v>210</v>
          </cell>
        </row>
        <row r="20">
          <cell r="B20">
            <v>38776</v>
          </cell>
          <cell r="C20">
            <v>38777</v>
          </cell>
          <cell r="D20">
            <v>38778</v>
          </cell>
          <cell r="E20">
            <v>38779</v>
          </cell>
          <cell r="F20">
            <v>38780</v>
          </cell>
          <cell r="G20">
            <v>38781</v>
          </cell>
          <cell r="H20">
            <v>38782</v>
          </cell>
          <cell r="I20">
            <v>38783</v>
          </cell>
          <cell r="J20">
            <v>38784</v>
          </cell>
          <cell r="K20">
            <v>38785</v>
          </cell>
          <cell r="L20">
            <v>38786</v>
          </cell>
          <cell r="M20">
            <v>38787</v>
          </cell>
          <cell r="N20">
            <v>38788</v>
          </cell>
          <cell r="O20">
            <v>38789</v>
          </cell>
          <cell r="P20">
            <v>38790</v>
          </cell>
          <cell r="Q20">
            <v>38791</v>
          </cell>
          <cell r="R20">
            <v>38792</v>
          </cell>
          <cell r="S20">
            <v>38793</v>
          </cell>
          <cell r="T20">
            <v>38794</v>
          </cell>
          <cell r="U20">
            <v>38795</v>
          </cell>
          <cell r="V20">
            <v>38796</v>
          </cell>
          <cell r="W20">
            <v>38797</v>
          </cell>
          <cell r="X20">
            <v>38798</v>
          </cell>
          <cell r="Y20">
            <v>38799</v>
          </cell>
          <cell r="Z20">
            <v>38800</v>
          </cell>
          <cell r="AA20">
            <v>38801</v>
          </cell>
          <cell r="AB20">
            <v>38802</v>
          </cell>
          <cell r="AC20">
            <v>38803</v>
          </cell>
          <cell r="AD20">
            <v>38804</v>
          </cell>
          <cell r="AE20">
            <v>38805</v>
          </cell>
          <cell r="AF20">
            <v>38806</v>
          </cell>
          <cell r="AG20">
            <v>38807</v>
          </cell>
          <cell r="AH20" t="str">
            <v>Avg</v>
          </cell>
        </row>
        <row r="21">
          <cell r="B21">
            <v>1619.6</v>
          </cell>
          <cell r="C21">
            <v>1646.47</v>
          </cell>
          <cell r="D21">
            <v>1673</v>
          </cell>
          <cell r="E21">
            <v>1676.11</v>
          </cell>
          <cell r="F21">
            <v>1581.88</v>
          </cell>
          <cell r="G21">
            <v>1641.03</v>
          </cell>
          <cell r="H21">
            <v>1452.33</v>
          </cell>
          <cell r="I21">
            <v>1518</v>
          </cell>
          <cell r="J21">
            <v>1515</v>
          </cell>
          <cell r="K21">
            <v>1514.55</v>
          </cell>
          <cell r="AH21">
            <v>1579.8188888888888</v>
          </cell>
        </row>
        <row r="22">
          <cell r="B22">
            <v>787.25</v>
          </cell>
          <cell r="C22">
            <v>786.21</v>
          </cell>
          <cell r="D22">
            <v>809.45</v>
          </cell>
          <cell r="E22">
            <v>812.33</v>
          </cell>
          <cell r="F22">
            <v>798</v>
          </cell>
          <cell r="G22">
            <v>824.77</v>
          </cell>
          <cell r="H22">
            <v>829.95</v>
          </cell>
          <cell r="I22">
            <v>757</v>
          </cell>
          <cell r="J22">
            <v>789</v>
          </cell>
          <cell r="K22">
            <v>794.86</v>
          </cell>
          <cell r="AH22">
            <v>800.17444444444436</v>
          </cell>
        </row>
        <row r="23">
          <cell r="B23">
            <v>835.14</v>
          </cell>
          <cell r="C23">
            <v>754.84</v>
          </cell>
          <cell r="D23">
            <v>891.27</v>
          </cell>
          <cell r="E23">
            <v>763.69</v>
          </cell>
          <cell r="F23">
            <v>839.32</v>
          </cell>
          <cell r="G23">
            <v>699.53</v>
          </cell>
          <cell r="H23">
            <v>874.78</v>
          </cell>
          <cell r="I23">
            <v>835</v>
          </cell>
          <cell r="J23">
            <v>871</v>
          </cell>
          <cell r="K23">
            <v>907.01</v>
          </cell>
          <cell r="AH23">
            <v>826.27111111111117</v>
          </cell>
        </row>
        <row r="24">
          <cell r="B24">
            <v>1098.1500000000001</v>
          </cell>
          <cell r="C24">
            <v>1028.78</v>
          </cell>
          <cell r="D24">
            <v>1067.23</v>
          </cell>
          <cell r="E24">
            <v>1096.25</v>
          </cell>
          <cell r="F24">
            <v>1032.4100000000001</v>
          </cell>
          <cell r="G24">
            <v>1006.15</v>
          </cell>
          <cell r="H24">
            <v>1060.68</v>
          </cell>
          <cell r="I24">
            <v>1062</v>
          </cell>
          <cell r="J24">
            <v>968</v>
          </cell>
          <cell r="K24">
            <v>1091.6400000000001</v>
          </cell>
          <cell r="AH24">
            <v>1045.9044444444444</v>
          </cell>
        </row>
        <row r="25">
          <cell r="B25">
            <v>798.83</v>
          </cell>
          <cell r="C25">
            <v>727.09</v>
          </cell>
          <cell r="D25">
            <v>781.65</v>
          </cell>
          <cell r="E25">
            <v>803.32</v>
          </cell>
          <cell r="F25">
            <v>736.37</v>
          </cell>
          <cell r="G25">
            <v>752.08</v>
          </cell>
          <cell r="H25">
            <v>796.64</v>
          </cell>
          <cell r="I25">
            <v>869</v>
          </cell>
          <cell r="J25">
            <v>882</v>
          </cell>
          <cell r="K25">
            <v>853.16</v>
          </cell>
          <cell r="AH25">
            <v>800.14555555555546</v>
          </cell>
        </row>
        <row r="26">
          <cell r="B26">
            <v>733.74</v>
          </cell>
          <cell r="C26">
            <v>737.45</v>
          </cell>
          <cell r="D26">
            <v>466</v>
          </cell>
          <cell r="E26">
            <v>684.26</v>
          </cell>
          <cell r="F26">
            <v>729.18</v>
          </cell>
          <cell r="G26">
            <v>791.67</v>
          </cell>
          <cell r="H26">
            <v>762.06</v>
          </cell>
          <cell r="I26">
            <v>830</v>
          </cell>
          <cell r="J26">
            <v>833</v>
          </cell>
          <cell r="K26">
            <v>690.33</v>
          </cell>
          <cell r="AH26">
            <v>724.88333333333333</v>
          </cell>
        </row>
        <row r="27">
          <cell r="B27">
            <v>346.46</v>
          </cell>
          <cell r="C27">
            <v>361.51</v>
          </cell>
          <cell r="D27">
            <v>388</v>
          </cell>
          <cell r="E27">
            <v>439.55</v>
          </cell>
          <cell r="F27">
            <v>467.08</v>
          </cell>
          <cell r="G27">
            <v>419.03</v>
          </cell>
          <cell r="H27">
            <v>444.97</v>
          </cell>
          <cell r="I27">
            <v>384</v>
          </cell>
          <cell r="J27">
            <v>460</v>
          </cell>
          <cell r="K27">
            <v>390.21</v>
          </cell>
          <cell r="AH27">
            <v>417.15000000000003</v>
          </cell>
        </row>
        <row r="28">
          <cell r="B28">
            <v>277.68</v>
          </cell>
          <cell r="C28">
            <v>293.01</v>
          </cell>
          <cell r="D28">
            <v>375.06</v>
          </cell>
          <cell r="E28">
            <v>265.24</v>
          </cell>
          <cell r="F28">
            <v>340.77</v>
          </cell>
          <cell r="G28">
            <v>373.28</v>
          </cell>
          <cell r="H28">
            <v>315.69</v>
          </cell>
          <cell r="I28">
            <v>242</v>
          </cell>
          <cell r="J28">
            <v>430</v>
          </cell>
          <cell r="K28">
            <v>331.44</v>
          </cell>
          <cell r="AH28">
            <v>329.61</v>
          </cell>
        </row>
        <row r="29">
          <cell r="B29">
            <v>299.36</v>
          </cell>
          <cell r="C29">
            <v>264.95</v>
          </cell>
          <cell r="D29">
            <v>333.31</v>
          </cell>
          <cell r="E29">
            <v>338.03</v>
          </cell>
          <cell r="F29">
            <v>302.81</v>
          </cell>
          <cell r="G29">
            <v>300.27999999999997</v>
          </cell>
          <cell r="H29">
            <v>316.88</v>
          </cell>
          <cell r="I29">
            <v>223</v>
          </cell>
          <cell r="J29">
            <v>334</v>
          </cell>
          <cell r="K29">
            <v>365.75</v>
          </cell>
          <cell r="AH29">
            <v>308.77888888888884</v>
          </cell>
        </row>
        <row r="30">
          <cell r="K30">
            <v>598.84</v>
          </cell>
        </row>
        <row r="31">
          <cell r="B31">
            <v>421</v>
          </cell>
          <cell r="C31">
            <v>453</v>
          </cell>
          <cell r="D31">
            <v>419</v>
          </cell>
          <cell r="E31">
            <v>264</v>
          </cell>
          <cell r="F31">
            <v>273</v>
          </cell>
          <cell r="G31">
            <v>273</v>
          </cell>
          <cell r="H31">
            <v>143</v>
          </cell>
          <cell r="I31">
            <v>386</v>
          </cell>
          <cell r="J31">
            <v>366</v>
          </cell>
          <cell r="AH31">
            <v>322.125</v>
          </cell>
        </row>
        <row r="32">
          <cell r="B32">
            <v>197</v>
          </cell>
          <cell r="C32">
            <v>213</v>
          </cell>
          <cell r="D32">
            <v>213</v>
          </cell>
          <cell r="E32">
            <v>107</v>
          </cell>
          <cell r="F32">
            <v>94</v>
          </cell>
          <cell r="G32">
            <v>98</v>
          </cell>
          <cell r="H32">
            <v>84</v>
          </cell>
          <cell r="I32">
            <v>218</v>
          </cell>
          <cell r="J32">
            <v>221</v>
          </cell>
          <cell r="AH32">
            <v>156</v>
          </cell>
        </row>
        <row r="33">
          <cell r="B33">
            <v>210</v>
          </cell>
          <cell r="C33">
            <v>212</v>
          </cell>
          <cell r="D33">
            <v>196</v>
          </cell>
          <cell r="E33">
            <v>112</v>
          </cell>
          <cell r="F33">
            <v>123</v>
          </cell>
          <cell r="G33">
            <v>117</v>
          </cell>
          <cell r="H33">
            <v>84</v>
          </cell>
          <cell r="I33">
            <v>190</v>
          </cell>
          <cell r="J33">
            <v>183</v>
          </cell>
          <cell r="AH33">
            <v>152.125</v>
          </cell>
        </row>
        <row r="37">
          <cell r="B37">
            <v>38776</v>
          </cell>
          <cell r="C37">
            <v>38777</v>
          </cell>
          <cell r="D37">
            <v>38778</v>
          </cell>
          <cell r="E37">
            <v>38779</v>
          </cell>
          <cell r="F37">
            <v>38780</v>
          </cell>
          <cell r="G37">
            <v>38781</v>
          </cell>
          <cell r="H37">
            <v>38782</v>
          </cell>
          <cell r="I37">
            <v>38783</v>
          </cell>
          <cell r="J37">
            <v>38784</v>
          </cell>
          <cell r="K37">
            <v>38785</v>
          </cell>
          <cell r="L37">
            <v>38786</v>
          </cell>
          <cell r="M37">
            <v>38787</v>
          </cell>
          <cell r="N37">
            <v>38788</v>
          </cell>
          <cell r="O37">
            <v>38789</v>
          </cell>
          <cell r="P37">
            <v>38790</v>
          </cell>
          <cell r="Q37">
            <v>38791</v>
          </cell>
          <cell r="R37">
            <v>38792</v>
          </cell>
          <cell r="S37">
            <v>38793</v>
          </cell>
          <cell r="T37">
            <v>38794</v>
          </cell>
          <cell r="U37">
            <v>38795</v>
          </cell>
          <cell r="V37">
            <v>38796</v>
          </cell>
          <cell r="W37">
            <v>38797</v>
          </cell>
          <cell r="X37">
            <v>38798</v>
          </cell>
          <cell r="Y37">
            <v>38799</v>
          </cell>
          <cell r="Z37">
            <v>38800</v>
          </cell>
          <cell r="AA37">
            <v>38801</v>
          </cell>
          <cell r="AB37">
            <v>38802</v>
          </cell>
          <cell r="AC37">
            <v>38803</v>
          </cell>
          <cell r="AD37">
            <v>38804</v>
          </cell>
          <cell r="AE37">
            <v>38805</v>
          </cell>
          <cell r="AF37">
            <v>38806</v>
          </cell>
          <cell r="AG37">
            <v>38807</v>
          </cell>
        </row>
        <row r="38">
          <cell r="B38">
            <v>1.7</v>
          </cell>
          <cell r="C38">
            <v>2.2000000000000002</v>
          </cell>
          <cell r="D38">
            <v>2.1</v>
          </cell>
          <cell r="E38">
            <v>2.1</v>
          </cell>
          <cell r="F38">
            <v>1.8</v>
          </cell>
          <cell r="G38">
            <v>1.8</v>
          </cell>
          <cell r="H38">
            <v>1.8</v>
          </cell>
          <cell r="I38">
            <v>1.8</v>
          </cell>
        </row>
        <row r="39">
          <cell r="B39">
            <v>2.4</v>
          </cell>
          <cell r="C39">
            <v>2.5</v>
          </cell>
          <cell r="D39">
            <v>2.1</v>
          </cell>
          <cell r="E39">
            <v>2.8</v>
          </cell>
          <cell r="F39">
            <v>3</v>
          </cell>
          <cell r="G39">
            <v>3</v>
          </cell>
          <cell r="H39">
            <v>3</v>
          </cell>
          <cell r="I39">
            <v>2.2999999999999998</v>
          </cell>
        </row>
        <row r="40">
          <cell r="B40">
            <v>2.8</v>
          </cell>
          <cell r="C40">
            <v>2.5</v>
          </cell>
          <cell r="D40">
            <v>3</v>
          </cell>
          <cell r="E40">
            <v>2.8</v>
          </cell>
          <cell r="F40">
            <v>2.9</v>
          </cell>
          <cell r="G40">
            <v>2.9</v>
          </cell>
          <cell r="H40">
            <v>2.9</v>
          </cell>
          <cell r="I40">
            <v>2.8</v>
          </cell>
        </row>
        <row r="41">
          <cell r="B41">
            <v>1.5</v>
          </cell>
          <cell r="C41">
            <v>1.8</v>
          </cell>
          <cell r="D41">
            <v>1.7</v>
          </cell>
          <cell r="E41">
            <v>1.8</v>
          </cell>
          <cell r="F41">
            <v>1.8</v>
          </cell>
          <cell r="G41">
            <v>1.8</v>
          </cell>
          <cell r="H41">
            <v>1.8</v>
          </cell>
          <cell r="I41">
            <v>1.5</v>
          </cell>
        </row>
        <row r="42">
          <cell r="B42">
            <v>3.4</v>
          </cell>
          <cell r="C42">
            <v>3.3</v>
          </cell>
          <cell r="D42">
            <v>3.4</v>
          </cell>
          <cell r="E42">
            <v>2.8</v>
          </cell>
          <cell r="F42">
            <v>3.3</v>
          </cell>
          <cell r="G42">
            <v>3.3</v>
          </cell>
          <cell r="H42">
            <v>3.3</v>
          </cell>
          <cell r="I42">
            <v>3.4</v>
          </cell>
        </row>
        <row r="43">
          <cell r="B43">
            <v>2.4</v>
          </cell>
          <cell r="C43">
            <v>2.8</v>
          </cell>
          <cell r="D43">
            <v>2.8</v>
          </cell>
          <cell r="E43">
            <v>2.8</v>
          </cell>
          <cell r="F43">
            <v>2.5</v>
          </cell>
          <cell r="G43">
            <v>2.5</v>
          </cell>
          <cell r="H43">
            <v>2.5</v>
          </cell>
          <cell r="I43">
            <v>2.5</v>
          </cell>
        </row>
        <row r="44">
          <cell r="B44">
            <v>1.8</v>
          </cell>
          <cell r="C44">
            <v>1.5</v>
          </cell>
          <cell r="D44">
            <v>1.8</v>
          </cell>
          <cell r="E44">
            <v>1.7</v>
          </cell>
          <cell r="F44">
            <v>1.4</v>
          </cell>
          <cell r="G44">
            <v>1.4</v>
          </cell>
          <cell r="H44">
            <v>1.4</v>
          </cell>
          <cell r="I44">
            <v>1</v>
          </cell>
        </row>
        <row r="45">
          <cell r="B45">
            <v>2.6</v>
          </cell>
          <cell r="C45">
            <v>2.2999999999999998</v>
          </cell>
          <cell r="D45">
            <v>2.8</v>
          </cell>
          <cell r="E45">
            <v>2.6</v>
          </cell>
          <cell r="F45">
            <v>2.4</v>
          </cell>
          <cell r="G45">
            <v>2.4</v>
          </cell>
          <cell r="H45">
            <v>2.4</v>
          </cell>
          <cell r="I45">
            <v>3.2</v>
          </cell>
        </row>
        <row r="46">
          <cell r="B46">
            <v>2.9</v>
          </cell>
          <cell r="C46">
            <v>3.8</v>
          </cell>
          <cell r="D46">
            <v>3.1</v>
          </cell>
          <cell r="E46">
            <v>3.3</v>
          </cell>
          <cell r="F46">
            <v>3.3</v>
          </cell>
          <cell r="G46">
            <v>3.3</v>
          </cell>
          <cell r="H46">
            <v>3.3</v>
          </cell>
          <cell r="I46">
            <v>2.4</v>
          </cell>
        </row>
        <row r="51">
          <cell r="B51">
            <v>38776</v>
          </cell>
          <cell r="C51">
            <v>38777</v>
          </cell>
          <cell r="D51">
            <v>38778</v>
          </cell>
          <cell r="E51">
            <v>38779</v>
          </cell>
          <cell r="F51">
            <v>38780</v>
          </cell>
          <cell r="G51">
            <v>38781</v>
          </cell>
          <cell r="H51">
            <v>38782</v>
          </cell>
          <cell r="I51">
            <v>38783</v>
          </cell>
          <cell r="J51">
            <v>38784</v>
          </cell>
          <cell r="K51">
            <v>38785</v>
          </cell>
          <cell r="L51">
            <v>38786</v>
          </cell>
          <cell r="M51">
            <v>38787</v>
          </cell>
          <cell r="N51">
            <v>38788</v>
          </cell>
          <cell r="O51">
            <v>38789</v>
          </cell>
          <cell r="P51">
            <v>38790</v>
          </cell>
          <cell r="Q51">
            <v>38791</v>
          </cell>
          <cell r="R51">
            <v>38792</v>
          </cell>
          <cell r="S51">
            <v>38793</v>
          </cell>
          <cell r="T51">
            <v>38794</v>
          </cell>
          <cell r="U51">
            <v>38795</v>
          </cell>
          <cell r="V51">
            <v>38796</v>
          </cell>
          <cell r="W51">
            <v>38797</v>
          </cell>
          <cell r="X51">
            <v>38798</v>
          </cell>
          <cell r="Y51">
            <v>38799</v>
          </cell>
          <cell r="Z51">
            <v>38800</v>
          </cell>
          <cell r="AA51">
            <v>38801</v>
          </cell>
          <cell r="AB51">
            <v>38802</v>
          </cell>
          <cell r="AC51">
            <v>38803</v>
          </cell>
          <cell r="AD51">
            <v>38804</v>
          </cell>
          <cell r="AE51">
            <v>38805</v>
          </cell>
          <cell r="AF51">
            <v>38806</v>
          </cell>
          <cell r="AG51">
            <v>38807</v>
          </cell>
        </row>
        <row r="52">
          <cell r="B52">
            <v>2818.6</v>
          </cell>
          <cell r="C52">
            <v>3647.6000000000004</v>
          </cell>
          <cell r="D52">
            <v>3457.587</v>
          </cell>
          <cell r="E52">
            <v>3513.3</v>
          </cell>
          <cell r="F52">
            <v>3011.4</v>
          </cell>
          <cell r="G52">
            <v>3011.4</v>
          </cell>
          <cell r="H52">
            <v>3011.4</v>
          </cell>
          <cell r="I52">
            <v>3011.4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B53">
            <v>1933.848</v>
          </cell>
          <cell r="C53">
            <v>2014.425</v>
          </cell>
          <cell r="D53">
            <v>1651.0410000000002</v>
          </cell>
          <cell r="E53">
            <v>2266.46</v>
          </cell>
          <cell r="F53">
            <v>2428.3500000000004</v>
          </cell>
          <cell r="G53">
            <v>2428.3500000000004</v>
          </cell>
          <cell r="H53">
            <v>2428.3500000000004</v>
          </cell>
          <cell r="I53">
            <v>1861.7349999999999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B54">
            <v>2337.0479999999998</v>
          </cell>
          <cell r="C54">
            <v>2086.65</v>
          </cell>
          <cell r="D54">
            <v>2264.52</v>
          </cell>
          <cell r="E54">
            <v>2495.5559999999996</v>
          </cell>
          <cell r="F54">
            <v>2584.683</v>
          </cell>
          <cell r="G54">
            <v>2584.683</v>
          </cell>
          <cell r="H54">
            <v>2584.683</v>
          </cell>
          <cell r="I54">
            <v>2495.5559999999996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B55">
            <v>1570.9949999999999</v>
          </cell>
          <cell r="C55">
            <v>1885.194</v>
          </cell>
          <cell r="D55">
            <v>1748.9259999999999</v>
          </cell>
          <cell r="E55">
            <v>1921.0140000000001</v>
          </cell>
          <cell r="F55">
            <v>1921.0140000000001</v>
          </cell>
          <cell r="G55">
            <v>1921.0140000000001</v>
          </cell>
          <cell r="H55">
            <v>1921.0140000000001</v>
          </cell>
          <cell r="I55">
            <v>1600.845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B56">
            <v>2844.95</v>
          </cell>
          <cell r="C56">
            <v>2761.2749999999996</v>
          </cell>
          <cell r="D56">
            <v>2472.1060000000002</v>
          </cell>
          <cell r="E56">
            <v>2188.62</v>
          </cell>
          <cell r="F56">
            <v>2579.4449999999997</v>
          </cell>
          <cell r="G56">
            <v>2579.4449999999997</v>
          </cell>
          <cell r="H56">
            <v>2579.4449999999997</v>
          </cell>
          <cell r="I56">
            <v>2657.6099999999997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B57">
            <v>1826.3999999999999</v>
          </cell>
          <cell r="C57">
            <v>2130.7999999999997</v>
          </cell>
          <cell r="D57">
            <v>2064.86</v>
          </cell>
          <cell r="E57">
            <v>2380</v>
          </cell>
          <cell r="F57">
            <v>2125</v>
          </cell>
          <cell r="G57">
            <v>2125</v>
          </cell>
          <cell r="H57">
            <v>2125</v>
          </cell>
          <cell r="I57">
            <v>2125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B58">
            <v>540</v>
          </cell>
          <cell r="C58">
            <v>450</v>
          </cell>
          <cell r="D58">
            <v>650.71799999999996</v>
          </cell>
          <cell r="E58">
            <v>659.6</v>
          </cell>
          <cell r="F58">
            <v>543.19999999999993</v>
          </cell>
          <cell r="G58">
            <v>543.19999999999993</v>
          </cell>
          <cell r="H58">
            <v>543.19999999999993</v>
          </cell>
          <cell r="I58">
            <v>388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B59">
            <v>880.38600000000008</v>
          </cell>
          <cell r="C59">
            <v>778.803</v>
          </cell>
          <cell r="D59">
            <v>820.42799999999988</v>
          </cell>
          <cell r="E59">
            <v>975.15600000000006</v>
          </cell>
          <cell r="F59">
            <v>900.14400000000001</v>
          </cell>
          <cell r="G59">
            <v>900.14400000000001</v>
          </cell>
          <cell r="H59">
            <v>900.14400000000001</v>
          </cell>
          <cell r="I59">
            <v>1200.192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B60">
            <v>773.54600000000005</v>
          </cell>
          <cell r="C60">
            <v>1013.612</v>
          </cell>
          <cell r="D60">
            <v>821.34500000000003</v>
          </cell>
          <cell r="E60">
            <v>1099.923</v>
          </cell>
          <cell r="F60">
            <v>1099.923</v>
          </cell>
          <cell r="G60">
            <v>1099.923</v>
          </cell>
          <cell r="H60">
            <v>1099.923</v>
          </cell>
          <cell r="I60">
            <v>799.94399999999996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</row>
        <row r="63">
          <cell r="B63">
            <v>1.7</v>
          </cell>
          <cell r="C63">
            <v>2.2000000000000002</v>
          </cell>
          <cell r="D63">
            <v>2.1</v>
          </cell>
          <cell r="E63">
            <v>2.1</v>
          </cell>
          <cell r="F63">
            <v>1.8</v>
          </cell>
          <cell r="G63">
            <v>1.8</v>
          </cell>
          <cell r="H63">
            <v>1.8</v>
          </cell>
          <cell r="I63">
            <v>1.8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B64">
            <v>2.4646946667763747</v>
          </cell>
          <cell r="C64">
            <v>2.4819177701297486</v>
          </cell>
          <cell r="D64">
            <v>2.4679376508984143</v>
          </cell>
          <cell r="E64">
            <v>2.4993379535722333</v>
          </cell>
          <cell r="F64">
            <v>2.6801588911426641</v>
          </cell>
          <cell r="G64">
            <v>2.6801588911426641</v>
          </cell>
          <cell r="H64">
            <v>2.6801588911426641</v>
          </cell>
          <cell r="I64">
            <v>2.4272441965291862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B65">
            <v>2.4</v>
          </cell>
          <cell r="C65">
            <v>2.8</v>
          </cell>
          <cell r="D65">
            <v>2.8</v>
          </cell>
          <cell r="E65">
            <v>2.8</v>
          </cell>
          <cell r="F65">
            <v>2.5</v>
          </cell>
          <cell r="G65">
            <v>2.5</v>
          </cell>
          <cell r="H65">
            <v>2.5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B66">
            <v>1.8</v>
          </cell>
          <cell r="C66">
            <v>1.5</v>
          </cell>
          <cell r="D66">
            <v>1.8</v>
          </cell>
          <cell r="E66">
            <v>1.7</v>
          </cell>
          <cell r="F66">
            <v>1.4</v>
          </cell>
          <cell r="G66">
            <v>1.4</v>
          </cell>
          <cell r="H66">
            <v>1.4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B67">
            <v>2.7321912942925581</v>
          </cell>
          <cell r="C67">
            <v>2.9609564714627901</v>
          </cell>
          <cell r="D67">
            <v>2.942456448490931</v>
          </cell>
          <cell r="E67">
            <v>2.9293716560554515</v>
          </cell>
          <cell r="F67">
            <v>2.823477843499866</v>
          </cell>
          <cell r="G67">
            <v>2.823477843499866</v>
          </cell>
          <cell r="H67">
            <v>2.823477843499866</v>
          </cell>
          <cell r="I67">
            <v>2.8235752502223415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B68">
            <v>2.2669134717310619</v>
          </cell>
          <cell r="C68">
            <v>2.4483430819143628</v>
          </cell>
          <cell r="D68">
            <v>2.4167851206988762</v>
          </cell>
          <cell r="E68">
            <v>2.4410241638617536</v>
          </cell>
          <cell r="F68">
            <v>2.3982746475435102</v>
          </cell>
          <cell r="G68">
            <v>2.3982746475435102</v>
          </cell>
          <cell r="H68">
            <v>2.3982746475435102</v>
          </cell>
          <cell r="I68">
            <v>2.2514087797828695</v>
          </cell>
          <cell r="J68">
            <v>0</v>
          </cell>
          <cell r="K68">
            <v>0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  <cell r="U68" t="e">
            <v>#DIV/0!</v>
          </cell>
          <cell r="V68" t="e">
            <v>#DIV/0!</v>
          </cell>
          <cell r="W68" t="e">
            <v>#DIV/0!</v>
          </cell>
          <cell r="X68" t="e">
            <v>#DIV/0!</v>
          </cell>
          <cell r="Y68" t="e">
            <v>#DIV/0!</v>
          </cell>
          <cell r="Z68" t="e">
            <v>#DIV/0!</v>
          </cell>
          <cell r="AA68" t="e">
            <v>#DIV/0!</v>
          </cell>
          <cell r="AB68" t="e">
            <v>#DIV/0!</v>
          </cell>
          <cell r="AC68" t="e">
            <v>#DIV/0!</v>
          </cell>
          <cell r="AD68" t="e">
            <v>#DIV/0!</v>
          </cell>
          <cell r="AE68" t="e">
            <v>#DIV/0!</v>
          </cell>
          <cell r="AF68" t="e">
            <v>#DIV/0!</v>
          </cell>
          <cell r="AG68" t="e">
            <v>#DIV/0!</v>
          </cell>
        </row>
        <row r="69">
          <cell r="B69">
            <v>0.63235859231368841</v>
          </cell>
          <cell r="C69">
            <v>0.60292665145096636</v>
          </cell>
          <cell r="D69">
            <v>0.60292665145096636</v>
          </cell>
          <cell r="E69">
            <v>0.60292665145096636</v>
          </cell>
          <cell r="F69">
            <v>0.61707549824002628</v>
          </cell>
          <cell r="G69">
            <v>0.61707549824002628</v>
          </cell>
          <cell r="H69">
            <v>0.61707549824002628</v>
          </cell>
          <cell r="I69">
            <v>0.63235859231368841</v>
          </cell>
          <cell r="J69">
            <v>0</v>
          </cell>
          <cell r="K69">
            <v>0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 t="e">
            <v>#DIV/0!</v>
          </cell>
          <cell r="X69" t="e">
            <v>#DIV/0!</v>
          </cell>
          <cell r="Y69" t="e">
            <v>#DIV/0!</v>
          </cell>
          <cell r="Z69" t="e">
            <v>#DIV/0!</v>
          </cell>
          <cell r="AA69" t="e">
            <v>#DIV/0!</v>
          </cell>
          <cell r="AB69" t="e">
            <v>#DIV/0!</v>
          </cell>
          <cell r="AC69" t="e">
            <v>#DIV/0!</v>
          </cell>
          <cell r="AD69" t="e">
            <v>#DIV/0!</v>
          </cell>
          <cell r="AE69" t="e">
            <v>#DIV/0!</v>
          </cell>
          <cell r="AF69" t="e">
            <v>#DIV/0!</v>
          </cell>
          <cell r="AG69" t="e">
            <v>#DIV/0!</v>
          </cell>
        </row>
        <row r="73">
          <cell r="B73">
            <v>38776</v>
          </cell>
          <cell r="C73">
            <v>38777</v>
          </cell>
          <cell r="D73">
            <v>38778</v>
          </cell>
          <cell r="E73">
            <v>38779</v>
          </cell>
          <cell r="F73">
            <v>38780</v>
          </cell>
          <cell r="G73">
            <v>38781</v>
          </cell>
          <cell r="H73">
            <v>38782</v>
          </cell>
          <cell r="I73">
            <v>38783</v>
          </cell>
          <cell r="J73">
            <v>38784</v>
          </cell>
          <cell r="K73">
            <v>38785</v>
          </cell>
          <cell r="L73">
            <v>38786</v>
          </cell>
          <cell r="M73">
            <v>38787</v>
          </cell>
          <cell r="N73">
            <v>38788</v>
          </cell>
          <cell r="O73">
            <v>38789</v>
          </cell>
          <cell r="P73">
            <v>38790</v>
          </cell>
          <cell r="Q73">
            <v>38791</v>
          </cell>
          <cell r="R73">
            <v>38792</v>
          </cell>
          <cell r="S73">
            <v>38793</v>
          </cell>
          <cell r="T73">
            <v>38794</v>
          </cell>
          <cell r="U73">
            <v>38795</v>
          </cell>
          <cell r="V73">
            <v>38796</v>
          </cell>
          <cell r="W73">
            <v>38797</v>
          </cell>
          <cell r="X73">
            <v>38798</v>
          </cell>
          <cell r="Y73">
            <v>38799</v>
          </cell>
          <cell r="Z73">
            <v>38800</v>
          </cell>
          <cell r="AA73">
            <v>38801</v>
          </cell>
          <cell r="AB73">
            <v>38802</v>
          </cell>
          <cell r="AC73">
            <v>38803</v>
          </cell>
          <cell r="AD73">
            <v>38804</v>
          </cell>
          <cell r="AE73">
            <v>38805</v>
          </cell>
          <cell r="AF73">
            <v>38806</v>
          </cell>
          <cell r="AG73">
            <v>38807</v>
          </cell>
          <cell r="AH73" t="str">
            <v>AVG</v>
          </cell>
        </row>
        <row r="74">
          <cell r="B74">
            <v>0.95</v>
          </cell>
          <cell r="C74">
            <v>0.95</v>
          </cell>
          <cell r="D74">
            <v>0.98</v>
          </cell>
          <cell r="E74">
            <v>0.96</v>
          </cell>
          <cell r="F74">
            <v>0.95</v>
          </cell>
          <cell r="G74">
            <v>0.89900000000000002</v>
          </cell>
          <cell r="H74">
            <v>0.9</v>
          </cell>
          <cell r="I74">
            <v>0.9</v>
          </cell>
          <cell r="J74">
            <v>0.95</v>
          </cell>
          <cell r="K74">
            <v>0.95</v>
          </cell>
          <cell r="AH74">
            <v>0.93889999999999996</v>
          </cell>
        </row>
        <row r="75">
          <cell r="B75">
            <v>0.92500000000000004</v>
          </cell>
          <cell r="C75">
            <v>0.92500000000000004</v>
          </cell>
          <cell r="D75">
            <v>0.92</v>
          </cell>
          <cell r="E75">
            <v>0.85</v>
          </cell>
          <cell r="F75">
            <v>0.88</v>
          </cell>
          <cell r="G75">
            <v>0.88</v>
          </cell>
          <cell r="H75">
            <v>0.92</v>
          </cell>
          <cell r="I75">
            <v>0.92</v>
          </cell>
          <cell r="J75">
            <v>0.86</v>
          </cell>
          <cell r="K75">
            <v>0.9</v>
          </cell>
          <cell r="AH75">
            <v>0.89800000000000002</v>
          </cell>
        </row>
        <row r="76">
          <cell r="B76">
            <v>0.95</v>
          </cell>
          <cell r="C76">
            <v>0.95</v>
          </cell>
          <cell r="D76">
            <v>0.75</v>
          </cell>
          <cell r="E76">
            <v>0.97</v>
          </cell>
          <cell r="F76">
            <v>0.95</v>
          </cell>
          <cell r="G76">
            <v>0.749</v>
          </cell>
          <cell r="H76">
            <v>0.9</v>
          </cell>
          <cell r="I76">
            <v>0.9</v>
          </cell>
          <cell r="J76">
            <v>0.95</v>
          </cell>
          <cell r="K76">
            <v>0.95</v>
          </cell>
          <cell r="AH76">
            <v>0.90190000000000003</v>
          </cell>
        </row>
        <row r="77">
          <cell r="B77">
            <v>0.95</v>
          </cell>
          <cell r="C77">
            <v>0.6</v>
          </cell>
          <cell r="D77">
            <v>0.95</v>
          </cell>
          <cell r="E77">
            <v>0.95</v>
          </cell>
          <cell r="F77">
            <v>0.95</v>
          </cell>
          <cell r="G77">
            <v>1</v>
          </cell>
          <cell r="H77">
            <v>1</v>
          </cell>
          <cell r="I77">
            <v>1</v>
          </cell>
          <cell r="J77">
            <v>0.95</v>
          </cell>
          <cell r="K77">
            <v>0.95</v>
          </cell>
          <cell r="AH77">
            <v>0.92999999999999994</v>
          </cell>
        </row>
        <row r="78">
          <cell r="B78">
            <v>0.7</v>
          </cell>
          <cell r="C78">
            <v>0.92500000000000004</v>
          </cell>
          <cell r="D78">
            <v>0.9</v>
          </cell>
          <cell r="E78">
            <v>0.95</v>
          </cell>
          <cell r="F78">
            <v>0.95</v>
          </cell>
          <cell r="G78">
            <v>0.995</v>
          </cell>
          <cell r="H78">
            <v>0.5</v>
          </cell>
          <cell r="I78">
            <v>0.5</v>
          </cell>
          <cell r="J78">
            <v>0.95</v>
          </cell>
          <cell r="K78">
            <v>0.9</v>
          </cell>
          <cell r="AH78">
            <v>0.82699999999999996</v>
          </cell>
        </row>
        <row r="80">
          <cell r="B80">
            <v>0.96</v>
          </cell>
          <cell r="C80">
            <v>0.96</v>
          </cell>
          <cell r="D80">
            <v>0.96</v>
          </cell>
          <cell r="E80">
            <v>0.97</v>
          </cell>
          <cell r="F80">
            <v>0.91</v>
          </cell>
          <cell r="G80">
            <v>0.79600000000000004</v>
          </cell>
          <cell r="H80">
            <v>0.8</v>
          </cell>
          <cell r="I80">
            <v>0.8</v>
          </cell>
          <cell r="J80">
            <v>0.68</v>
          </cell>
          <cell r="K80">
            <v>0.8</v>
          </cell>
          <cell r="AH80">
            <v>0.86359999999999992</v>
          </cell>
        </row>
        <row r="81">
          <cell r="B81">
            <v>0.83340000000000003</v>
          </cell>
          <cell r="C81">
            <v>0.83330000000000004</v>
          </cell>
          <cell r="D81">
            <v>0.84</v>
          </cell>
          <cell r="E81">
            <v>0.86660000000000004</v>
          </cell>
          <cell r="F81">
            <v>0.87</v>
          </cell>
          <cell r="G81">
            <v>0.88200000000000001</v>
          </cell>
          <cell r="H81">
            <v>0.9</v>
          </cell>
          <cell r="I81">
            <v>0.9</v>
          </cell>
          <cell r="J81">
            <v>0.83</v>
          </cell>
          <cell r="K81">
            <v>0.83</v>
          </cell>
          <cell r="AH81">
            <v>0.85853000000000002</v>
          </cell>
        </row>
        <row r="82">
          <cell r="B82">
            <v>0.91180000000000005</v>
          </cell>
          <cell r="C82">
            <v>0.9264</v>
          </cell>
          <cell r="D82">
            <v>0.92</v>
          </cell>
          <cell r="E82">
            <v>0.91169999999999995</v>
          </cell>
          <cell r="F82">
            <v>0.95</v>
          </cell>
          <cell r="G82">
            <v>0.95899999999999996</v>
          </cell>
          <cell r="H82">
            <v>0.92</v>
          </cell>
          <cell r="I82">
            <v>0.92</v>
          </cell>
          <cell r="J82">
            <v>0.92</v>
          </cell>
          <cell r="K82">
            <v>0.91</v>
          </cell>
          <cell r="AH82">
            <v>0.9248900000000001</v>
          </cell>
        </row>
        <row r="86">
          <cell r="B86">
            <v>38776</v>
          </cell>
          <cell r="C86">
            <v>38777</v>
          </cell>
          <cell r="D86">
            <v>38778</v>
          </cell>
          <cell r="E86">
            <v>38779</v>
          </cell>
          <cell r="F86">
            <v>38780</v>
          </cell>
          <cell r="G86">
            <v>38781</v>
          </cell>
          <cell r="H86">
            <v>38782</v>
          </cell>
          <cell r="I86">
            <v>38783</v>
          </cell>
          <cell r="J86">
            <v>38784</v>
          </cell>
          <cell r="K86">
            <v>38785</v>
          </cell>
          <cell r="L86">
            <v>38786</v>
          </cell>
          <cell r="M86">
            <v>38787</v>
          </cell>
          <cell r="N86">
            <v>38788</v>
          </cell>
          <cell r="O86">
            <v>38789</v>
          </cell>
          <cell r="P86">
            <v>38790</v>
          </cell>
          <cell r="Q86">
            <v>38791</v>
          </cell>
          <cell r="R86">
            <v>38792</v>
          </cell>
          <cell r="S86">
            <v>38793</v>
          </cell>
          <cell r="T86">
            <v>38794</v>
          </cell>
          <cell r="U86">
            <v>38795</v>
          </cell>
          <cell r="V86">
            <v>38796</v>
          </cell>
          <cell r="W86">
            <v>38797</v>
          </cell>
          <cell r="X86">
            <v>38798</v>
          </cell>
          <cell r="Y86">
            <v>38799</v>
          </cell>
          <cell r="Z86">
            <v>38800</v>
          </cell>
          <cell r="AA86">
            <v>38801</v>
          </cell>
          <cell r="AB86">
            <v>38802</v>
          </cell>
          <cell r="AC86">
            <v>38803</v>
          </cell>
          <cell r="AD86">
            <v>38804</v>
          </cell>
          <cell r="AE86">
            <v>38805</v>
          </cell>
          <cell r="AF86">
            <v>38806</v>
          </cell>
          <cell r="AG86">
            <v>38807</v>
          </cell>
          <cell r="AH86" t="str">
            <v>AVG</v>
          </cell>
        </row>
        <row r="87">
          <cell r="B87">
            <v>0.97919999999999996</v>
          </cell>
          <cell r="C87">
            <v>1</v>
          </cell>
          <cell r="D87">
            <v>1</v>
          </cell>
          <cell r="E87">
            <v>0.99650000000000005</v>
          </cell>
          <cell r="F87">
            <v>0.89929999999999999</v>
          </cell>
          <cell r="G87">
            <v>0.98960000000000004</v>
          </cell>
          <cell r="H87">
            <v>0.93059999999999998</v>
          </cell>
          <cell r="I87">
            <v>1</v>
          </cell>
          <cell r="J87">
            <v>1</v>
          </cell>
          <cell r="AH87">
            <v>0.97724444444444458</v>
          </cell>
        </row>
        <row r="88">
          <cell r="B88">
            <v>0.99219999999999997</v>
          </cell>
          <cell r="C88">
            <v>0.9627</v>
          </cell>
          <cell r="D88">
            <v>0.95920000000000005</v>
          </cell>
          <cell r="E88">
            <v>0.90969999999999995</v>
          </cell>
          <cell r="F88">
            <v>0.84719999999999995</v>
          </cell>
          <cell r="G88">
            <v>0.80159999999999998</v>
          </cell>
          <cell r="H88">
            <v>0.95309999999999995</v>
          </cell>
          <cell r="I88">
            <v>0.87170000000000003</v>
          </cell>
          <cell r="J88">
            <v>0.87150000000000005</v>
          </cell>
          <cell r="AH88">
            <v>0.90765555555555544</v>
          </cell>
        </row>
        <row r="89">
          <cell r="B89">
            <v>0.94099999999999995</v>
          </cell>
          <cell r="C89">
            <v>0.93400000000000005</v>
          </cell>
          <cell r="D89">
            <v>0.83330000000000004</v>
          </cell>
          <cell r="E89">
            <v>1</v>
          </cell>
          <cell r="F89">
            <v>0.73260000000000003</v>
          </cell>
          <cell r="G89">
            <v>0.99170000000000003</v>
          </cell>
          <cell r="H89">
            <v>0.94789999999999996</v>
          </cell>
          <cell r="I89">
            <v>1</v>
          </cell>
          <cell r="J89">
            <v>0.89929999999999999</v>
          </cell>
          <cell r="AH89">
            <v>0.91997777777777778</v>
          </cell>
        </row>
        <row r="90">
          <cell r="B90">
            <v>1</v>
          </cell>
          <cell r="C90">
            <v>0.59719999999999995</v>
          </cell>
          <cell r="D90">
            <v>0.71179999999999999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0.99309999999999998</v>
          </cell>
          <cell r="J90">
            <v>0.97219999999999995</v>
          </cell>
          <cell r="AH90">
            <v>0.91936666666666667</v>
          </cell>
        </row>
        <row r="91">
          <cell r="B91">
            <v>0.89059999999999995</v>
          </cell>
          <cell r="C91">
            <v>1</v>
          </cell>
          <cell r="D91">
            <v>0.98260000000000003</v>
          </cell>
          <cell r="E91">
            <v>1</v>
          </cell>
          <cell r="F91">
            <v>0.98440000000000005</v>
          </cell>
          <cell r="G91">
            <v>0.98089999999999999</v>
          </cell>
          <cell r="H91">
            <v>0.82640000000000002</v>
          </cell>
          <cell r="I91">
            <v>1</v>
          </cell>
          <cell r="J91">
            <v>1</v>
          </cell>
          <cell r="AH91">
            <v>0.96276666666666677</v>
          </cell>
        </row>
        <row r="93">
          <cell r="B93">
            <v>1</v>
          </cell>
          <cell r="C93">
            <v>0.97289999999999999</v>
          </cell>
          <cell r="D93">
            <v>0.99860000000000004</v>
          </cell>
          <cell r="E93">
            <v>1</v>
          </cell>
          <cell r="F93">
            <v>0.78610000000000002</v>
          </cell>
          <cell r="G93">
            <v>0.76600000000000001</v>
          </cell>
          <cell r="H93">
            <v>0.7</v>
          </cell>
          <cell r="I93">
            <v>0.57720000000000005</v>
          </cell>
          <cell r="J93">
            <v>0.62709999999999999</v>
          </cell>
          <cell r="AH93">
            <v>0.82532222222222229</v>
          </cell>
        </row>
        <row r="94">
          <cell r="B94">
            <v>0.85880000000000001</v>
          </cell>
          <cell r="C94">
            <v>0.82620000000000005</v>
          </cell>
          <cell r="D94">
            <v>0.81830000000000003</v>
          </cell>
          <cell r="E94">
            <v>0.87819999999999998</v>
          </cell>
          <cell r="F94">
            <v>0.87690000000000001</v>
          </cell>
          <cell r="G94">
            <v>0.85829999999999995</v>
          </cell>
          <cell r="H94">
            <v>0.93799999999999994</v>
          </cell>
          <cell r="I94">
            <v>0.88270000000000004</v>
          </cell>
          <cell r="J94">
            <v>0.8861</v>
          </cell>
          <cell r="AH94">
            <v>0.8692777777777777</v>
          </cell>
        </row>
        <row r="95">
          <cell r="B95">
            <v>0.91159999999999997</v>
          </cell>
          <cell r="C95">
            <v>0.85289999999999999</v>
          </cell>
          <cell r="D95">
            <v>0.97760000000000002</v>
          </cell>
          <cell r="E95">
            <v>0.97909999999999997</v>
          </cell>
          <cell r="F95">
            <v>0.97360000000000002</v>
          </cell>
          <cell r="G95">
            <v>0.98380000000000001</v>
          </cell>
          <cell r="H95">
            <v>0.99019999999999997</v>
          </cell>
          <cell r="I95">
            <v>0.95750000000000002</v>
          </cell>
          <cell r="J95">
            <v>0.95940000000000003</v>
          </cell>
          <cell r="AH95">
            <v>0.95396666666666663</v>
          </cell>
        </row>
        <row r="99">
          <cell r="B99">
            <v>38776</v>
          </cell>
          <cell r="C99">
            <v>38777</v>
          </cell>
          <cell r="D99">
            <v>38778</v>
          </cell>
          <cell r="E99">
            <v>38779</v>
          </cell>
          <cell r="F99">
            <v>38780</v>
          </cell>
          <cell r="G99">
            <v>38781</v>
          </cell>
          <cell r="H99">
            <v>38782</v>
          </cell>
          <cell r="I99">
            <v>38783</v>
          </cell>
          <cell r="J99">
            <v>38784</v>
          </cell>
          <cell r="K99">
            <v>38785</v>
          </cell>
          <cell r="L99">
            <v>38786</v>
          </cell>
          <cell r="M99">
            <v>38787</v>
          </cell>
          <cell r="N99">
            <v>38788</v>
          </cell>
          <cell r="O99">
            <v>38789</v>
          </cell>
          <cell r="P99">
            <v>38790</v>
          </cell>
          <cell r="Q99">
            <v>38791</v>
          </cell>
          <cell r="R99">
            <v>38792</v>
          </cell>
          <cell r="S99">
            <v>38793</v>
          </cell>
          <cell r="T99">
            <v>38794</v>
          </cell>
          <cell r="U99">
            <v>38795</v>
          </cell>
          <cell r="V99">
            <v>38796</v>
          </cell>
          <cell r="W99">
            <v>38797</v>
          </cell>
          <cell r="X99">
            <v>38798</v>
          </cell>
          <cell r="Y99">
            <v>38799</v>
          </cell>
          <cell r="Z99">
            <v>38800</v>
          </cell>
          <cell r="AA99">
            <v>38801</v>
          </cell>
          <cell r="AB99">
            <v>38802</v>
          </cell>
          <cell r="AC99">
            <v>38803</v>
          </cell>
          <cell r="AD99">
            <v>38804</v>
          </cell>
          <cell r="AE99">
            <v>38805</v>
          </cell>
          <cell r="AF99">
            <v>38806</v>
          </cell>
          <cell r="AG99">
            <v>38807</v>
          </cell>
        </row>
        <row r="100">
          <cell r="B100">
            <v>0.69069852049478531</v>
          </cell>
          <cell r="C100">
            <v>0.89160401002506262</v>
          </cell>
          <cell r="D100">
            <v>0.89492225461613217</v>
          </cell>
          <cell r="E100">
            <v>0.69392041090629797</v>
          </cell>
          <cell r="F100">
            <v>0.89160401002506262</v>
          </cell>
          <cell r="G100">
            <v>0.88545473806875363</v>
          </cell>
          <cell r="H100">
            <v>0.88558201058201058</v>
          </cell>
          <cell r="I100">
            <v>0.88558201058201058</v>
          </cell>
          <cell r="J100">
            <v>0.89160401002506262</v>
          </cell>
          <cell r="K100">
            <v>0.89160401002506262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</row>
        <row r="101">
          <cell r="B101">
            <v>0.66303400174367921</v>
          </cell>
          <cell r="C101">
            <v>0.86936936936936948</v>
          </cell>
          <cell r="D101">
            <v>0.8686594202898551</v>
          </cell>
          <cell r="E101">
            <v>0.63330170777988615</v>
          </cell>
          <cell r="F101">
            <v>0.86268939393939403</v>
          </cell>
          <cell r="G101">
            <v>0.86268939393939403</v>
          </cell>
          <cell r="H101">
            <v>0.8686594202898551</v>
          </cell>
          <cell r="I101">
            <v>0.8686594202898551</v>
          </cell>
          <cell r="J101">
            <v>0.85949612403100784</v>
          </cell>
          <cell r="K101">
            <v>0.86574074074074081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B102">
            <v>0.67190152801358227</v>
          </cell>
          <cell r="C102">
            <v>0.8728070175438597</v>
          </cell>
          <cell r="D102">
            <v>0.83888888888888891</v>
          </cell>
          <cell r="E102">
            <v>0.67866644496175588</v>
          </cell>
          <cell r="F102">
            <v>0.8728070175438597</v>
          </cell>
          <cell r="G102">
            <v>0.8386737872719181</v>
          </cell>
          <cell r="H102">
            <v>0.86574074074074081</v>
          </cell>
          <cell r="I102">
            <v>0.86574074074074081</v>
          </cell>
          <cell r="J102">
            <v>0.8728070175438597</v>
          </cell>
          <cell r="K102">
            <v>0.8728070175438597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B103">
            <v>0.65310453553237924</v>
          </cell>
          <cell r="C103">
            <v>0.76884920634920628</v>
          </cell>
          <cell r="D103">
            <v>0.85401002506265655</v>
          </cell>
          <cell r="E103">
            <v>0.65310453553237924</v>
          </cell>
          <cell r="F103">
            <v>0.85401002506265655</v>
          </cell>
          <cell r="G103">
            <v>0.86130952380952375</v>
          </cell>
          <cell r="H103">
            <v>0.86130952380952375</v>
          </cell>
          <cell r="I103">
            <v>0.86130952380952375</v>
          </cell>
          <cell r="J103">
            <v>0.85401002506265655</v>
          </cell>
          <cell r="K103">
            <v>0.85401002506265655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4">
          <cell r="B104">
            <v>0.52921329822251473</v>
          </cell>
          <cell r="C104">
            <v>0.8500643500643501</v>
          </cell>
          <cell r="D104">
            <v>0.84589947089947093</v>
          </cell>
          <cell r="E104">
            <v>0.65310453553237924</v>
          </cell>
          <cell r="F104">
            <v>0.85401002506265655</v>
          </cell>
          <cell r="G104">
            <v>0.86061258674323993</v>
          </cell>
          <cell r="H104">
            <v>0.72261904761904761</v>
          </cell>
          <cell r="I104">
            <v>0.72261904761904761</v>
          </cell>
          <cell r="J104">
            <v>0.85401002506265655</v>
          </cell>
          <cell r="K104">
            <v>0.84589947089947093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6">
          <cell r="B106">
            <v>0.64328383683222401</v>
          </cell>
          <cell r="C106">
            <v>0.84209656084656082</v>
          </cell>
          <cell r="D106">
            <v>0.84209656084656082</v>
          </cell>
          <cell r="E106">
            <v>0.64696132305044851</v>
          </cell>
          <cell r="F106">
            <v>0.83342054770626195</v>
          </cell>
          <cell r="G106">
            <v>0.80956369147323914</v>
          </cell>
          <cell r="H106">
            <v>0.81051587301587302</v>
          </cell>
          <cell r="I106">
            <v>0.81051587301587302</v>
          </cell>
          <cell r="J106">
            <v>0.77707749766573286</v>
          </cell>
          <cell r="K106">
            <v>0.81051587301587302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B107">
            <v>0.55969344265054799</v>
          </cell>
          <cell r="C107">
            <v>0.78868202347141503</v>
          </cell>
          <cell r="D107">
            <v>0.79036753590325015</v>
          </cell>
          <cell r="E107">
            <v>0.57656186834175716</v>
          </cell>
          <cell r="F107">
            <v>0.79759624156175879</v>
          </cell>
          <cell r="G107">
            <v>0.80035003419357165</v>
          </cell>
          <cell r="H107">
            <v>0.80434303350970027</v>
          </cell>
          <cell r="I107">
            <v>0.80434303350970027</v>
          </cell>
          <cell r="J107">
            <v>0.78784184356473508</v>
          </cell>
          <cell r="K107">
            <v>0.78784184356473508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B108">
            <v>0.59755265968958848</v>
          </cell>
          <cell r="C108">
            <v>0.80991875017134085</v>
          </cell>
          <cell r="D108">
            <v>0.8085964458247068</v>
          </cell>
          <cell r="E108">
            <v>0.59750851717118214</v>
          </cell>
          <cell r="F108">
            <v>0.81464076858813705</v>
          </cell>
          <cell r="G108">
            <v>0.81638032341890532</v>
          </cell>
          <cell r="H108">
            <v>0.8085964458247068</v>
          </cell>
          <cell r="I108">
            <v>0.8085964458247068</v>
          </cell>
          <cell r="J108">
            <v>0.8085964458247068</v>
          </cell>
          <cell r="K108">
            <v>0.80649311006453872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</row>
        <row r="112">
          <cell r="B112">
            <v>38776</v>
          </cell>
          <cell r="C112">
            <v>38777</v>
          </cell>
          <cell r="D112">
            <v>38778</v>
          </cell>
          <cell r="E112">
            <v>38779</v>
          </cell>
          <cell r="F112">
            <v>38780</v>
          </cell>
          <cell r="G112">
            <v>38781</v>
          </cell>
          <cell r="H112">
            <v>38782</v>
          </cell>
          <cell r="I112">
            <v>38783</v>
          </cell>
          <cell r="J112">
            <v>38784</v>
          </cell>
          <cell r="K112">
            <v>38785</v>
          </cell>
          <cell r="L112">
            <v>38786</v>
          </cell>
          <cell r="M112">
            <v>38787</v>
          </cell>
          <cell r="N112">
            <v>38788</v>
          </cell>
          <cell r="O112">
            <v>38789</v>
          </cell>
          <cell r="P112">
            <v>38790</v>
          </cell>
          <cell r="Q112">
            <v>38791</v>
          </cell>
          <cell r="R112">
            <v>38792</v>
          </cell>
          <cell r="S112">
            <v>38793</v>
          </cell>
          <cell r="T112">
            <v>38794</v>
          </cell>
          <cell r="U112">
            <v>38795</v>
          </cell>
          <cell r="V112">
            <v>38796</v>
          </cell>
          <cell r="W112">
            <v>38797</v>
          </cell>
          <cell r="X112">
            <v>38798</v>
          </cell>
          <cell r="Y112">
            <v>38799</v>
          </cell>
          <cell r="Z112">
            <v>38800</v>
          </cell>
          <cell r="AA112">
            <v>38801</v>
          </cell>
          <cell r="AB112">
            <v>38802</v>
          </cell>
          <cell r="AC112">
            <v>38803</v>
          </cell>
          <cell r="AD112">
            <v>38804</v>
          </cell>
          <cell r="AE112">
            <v>38805</v>
          </cell>
          <cell r="AF112">
            <v>38806</v>
          </cell>
          <cell r="AG112">
            <v>38807</v>
          </cell>
          <cell r="AH112" t="str">
            <v>AVG</v>
          </cell>
        </row>
        <row r="113">
          <cell r="B113">
            <v>0.84960000000000002</v>
          </cell>
          <cell r="C113">
            <v>0.90969999999999995</v>
          </cell>
          <cell r="D113">
            <v>0.7903</v>
          </cell>
          <cell r="E113">
            <v>0.64459999999999995</v>
          </cell>
          <cell r="F113">
            <v>0.87260000000000004</v>
          </cell>
          <cell r="G113">
            <v>0.78879999999999995</v>
          </cell>
          <cell r="H113">
            <v>0.54479999999999995</v>
          </cell>
          <cell r="I113">
            <v>0.86880000000000002</v>
          </cell>
          <cell r="J113">
            <v>0.52780000000000005</v>
          </cell>
          <cell r="AH113">
            <v>0.75522222222222224</v>
          </cell>
        </row>
        <row r="114">
          <cell r="B114">
            <v>0.75470000000000004</v>
          </cell>
          <cell r="C114">
            <v>0.88939999999999997</v>
          </cell>
          <cell r="D114">
            <v>0.747</v>
          </cell>
          <cell r="E114">
            <v>0.69289999999999996</v>
          </cell>
          <cell r="F114">
            <v>0.83399999999999996</v>
          </cell>
          <cell r="G114">
            <v>0.75660000000000005</v>
          </cell>
          <cell r="H114">
            <v>0.53210000000000002</v>
          </cell>
          <cell r="I114">
            <v>0.82550000000000001</v>
          </cell>
          <cell r="J114">
            <v>0.53149999999999997</v>
          </cell>
          <cell r="AH114">
            <v>0.72929999999999995</v>
          </cell>
        </row>
        <row r="115">
          <cell r="B115">
            <v>0.74760000000000004</v>
          </cell>
          <cell r="C115">
            <v>0.87960000000000005</v>
          </cell>
          <cell r="D115">
            <v>0.72919999999999996</v>
          </cell>
          <cell r="E115">
            <v>0.60629999999999995</v>
          </cell>
          <cell r="F115">
            <v>0.81799999999999995</v>
          </cell>
          <cell r="G115">
            <v>0.75629999999999997</v>
          </cell>
          <cell r="H115">
            <v>0.54139999999999999</v>
          </cell>
          <cell r="I115">
            <v>0.83889999999999998</v>
          </cell>
          <cell r="J115">
            <v>0.5514</v>
          </cell>
          <cell r="AH115">
            <v>0.71874444444444452</v>
          </cell>
        </row>
        <row r="116">
          <cell r="B116">
            <v>0.90490000000000004</v>
          </cell>
          <cell r="C116">
            <v>0.64529999999999998</v>
          </cell>
          <cell r="D116">
            <v>0.81459999999999999</v>
          </cell>
          <cell r="E116">
            <v>0.67359999999999998</v>
          </cell>
          <cell r="F116">
            <v>0.85760000000000003</v>
          </cell>
          <cell r="G116">
            <v>0.77080000000000004</v>
          </cell>
          <cell r="H116">
            <v>0.43059999999999998</v>
          </cell>
          <cell r="I116">
            <v>0.83430000000000004</v>
          </cell>
          <cell r="J116">
            <v>0.57779999999999998</v>
          </cell>
          <cell r="AH116">
            <v>0.7232777777777778</v>
          </cell>
        </row>
        <row r="117">
          <cell r="B117">
            <v>0.85960000000000003</v>
          </cell>
          <cell r="C117">
            <v>0.88649999999999995</v>
          </cell>
          <cell r="D117">
            <v>0.80210000000000004</v>
          </cell>
          <cell r="E117">
            <v>0.75349999999999995</v>
          </cell>
          <cell r="F117">
            <v>0.81020000000000003</v>
          </cell>
          <cell r="G117">
            <v>0.84279999999999999</v>
          </cell>
          <cell r="H117">
            <v>0.47899999999999998</v>
          </cell>
          <cell r="I117">
            <v>0.83679999999999999</v>
          </cell>
          <cell r="J117">
            <v>0.51700000000000002</v>
          </cell>
          <cell r="AH117">
            <v>0.75416666666666687</v>
          </cell>
        </row>
        <row r="119">
          <cell r="B119">
            <v>0.87</v>
          </cell>
          <cell r="C119">
            <v>0.87280000000000002</v>
          </cell>
          <cell r="D119">
            <v>0.83279999999999998</v>
          </cell>
          <cell r="E119">
            <v>0.74080000000000001</v>
          </cell>
          <cell r="F119">
            <v>0.8226</v>
          </cell>
          <cell r="G119">
            <v>0.78979999999999995</v>
          </cell>
          <cell r="H119">
            <v>0.78979999999999995</v>
          </cell>
          <cell r="I119">
            <v>0.89080000000000004</v>
          </cell>
          <cell r="J119">
            <v>0.52229999999999999</v>
          </cell>
          <cell r="AH119">
            <v>0.79241111111111096</v>
          </cell>
        </row>
        <row r="120">
          <cell r="B120">
            <v>0.71160000000000001</v>
          </cell>
          <cell r="C120">
            <v>0.80530000000000002</v>
          </cell>
          <cell r="D120">
            <v>0.72309999999999997</v>
          </cell>
          <cell r="E120">
            <v>0.61680000000000001</v>
          </cell>
          <cell r="F120">
            <v>0.68430000000000002</v>
          </cell>
          <cell r="G120">
            <v>0.68930000000000002</v>
          </cell>
          <cell r="H120">
            <v>0.68930000000000002</v>
          </cell>
          <cell r="I120">
            <v>0.79610000000000003</v>
          </cell>
          <cell r="J120">
            <v>0.52349999999999997</v>
          </cell>
          <cell r="AH120">
            <v>0.69325555555555562</v>
          </cell>
        </row>
        <row r="121">
          <cell r="B121">
            <v>0.7621</v>
          </cell>
          <cell r="C121">
            <v>0.86099999999999999</v>
          </cell>
          <cell r="D121">
            <v>0.7177</v>
          </cell>
          <cell r="E121">
            <v>0.64129999999999998</v>
          </cell>
          <cell r="F121">
            <v>0.82299999999999995</v>
          </cell>
          <cell r="G121">
            <v>0.7823</v>
          </cell>
          <cell r="H121">
            <v>0.7823</v>
          </cell>
          <cell r="I121">
            <v>0.81130000000000002</v>
          </cell>
          <cell r="J121">
            <v>0.55130000000000001</v>
          </cell>
          <cell r="AH121">
            <v>0.74803333333333333</v>
          </cell>
        </row>
        <row r="125">
          <cell r="B125">
            <v>38776</v>
          </cell>
          <cell r="C125">
            <v>38777</v>
          </cell>
          <cell r="D125">
            <v>38778</v>
          </cell>
          <cell r="E125">
            <v>38779</v>
          </cell>
          <cell r="F125">
            <v>38780</v>
          </cell>
          <cell r="G125">
            <v>38781</v>
          </cell>
          <cell r="H125">
            <v>38782</v>
          </cell>
          <cell r="I125">
            <v>38783</v>
          </cell>
          <cell r="J125">
            <v>38784</v>
          </cell>
          <cell r="K125">
            <v>38785</v>
          </cell>
          <cell r="L125">
            <v>38786</v>
          </cell>
          <cell r="M125">
            <v>38787</v>
          </cell>
          <cell r="N125">
            <v>38788</v>
          </cell>
          <cell r="O125">
            <v>38789</v>
          </cell>
          <cell r="P125">
            <v>38790</v>
          </cell>
          <cell r="Q125">
            <v>38791</v>
          </cell>
          <cell r="R125">
            <v>38792</v>
          </cell>
          <cell r="S125">
            <v>38793</v>
          </cell>
          <cell r="T125">
            <v>38794</v>
          </cell>
          <cell r="U125">
            <v>38795</v>
          </cell>
          <cell r="V125">
            <v>38796</v>
          </cell>
          <cell r="W125">
            <v>38797</v>
          </cell>
          <cell r="X125">
            <v>38798</v>
          </cell>
          <cell r="Y125">
            <v>38799</v>
          </cell>
          <cell r="Z125">
            <v>38800</v>
          </cell>
          <cell r="AA125">
            <v>38801</v>
          </cell>
          <cell r="AB125">
            <v>38802</v>
          </cell>
          <cell r="AC125">
            <v>38803</v>
          </cell>
          <cell r="AD125">
            <v>38804</v>
          </cell>
          <cell r="AE125">
            <v>38805</v>
          </cell>
          <cell r="AF125">
            <v>38806</v>
          </cell>
          <cell r="AG125">
            <v>38807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B127">
            <v>4</v>
          </cell>
          <cell r="C127">
            <v>4</v>
          </cell>
          <cell r="D127">
            <v>4</v>
          </cell>
          <cell r="E127">
            <v>4</v>
          </cell>
          <cell r="F127">
            <v>4</v>
          </cell>
          <cell r="G127">
            <v>4</v>
          </cell>
          <cell r="H127">
            <v>4</v>
          </cell>
          <cell r="I127">
            <v>4</v>
          </cell>
          <cell r="J127">
            <v>4</v>
          </cell>
          <cell r="K127">
            <v>4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B128">
            <v>1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B130">
            <v>2</v>
          </cell>
          <cell r="C130">
            <v>2</v>
          </cell>
          <cell r="D130">
            <v>2</v>
          </cell>
          <cell r="E130">
            <v>2</v>
          </cell>
          <cell r="F130">
            <v>2</v>
          </cell>
          <cell r="G130">
            <v>2</v>
          </cell>
          <cell r="H130">
            <v>1</v>
          </cell>
          <cell r="I130">
            <v>1</v>
          </cell>
          <cell r="J130">
            <v>2</v>
          </cell>
          <cell r="K130">
            <v>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</row>
        <row r="132">
          <cell r="B132">
            <v>5</v>
          </cell>
          <cell r="C132">
            <v>5</v>
          </cell>
          <cell r="D132">
            <v>5</v>
          </cell>
          <cell r="E132">
            <v>5</v>
          </cell>
          <cell r="F132">
            <v>5</v>
          </cell>
          <cell r="G132">
            <v>4</v>
          </cell>
          <cell r="H132">
            <v>4</v>
          </cell>
          <cell r="I132">
            <v>4</v>
          </cell>
          <cell r="J132">
            <v>4</v>
          </cell>
          <cell r="K132">
            <v>4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B133">
            <v>13</v>
          </cell>
          <cell r="C133">
            <v>13</v>
          </cell>
          <cell r="D133">
            <v>13</v>
          </cell>
          <cell r="E133">
            <v>13</v>
          </cell>
          <cell r="F133">
            <v>14</v>
          </cell>
          <cell r="G133">
            <v>14</v>
          </cell>
          <cell r="H133">
            <v>14</v>
          </cell>
          <cell r="I133">
            <v>14</v>
          </cell>
          <cell r="J133">
            <v>13</v>
          </cell>
          <cell r="K133">
            <v>13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B134">
            <v>32</v>
          </cell>
          <cell r="C134">
            <v>32</v>
          </cell>
          <cell r="D134">
            <v>32</v>
          </cell>
          <cell r="E134">
            <v>31</v>
          </cell>
          <cell r="F134">
            <v>33</v>
          </cell>
          <cell r="G134">
            <v>33</v>
          </cell>
          <cell r="H134">
            <v>32</v>
          </cell>
          <cell r="I134">
            <v>32</v>
          </cell>
          <cell r="J134">
            <v>32</v>
          </cell>
          <cell r="K134">
            <v>31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B135">
            <v>50</v>
          </cell>
          <cell r="C135">
            <v>50</v>
          </cell>
          <cell r="D135">
            <v>50</v>
          </cell>
          <cell r="E135">
            <v>49</v>
          </cell>
          <cell r="F135">
            <v>52</v>
          </cell>
          <cell r="G135">
            <v>51</v>
          </cell>
          <cell r="H135">
            <v>50</v>
          </cell>
          <cell r="I135">
            <v>50</v>
          </cell>
          <cell r="J135">
            <v>49</v>
          </cell>
          <cell r="K135">
            <v>48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</row>
        <row r="139">
          <cell r="B139">
            <v>38776</v>
          </cell>
          <cell r="C139">
            <v>38777</v>
          </cell>
          <cell r="D139">
            <v>38778</v>
          </cell>
          <cell r="E139">
            <v>38779</v>
          </cell>
          <cell r="F139">
            <v>38780</v>
          </cell>
          <cell r="G139">
            <v>38781</v>
          </cell>
          <cell r="H139">
            <v>38782</v>
          </cell>
          <cell r="I139">
            <v>38783</v>
          </cell>
          <cell r="J139">
            <v>38784</v>
          </cell>
          <cell r="K139">
            <v>38785</v>
          </cell>
          <cell r="L139">
            <v>38786</v>
          </cell>
          <cell r="M139">
            <v>38787</v>
          </cell>
          <cell r="N139">
            <v>38788</v>
          </cell>
          <cell r="O139">
            <v>38789</v>
          </cell>
          <cell r="P139">
            <v>38790</v>
          </cell>
          <cell r="Q139">
            <v>38791</v>
          </cell>
          <cell r="R139">
            <v>38792</v>
          </cell>
          <cell r="S139">
            <v>38793</v>
          </cell>
          <cell r="T139">
            <v>38794</v>
          </cell>
          <cell r="U139">
            <v>38795</v>
          </cell>
          <cell r="V139">
            <v>38796</v>
          </cell>
          <cell r="W139">
            <v>38797</v>
          </cell>
          <cell r="X139">
            <v>38798</v>
          </cell>
          <cell r="Y139">
            <v>38799</v>
          </cell>
          <cell r="Z139">
            <v>38800</v>
          </cell>
          <cell r="AA139">
            <v>38801</v>
          </cell>
          <cell r="AB139">
            <v>38802</v>
          </cell>
          <cell r="AC139">
            <v>38803</v>
          </cell>
          <cell r="AD139">
            <v>38804</v>
          </cell>
          <cell r="AE139">
            <v>38805</v>
          </cell>
          <cell r="AF139">
            <v>38806</v>
          </cell>
          <cell r="AG139">
            <v>38807</v>
          </cell>
        </row>
        <row r="140">
          <cell r="B140">
            <v>185.80645161290323</v>
          </cell>
          <cell r="E140">
            <v>185.80645161290323</v>
          </cell>
        </row>
        <row r="141">
          <cell r="B141">
            <v>89.032258064516128</v>
          </cell>
          <cell r="E141">
            <v>89.032258064516128</v>
          </cell>
        </row>
        <row r="149">
          <cell r="B149">
            <v>38776</v>
          </cell>
          <cell r="C149">
            <v>38777</v>
          </cell>
          <cell r="D149">
            <v>38778</v>
          </cell>
          <cell r="E149">
            <v>38779</v>
          </cell>
          <cell r="F149">
            <v>38780</v>
          </cell>
          <cell r="G149">
            <v>38781</v>
          </cell>
          <cell r="H149">
            <v>38782</v>
          </cell>
          <cell r="I149">
            <v>38783</v>
          </cell>
          <cell r="J149">
            <v>38784</v>
          </cell>
          <cell r="K149">
            <v>38785</v>
          </cell>
          <cell r="L149">
            <v>38786</v>
          </cell>
          <cell r="M149">
            <v>38787</v>
          </cell>
          <cell r="N149">
            <v>38788</v>
          </cell>
          <cell r="O149">
            <v>38789</v>
          </cell>
          <cell r="P149">
            <v>38790</v>
          </cell>
          <cell r="Q149">
            <v>38791</v>
          </cell>
          <cell r="R149">
            <v>38792</v>
          </cell>
          <cell r="S149">
            <v>38793</v>
          </cell>
          <cell r="T149">
            <v>38794</v>
          </cell>
          <cell r="U149">
            <v>38795</v>
          </cell>
          <cell r="V149">
            <v>38796</v>
          </cell>
          <cell r="W149">
            <v>38797</v>
          </cell>
          <cell r="X149">
            <v>38798</v>
          </cell>
          <cell r="Y149">
            <v>38799</v>
          </cell>
          <cell r="Z149">
            <v>38800</v>
          </cell>
          <cell r="AA149">
            <v>38801</v>
          </cell>
          <cell r="AB149">
            <v>38802</v>
          </cell>
          <cell r="AC149">
            <v>38803</v>
          </cell>
          <cell r="AD149">
            <v>38804</v>
          </cell>
          <cell r="AE149">
            <v>38805</v>
          </cell>
          <cell r="AF149">
            <v>38806</v>
          </cell>
          <cell r="AG149">
            <v>38807</v>
          </cell>
        </row>
        <row r="150">
          <cell r="B150">
            <v>101021.43163275535</v>
          </cell>
          <cell r="C150">
            <v>132042.07258157295</v>
          </cell>
          <cell r="D150">
            <v>131686.23491871305</v>
          </cell>
          <cell r="E150">
            <v>98126.420116878187</v>
          </cell>
          <cell r="F150">
            <v>137793.26729474697</v>
          </cell>
          <cell r="G150">
            <v>131750.96274806035</v>
          </cell>
          <cell r="H150">
            <v>128566.26078466355</v>
          </cell>
          <cell r="I150">
            <v>131750.45828379469</v>
          </cell>
          <cell r="J150">
            <v>131750.45828379469</v>
          </cell>
          <cell r="K150">
            <v>0</v>
          </cell>
          <cell r="L150" t="e">
            <v>#DIV/0!</v>
          </cell>
          <cell r="M150" t="e">
            <v>#DIV/0!</v>
          </cell>
          <cell r="N150" t="e">
            <v>#DIV/0!</v>
          </cell>
          <cell r="O150" t="e">
            <v>#DIV/0!</v>
          </cell>
          <cell r="P150" t="e">
            <v>#DIV/0!</v>
          </cell>
          <cell r="Q150" t="e">
            <v>#DIV/0!</v>
          </cell>
          <cell r="R150" t="e">
            <v>#DIV/0!</v>
          </cell>
          <cell r="S150" t="e">
            <v>#DIV/0!</v>
          </cell>
          <cell r="T150" t="e">
            <v>#DIV/0!</v>
          </cell>
          <cell r="U150" t="e">
            <v>#DIV/0!</v>
          </cell>
          <cell r="V150" t="e">
            <v>#DIV/0!</v>
          </cell>
          <cell r="W150" t="e">
            <v>#DIV/0!</v>
          </cell>
          <cell r="X150" t="e">
            <v>#DIV/0!</v>
          </cell>
          <cell r="Y150" t="e">
            <v>#DIV/0!</v>
          </cell>
          <cell r="Z150" t="e">
            <v>#DIV/0!</v>
          </cell>
          <cell r="AA150" t="e">
            <v>#DIV/0!</v>
          </cell>
          <cell r="AB150" t="e">
            <v>#DIV/0!</v>
          </cell>
          <cell r="AC150" t="e">
            <v>#DIV/0!</v>
          </cell>
          <cell r="AD150" t="e">
            <v>#DIV/0!</v>
          </cell>
          <cell r="AE150" t="e">
            <v>#DIV/0!</v>
          </cell>
          <cell r="AF150" t="e">
            <v>#DIV/0!</v>
          </cell>
          <cell r="AG150" t="e">
            <v>#DIV/0!</v>
          </cell>
          <cell r="AH150" t="e">
            <v>#DIV/0!</v>
          </cell>
        </row>
        <row r="151">
          <cell r="B151">
            <v>3397360.6919347653</v>
          </cell>
          <cell r="C151">
            <v>132042.07258157295</v>
          </cell>
          <cell r="D151">
            <v>263728.30750028603</v>
          </cell>
          <cell r="E151">
            <v>361854.7276171642</v>
          </cell>
          <cell r="F151">
            <v>499647.9949119112</v>
          </cell>
          <cell r="G151">
            <v>631398.95765997155</v>
          </cell>
          <cell r="H151">
            <v>759965.21844463516</v>
          </cell>
          <cell r="I151">
            <v>891715.67672842985</v>
          </cell>
          <cell r="J151">
            <v>1023466.1350122245</v>
          </cell>
          <cell r="K151">
            <v>1023466.1350122245</v>
          </cell>
          <cell r="L151" t="e">
            <v>#DIV/0!</v>
          </cell>
          <cell r="M151" t="e">
            <v>#DIV/0!</v>
          </cell>
          <cell r="N151" t="e">
            <v>#DIV/0!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e">
            <v>#DIV/0!</v>
          </cell>
          <cell r="X151" t="e">
            <v>#DIV/0!</v>
          </cell>
          <cell r="Y151" t="e">
            <v>#DIV/0!</v>
          </cell>
          <cell r="Z151" t="e">
            <v>#DIV/0!</v>
          </cell>
          <cell r="AA151" t="e">
            <v>#DIV/0!</v>
          </cell>
          <cell r="AB151" t="e">
            <v>#DIV/0!</v>
          </cell>
          <cell r="AC151" t="e">
            <v>#DIV/0!</v>
          </cell>
          <cell r="AD151" t="e">
            <v>#DIV/0!</v>
          </cell>
          <cell r="AE151" t="e">
            <v>#DIV/0!</v>
          </cell>
          <cell r="AF151" t="e">
            <v>#DIV/0!</v>
          </cell>
          <cell r="AG151" t="e">
            <v>#DIV/0!</v>
          </cell>
        </row>
        <row r="152">
          <cell r="B152">
            <v>126160</v>
          </cell>
          <cell r="C152">
            <v>133104</v>
          </cell>
          <cell r="D152">
            <v>118514</v>
          </cell>
          <cell r="E152">
            <v>106508</v>
          </cell>
          <cell r="F152">
            <v>120224</v>
          </cell>
          <cell r="G152">
            <v>112276</v>
          </cell>
          <cell r="H152">
            <v>81016</v>
          </cell>
          <cell r="I152">
            <v>127642</v>
          </cell>
          <cell r="J152">
            <v>89946</v>
          </cell>
          <cell r="AH152">
            <v>889230</v>
          </cell>
        </row>
        <row r="153">
          <cell r="B153">
            <v>3372992</v>
          </cell>
          <cell r="C153">
            <v>133104</v>
          </cell>
          <cell r="D153">
            <v>251618</v>
          </cell>
          <cell r="E153">
            <v>358126</v>
          </cell>
          <cell r="F153">
            <v>478350</v>
          </cell>
          <cell r="G153">
            <v>590626</v>
          </cell>
          <cell r="H153">
            <v>671642</v>
          </cell>
          <cell r="I153">
            <v>799284</v>
          </cell>
          <cell r="J153">
            <v>889230</v>
          </cell>
          <cell r="K153">
            <v>889230</v>
          </cell>
          <cell r="L153">
            <v>889230</v>
          </cell>
          <cell r="M153">
            <v>889230</v>
          </cell>
          <cell r="N153">
            <v>889230</v>
          </cell>
          <cell r="O153">
            <v>889230</v>
          </cell>
          <cell r="P153">
            <v>889230</v>
          </cell>
          <cell r="Q153">
            <v>889230</v>
          </cell>
          <cell r="R153">
            <v>889230</v>
          </cell>
          <cell r="S153">
            <v>889230</v>
          </cell>
          <cell r="T153">
            <v>889230</v>
          </cell>
          <cell r="U153">
            <v>889230</v>
          </cell>
          <cell r="V153">
            <v>889230</v>
          </cell>
          <cell r="W153">
            <v>889230</v>
          </cell>
          <cell r="X153">
            <v>889230</v>
          </cell>
          <cell r="Y153">
            <v>889230</v>
          </cell>
          <cell r="Z153">
            <v>889230</v>
          </cell>
          <cell r="AA153">
            <v>889230</v>
          </cell>
          <cell r="AB153">
            <v>889230</v>
          </cell>
          <cell r="AC153">
            <v>889230</v>
          </cell>
          <cell r="AD153">
            <v>889230</v>
          </cell>
          <cell r="AE153">
            <v>889230</v>
          </cell>
          <cell r="AF153">
            <v>889230</v>
          </cell>
          <cell r="AG153">
            <v>889230</v>
          </cell>
        </row>
        <row r="157">
          <cell r="B157">
            <v>38776</v>
          </cell>
          <cell r="C157">
            <v>38777</v>
          </cell>
          <cell r="D157">
            <v>38778</v>
          </cell>
          <cell r="E157">
            <v>38779</v>
          </cell>
          <cell r="F157">
            <v>38780</v>
          </cell>
          <cell r="G157">
            <v>38781</v>
          </cell>
          <cell r="H157">
            <v>38782</v>
          </cell>
          <cell r="I157">
            <v>38783</v>
          </cell>
          <cell r="J157">
            <v>38784</v>
          </cell>
          <cell r="K157">
            <v>38785</v>
          </cell>
          <cell r="L157">
            <v>38786</v>
          </cell>
          <cell r="M157">
            <v>38787</v>
          </cell>
          <cell r="N157">
            <v>38788</v>
          </cell>
          <cell r="O157">
            <v>38789</v>
          </cell>
          <cell r="P157">
            <v>38790</v>
          </cell>
          <cell r="Q157">
            <v>38791</v>
          </cell>
          <cell r="R157">
            <v>38792</v>
          </cell>
          <cell r="S157">
            <v>38793</v>
          </cell>
          <cell r="T157">
            <v>38794</v>
          </cell>
          <cell r="U157">
            <v>38795</v>
          </cell>
          <cell r="V157">
            <v>38796</v>
          </cell>
          <cell r="W157">
            <v>38797</v>
          </cell>
          <cell r="X157">
            <v>38798</v>
          </cell>
          <cell r="Y157">
            <v>38799</v>
          </cell>
          <cell r="Z157">
            <v>38800</v>
          </cell>
          <cell r="AA157">
            <v>38801</v>
          </cell>
          <cell r="AB157">
            <v>38802</v>
          </cell>
          <cell r="AC157">
            <v>38803</v>
          </cell>
          <cell r="AD157">
            <v>38804</v>
          </cell>
          <cell r="AE157">
            <v>38805</v>
          </cell>
          <cell r="AF157">
            <v>38806</v>
          </cell>
          <cell r="AG157">
            <v>38807</v>
          </cell>
          <cell r="AH157" t="str">
            <v>Avg</v>
          </cell>
        </row>
        <row r="158">
          <cell r="B158">
            <v>2.2669134717310619</v>
          </cell>
          <cell r="C158">
            <v>2.4483430819143628</v>
          </cell>
          <cell r="D158">
            <v>2.4167851206988762</v>
          </cell>
          <cell r="E158">
            <v>2.4410241638617536</v>
          </cell>
          <cell r="F158">
            <v>2.3982746475435102</v>
          </cell>
          <cell r="G158">
            <v>2.3982746475435102</v>
          </cell>
          <cell r="H158">
            <v>2.3982746475435102</v>
          </cell>
          <cell r="I158">
            <v>2.2514087797828695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e">
            <v>#DIV/0!</v>
          </cell>
          <cell r="R158" t="e">
            <v>#DIV/0!</v>
          </cell>
          <cell r="S158" t="e">
            <v>#DIV/0!</v>
          </cell>
          <cell r="T158" t="e">
            <v>#DIV/0!</v>
          </cell>
          <cell r="U158" t="e">
            <v>#DIV/0!</v>
          </cell>
          <cell r="V158" t="e">
            <v>#DIV/0!</v>
          </cell>
          <cell r="W158" t="e">
            <v>#DIV/0!</v>
          </cell>
          <cell r="X158" t="e">
            <v>#DIV/0!</v>
          </cell>
          <cell r="Y158" t="e">
            <v>#DIV/0!</v>
          </cell>
          <cell r="Z158" t="e">
            <v>#DIV/0!</v>
          </cell>
          <cell r="AA158" t="e">
            <v>#DIV/0!</v>
          </cell>
          <cell r="AB158" t="e">
            <v>#DIV/0!</v>
          </cell>
          <cell r="AC158" t="e">
            <v>#DIV/0!</v>
          </cell>
          <cell r="AD158" t="e">
            <v>#DIV/0!</v>
          </cell>
          <cell r="AE158" t="e">
            <v>#DIV/0!</v>
          </cell>
          <cell r="AF158" t="e">
            <v>#DIV/0!</v>
          </cell>
          <cell r="AG158" t="e">
            <v>#DIV/0!</v>
          </cell>
        </row>
        <row r="159">
          <cell r="B159">
            <v>2.2290000000000001</v>
          </cell>
          <cell r="C159">
            <v>2.4990000000000001</v>
          </cell>
          <cell r="D159">
            <v>2.327</v>
          </cell>
          <cell r="E159">
            <v>2.2949999999999999</v>
          </cell>
          <cell r="F159">
            <v>2.2469999999999999</v>
          </cell>
          <cell r="G159">
            <v>2.3090000000000002</v>
          </cell>
          <cell r="H159">
            <v>2.2599999999999998</v>
          </cell>
          <cell r="I159">
            <v>2.2210000000000001</v>
          </cell>
          <cell r="J159">
            <v>2.14</v>
          </cell>
        </row>
        <row r="160">
          <cell r="B160">
            <v>281210.64</v>
          </cell>
          <cell r="C160">
            <v>332626.89600000001</v>
          </cell>
          <cell r="D160">
            <v>275782.07799999998</v>
          </cell>
          <cell r="E160">
            <v>244435.86</v>
          </cell>
          <cell r="F160">
            <v>270143.32799999998</v>
          </cell>
          <cell r="G160">
            <v>259245.28400000001</v>
          </cell>
          <cell r="H160">
            <v>183096.15999999997</v>
          </cell>
          <cell r="I160">
            <v>283492.88199999998</v>
          </cell>
          <cell r="J160">
            <v>192484.44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C161">
            <v>2.4990000000000001</v>
          </cell>
          <cell r="D161">
            <v>2.4179866861671262</v>
          </cell>
          <cell r="E161">
            <v>2.3814099897801331</v>
          </cell>
          <cell r="F161">
            <v>2.347628644298108</v>
          </cell>
          <cell r="G161">
            <v>2.340285469992855</v>
          </cell>
          <cell r="H161">
            <v>2.3306011327463141</v>
          </cell>
          <cell r="I161">
            <v>2.3130983330080421</v>
          </cell>
          <cell r="J161">
            <v>2.2955893615824925</v>
          </cell>
          <cell r="K161">
            <v>2.2955893615824925</v>
          </cell>
          <cell r="L161">
            <v>2.2955893615824925</v>
          </cell>
          <cell r="M161">
            <v>2.2955893615824925</v>
          </cell>
          <cell r="N161">
            <v>2.2955893615824925</v>
          </cell>
          <cell r="O161">
            <v>2.2955893615824925</v>
          </cell>
          <cell r="P161">
            <v>2.2955893615824925</v>
          </cell>
          <cell r="Q161">
            <v>2.2955893615824925</v>
          </cell>
          <cell r="R161">
            <v>2.2955893615824925</v>
          </cell>
          <cell r="S161">
            <v>2.2955893615824925</v>
          </cell>
          <cell r="T161">
            <v>2.2955893615824925</v>
          </cell>
          <cell r="U161">
            <v>2.2955893615824925</v>
          </cell>
          <cell r="V161">
            <v>2.2955893615824925</v>
          </cell>
          <cell r="W161">
            <v>2.2955893615824925</v>
          </cell>
          <cell r="X161">
            <v>2.2955893615824925</v>
          </cell>
          <cell r="Y161">
            <v>2.2955893615824925</v>
          </cell>
          <cell r="Z161">
            <v>2.2955893615824925</v>
          </cell>
          <cell r="AA161">
            <v>2.2955893615824925</v>
          </cell>
          <cell r="AB161">
            <v>2.2955893615824925</v>
          </cell>
          <cell r="AC161">
            <v>2.2955893615824925</v>
          </cell>
          <cell r="AD161">
            <v>2.2955893615824925</v>
          </cell>
          <cell r="AE161">
            <v>2.2955893615824925</v>
          </cell>
          <cell r="AF161">
            <v>2.2955893615824925</v>
          </cell>
          <cell r="AG161">
            <v>2.2955893615824925</v>
          </cell>
          <cell r="AH161">
            <v>2.2955893615824925</v>
          </cell>
        </row>
        <row r="166">
          <cell r="B166">
            <v>38776</v>
          </cell>
          <cell r="C166">
            <v>38777</v>
          </cell>
          <cell r="D166">
            <v>38778</v>
          </cell>
          <cell r="E166">
            <v>38779</v>
          </cell>
          <cell r="F166">
            <v>38780</v>
          </cell>
          <cell r="G166">
            <v>38781</v>
          </cell>
          <cell r="H166">
            <v>38782</v>
          </cell>
          <cell r="I166">
            <v>38783</v>
          </cell>
          <cell r="J166">
            <v>38784</v>
          </cell>
          <cell r="K166">
            <v>38785</v>
          </cell>
          <cell r="L166">
            <v>38786</v>
          </cell>
          <cell r="M166">
            <v>38787</v>
          </cell>
          <cell r="N166">
            <v>38788</v>
          </cell>
          <cell r="O166">
            <v>38789</v>
          </cell>
          <cell r="P166">
            <v>38790</v>
          </cell>
          <cell r="Q166">
            <v>38791</v>
          </cell>
          <cell r="R166">
            <v>38792</v>
          </cell>
          <cell r="S166">
            <v>38793</v>
          </cell>
          <cell r="T166">
            <v>38794</v>
          </cell>
          <cell r="U166">
            <v>38795</v>
          </cell>
          <cell r="V166">
            <v>38796</v>
          </cell>
          <cell r="W166">
            <v>38797</v>
          </cell>
          <cell r="X166">
            <v>38798</v>
          </cell>
          <cell r="Y166">
            <v>38799</v>
          </cell>
          <cell r="Z166">
            <v>38800</v>
          </cell>
          <cell r="AA166">
            <v>38801</v>
          </cell>
          <cell r="AB166">
            <v>38802</v>
          </cell>
          <cell r="AC166">
            <v>38803</v>
          </cell>
          <cell r="AD166">
            <v>38804</v>
          </cell>
          <cell r="AE166">
            <v>38805</v>
          </cell>
          <cell r="AF166">
            <v>38806</v>
          </cell>
          <cell r="AG166">
            <v>38807</v>
          </cell>
          <cell r="AH166" t="str">
            <v>Total</v>
          </cell>
        </row>
        <row r="167">
          <cell r="B167">
            <v>222174</v>
          </cell>
          <cell r="C167">
            <v>283524</v>
          </cell>
          <cell r="D167">
            <v>287410</v>
          </cell>
          <cell r="E167">
            <v>263312</v>
          </cell>
          <cell r="F167">
            <v>299905</v>
          </cell>
          <cell r="G167">
            <v>133721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B168">
            <v>143791</v>
          </cell>
          <cell r="C168">
            <v>165760</v>
          </cell>
          <cell r="D168">
            <v>148524</v>
          </cell>
          <cell r="E168">
            <v>113100</v>
          </cell>
          <cell r="F168">
            <v>168867</v>
          </cell>
          <cell r="G168">
            <v>141459</v>
          </cell>
          <cell r="H168">
            <v>106789</v>
          </cell>
          <cell r="I168">
            <v>149705</v>
          </cell>
          <cell r="J168">
            <v>110370</v>
          </cell>
          <cell r="K168">
            <v>98586</v>
          </cell>
          <cell r="L168">
            <v>101760</v>
          </cell>
          <cell r="M168">
            <v>155727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>
            <v>231900</v>
          </cell>
          <cell r="C169">
            <v>339900</v>
          </cell>
          <cell r="D169">
            <v>454900</v>
          </cell>
          <cell r="E169">
            <v>560600</v>
          </cell>
          <cell r="F169">
            <v>0</v>
          </cell>
          <cell r="G169">
            <v>723700</v>
          </cell>
          <cell r="H169">
            <v>599900</v>
          </cell>
          <cell r="I169">
            <v>479900</v>
          </cell>
          <cell r="J169">
            <v>340900</v>
          </cell>
          <cell r="K169">
            <v>241900</v>
          </cell>
          <cell r="L169">
            <v>146900</v>
          </cell>
          <cell r="M169">
            <v>81000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>
            <v>1.1397511097019657</v>
          </cell>
          <cell r="C171">
            <v>1.2453419882197378</v>
          </cell>
          <cell r="D171">
            <v>1.2532190289754797</v>
          </cell>
          <cell r="E171">
            <v>1.0618920644458631</v>
          </cell>
          <cell r="F171">
            <v>1.4046030742613789</v>
          </cell>
          <cell r="G171">
            <v>1.2599219779828281</v>
          </cell>
          <cell r="H171">
            <v>1.3181223462032192</v>
          </cell>
          <cell r="I171">
            <v>1.1728506291032732</v>
          </cell>
          <cell r="J171">
            <v>1.2270695750783804</v>
          </cell>
          <cell r="K171" t="e">
            <v>#DIV/0!</v>
          </cell>
          <cell r="L171" t="e">
            <v>#DIV/0!</v>
          </cell>
          <cell r="M171" t="e">
            <v>#DIV/0!</v>
          </cell>
          <cell r="N171" t="e">
            <v>#DIV/0!</v>
          </cell>
          <cell r="O171" t="e">
            <v>#DIV/0!</v>
          </cell>
          <cell r="P171" t="e">
            <v>#DIV/0!</v>
          </cell>
          <cell r="Q171" t="e">
            <v>#DIV/0!</v>
          </cell>
          <cell r="R171" t="e">
            <v>#DIV/0!</v>
          </cell>
          <cell r="S171" t="e">
            <v>#DIV/0!</v>
          </cell>
          <cell r="T171" t="e">
            <v>#DIV/0!</v>
          </cell>
          <cell r="U171" t="e">
            <v>#DIV/0!</v>
          </cell>
          <cell r="V171" t="e">
            <v>#DIV/0!</v>
          </cell>
          <cell r="W171" t="e">
            <v>#DIV/0!</v>
          </cell>
          <cell r="X171" t="e">
            <v>#DIV/0!</v>
          </cell>
          <cell r="Y171" t="e">
            <v>#DIV/0!</v>
          </cell>
          <cell r="Z171" t="e">
            <v>#DIV/0!</v>
          </cell>
          <cell r="AA171" t="e">
            <v>#DIV/0!</v>
          </cell>
          <cell r="AB171" t="e">
            <v>#DIV/0!</v>
          </cell>
          <cell r="AC171" t="e">
            <v>#DIV/0!</v>
          </cell>
          <cell r="AD171" t="e">
            <v>#DIV/0!</v>
          </cell>
          <cell r="AE171" t="e">
            <v>#DIV/0!</v>
          </cell>
          <cell r="AF171" t="e">
            <v>#DIV/0!</v>
          </cell>
          <cell r="AG171" t="e">
            <v>#DIV/0!</v>
          </cell>
        </row>
        <row r="172">
          <cell r="B172">
            <v>3415456</v>
          </cell>
          <cell r="C172">
            <v>1.2453419882197378</v>
          </cell>
          <cell r="D172">
            <v>2.4985610171952173</v>
          </cell>
          <cell r="E172">
            <v>3.5604530816410804</v>
          </cell>
          <cell r="F172">
            <v>4.9650561559024595</v>
          </cell>
          <cell r="G172">
            <v>6.2249781338852879</v>
          </cell>
          <cell r="H172">
            <v>7.5431004800885066</v>
          </cell>
          <cell r="I172">
            <v>8.7159511091917796</v>
          </cell>
          <cell r="J172">
            <v>9.9430206842701594</v>
          </cell>
          <cell r="K172" t="e">
            <v>#DIV/0!</v>
          </cell>
          <cell r="L172" t="e">
            <v>#DIV/0!</v>
          </cell>
          <cell r="M172" t="e">
            <v>#DIV/0!</v>
          </cell>
          <cell r="N172" t="e">
            <v>#DIV/0!</v>
          </cell>
          <cell r="O172" t="e">
            <v>#DIV/0!</v>
          </cell>
          <cell r="P172" t="e">
            <v>#DIV/0!</v>
          </cell>
          <cell r="Q172" t="e">
            <v>#DIV/0!</v>
          </cell>
          <cell r="R172" t="e">
            <v>#DIV/0!</v>
          </cell>
          <cell r="S172" t="e">
            <v>#DIV/0!</v>
          </cell>
          <cell r="T172" t="e">
            <v>#DIV/0!</v>
          </cell>
          <cell r="U172" t="e">
            <v>#DIV/0!</v>
          </cell>
          <cell r="V172" t="e">
            <v>#DIV/0!</v>
          </cell>
          <cell r="W172" t="e">
            <v>#DIV/0!</v>
          </cell>
          <cell r="X172" t="e">
            <v>#DIV/0!</v>
          </cell>
          <cell r="Y172" t="e">
            <v>#DIV/0!</v>
          </cell>
          <cell r="Z172" t="e">
            <v>#DIV/0!</v>
          </cell>
          <cell r="AA172" t="e">
            <v>#DIV/0!</v>
          </cell>
          <cell r="AB172" t="e">
            <v>#DIV/0!</v>
          </cell>
          <cell r="AC172" t="e">
            <v>#DIV/0!</v>
          </cell>
          <cell r="AD172" t="e">
            <v>#DIV/0!</v>
          </cell>
          <cell r="AE172" t="e">
            <v>#DIV/0!</v>
          </cell>
          <cell r="AF172" t="e">
            <v>#DIV/0!</v>
          </cell>
          <cell r="AG172" t="e">
            <v>#DIV/0!</v>
          </cell>
        </row>
        <row r="173">
          <cell r="B173">
            <v>121980.57142857143</v>
          </cell>
          <cell r="C173">
            <v>1.2453419882197378</v>
          </cell>
          <cell r="D173">
            <v>1.2492805085976086</v>
          </cell>
          <cell r="E173">
            <v>1.1868176938803601</v>
          </cell>
          <cell r="F173">
            <v>1.2412640389756149</v>
          </cell>
          <cell r="G173">
            <v>1.2449956267770577</v>
          </cell>
          <cell r="H173">
            <v>1.2571834133480844</v>
          </cell>
          <cell r="I173">
            <v>1.2451358727416828</v>
          </cell>
          <cell r="J173">
            <v>1.2428775855337699</v>
          </cell>
          <cell r="K173" t="e">
            <v>#DIV/0!</v>
          </cell>
          <cell r="L173" t="e">
            <v>#DIV/0!</v>
          </cell>
          <cell r="M173" t="e">
            <v>#DIV/0!</v>
          </cell>
          <cell r="N173" t="e">
            <v>#DIV/0!</v>
          </cell>
          <cell r="O173" t="e">
            <v>#DIV/0!</v>
          </cell>
          <cell r="P173" t="e">
            <v>#DIV/0!</v>
          </cell>
          <cell r="Q173" t="e">
            <v>#DIV/0!</v>
          </cell>
          <cell r="R173" t="e">
            <v>#DIV/0!</v>
          </cell>
          <cell r="S173" t="e">
            <v>#DIV/0!</v>
          </cell>
          <cell r="T173" t="e">
            <v>#DIV/0!</v>
          </cell>
          <cell r="U173" t="e">
            <v>#DIV/0!</v>
          </cell>
          <cell r="V173" t="e">
            <v>#DIV/0!</v>
          </cell>
          <cell r="W173" t="e">
            <v>#DIV/0!</v>
          </cell>
          <cell r="X173" t="e">
            <v>#DIV/0!</v>
          </cell>
          <cell r="Y173" t="e">
            <v>#DIV/0!</v>
          </cell>
          <cell r="Z173" t="e">
            <v>#DIV/0!</v>
          </cell>
          <cell r="AA173" t="e">
            <v>#DIV/0!</v>
          </cell>
          <cell r="AB173" t="e">
            <v>#DIV/0!</v>
          </cell>
          <cell r="AC173" t="e">
            <v>#DIV/0!</v>
          </cell>
          <cell r="AD173" t="e">
            <v>#DIV/0!</v>
          </cell>
          <cell r="AE173" t="e">
            <v>#DIV/0!</v>
          </cell>
          <cell r="AF173" t="e">
            <v>#DIV/0!</v>
          </cell>
          <cell r="AG173" t="e">
            <v>#DIV/0!</v>
          </cell>
        </row>
        <row r="177">
          <cell r="B177">
            <v>38776</v>
          </cell>
          <cell r="C177">
            <v>38777</v>
          </cell>
          <cell r="D177">
            <v>38778</v>
          </cell>
          <cell r="E177">
            <v>38779</v>
          </cell>
          <cell r="F177">
            <v>38780</v>
          </cell>
          <cell r="G177">
            <v>38781</v>
          </cell>
          <cell r="H177">
            <v>38782</v>
          </cell>
          <cell r="I177">
            <v>38783</v>
          </cell>
          <cell r="J177">
            <v>38784</v>
          </cell>
          <cell r="K177">
            <v>38785</v>
          </cell>
          <cell r="L177">
            <v>38786</v>
          </cell>
          <cell r="M177">
            <v>38787</v>
          </cell>
          <cell r="N177">
            <v>38788</v>
          </cell>
          <cell r="O177">
            <v>38789</v>
          </cell>
          <cell r="P177">
            <v>38790</v>
          </cell>
          <cell r="Q177">
            <v>38791</v>
          </cell>
          <cell r="R177">
            <v>38792</v>
          </cell>
          <cell r="S177">
            <v>38793</v>
          </cell>
          <cell r="T177">
            <v>38794</v>
          </cell>
          <cell r="U177">
            <v>38795</v>
          </cell>
          <cell r="V177">
            <v>38796</v>
          </cell>
          <cell r="W177">
            <v>38797</v>
          </cell>
          <cell r="X177">
            <v>38798</v>
          </cell>
          <cell r="Y177">
            <v>38799</v>
          </cell>
          <cell r="Z177">
            <v>38800</v>
          </cell>
          <cell r="AA177">
            <v>38801</v>
          </cell>
          <cell r="AB177">
            <v>38802</v>
          </cell>
          <cell r="AC177">
            <v>38803</v>
          </cell>
          <cell r="AD177">
            <v>38804</v>
          </cell>
          <cell r="AE177">
            <v>38805</v>
          </cell>
          <cell r="AF177">
            <v>38806</v>
          </cell>
          <cell r="AG177">
            <v>38807</v>
          </cell>
          <cell r="AH177" t="str">
            <v>Total</v>
          </cell>
        </row>
        <row r="178">
          <cell r="B178">
            <v>17290</v>
          </cell>
          <cell r="C178">
            <v>18400</v>
          </cell>
          <cell r="D178">
            <v>15794</v>
          </cell>
          <cell r="E178">
            <v>10609</v>
          </cell>
          <cell r="F178">
            <v>14064</v>
          </cell>
          <cell r="G178">
            <v>13520</v>
          </cell>
          <cell r="H178">
            <v>6222</v>
          </cell>
          <cell r="I178">
            <v>10412</v>
          </cell>
          <cell r="J178">
            <v>6817</v>
          </cell>
          <cell r="K178">
            <v>9262</v>
          </cell>
          <cell r="L178">
            <v>3809</v>
          </cell>
          <cell r="M178">
            <v>9447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118356</v>
          </cell>
        </row>
        <row r="179">
          <cell r="B179">
            <v>2914</v>
          </cell>
          <cell r="C179">
            <v>22668</v>
          </cell>
          <cell r="D179">
            <v>19764</v>
          </cell>
          <cell r="E179">
            <v>16002</v>
          </cell>
          <cell r="F179">
            <v>26050</v>
          </cell>
          <cell r="G179">
            <v>15646</v>
          </cell>
          <cell r="H179">
            <v>12940</v>
          </cell>
          <cell r="I179">
            <v>23823</v>
          </cell>
          <cell r="J179">
            <v>16306</v>
          </cell>
          <cell r="K179">
            <v>14292</v>
          </cell>
          <cell r="L179">
            <v>13071</v>
          </cell>
          <cell r="M179">
            <v>24947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205509</v>
          </cell>
        </row>
        <row r="180">
          <cell r="B180">
            <v>18000</v>
          </cell>
          <cell r="C180">
            <v>18502</v>
          </cell>
          <cell r="D180">
            <v>16607</v>
          </cell>
          <cell r="E180">
            <v>13130</v>
          </cell>
          <cell r="F180">
            <v>21961</v>
          </cell>
          <cell r="G180">
            <v>19659</v>
          </cell>
          <cell r="H180">
            <v>13640</v>
          </cell>
          <cell r="I180">
            <v>19962</v>
          </cell>
          <cell r="J180">
            <v>13183</v>
          </cell>
          <cell r="K180">
            <v>12312</v>
          </cell>
          <cell r="L180">
            <v>10357</v>
          </cell>
          <cell r="M180">
            <v>21028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180341</v>
          </cell>
        </row>
        <row r="181">
          <cell r="B181">
            <v>54513</v>
          </cell>
          <cell r="C181">
            <v>30050</v>
          </cell>
          <cell r="D181">
            <v>22687</v>
          </cell>
          <cell r="E181">
            <v>18436</v>
          </cell>
          <cell r="F181">
            <v>29683</v>
          </cell>
          <cell r="G181">
            <v>22113</v>
          </cell>
          <cell r="H181">
            <v>17928</v>
          </cell>
          <cell r="I181">
            <v>26852</v>
          </cell>
          <cell r="J181">
            <v>18526</v>
          </cell>
          <cell r="K181">
            <v>14035</v>
          </cell>
          <cell r="L181">
            <v>16400</v>
          </cell>
          <cell r="M181">
            <v>26750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243460</v>
          </cell>
        </row>
        <row r="182">
          <cell r="B182">
            <v>7553</v>
          </cell>
          <cell r="C182">
            <v>10073</v>
          </cell>
          <cell r="D182">
            <v>7948</v>
          </cell>
          <cell r="E182">
            <v>6320</v>
          </cell>
          <cell r="F182">
            <v>9385</v>
          </cell>
          <cell r="G182">
            <v>9947</v>
          </cell>
          <cell r="H182">
            <v>5133</v>
          </cell>
          <cell r="I182">
            <v>11422</v>
          </cell>
          <cell r="J182">
            <v>5540</v>
          </cell>
          <cell r="K182">
            <v>4991</v>
          </cell>
          <cell r="L182">
            <v>4726</v>
          </cell>
          <cell r="M182">
            <v>9224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>
            <v>2575</v>
          </cell>
          <cell r="C183">
            <v>2928</v>
          </cell>
          <cell r="D183">
            <v>2645</v>
          </cell>
          <cell r="E183">
            <v>2534</v>
          </cell>
          <cell r="F183">
            <v>2395</v>
          </cell>
          <cell r="G183">
            <v>2550</v>
          </cell>
          <cell r="H183">
            <v>2804</v>
          </cell>
          <cell r="I183">
            <v>2705</v>
          </cell>
          <cell r="J183">
            <v>2358</v>
          </cell>
          <cell r="K183">
            <v>1850</v>
          </cell>
          <cell r="L183">
            <v>2083</v>
          </cell>
          <cell r="M183">
            <v>2616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27468</v>
          </cell>
        </row>
        <row r="184">
          <cell r="B184">
            <v>7191</v>
          </cell>
          <cell r="C184">
            <v>7636</v>
          </cell>
          <cell r="D184">
            <v>8017</v>
          </cell>
          <cell r="E184">
            <v>6942</v>
          </cell>
          <cell r="F184">
            <v>7662</v>
          </cell>
          <cell r="G184">
            <v>8861</v>
          </cell>
          <cell r="H184">
            <v>9766</v>
          </cell>
          <cell r="I184">
            <v>8214</v>
          </cell>
          <cell r="J184">
            <v>8084</v>
          </cell>
          <cell r="K184">
            <v>6418</v>
          </cell>
          <cell r="L184">
            <v>7239</v>
          </cell>
          <cell r="M184">
            <v>9377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88216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>
            <v>6238</v>
          </cell>
          <cell r="C186">
            <v>7066</v>
          </cell>
          <cell r="D186">
            <v>6355</v>
          </cell>
          <cell r="E186">
            <v>4220</v>
          </cell>
          <cell r="F186">
            <v>6982</v>
          </cell>
          <cell r="G186">
            <v>5864</v>
          </cell>
          <cell r="H186">
            <v>4149</v>
          </cell>
          <cell r="I186">
            <v>6783</v>
          </cell>
          <cell r="J186">
            <v>3826</v>
          </cell>
          <cell r="K186">
            <v>6182</v>
          </cell>
          <cell r="L186">
            <v>3787</v>
          </cell>
          <cell r="M186">
            <v>6513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61727</v>
          </cell>
        </row>
        <row r="187">
          <cell r="B187">
            <v>15512</v>
          </cell>
          <cell r="C187">
            <v>18312</v>
          </cell>
          <cell r="D187">
            <v>15964</v>
          </cell>
          <cell r="E187">
            <v>12577</v>
          </cell>
          <cell r="F187">
            <v>19000</v>
          </cell>
          <cell r="G187">
            <v>12950</v>
          </cell>
          <cell r="H187">
            <v>10467</v>
          </cell>
          <cell r="I187">
            <v>15715</v>
          </cell>
          <cell r="J187">
            <v>9819</v>
          </cell>
          <cell r="K187">
            <v>8038</v>
          </cell>
          <cell r="L187">
            <v>8460</v>
          </cell>
          <cell r="M187">
            <v>13317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144619</v>
          </cell>
        </row>
        <row r="188">
          <cell r="B188">
            <v>2149</v>
          </cell>
          <cell r="C188">
            <v>1158</v>
          </cell>
          <cell r="D188">
            <v>1306</v>
          </cell>
          <cell r="E188">
            <v>1718</v>
          </cell>
          <cell r="F188">
            <v>2407</v>
          </cell>
          <cell r="G188">
            <v>1734</v>
          </cell>
          <cell r="H188">
            <v>1233</v>
          </cell>
          <cell r="I188">
            <v>1862</v>
          </cell>
          <cell r="J188">
            <v>1390</v>
          </cell>
          <cell r="K188">
            <v>1833</v>
          </cell>
          <cell r="L188">
            <v>1140</v>
          </cell>
          <cell r="M188">
            <v>2163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17944</v>
          </cell>
        </row>
        <row r="189">
          <cell r="B189">
            <v>3144</v>
          </cell>
          <cell r="C189">
            <v>3736</v>
          </cell>
          <cell r="D189">
            <v>2982</v>
          </cell>
          <cell r="E189">
            <v>2645</v>
          </cell>
          <cell r="F189">
            <v>3059</v>
          </cell>
          <cell r="G189">
            <v>4525</v>
          </cell>
          <cell r="H189">
            <v>2561</v>
          </cell>
          <cell r="I189">
            <v>3200</v>
          </cell>
          <cell r="J189">
            <v>2395</v>
          </cell>
          <cell r="K189">
            <v>1566</v>
          </cell>
          <cell r="L189">
            <v>2254</v>
          </cell>
          <cell r="M189">
            <v>4387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33310</v>
          </cell>
        </row>
        <row r="190">
          <cell r="B190">
            <v>2407</v>
          </cell>
          <cell r="C190">
            <v>3446</v>
          </cell>
          <cell r="D190">
            <v>3140</v>
          </cell>
          <cell r="E190">
            <v>2185</v>
          </cell>
          <cell r="F190">
            <v>4421</v>
          </cell>
          <cell r="G190">
            <v>2481</v>
          </cell>
          <cell r="H190">
            <v>1457</v>
          </cell>
          <cell r="I190">
            <v>3234</v>
          </cell>
          <cell r="J190">
            <v>2124</v>
          </cell>
          <cell r="K190">
            <v>2878</v>
          </cell>
          <cell r="L190">
            <v>1943</v>
          </cell>
          <cell r="M190">
            <v>3360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30669</v>
          </cell>
        </row>
        <row r="191">
          <cell r="B191">
            <v>667</v>
          </cell>
          <cell r="C191">
            <v>422</v>
          </cell>
          <cell r="D191">
            <v>1037</v>
          </cell>
          <cell r="E191">
            <v>308</v>
          </cell>
          <cell r="F191">
            <v>307</v>
          </cell>
          <cell r="G191">
            <v>870</v>
          </cell>
          <cell r="H191">
            <v>1117</v>
          </cell>
          <cell r="I191">
            <v>892</v>
          </cell>
          <cell r="J191">
            <v>484</v>
          </cell>
          <cell r="K191">
            <v>525</v>
          </cell>
          <cell r="L191">
            <v>206</v>
          </cell>
          <cell r="M191">
            <v>718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6886</v>
          </cell>
        </row>
        <row r="192">
          <cell r="B192">
            <v>200</v>
          </cell>
          <cell r="C192">
            <v>0</v>
          </cell>
          <cell r="D192">
            <v>713</v>
          </cell>
          <cell r="E192">
            <v>1000</v>
          </cell>
          <cell r="F192">
            <v>271</v>
          </cell>
          <cell r="G192">
            <v>790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443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3217</v>
          </cell>
        </row>
        <row r="193">
          <cell r="B193">
            <v>606</v>
          </cell>
          <cell r="C193">
            <v>568</v>
          </cell>
          <cell r="D193">
            <v>1084</v>
          </cell>
          <cell r="E193">
            <v>587</v>
          </cell>
          <cell r="F193">
            <v>532</v>
          </cell>
          <cell r="G193">
            <v>1061</v>
          </cell>
          <cell r="H193">
            <v>1061</v>
          </cell>
          <cell r="I193">
            <v>1181</v>
          </cell>
          <cell r="J193">
            <v>1157</v>
          </cell>
          <cell r="K193">
            <v>841</v>
          </cell>
          <cell r="L193">
            <v>607</v>
          </cell>
          <cell r="M193">
            <v>490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9169</v>
          </cell>
        </row>
        <row r="194">
          <cell r="B194">
            <v>926</v>
          </cell>
          <cell r="C194">
            <v>1530</v>
          </cell>
          <cell r="D194">
            <v>1421</v>
          </cell>
          <cell r="E194">
            <v>1253</v>
          </cell>
          <cell r="F194">
            <v>1299</v>
          </cell>
          <cell r="G194">
            <v>0</v>
          </cell>
          <cell r="H194">
            <v>0</v>
          </cell>
          <cell r="I194">
            <v>992</v>
          </cell>
          <cell r="J194">
            <v>242</v>
          </cell>
          <cell r="K194">
            <v>940</v>
          </cell>
          <cell r="L194">
            <v>1171</v>
          </cell>
          <cell r="M194">
            <v>1701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10549</v>
          </cell>
        </row>
        <row r="195">
          <cell r="B195">
            <v>0</v>
          </cell>
          <cell r="C195">
            <v>2476</v>
          </cell>
          <cell r="D195">
            <v>1621</v>
          </cell>
          <cell r="E195">
            <v>458</v>
          </cell>
          <cell r="F195">
            <v>2568</v>
          </cell>
          <cell r="G195">
            <v>1929</v>
          </cell>
          <cell r="H195">
            <v>2934</v>
          </cell>
          <cell r="I195">
            <v>794</v>
          </cell>
          <cell r="J195">
            <v>2335</v>
          </cell>
          <cell r="K195">
            <v>778</v>
          </cell>
          <cell r="L195">
            <v>452</v>
          </cell>
          <cell r="M195">
            <v>1063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17408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411</v>
          </cell>
          <cell r="I196">
            <v>0</v>
          </cell>
          <cell r="J196">
            <v>398</v>
          </cell>
          <cell r="K196">
            <v>0</v>
          </cell>
          <cell r="L196">
            <v>440</v>
          </cell>
          <cell r="M196">
            <v>361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1610</v>
          </cell>
        </row>
        <row r="197">
          <cell r="B197">
            <v>3901</v>
          </cell>
          <cell r="C197">
            <v>4657</v>
          </cell>
          <cell r="D197">
            <v>4178</v>
          </cell>
          <cell r="E197">
            <v>4428</v>
          </cell>
          <cell r="F197">
            <v>4070</v>
          </cell>
          <cell r="G197">
            <v>3830</v>
          </cell>
          <cell r="H197">
            <v>3600</v>
          </cell>
          <cell r="I197">
            <v>3309</v>
          </cell>
          <cell r="J197">
            <v>2519</v>
          </cell>
          <cell r="K197">
            <v>2784</v>
          </cell>
          <cell r="L197">
            <v>3456</v>
          </cell>
          <cell r="M197">
            <v>4315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41146</v>
          </cell>
        </row>
        <row r="198">
          <cell r="B198">
            <v>317</v>
          </cell>
          <cell r="C198">
            <v>768</v>
          </cell>
          <cell r="D198">
            <v>753</v>
          </cell>
          <cell r="E198">
            <v>170</v>
          </cell>
          <cell r="F198">
            <v>501</v>
          </cell>
          <cell r="G198">
            <v>370</v>
          </cell>
          <cell r="H198">
            <v>0</v>
          </cell>
          <cell r="I198">
            <v>709</v>
          </cell>
          <cell r="J198">
            <v>293</v>
          </cell>
          <cell r="K198">
            <v>391</v>
          </cell>
          <cell r="L198">
            <v>556</v>
          </cell>
          <cell r="M198">
            <v>230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4741</v>
          </cell>
        </row>
        <row r="199">
          <cell r="B199">
            <v>947</v>
          </cell>
          <cell r="C199">
            <v>721</v>
          </cell>
          <cell r="D199">
            <v>892</v>
          </cell>
          <cell r="E199">
            <v>1113</v>
          </cell>
          <cell r="F199">
            <v>982</v>
          </cell>
          <cell r="G199">
            <v>433</v>
          </cell>
          <cell r="H199">
            <v>646</v>
          </cell>
          <cell r="I199">
            <v>795</v>
          </cell>
          <cell r="J199">
            <v>779</v>
          </cell>
          <cell r="K199">
            <v>1104</v>
          </cell>
          <cell r="L199">
            <v>956</v>
          </cell>
          <cell r="M199">
            <v>902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9323</v>
          </cell>
        </row>
        <row r="200">
          <cell r="B200">
            <v>423</v>
          </cell>
          <cell r="C200">
            <v>606</v>
          </cell>
          <cell r="D200">
            <v>464</v>
          </cell>
          <cell r="E200">
            <v>47</v>
          </cell>
          <cell r="F200">
            <v>724</v>
          </cell>
          <cell r="G200">
            <v>893</v>
          </cell>
          <cell r="H200">
            <v>576</v>
          </cell>
          <cell r="I200">
            <v>387</v>
          </cell>
          <cell r="J200">
            <v>669</v>
          </cell>
          <cell r="K200">
            <v>229</v>
          </cell>
          <cell r="L200">
            <v>421</v>
          </cell>
          <cell r="M200">
            <v>611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5627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>
            <v>147473</v>
          </cell>
          <cell r="C208">
            <v>155723</v>
          </cell>
          <cell r="D208">
            <v>135372</v>
          </cell>
          <cell r="E208">
            <v>106682</v>
          </cell>
          <cell r="F208">
            <v>158323</v>
          </cell>
          <cell r="G208">
            <v>130026</v>
          </cell>
          <cell r="H208">
            <v>98645</v>
          </cell>
          <cell r="I208">
            <v>143243</v>
          </cell>
          <cell r="J208">
            <v>99244</v>
          </cell>
          <cell r="K208">
            <v>91249</v>
          </cell>
          <cell r="L208">
            <v>83534</v>
          </cell>
          <cell r="M208">
            <v>143963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1261295</v>
          </cell>
        </row>
        <row r="212">
          <cell r="B212">
            <v>38776</v>
          </cell>
          <cell r="C212">
            <v>38777</v>
          </cell>
          <cell r="D212">
            <v>38778</v>
          </cell>
          <cell r="E212">
            <v>38779</v>
          </cell>
          <cell r="F212">
            <v>38780</v>
          </cell>
          <cell r="G212">
            <v>38781</v>
          </cell>
          <cell r="H212">
            <v>38782</v>
          </cell>
          <cell r="I212">
            <v>38783</v>
          </cell>
          <cell r="J212">
            <v>38784</v>
          </cell>
          <cell r="K212">
            <v>38785</v>
          </cell>
          <cell r="L212">
            <v>38786</v>
          </cell>
          <cell r="M212">
            <v>38787</v>
          </cell>
          <cell r="N212">
            <v>38788</v>
          </cell>
          <cell r="O212">
            <v>38789</v>
          </cell>
          <cell r="P212">
            <v>38790</v>
          </cell>
          <cell r="Q212">
            <v>38791</v>
          </cell>
          <cell r="R212">
            <v>38792</v>
          </cell>
          <cell r="S212">
            <v>38793</v>
          </cell>
          <cell r="T212">
            <v>38794</v>
          </cell>
          <cell r="U212">
            <v>38795</v>
          </cell>
          <cell r="V212">
            <v>38796</v>
          </cell>
          <cell r="W212">
            <v>38797</v>
          </cell>
          <cell r="X212">
            <v>38798</v>
          </cell>
          <cell r="Y212">
            <v>38799</v>
          </cell>
          <cell r="Z212">
            <v>38800</v>
          </cell>
          <cell r="AA212">
            <v>38801</v>
          </cell>
          <cell r="AB212">
            <v>38802</v>
          </cell>
          <cell r="AC212">
            <v>38803</v>
          </cell>
          <cell r="AD212">
            <v>38804</v>
          </cell>
          <cell r="AE212">
            <v>38805</v>
          </cell>
          <cell r="AF212">
            <v>38806</v>
          </cell>
          <cell r="AG212">
            <v>38807</v>
          </cell>
          <cell r="AH212" t="str">
            <v>Total</v>
          </cell>
        </row>
        <row r="213">
          <cell r="B213">
            <v>45.8</v>
          </cell>
          <cell r="C213">
            <v>101.9</v>
          </cell>
          <cell r="D213">
            <v>99.8</v>
          </cell>
          <cell r="E213">
            <v>88.9</v>
          </cell>
          <cell r="F213">
            <v>77.599999999999994</v>
          </cell>
          <cell r="G213">
            <v>72.599999999999994</v>
          </cell>
          <cell r="H213">
            <v>35.1</v>
          </cell>
          <cell r="J213">
            <v>39.299999999999997</v>
          </cell>
          <cell r="AH213">
            <v>515.20000000000005</v>
          </cell>
        </row>
        <row r="214">
          <cell r="B214">
            <v>96</v>
          </cell>
          <cell r="C214">
            <v>239.5</v>
          </cell>
          <cell r="D214">
            <v>213</v>
          </cell>
          <cell r="E214">
            <v>195</v>
          </cell>
          <cell r="F214">
            <v>216</v>
          </cell>
          <cell r="G214">
            <v>213</v>
          </cell>
          <cell r="H214">
            <v>143</v>
          </cell>
          <cell r="J214">
            <v>167</v>
          </cell>
          <cell r="AH214">
            <v>1386.5</v>
          </cell>
        </row>
        <row r="215">
          <cell r="B215">
            <v>81.5</v>
          </cell>
          <cell r="C215">
            <v>197.5</v>
          </cell>
          <cell r="D215">
            <v>193.5</v>
          </cell>
          <cell r="E215">
            <v>178.5</v>
          </cell>
          <cell r="F215">
            <v>223.5</v>
          </cell>
          <cell r="G215">
            <v>224.5</v>
          </cell>
          <cell r="H215">
            <v>151.5</v>
          </cell>
          <cell r="J215">
            <v>139.5</v>
          </cell>
          <cell r="AH215">
            <v>1308.5</v>
          </cell>
        </row>
        <row r="216">
          <cell r="B216">
            <v>82.5</v>
          </cell>
          <cell r="C216">
            <v>419</v>
          </cell>
          <cell r="D216">
            <v>252.4</v>
          </cell>
          <cell r="E216">
            <v>432.6</v>
          </cell>
          <cell r="F216">
            <v>300</v>
          </cell>
          <cell r="G216">
            <v>268</v>
          </cell>
          <cell r="H216">
            <v>185</v>
          </cell>
          <cell r="J216">
            <v>209</v>
          </cell>
          <cell r="AH216">
            <v>2066</v>
          </cell>
        </row>
        <row r="217">
          <cell r="D217">
            <v>99.5</v>
          </cell>
          <cell r="E217">
            <v>84.5</v>
          </cell>
          <cell r="F217">
            <v>96.5</v>
          </cell>
          <cell r="G217">
            <v>118</v>
          </cell>
          <cell r="H217">
            <v>111.5</v>
          </cell>
          <cell r="J217">
            <v>105.5</v>
          </cell>
        </row>
        <row r="218">
          <cell r="B218">
            <v>50.5</v>
          </cell>
          <cell r="C218">
            <v>94.5</v>
          </cell>
          <cell r="D218">
            <v>179</v>
          </cell>
          <cell r="E218">
            <v>84.5</v>
          </cell>
          <cell r="F218">
            <v>76.5</v>
          </cell>
          <cell r="G218">
            <v>102.5</v>
          </cell>
          <cell r="H218">
            <v>63</v>
          </cell>
          <cell r="J218">
            <v>69</v>
          </cell>
          <cell r="AH218">
            <v>669</v>
          </cell>
        </row>
        <row r="219">
          <cell r="B219">
            <v>136.6</v>
          </cell>
          <cell r="C219">
            <v>175.5</v>
          </cell>
          <cell r="D219">
            <v>21</v>
          </cell>
          <cell r="E219">
            <v>72</v>
          </cell>
          <cell r="F219">
            <v>19</v>
          </cell>
          <cell r="G219">
            <v>20</v>
          </cell>
          <cell r="H219">
            <v>19</v>
          </cell>
          <cell r="J219">
            <v>16.5</v>
          </cell>
          <cell r="AH219">
            <v>343</v>
          </cell>
        </row>
        <row r="220">
          <cell r="B220">
            <v>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J220">
            <v>0</v>
          </cell>
          <cell r="AH220">
            <v>0</v>
          </cell>
        </row>
        <row r="221">
          <cell r="B221">
            <v>9.4</v>
          </cell>
          <cell r="C221">
            <v>22.6</v>
          </cell>
          <cell r="D221">
            <v>20.8</v>
          </cell>
          <cell r="E221">
            <v>16</v>
          </cell>
          <cell r="F221">
            <v>20.399999999999999</v>
          </cell>
          <cell r="G221">
            <v>19.3</v>
          </cell>
          <cell r="H221">
            <v>13.3</v>
          </cell>
          <cell r="J221">
            <v>14.5</v>
          </cell>
          <cell r="AH221">
            <v>126.9</v>
          </cell>
        </row>
        <row r="222">
          <cell r="B222">
            <v>33.4</v>
          </cell>
          <cell r="C222">
            <v>87.5</v>
          </cell>
          <cell r="D222">
            <v>77</v>
          </cell>
          <cell r="E222">
            <v>72</v>
          </cell>
          <cell r="F222">
            <v>74.5</v>
          </cell>
          <cell r="G222">
            <v>66.5</v>
          </cell>
          <cell r="H222">
            <v>54.5</v>
          </cell>
          <cell r="J222">
            <v>50.2</v>
          </cell>
          <cell r="AH222">
            <v>482.2</v>
          </cell>
        </row>
        <row r="223">
          <cell r="B223">
            <v>3.4</v>
          </cell>
          <cell r="C223">
            <v>11.5</v>
          </cell>
          <cell r="D223">
            <v>15</v>
          </cell>
          <cell r="E223">
            <v>22</v>
          </cell>
          <cell r="F223">
            <v>21.5</v>
          </cell>
          <cell r="G223">
            <v>19</v>
          </cell>
          <cell r="H223">
            <v>13.4</v>
          </cell>
          <cell r="J223">
            <v>14.5</v>
          </cell>
          <cell r="AH223">
            <v>116.9</v>
          </cell>
        </row>
        <row r="224">
          <cell r="B224">
            <v>7.5</v>
          </cell>
          <cell r="C224">
            <v>21.5</v>
          </cell>
          <cell r="D224">
            <v>18.5</v>
          </cell>
          <cell r="E224">
            <v>18.5</v>
          </cell>
          <cell r="F224">
            <v>17</v>
          </cell>
          <cell r="G224">
            <v>20</v>
          </cell>
          <cell r="H224">
            <v>14</v>
          </cell>
          <cell r="J224">
            <v>13.5</v>
          </cell>
          <cell r="AH224">
            <v>123</v>
          </cell>
        </row>
        <row r="225">
          <cell r="B225">
            <v>22.5</v>
          </cell>
          <cell r="C225">
            <v>43.5</v>
          </cell>
          <cell r="D225">
            <v>40</v>
          </cell>
          <cell r="E225">
            <v>37.5</v>
          </cell>
          <cell r="F225">
            <v>40.5</v>
          </cell>
          <cell r="G225">
            <v>41</v>
          </cell>
          <cell r="H225">
            <v>22</v>
          </cell>
          <cell r="J225">
            <v>26.5</v>
          </cell>
          <cell r="AH225">
            <v>251</v>
          </cell>
        </row>
        <row r="226">
          <cell r="B226">
            <v>0</v>
          </cell>
          <cell r="C226">
            <v>8.6</v>
          </cell>
          <cell r="D226">
            <v>13</v>
          </cell>
          <cell r="E226">
            <v>5</v>
          </cell>
          <cell r="F226">
            <v>11</v>
          </cell>
          <cell r="G226">
            <v>19</v>
          </cell>
          <cell r="H226">
            <v>11</v>
          </cell>
          <cell r="J226">
            <v>13</v>
          </cell>
          <cell r="AH226">
            <v>80.599999999999994</v>
          </cell>
        </row>
        <row r="227">
          <cell r="B227">
            <v>0</v>
          </cell>
          <cell r="C227">
            <v>7</v>
          </cell>
          <cell r="D227">
            <v>15.5</v>
          </cell>
          <cell r="E227">
            <v>8.5</v>
          </cell>
          <cell r="F227">
            <v>33</v>
          </cell>
          <cell r="G227">
            <v>35</v>
          </cell>
          <cell r="H227">
            <v>26</v>
          </cell>
          <cell r="J227">
            <v>20</v>
          </cell>
          <cell r="AH227">
            <v>145</v>
          </cell>
        </row>
        <row r="228">
          <cell r="B228">
            <v>0</v>
          </cell>
          <cell r="C228">
            <v>13</v>
          </cell>
          <cell r="D228">
            <v>28.5</v>
          </cell>
          <cell r="E228">
            <v>36</v>
          </cell>
          <cell r="F228">
            <v>0</v>
          </cell>
          <cell r="G228">
            <v>0</v>
          </cell>
          <cell r="H228">
            <v>0</v>
          </cell>
          <cell r="J228">
            <v>0</v>
          </cell>
          <cell r="AH228">
            <v>77.5</v>
          </cell>
        </row>
        <row r="229">
          <cell r="B229">
            <v>11</v>
          </cell>
          <cell r="C229">
            <v>22</v>
          </cell>
          <cell r="D229">
            <v>758.7</v>
          </cell>
          <cell r="E229">
            <v>24.2</v>
          </cell>
          <cell r="F229">
            <v>12.8</v>
          </cell>
          <cell r="G229">
            <v>0</v>
          </cell>
          <cell r="H229">
            <v>0</v>
          </cell>
          <cell r="J229">
            <v>17</v>
          </cell>
          <cell r="AH229">
            <v>834.7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B243">
            <v>587.09999999999991</v>
          </cell>
          <cell r="C243">
            <v>1465.1</v>
          </cell>
          <cell r="D243">
            <v>2045.2</v>
          </cell>
          <cell r="E243">
            <v>1375.7</v>
          </cell>
          <cell r="F243">
            <v>1239.8</v>
          </cell>
          <cell r="G243">
            <v>1238.4000000000001</v>
          </cell>
          <cell r="H243">
            <v>862.3</v>
          </cell>
          <cell r="I243">
            <v>0</v>
          </cell>
          <cell r="J243">
            <v>915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8526</v>
          </cell>
        </row>
        <row r="247">
          <cell r="B247">
            <v>38776</v>
          </cell>
          <cell r="C247">
            <v>38777</v>
          </cell>
          <cell r="D247">
            <v>38778</v>
          </cell>
          <cell r="E247">
            <v>38779</v>
          </cell>
          <cell r="F247">
            <v>38780</v>
          </cell>
          <cell r="G247">
            <v>38781</v>
          </cell>
          <cell r="H247">
            <v>38782</v>
          </cell>
          <cell r="I247">
            <v>38783</v>
          </cell>
          <cell r="J247">
            <v>38784</v>
          </cell>
          <cell r="K247">
            <v>38785</v>
          </cell>
          <cell r="L247">
            <v>38786</v>
          </cell>
          <cell r="M247">
            <v>38787</v>
          </cell>
          <cell r="N247">
            <v>38788</v>
          </cell>
          <cell r="O247">
            <v>38789</v>
          </cell>
          <cell r="P247">
            <v>38790</v>
          </cell>
          <cell r="Q247">
            <v>38791</v>
          </cell>
          <cell r="R247">
            <v>38792</v>
          </cell>
          <cell r="S247">
            <v>38793</v>
          </cell>
          <cell r="T247">
            <v>38794</v>
          </cell>
          <cell r="U247">
            <v>38795</v>
          </cell>
          <cell r="V247">
            <v>38796</v>
          </cell>
          <cell r="W247">
            <v>38797</v>
          </cell>
          <cell r="X247">
            <v>38798</v>
          </cell>
          <cell r="Y247">
            <v>38799</v>
          </cell>
          <cell r="Z247">
            <v>38800</v>
          </cell>
          <cell r="AA247">
            <v>38801</v>
          </cell>
          <cell r="AB247">
            <v>38802</v>
          </cell>
          <cell r="AC247">
            <v>38803</v>
          </cell>
          <cell r="AD247">
            <v>38804</v>
          </cell>
          <cell r="AE247">
            <v>38805</v>
          </cell>
          <cell r="AF247">
            <v>38806</v>
          </cell>
          <cell r="AG247">
            <v>38807</v>
          </cell>
        </row>
        <row r="248">
          <cell r="B248">
            <v>377.51091703056773</v>
          </cell>
          <cell r="C248">
            <v>180.5691854759568</v>
          </cell>
          <cell r="D248">
            <v>169.52900347050075</v>
          </cell>
          <cell r="E248">
            <v>154.17412250516173</v>
          </cell>
          <cell r="F248">
            <v>159.87778381314502</v>
          </cell>
          <cell r="G248">
            <v>164.21733212341195</v>
          </cell>
          <cell r="H248">
            <v>165.1796595923513</v>
          </cell>
          <cell r="I248">
            <v>187.05820550535825</v>
          </cell>
          <cell r="J248">
            <v>186.02096273291923</v>
          </cell>
          <cell r="K248">
            <v>203.99844720496893</v>
          </cell>
          <cell r="L248">
            <v>211.39169254658384</v>
          </cell>
          <cell r="M248">
            <v>229.72826086956519</v>
          </cell>
          <cell r="N248">
            <v>229.72826086956519</v>
          </cell>
          <cell r="O248">
            <v>229.72826086956519</v>
          </cell>
          <cell r="P248">
            <v>229.72826086956519</v>
          </cell>
          <cell r="Q248">
            <v>229.72826086956519</v>
          </cell>
          <cell r="R248">
            <v>229.72826086956519</v>
          </cell>
          <cell r="S248">
            <v>229.72826086956519</v>
          </cell>
          <cell r="T248">
            <v>229.72826086956519</v>
          </cell>
          <cell r="U248">
            <v>229.72826086956519</v>
          </cell>
          <cell r="V248">
            <v>229.72826086956519</v>
          </cell>
          <cell r="W248">
            <v>229.72826086956519</v>
          </cell>
          <cell r="X248">
            <v>229.72826086956519</v>
          </cell>
          <cell r="Y248">
            <v>229.72826086956519</v>
          </cell>
          <cell r="Z248">
            <v>229.72826086956519</v>
          </cell>
          <cell r="AA248">
            <v>229.72826086956519</v>
          </cell>
          <cell r="AB248">
            <v>229.72826086956519</v>
          </cell>
          <cell r="AC248">
            <v>229.72826086956519</v>
          </cell>
          <cell r="AD248">
            <v>229.72826086956519</v>
          </cell>
          <cell r="AE248">
            <v>229.72826086956519</v>
          </cell>
          <cell r="AF248">
            <v>229.72826086956519</v>
          </cell>
          <cell r="AG248">
            <v>229.72826086956519</v>
          </cell>
        </row>
        <row r="249">
          <cell r="B249">
            <v>30.354166666666668</v>
          </cell>
          <cell r="C249">
            <v>94.647181628392488</v>
          </cell>
          <cell r="D249">
            <v>93.772375690607731</v>
          </cell>
          <cell r="E249">
            <v>90.245559845559839</v>
          </cell>
          <cell r="F249">
            <v>97.839027214823389</v>
          </cell>
          <cell r="G249">
            <v>93.014398513701806</v>
          </cell>
          <cell r="H249">
            <v>92.718327183271839</v>
          </cell>
          <cell r="I249">
            <v>112.25338253382535</v>
          </cell>
          <cell r="J249">
            <v>110.49332852506311</v>
          </cell>
          <cell r="K249">
            <v>120.80129823296069</v>
          </cell>
          <cell r="L249">
            <v>130.22863324918862</v>
          </cell>
          <cell r="M249">
            <v>148.22142084385143</v>
          </cell>
          <cell r="N249">
            <v>148.22142084385143</v>
          </cell>
          <cell r="O249">
            <v>148.22142084385143</v>
          </cell>
          <cell r="P249">
            <v>148.22142084385143</v>
          </cell>
          <cell r="Q249">
            <v>148.22142084385143</v>
          </cell>
          <cell r="R249">
            <v>148.22142084385143</v>
          </cell>
          <cell r="S249">
            <v>148.22142084385143</v>
          </cell>
          <cell r="T249">
            <v>148.22142084385143</v>
          </cell>
          <cell r="U249">
            <v>148.22142084385143</v>
          </cell>
          <cell r="V249">
            <v>148.22142084385143</v>
          </cell>
          <cell r="W249">
            <v>148.22142084385143</v>
          </cell>
          <cell r="X249">
            <v>148.22142084385143</v>
          </cell>
          <cell r="Y249">
            <v>148.22142084385143</v>
          </cell>
          <cell r="Z249">
            <v>148.22142084385143</v>
          </cell>
          <cell r="AA249">
            <v>148.22142084385143</v>
          </cell>
          <cell r="AB249">
            <v>148.22142084385143</v>
          </cell>
          <cell r="AC249">
            <v>148.22142084385143</v>
          </cell>
          <cell r="AD249">
            <v>148.22142084385143</v>
          </cell>
          <cell r="AE249">
            <v>148.22142084385143</v>
          </cell>
          <cell r="AF249">
            <v>148.22142084385143</v>
          </cell>
          <cell r="AG249">
            <v>148.22142084385143</v>
          </cell>
        </row>
        <row r="250">
          <cell r="B250">
            <v>220.85889570552146</v>
          </cell>
          <cell r="C250">
            <v>93.681012658227843</v>
          </cell>
          <cell r="D250">
            <v>89.792838874680314</v>
          </cell>
          <cell r="E250">
            <v>84.704126426690081</v>
          </cell>
          <cell r="F250">
            <v>88.52459016393442</v>
          </cell>
          <cell r="G250">
            <v>88.313513513513513</v>
          </cell>
          <cell r="H250">
            <v>88.536355859709147</v>
          </cell>
          <cell r="I250">
            <v>105.61248930710009</v>
          </cell>
          <cell r="J250">
            <v>104.42797095911349</v>
          </cell>
          <cell r="K250">
            <v>113.83721818876576</v>
          </cell>
          <cell r="L250">
            <v>121.75238823079863</v>
          </cell>
          <cell r="M250">
            <v>137.82269774551011</v>
          </cell>
          <cell r="N250">
            <v>137.82269774551011</v>
          </cell>
          <cell r="O250">
            <v>137.82269774551011</v>
          </cell>
          <cell r="P250">
            <v>137.82269774551011</v>
          </cell>
          <cell r="Q250">
            <v>137.82269774551011</v>
          </cell>
          <cell r="R250">
            <v>137.82269774551011</v>
          </cell>
          <cell r="S250">
            <v>137.82269774551011</v>
          </cell>
          <cell r="T250">
            <v>137.82269774551011</v>
          </cell>
          <cell r="U250">
            <v>137.82269774551011</v>
          </cell>
          <cell r="V250">
            <v>137.82269774551011</v>
          </cell>
          <cell r="W250">
            <v>137.82269774551011</v>
          </cell>
          <cell r="X250">
            <v>137.82269774551011</v>
          </cell>
          <cell r="Y250">
            <v>137.82269774551011</v>
          </cell>
          <cell r="Z250">
            <v>137.82269774551011</v>
          </cell>
          <cell r="AA250">
            <v>137.82269774551011</v>
          </cell>
          <cell r="AB250">
            <v>137.82269774551011</v>
          </cell>
          <cell r="AC250">
            <v>137.82269774551011</v>
          </cell>
          <cell r="AD250">
            <v>137.82269774551011</v>
          </cell>
          <cell r="AE250">
            <v>137.82269774551011</v>
          </cell>
          <cell r="AF250">
            <v>137.82269774551011</v>
          </cell>
          <cell r="AG250">
            <v>137.82269774551011</v>
          </cell>
        </row>
        <row r="251">
          <cell r="B251">
            <v>660.76363636363635</v>
          </cell>
          <cell r="C251">
            <v>71.718377088305488</v>
          </cell>
          <cell r="D251">
            <v>78.547810545129579</v>
          </cell>
          <cell r="E251">
            <v>64.468297101449281</v>
          </cell>
          <cell r="F251">
            <v>71.834757834757838</v>
          </cell>
          <cell r="G251">
            <v>73.546052631578945</v>
          </cell>
          <cell r="H251">
            <v>75.873451803984921</v>
          </cell>
          <cell r="I251">
            <v>90.333333333333329</v>
          </cell>
          <cell r="J251">
            <v>90.162149080348499</v>
          </cell>
          <cell r="K251">
            <v>96.955469506292346</v>
          </cell>
          <cell r="L251">
            <v>104.89351403678606</v>
          </cell>
          <cell r="M251">
            <v>117.84123910939013</v>
          </cell>
          <cell r="N251">
            <v>117.84123910939013</v>
          </cell>
          <cell r="O251">
            <v>117.84123910939013</v>
          </cell>
          <cell r="P251">
            <v>117.84123910939013</v>
          </cell>
          <cell r="Q251">
            <v>117.84123910939013</v>
          </cell>
          <cell r="R251">
            <v>117.84123910939013</v>
          </cell>
          <cell r="S251">
            <v>117.84123910939013</v>
          </cell>
          <cell r="T251">
            <v>117.84123910939013</v>
          </cell>
          <cell r="U251">
            <v>117.84123910939013</v>
          </cell>
          <cell r="V251">
            <v>117.84123910939013</v>
          </cell>
          <cell r="W251">
            <v>117.84123910939013</v>
          </cell>
          <cell r="X251">
            <v>117.84123910939013</v>
          </cell>
          <cell r="Y251">
            <v>117.84123910939013</v>
          </cell>
          <cell r="Z251">
            <v>117.84123910939013</v>
          </cell>
          <cell r="AA251">
            <v>117.84123910939013</v>
          </cell>
          <cell r="AB251">
            <v>117.84123910939013</v>
          </cell>
          <cell r="AC251">
            <v>117.84123910939013</v>
          </cell>
          <cell r="AD251">
            <v>117.84123910939013</v>
          </cell>
          <cell r="AE251">
            <v>117.84123910939013</v>
          </cell>
          <cell r="AF251">
            <v>117.84123910939013</v>
          </cell>
          <cell r="AG251">
            <v>117.84123910939013</v>
          </cell>
        </row>
        <row r="252">
          <cell r="B252">
            <v>0</v>
          </cell>
          <cell r="C252">
            <v>0</v>
          </cell>
          <cell r="D252">
            <v>181.11557788944722</v>
          </cell>
          <cell r="E252">
            <v>132.28804347826087</v>
          </cell>
          <cell r="F252">
            <v>120.23529411764706</v>
          </cell>
          <cell r="G252">
            <v>109.59347553324969</v>
          </cell>
          <cell r="H252">
            <v>95.698039215686279</v>
          </cell>
          <cell r="I252">
            <v>118.09411764705882</v>
          </cell>
          <cell r="J252">
            <v>106.85296506904956</v>
          </cell>
          <cell r="K252">
            <v>114.96181965881397</v>
          </cell>
          <cell r="L252">
            <v>122.64012997562956</v>
          </cell>
          <cell r="M252">
            <v>137.62632006498782</v>
          </cell>
          <cell r="N252">
            <v>137.62632006498782</v>
          </cell>
          <cell r="O252">
            <v>137.62632006498782</v>
          </cell>
          <cell r="P252">
            <v>137.62632006498782</v>
          </cell>
          <cell r="Q252">
            <v>137.62632006498782</v>
          </cell>
          <cell r="R252">
            <v>137.62632006498782</v>
          </cell>
          <cell r="S252">
            <v>137.62632006498782</v>
          </cell>
          <cell r="T252">
            <v>137.62632006498782</v>
          </cell>
          <cell r="U252">
            <v>137.62632006498782</v>
          </cell>
          <cell r="V252">
            <v>137.62632006498782</v>
          </cell>
          <cell r="W252">
            <v>137.62632006498782</v>
          </cell>
          <cell r="X252">
            <v>137.62632006498782</v>
          </cell>
          <cell r="Y252">
            <v>137.62632006498782</v>
          </cell>
          <cell r="Z252">
            <v>137.62632006498782</v>
          </cell>
          <cell r="AA252">
            <v>137.62632006498782</v>
          </cell>
          <cell r="AB252">
            <v>137.62632006498782</v>
          </cell>
          <cell r="AC252">
            <v>137.62632006498782</v>
          </cell>
          <cell r="AD252">
            <v>137.62632006498782</v>
          </cell>
          <cell r="AE252">
            <v>137.62632006498782</v>
          </cell>
          <cell r="AF252">
            <v>137.62632006498782</v>
          </cell>
          <cell r="AG252">
            <v>137.62632006498782</v>
          </cell>
        </row>
        <row r="253">
          <cell r="B253">
            <v>50.990099009900987</v>
          </cell>
          <cell r="C253">
            <v>30.984126984126984</v>
          </cell>
          <cell r="D253">
            <v>20.376599634369288</v>
          </cell>
          <cell r="E253">
            <v>22.645251396648046</v>
          </cell>
          <cell r="F253">
            <v>24.170310701956272</v>
          </cell>
          <cell r="G253">
            <v>24.305400372439479</v>
          </cell>
          <cell r="H253">
            <v>26.426666666666666</v>
          </cell>
          <cell r="I253">
            <v>30.934999999999999</v>
          </cell>
          <cell r="J253">
            <v>31.269058295964125</v>
          </cell>
          <cell r="K253">
            <v>34.034379671150973</v>
          </cell>
          <cell r="L253">
            <v>37.147982062780272</v>
          </cell>
          <cell r="M253">
            <v>41.058295964125563</v>
          </cell>
          <cell r="N253">
            <v>41.058295964125563</v>
          </cell>
          <cell r="O253">
            <v>41.058295964125563</v>
          </cell>
          <cell r="P253">
            <v>41.058295964125563</v>
          </cell>
          <cell r="Q253">
            <v>41.058295964125563</v>
          </cell>
          <cell r="R253">
            <v>41.058295964125563</v>
          </cell>
          <cell r="S253">
            <v>41.058295964125563</v>
          </cell>
          <cell r="T253">
            <v>41.058295964125563</v>
          </cell>
          <cell r="U253">
            <v>41.058295964125563</v>
          </cell>
          <cell r="V253">
            <v>41.058295964125563</v>
          </cell>
          <cell r="W253">
            <v>41.058295964125563</v>
          </cell>
          <cell r="X253">
            <v>41.058295964125563</v>
          </cell>
          <cell r="Y253">
            <v>41.058295964125563</v>
          </cell>
          <cell r="Z253">
            <v>41.058295964125563</v>
          </cell>
          <cell r="AA253">
            <v>41.058295964125563</v>
          </cell>
          <cell r="AB253">
            <v>41.058295964125563</v>
          </cell>
          <cell r="AC253">
            <v>41.058295964125563</v>
          </cell>
          <cell r="AD253">
            <v>41.058295964125563</v>
          </cell>
          <cell r="AE253">
            <v>41.058295964125563</v>
          </cell>
          <cell r="AF253">
            <v>41.058295964125563</v>
          </cell>
          <cell r="AG253">
            <v>41.058295964125563</v>
          </cell>
        </row>
        <row r="254">
          <cell r="B254">
            <v>52.642752562225475</v>
          </cell>
          <cell r="C254">
            <v>43.509971509971507</v>
          </cell>
          <cell r="D254">
            <v>79.659033078880412</v>
          </cell>
          <cell r="E254">
            <v>84.152700186219732</v>
          </cell>
          <cell r="F254">
            <v>105.24173913043478</v>
          </cell>
          <cell r="G254">
            <v>127.21300813008131</v>
          </cell>
          <cell r="H254">
            <v>149.72128637059726</v>
          </cell>
          <cell r="I254">
            <v>174.87901990811639</v>
          </cell>
          <cell r="J254">
            <v>190.03498542274053</v>
          </cell>
          <cell r="K254">
            <v>208.74635568513119</v>
          </cell>
          <cell r="L254">
            <v>229.85131195335276</v>
          </cell>
          <cell r="M254">
            <v>257.18950437317784</v>
          </cell>
          <cell r="N254">
            <v>257.18950437317784</v>
          </cell>
          <cell r="O254">
            <v>257.18950437317784</v>
          </cell>
          <cell r="P254">
            <v>257.18950437317784</v>
          </cell>
          <cell r="Q254">
            <v>257.18950437317784</v>
          </cell>
          <cell r="R254">
            <v>257.18950437317784</v>
          </cell>
          <cell r="S254">
            <v>257.18950437317784</v>
          </cell>
          <cell r="T254">
            <v>257.18950437317784</v>
          </cell>
          <cell r="U254">
            <v>257.18950437317784</v>
          </cell>
          <cell r="V254">
            <v>257.18950437317784</v>
          </cell>
          <cell r="W254">
            <v>257.18950437317784</v>
          </cell>
          <cell r="X254">
            <v>257.18950437317784</v>
          </cell>
          <cell r="Y254">
            <v>257.18950437317784</v>
          </cell>
          <cell r="Z254">
            <v>257.18950437317784</v>
          </cell>
          <cell r="AA254">
            <v>257.18950437317784</v>
          </cell>
          <cell r="AB254">
            <v>257.18950437317784</v>
          </cell>
          <cell r="AC254">
            <v>257.18950437317784</v>
          </cell>
          <cell r="AD254">
            <v>257.18950437317784</v>
          </cell>
          <cell r="AE254">
            <v>257.18950437317784</v>
          </cell>
          <cell r="AF254">
            <v>257.18950437317784</v>
          </cell>
          <cell r="AG254">
            <v>257.18950437317784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</row>
        <row r="256">
          <cell r="B256">
            <v>663.61702127659566</v>
          </cell>
          <cell r="C256">
            <v>312.65486725663715</v>
          </cell>
          <cell r="D256">
            <v>309.23963133640547</v>
          </cell>
          <cell r="E256">
            <v>296.98653198653199</v>
          </cell>
          <cell r="F256">
            <v>308.55889724310771</v>
          </cell>
          <cell r="G256">
            <v>307.63874873864779</v>
          </cell>
          <cell r="H256">
            <v>308.14946619217079</v>
          </cell>
          <cell r="I256">
            <v>368.49644128113874</v>
          </cell>
          <cell r="J256">
            <v>356.54058313632783</v>
          </cell>
          <cell r="K256">
            <v>405.25610717100079</v>
          </cell>
          <cell r="L256">
            <v>435.09850275807719</v>
          </cell>
          <cell r="M256">
            <v>486.42237982663511</v>
          </cell>
          <cell r="N256">
            <v>486.42237982663511</v>
          </cell>
          <cell r="O256">
            <v>486.42237982663511</v>
          </cell>
          <cell r="P256">
            <v>486.42237982663511</v>
          </cell>
          <cell r="Q256">
            <v>486.42237982663511</v>
          </cell>
          <cell r="R256">
            <v>486.42237982663511</v>
          </cell>
          <cell r="S256">
            <v>486.42237982663511</v>
          </cell>
          <cell r="T256">
            <v>486.42237982663511</v>
          </cell>
          <cell r="U256">
            <v>486.42237982663511</v>
          </cell>
          <cell r="V256">
            <v>486.42237982663511</v>
          </cell>
          <cell r="W256">
            <v>486.42237982663511</v>
          </cell>
          <cell r="X256">
            <v>486.42237982663511</v>
          </cell>
          <cell r="Y256">
            <v>486.42237982663511</v>
          </cell>
          <cell r="Z256">
            <v>486.42237982663511</v>
          </cell>
          <cell r="AA256">
            <v>486.42237982663511</v>
          </cell>
          <cell r="AB256">
            <v>486.42237982663511</v>
          </cell>
          <cell r="AC256">
            <v>486.42237982663511</v>
          </cell>
          <cell r="AD256">
            <v>486.42237982663511</v>
          </cell>
          <cell r="AE256">
            <v>486.42237982663511</v>
          </cell>
          <cell r="AF256">
            <v>486.42237982663511</v>
          </cell>
          <cell r="AG256">
            <v>486.42237982663511</v>
          </cell>
        </row>
        <row r="257">
          <cell r="B257">
            <v>464.43113772455092</v>
          </cell>
          <cell r="C257">
            <v>209.28</v>
          </cell>
          <cell r="D257">
            <v>208.36474164133739</v>
          </cell>
          <cell r="E257">
            <v>198.10993657505284</v>
          </cell>
          <cell r="F257">
            <v>211.74598070739549</v>
          </cell>
          <cell r="G257">
            <v>208.74966887417219</v>
          </cell>
          <cell r="H257">
            <v>206.6435185185185</v>
          </cell>
          <cell r="I257">
            <v>243.02083333333334</v>
          </cell>
          <cell r="J257">
            <v>238.08378266279553</v>
          </cell>
          <cell r="K257">
            <v>254.75321443384487</v>
          </cell>
          <cell r="L257">
            <v>272.29780174201579</v>
          </cell>
          <cell r="M257">
            <v>299.91497304023227</v>
          </cell>
          <cell r="N257">
            <v>299.91497304023227</v>
          </cell>
          <cell r="O257">
            <v>299.91497304023227</v>
          </cell>
          <cell r="P257">
            <v>299.91497304023227</v>
          </cell>
          <cell r="Q257">
            <v>299.91497304023227</v>
          </cell>
          <cell r="R257">
            <v>299.91497304023227</v>
          </cell>
          <cell r="S257">
            <v>299.91497304023227</v>
          </cell>
          <cell r="T257">
            <v>299.91497304023227</v>
          </cell>
          <cell r="U257">
            <v>299.91497304023227</v>
          </cell>
          <cell r="V257">
            <v>299.91497304023227</v>
          </cell>
          <cell r="W257">
            <v>299.91497304023227</v>
          </cell>
          <cell r="X257">
            <v>299.91497304023227</v>
          </cell>
          <cell r="Y257">
            <v>299.91497304023227</v>
          </cell>
          <cell r="Z257">
            <v>299.91497304023227</v>
          </cell>
          <cell r="AA257">
            <v>299.91497304023227</v>
          </cell>
          <cell r="AB257">
            <v>299.91497304023227</v>
          </cell>
          <cell r="AC257">
            <v>299.91497304023227</v>
          </cell>
          <cell r="AD257">
            <v>299.91497304023227</v>
          </cell>
          <cell r="AE257">
            <v>299.91497304023227</v>
          </cell>
          <cell r="AF257">
            <v>299.91497304023227</v>
          </cell>
          <cell r="AG257">
            <v>299.91497304023227</v>
          </cell>
        </row>
        <row r="258">
          <cell r="B258">
            <v>632.05882352941182</v>
          </cell>
          <cell r="C258">
            <v>100.69565217391305</v>
          </cell>
          <cell r="D258">
            <v>92.981132075471692</v>
          </cell>
          <cell r="E258">
            <v>86.226804123711347</v>
          </cell>
          <cell r="F258">
            <v>94.128571428571433</v>
          </cell>
          <cell r="G258">
            <v>93.516853932584269</v>
          </cell>
          <cell r="H258">
            <v>93.3203125</v>
          </cell>
          <cell r="I258">
            <v>111.50390625</v>
          </cell>
          <cell r="J258">
            <v>109.56372968349015</v>
          </cell>
          <cell r="K258">
            <v>125.24379811804961</v>
          </cell>
          <cell r="L258">
            <v>134.9957228400342</v>
          </cell>
          <cell r="M258">
            <v>153.49871685201026</v>
          </cell>
          <cell r="N258">
            <v>153.49871685201026</v>
          </cell>
          <cell r="O258">
            <v>153.49871685201026</v>
          </cell>
          <cell r="P258">
            <v>153.49871685201026</v>
          </cell>
          <cell r="Q258">
            <v>153.49871685201026</v>
          </cell>
          <cell r="R258">
            <v>153.49871685201026</v>
          </cell>
          <cell r="S258">
            <v>153.49871685201026</v>
          </cell>
          <cell r="T258">
            <v>153.49871685201026</v>
          </cell>
          <cell r="U258">
            <v>153.49871685201026</v>
          </cell>
          <cell r="V258">
            <v>153.49871685201026</v>
          </cell>
          <cell r="W258">
            <v>153.49871685201026</v>
          </cell>
          <cell r="X258">
            <v>153.49871685201026</v>
          </cell>
          <cell r="Y258">
            <v>153.49871685201026</v>
          </cell>
          <cell r="Z258">
            <v>153.49871685201026</v>
          </cell>
          <cell r="AA258">
            <v>153.49871685201026</v>
          </cell>
          <cell r="AB258">
            <v>153.49871685201026</v>
          </cell>
          <cell r="AC258">
            <v>153.49871685201026</v>
          </cell>
          <cell r="AD258">
            <v>153.49871685201026</v>
          </cell>
          <cell r="AE258">
            <v>153.49871685201026</v>
          </cell>
          <cell r="AF258">
            <v>153.49871685201026</v>
          </cell>
          <cell r="AG258">
            <v>153.49871685201026</v>
          </cell>
        </row>
        <row r="259">
          <cell r="B259">
            <v>419.2</v>
          </cell>
          <cell r="C259">
            <v>173.76744186046511</v>
          </cell>
          <cell r="D259">
            <v>167.95</v>
          </cell>
          <cell r="E259">
            <v>160.05128205128204</v>
          </cell>
          <cell r="F259">
            <v>164.52980132450332</v>
          </cell>
          <cell r="G259">
            <v>177.45549738219896</v>
          </cell>
          <cell r="H259">
            <v>178.1552511415525</v>
          </cell>
          <cell r="I259">
            <v>207.37899543378995</v>
          </cell>
          <cell r="J259">
            <v>204.08943089430895</v>
          </cell>
          <cell r="K259">
            <v>216.82113821138211</v>
          </cell>
          <cell r="L259">
            <v>235.14634146341464</v>
          </cell>
          <cell r="M259">
            <v>270.8130081300813</v>
          </cell>
          <cell r="N259">
            <v>270.8130081300813</v>
          </cell>
          <cell r="O259">
            <v>270.8130081300813</v>
          </cell>
          <cell r="P259">
            <v>270.8130081300813</v>
          </cell>
          <cell r="Q259">
            <v>270.8130081300813</v>
          </cell>
          <cell r="R259">
            <v>270.8130081300813</v>
          </cell>
          <cell r="S259">
            <v>270.8130081300813</v>
          </cell>
          <cell r="T259">
            <v>270.8130081300813</v>
          </cell>
          <cell r="U259">
            <v>270.8130081300813</v>
          </cell>
          <cell r="V259">
            <v>270.8130081300813</v>
          </cell>
          <cell r="W259">
            <v>270.8130081300813</v>
          </cell>
          <cell r="X259">
            <v>270.8130081300813</v>
          </cell>
          <cell r="Y259">
            <v>270.8130081300813</v>
          </cell>
          <cell r="Z259">
            <v>270.8130081300813</v>
          </cell>
          <cell r="AA259">
            <v>270.8130081300813</v>
          </cell>
          <cell r="AB259">
            <v>270.8130081300813</v>
          </cell>
          <cell r="AC259">
            <v>270.8130081300813</v>
          </cell>
          <cell r="AD259">
            <v>270.8130081300813</v>
          </cell>
          <cell r="AE259">
            <v>270.8130081300813</v>
          </cell>
          <cell r="AF259">
            <v>270.8130081300813</v>
          </cell>
          <cell r="AG259">
            <v>270.8130081300813</v>
          </cell>
        </row>
        <row r="260">
          <cell r="B260">
            <v>106.97777777777777</v>
          </cell>
          <cell r="C260">
            <v>79.218390804597703</v>
          </cell>
          <cell r="D260">
            <v>78.874251497005986</v>
          </cell>
          <cell r="E260">
            <v>72.487603305785129</v>
          </cell>
          <cell r="F260">
            <v>81.684210526315795</v>
          </cell>
          <cell r="G260">
            <v>77.397530864197535</v>
          </cell>
          <cell r="H260">
            <v>76.302895322939861</v>
          </cell>
          <cell r="I260">
            <v>90.708240534521153</v>
          </cell>
          <cell r="J260">
            <v>89.593625498007967</v>
          </cell>
          <cell r="K260">
            <v>101.0597609561753</v>
          </cell>
          <cell r="L260">
            <v>108.800796812749</v>
          </cell>
          <cell r="M260">
            <v>122.18725099601593</v>
          </cell>
          <cell r="N260">
            <v>122.18725099601593</v>
          </cell>
          <cell r="O260">
            <v>122.18725099601593</v>
          </cell>
          <cell r="P260">
            <v>122.18725099601593</v>
          </cell>
          <cell r="Q260">
            <v>122.18725099601593</v>
          </cell>
          <cell r="R260">
            <v>122.18725099601593</v>
          </cell>
          <cell r="S260">
            <v>122.18725099601593</v>
          </cell>
          <cell r="T260">
            <v>122.18725099601593</v>
          </cell>
          <cell r="U260">
            <v>122.18725099601593</v>
          </cell>
          <cell r="V260">
            <v>122.18725099601593</v>
          </cell>
          <cell r="W260">
            <v>122.18725099601593</v>
          </cell>
          <cell r="X260">
            <v>122.18725099601593</v>
          </cell>
          <cell r="Y260">
            <v>122.18725099601593</v>
          </cell>
          <cell r="Z260">
            <v>122.18725099601593</v>
          </cell>
          <cell r="AA260">
            <v>122.18725099601593</v>
          </cell>
          <cell r="AB260">
            <v>122.18725099601593</v>
          </cell>
          <cell r="AC260">
            <v>122.18725099601593</v>
          </cell>
          <cell r="AD260">
            <v>122.18725099601593</v>
          </cell>
          <cell r="AE260">
            <v>122.18725099601593</v>
          </cell>
          <cell r="AF260">
            <v>122.18725099601593</v>
          </cell>
          <cell r="AG260">
            <v>122.18725099601593</v>
          </cell>
        </row>
        <row r="261">
          <cell r="B261">
            <v>0</v>
          </cell>
          <cell r="C261">
            <v>49.069767441860471</v>
          </cell>
          <cell r="D261">
            <v>67.546296296296291</v>
          </cell>
          <cell r="E261">
            <v>66.428571428571431</v>
          </cell>
          <cell r="F261">
            <v>55.159574468085104</v>
          </cell>
          <cell r="G261">
            <v>52.014134275618375</v>
          </cell>
          <cell r="H261">
            <v>60.073964497041423</v>
          </cell>
          <cell r="I261">
            <v>73.269230769230774</v>
          </cell>
          <cell r="J261">
            <v>67.456575682382137</v>
          </cell>
          <cell r="K261">
            <v>73.970223325062037</v>
          </cell>
          <cell r="L261">
            <v>76.526054590570723</v>
          </cell>
          <cell r="M261">
            <v>85.434243176178668</v>
          </cell>
          <cell r="N261">
            <v>85.434243176178668</v>
          </cell>
          <cell r="O261">
            <v>85.434243176178668</v>
          </cell>
          <cell r="P261">
            <v>85.434243176178668</v>
          </cell>
          <cell r="Q261">
            <v>85.434243176178668</v>
          </cell>
          <cell r="R261">
            <v>85.434243176178668</v>
          </cell>
          <cell r="S261">
            <v>85.434243176178668</v>
          </cell>
          <cell r="T261">
            <v>85.434243176178668</v>
          </cell>
          <cell r="U261">
            <v>85.434243176178668</v>
          </cell>
          <cell r="V261">
            <v>85.434243176178668</v>
          </cell>
          <cell r="W261">
            <v>85.434243176178668</v>
          </cell>
          <cell r="X261">
            <v>85.434243176178668</v>
          </cell>
          <cell r="Y261">
            <v>85.434243176178668</v>
          </cell>
          <cell r="Z261">
            <v>85.434243176178668</v>
          </cell>
          <cell r="AA261">
            <v>85.434243176178668</v>
          </cell>
          <cell r="AB261">
            <v>85.434243176178668</v>
          </cell>
          <cell r="AC261">
            <v>85.434243176178668</v>
          </cell>
          <cell r="AD261">
            <v>85.434243176178668</v>
          </cell>
          <cell r="AE261">
            <v>85.434243176178668</v>
          </cell>
          <cell r="AF261">
            <v>85.434243176178668</v>
          </cell>
          <cell r="AG261">
            <v>85.434243176178668</v>
          </cell>
        </row>
        <row r="262">
          <cell r="B262">
            <v>0</v>
          </cell>
          <cell r="C262">
            <v>0</v>
          </cell>
          <cell r="D262">
            <v>31.68888888888889</v>
          </cell>
          <cell r="E262">
            <v>55.258064516129032</v>
          </cell>
          <cell r="F262">
            <v>31</v>
          </cell>
          <cell r="G262">
            <v>28.020202020202021</v>
          </cell>
          <cell r="H262">
            <v>22.192</v>
          </cell>
          <cell r="I262">
            <v>22.192</v>
          </cell>
          <cell r="J262">
            <v>19.131034482758622</v>
          </cell>
          <cell r="K262">
            <v>19.131034482758622</v>
          </cell>
          <cell r="L262">
            <v>19.131034482758622</v>
          </cell>
          <cell r="M262">
            <v>22.186206896551724</v>
          </cell>
          <cell r="N262">
            <v>22.186206896551724</v>
          </cell>
          <cell r="O262">
            <v>22.186206896551724</v>
          </cell>
          <cell r="P262">
            <v>22.186206896551724</v>
          </cell>
          <cell r="Q262">
            <v>22.186206896551724</v>
          </cell>
          <cell r="R262">
            <v>22.186206896551724</v>
          </cell>
          <cell r="S262">
            <v>22.186206896551724</v>
          </cell>
          <cell r="T262">
            <v>22.186206896551724</v>
          </cell>
          <cell r="U262">
            <v>22.186206896551724</v>
          </cell>
          <cell r="V262">
            <v>22.186206896551724</v>
          </cell>
          <cell r="W262">
            <v>22.186206896551724</v>
          </cell>
          <cell r="X262">
            <v>22.186206896551724</v>
          </cell>
          <cell r="Y262">
            <v>22.186206896551724</v>
          </cell>
          <cell r="Z262">
            <v>22.186206896551724</v>
          </cell>
          <cell r="AA262">
            <v>22.186206896551724</v>
          </cell>
          <cell r="AB262">
            <v>22.186206896551724</v>
          </cell>
          <cell r="AC262">
            <v>22.186206896551724</v>
          </cell>
          <cell r="AD262">
            <v>22.186206896551724</v>
          </cell>
          <cell r="AE262">
            <v>22.186206896551724</v>
          </cell>
          <cell r="AF262">
            <v>22.186206896551724</v>
          </cell>
          <cell r="AG262">
            <v>22.186206896551724</v>
          </cell>
        </row>
        <row r="263">
          <cell r="B263">
            <v>0</v>
          </cell>
          <cell r="C263">
            <v>43.692307692307693</v>
          </cell>
          <cell r="D263">
            <v>39.807228915662648</v>
          </cell>
          <cell r="E263">
            <v>28.890322580645162</v>
          </cell>
          <cell r="F263">
            <v>35.754838709677422</v>
          </cell>
          <cell r="G263">
            <v>49.445161290322581</v>
          </cell>
          <cell r="H263">
            <v>63.13548387096774</v>
          </cell>
          <cell r="I263">
            <v>78.374193548387098</v>
          </cell>
          <cell r="J263">
            <v>93.303225806451607</v>
          </cell>
          <cell r="K263">
            <v>104.15483870967742</v>
          </cell>
          <cell r="L263">
            <v>111.98709677419355</v>
          </cell>
          <cell r="M263">
            <v>118.30967741935484</v>
          </cell>
          <cell r="N263">
            <v>118.30967741935484</v>
          </cell>
          <cell r="O263">
            <v>118.30967741935484</v>
          </cell>
          <cell r="P263">
            <v>118.30967741935484</v>
          </cell>
          <cell r="Q263">
            <v>118.30967741935484</v>
          </cell>
          <cell r="R263">
            <v>118.30967741935484</v>
          </cell>
          <cell r="S263">
            <v>118.30967741935484</v>
          </cell>
          <cell r="T263">
            <v>118.30967741935484</v>
          </cell>
          <cell r="U263">
            <v>118.30967741935484</v>
          </cell>
          <cell r="V263">
            <v>118.30967741935484</v>
          </cell>
          <cell r="W263">
            <v>118.30967741935484</v>
          </cell>
          <cell r="X263">
            <v>118.30967741935484</v>
          </cell>
          <cell r="Y263">
            <v>118.30967741935484</v>
          </cell>
          <cell r="Z263">
            <v>118.30967741935484</v>
          </cell>
          <cell r="AA263">
            <v>118.30967741935484</v>
          </cell>
          <cell r="AB263">
            <v>118.30967741935484</v>
          </cell>
          <cell r="AC263">
            <v>118.30967741935484</v>
          </cell>
          <cell r="AD263">
            <v>118.30967741935484</v>
          </cell>
          <cell r="AE263">
            <v>118.30967741935484</v>
          </cell>
          <cell r="AF263">
            <v>118.30967741935484</v>
          </cell>
          <cell r="AG263">
            <v>118.30967741935484</v>
          </cell>
        </row>
        <row r="264">
          <cell r="B264">
            <v>84.181818181818187</v>
          </cell>
          <cell r="C264">
            <v>69.545454545454547</v>
          </cell>
          <cell r="D264">
            <v>3.7799410785192773</v>
          </cell>
          <cell r="E264">
            <v>5.2230090694496205</v>
          </cell>
          <cell r="F264">
            <v>6.7298520239696709</v>
          </cell>
          <cell r="G264">
            <v>6.7298520239696709</v>
          </cell>
          <cell r="H264">
            <v>6.7298520239696709</v>
          </cell>
          <cell r="I264">
            <v>7.9430108841873546</v>
          </cell>
          <cell r="J264">
            <v>8.0711632922007901</v>
          </cell>
          <cell r="K264">
            <v>9.1973164011021922</v>
          </cell>
          <cell r="L264">
            <v>10.600215646340002</v>
          </cell>
          <cell r="M264">
            <v>12.638073559362645</v>
          </cell>
          <cell r="N264">
            <v>12.638073559362645</v>
          </cell>
          <cell r="O264">
            <v>12.638073559362645</v>
          </cell>
          <cell r="P264">
            <v>12.638073559362645</v>
          </cell>
          <cell r="Q264">
            <v>12.638073559362645</v>
          </cell>
          <cell r="R264">
            <v>12.638073559362645</v>
          </cell>
          <cell r="S264">
            <v>12.638073559362645</v>
          </cell>
          <cell r="T264">
            <v>12.638073559362645</v>
          </cell>
          <cell r="U264">
            <v>12.638073559362645</v>
          </cell>
          <cell r="V264">
            <v>12.638073559362645</v>
          </cell>
          <cell r="W264">
            <v>12.638073559362645</v>
          </cell>
          <cell r="X264">
            <v>12.638073559362645</v>
          </cell>
          <cell r="Y264">
            <v>12.638073559362645</v>
          </cell>
          <cell r="Z264">
            <v>12.638073559362645</v>
          </cell>
          <cell r="AA264">
            <v>12.638073559362645</v>
          </cell>
          <cell r="AB264">
            <v>12.638073559362645</v>
          </cell>
          <cell r="AC264">
            <v>12.638073559362645</v>
          </cell>
          <cell r="AD264">
            <v>12.638073559362645</v>
          </cell>
          <cell r="AE264">
            <v>12.638073559362645</v>
          </cell>
          <cell r="AF264">
            <v>12.638073559362645</v>
          </cell>
          <cell r="AG264">
            <v>12.638073559362645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316">
          <cell r="B316">
            <v>38776</v>
          </cell>
          <cell r="C316">
            <v>38777</v>
          </cell>
          <cell r="D316">
            <v>38778</v>
          </cell>
          <cell r="E316">
            <v>38779</v>
          </cell>
          <cell r="F316">
            <v>38780</v>
          </cell>
          <cell r="G316">
            <v>38781</v>
          </cell>
          <cell r="H316">
            <v>38782</v>
          </cell>
          <cell r="I316">
            <v>38783</v>
          </cell>
          <cell r="J316">
            <v>38784</v>
          </cell>
          <cell r="K316">
            <v>38785</v>
          </cell>
          <cell r="L316">
            <v>38786</v>
          </cell>
          <cell r="M316">
            <v>38787</v>
          </cell>
          <cell r="N316">
            <v>38788</v>
          </cell>
          <cell r="O316">
            <v>38789</v>
          </cell>
          <cell r="P316">
            <v>38790</v>
          </cell>
          <cell r="Q316">
            <v>38791</v>
          </cell>
          <cell r="R316">
            <v>38792</v>
          </cell>
          <cell r="S316">
            <v>38793</v>
          </cell>
          <cell r="T316">
            <v>38794</v>
          </cell>
          <cell r="U316">
            <v>38795</v>
          </cell>
          <cell r="V316">
            <v>38796</v>
          </cell>
          <cell r="W316">
            <v>38797</v>
          </cell>
          <cell r="X316">
            <v>38798</v>
          </cell>
          <cell r="Y316">
            <v>38799</v>
          </cell>
          <cell r="Z316">
            <v>38800</v>
          </cell>
          <cell r="AA316">
            <v>38801</v>
          </cell>
          <cell r="AB316">
            <v>38802</v>
          </cell>
          <cell r="AC316">
            <v>38803</v>
          </cell>
          <cell r="AD316">
            <v>38804</v>
          </cell>
          <cell r="AE316">
            <v>38805</v>
          </cell>
          <cell r="AF316">
            <v>38806</v>
          </cell>
          <cell r="AG316">
            <v>38807</v>
          </cell>
          <cell r="AH316" t="str">
            <v>Total</v>
          </cell>
        </row>
        <row r="317">
          <cell r="B317">
            <v>0</v>
          </cell>
          <cell r="C317">
            <v>1.7309512486050824E-2</v>
          </cell>
          <cell r="D317">
            <v>3.9177274117631077E-2</v>
          </cell>
          <cell r="E317">
            <v>3.7588375666205424E-2</v>
          </cell>
          <cell r="F317">
            <v>3.2304259966057722E-2</v>
          </cell>
          <cell r="G317">
            <v>4.1399957998999412E-2</v>
          </cell>
          <cell r="H317">
            <v>3.9847323845536277E-2</v>
          </cell>
          <cell r="I317">
            <v>0</v>
          </cell>
          <cell r="J317">
            <v>3.1249111301300682E-2</v>
          </cell>
          <cell r="K317" t="e">
            <v>#DIV/0!</v>
          </cell>
          <cell r="L317" t="e">
            <v>#DIV/0!</v>
          </cell>
          <cell r="M317" t="e">
            <v>#DIV/0!</v>
          </cell>
          <cell r="N317" t="e">
            <v>#DIV/0!</v>
          </cell>
          <cell r="O317" t="e">
            <v>#DIV/0!</v>
          </cell>
          <cell r="P317" t="e">
            <v>#DIV/0!</v>
          </cell>
          <cell r="Q317" t="e">
            <v>#DIV/0!</v>
          </cell>
          <cell r="R317" t="e">
            <v>#DIV/0!</v>
          </cell>
          <cell r="S317" t="e">
            <v>#DIV/0!</v>
          </cell>
          <cell r="T317" t="e">
            <v>#DIV/0!</v>
          </cell>
          <cell r="U317" t="e">
            <v>#DIV/0!</v>
          </cell>
          <cell r="V317" t="e">
            <v>#DIV/0!</v>
          </cell>
          <cell r="W317" t="e">
            <v>#DIV/0!</v>
          </cell>
          <cell r="X317" t="e">
            <v>#DIV/0!</v>
          </cell>
          <cell r="Y317" t="e">
            <v>#DIV/0!</v>
          </cell>
          <cell r="Z317" t="e">
            <v>#DIV/0!</v>
          </cell>
          <cell r="AA317" t="e">
            <v>#DIV/0!</v>
          </cell>
          <cell r="AB317" t="e">
            <v>#DIV/0!</v>
          </cell>
          <cell r="AC317" t="e">
            <v>#DIV/0!</v>
          </cell>
          <cell r="AD317" t="e">
            <v>#DIV/0!</v>
          </cell>
          <cell r="AE317" t="e">
            <v>#DIV/0!</v>
          </cell>
          <cell r="AF317" t="e">
            <v>#DIV/0!</v>
          </cell>
          <cell r="AH317">
            <v>3.4125116483111631E-2</v>
          </cell>
        </row>
        <row r="318">
          <cell r="B318">
            <v>0.13</v>
          </cell>
          <cell r="C318">
            <v>0.13</v>
          </cell>
          <cell r="D318">
            <v>0.13</v>
          </cell>
          <cell r="E318">
            <v>0.13</v>
          </cell>
          <cell r="F318">
            <v>0.13</v>
          </cell>
          <cell r="G318">
            <v>0.13</v>
          </cell>
          <cell r="H318">
            <v>0.13</v>
          </cell>
          <cell r="I318">
            <v>0.13</v>
          </cell>
          <cell r="J318">
            <v>0.13</v>
          </cell>
          <cell r="K318" t="e">
            <v>#DIV/0!</v>
          </cell>
          <cell r="L318" t="e">
            <v>#DIV/0!</v>
          </cell>
          <cell r="M318" t="e">
            <v>#DIV/0!</v>
          </cell>
          <cell r="N318" t="e">
            <v>#DIV/0!</v>
          </cell>
          <cell r="O318" t="e">
            <v>#DIV/0!</v>
          </cell>
          <cell r="P318" t="e">
            <v>#DIV/0!</v>
          </cell>
          <cell r="Q318" t="e">
            <v>#DIV/0!</v>
          </cell>
          <cell r="R318" t="e">
            <v>#DIV/0!</v>
          </cell>
          <cell r="S318" t="e">
            <v>#DIV/0!</v>
          </cell>
          <cell r="T318" t="e">
            <v>#DIV/0!</v>
          </cell>
          <cell r="U318" t="e">
            <v>#DIV/0!</v>
          </cell>
          <cell r="V318" t="e">
            <v>#DIV/0!</v>
          </cell>
          <cell r="W318" t="e">
            <v>#DIV/0!</v>
          </cell>
          <cell r="X318" t="e">
            <v>#DIV/0!</v>
          </cell>
          <cell r="Y318" t="e">
            <v>#DIV/0!</v>
          </cell>
          <cell r="Z318" t="e">
            <v>#DIV/0!</v>
          </cell>
          <cell r="AA318" t="e">
            <v>#DIV/0!</v>
          </cell>
          <cell r="AB318" t="e">
            <v>#DIV/0!</v>
          </cell>
          <cell r="AC318" t="e">
            <v>#DIV/0!</v>
          </cell>
          <cell r="AD318" t="e">
            <v>#DIV/0!</v>
          </cell>
          <cell r="AE318" t="e">
            <v>#DIV/0!</v>
          </cell>
          <cell r="AF318" t="e">
            <v>#DIV/0!</v>
          </cell>
          <cell r="AH318">
            <v>0.13</v>
          </cell>
        </row>
        <row r="319">
          <cell r="B319">
            <v>6.8132462456341081E-2</v>
          </cell>
          <cell r="C319">
            <v>8.2968087715712402E-2</v>
          </cell>
          <cell r="D319">
            <v>1.1149995828858084E-2</v>
          </cell>
          <cell r="E319">
            <v>4.2537830204398983E-2</v>
          </cell>
          <cell r="F319">
            <v>9.9446040040988785E-3</v>
          </cell>
          <cell r="G319">
            <v>1.1209032551257929E-2</v>
          </cell>
          <cell r="H319">
            <v>1.4757332771165985E-2</v>
          </cell>
          <cell r="I319">
            <v>0</v>
          </cell>
          <cell r="J319">
            <v>1.1543224873236765E-2</v>
          </cell>
          <cell r="K319" t="e">
            <v>#DIV/0!</v>
          </cell>
          <cell r="L319" t="e">
            <v>#DIV/0!</v>
          </cell>
          <cell r="M319" t="e">
            <v>#DIV/0!</v>
          </cell>
          <cell r="N319" t="e">
            <v>#DIV/0!</v>
          </cell>
          <cell r="O319" t="e">
            <v>#DIV/0!</v>
          </cell>
          <cell r="P319" t="e">
            <v>#DIV/0!</v>
          </cell>
          <cell r="Q319" t="e">
            <v>#DIV/0!</v>
          </cell>
          <cell r="R319" t="e">
            <v>#DIV/0!</v>
          </cell>
          <cell r="S319" t="e">
            <v>#DIV/0!</v>
          </cell>
          <cell r="T319" t="e">
            <v>#DIV/0!</v>
          </cell>
          <cell r="U319" t="e">
            <v>#DIV/0!</v>
          </cell>
          <cell r="V319" t="e">
            <v>#DIV/0!</v>
          </cell>
          <cell r="W319" t="e">
            <v>#DIV/0!</v>
          </cell>
          <cell r="X319" t="e">
            <v>#DIV/0!</v>
          </cell>
          <cell r="Y319" t="e">
            <v>#DIV/0!</v>
          </cell>
          <cell r="Z319" t="e">
            <v>#DIV/0!</v>
          </cell>
          <cell r="AA319" t="e">
            <v>#DIV/0!</v>
          </cell>
          <cell r="AB319" t="e">
            <v>#DIV/0!</v>
          </cell>
          <cell r="AC319" t="e">
            <v>#DIV/0!</v>
          </cell>
          <cell r="AD319" t="e">
            <v>#DIV/0!</v>
          </cell>
          <cell r="AE319" t="e">
            <v>#DIV/0!</v>
          </cell>
          <cell r="AF319" t="e">
            <v>#DIV/0!</v>
          </cell>
          <cell r="AH319">
            <v>2.6301443992675571E-2</v>
          </cell>
        </row>
        <row r="320">
          <cell r="B320">
            <v>7.6749904868317856E-2</v>
          </cell>
          <cell r="C320">
            <v>0.18270460101084107</v>
          </cell>
          <cell r="D320">
            <v>0.18566269977948832</v>
          </cell>
          <cell r="E320">
            <v>0.19326146083503842</v>
          </cell>
          <cell r="F320">
            <v>0.1816401246290244</v>
          </cell>
          <cell r="G320">
            <v>0.18511457851498875</v>
          </cell>
          <cell r="H320">
            <v>0.18715359341501428</v>
          </cell>
          <cell r="I320">
            <v>0</v>
          </cell>
          <cell r="J320">
            <v>0.16826064346815189</v>
          </cell>
          <cell r="K320" t="e">
            <v>#DIV/0!</v>
          </cell>
          <cell r="L320" t="e">
            <v>#DIV/0!</v>
          </cell>
          <cell r="M320" t="e">
            <v>#DIV/0!</v>
          </cell>
          <cell r="N320" t="e">
            <v>#DIV/0!</v>
          </cell>
          <cell r="O320" t="e">
            <v>#DIV/0!</v>
          </cell>
          <cell r="P320" t="e">
            <v>#DIV/0!</v>
          </cell>
          <cell r="Q320" t="e">
            <v>#DIV/0!</v>
          </cell>
          <cell r="R320" t="e">
            <v>#DIV/0!</v>
          </cell>
          <cell r="S320" t="e">
            <v>#DIV/0!</v>
          </cell>
          <cell r="T320" t="e">
            <v>#DIV/0!</v>
          </cell>
          <cell r="U320" t="e">
            <v>#DIV/0!</v>
          </cell>
          <cell r="V320" t="e">
            <v>#DIV/0!</v>
          </cell>
          <cell r="W320" t="e">
            <v>#DIV/0!</v>
          </cell>
          <cell r="X320" t="e">
            <v>#DIV/0!</v>
          </cell>
          <cell r="Y320" t="e">
            <v>#DIV/0!</v>
          </cell>
          <cell r="Z320" t="e">
            <v>#DIV/0!</v>
          </cell>
          <cell r="AA320" t="e">
            <v>#DIV/0!</v>
          </cell>
          <cell r="AB320" t="e">
            <v>#DIV/0!</v>
          </cell>
          <cell r="AC320" t="e">
            <v>#DIV/0!</v>
          </cell>
          <cell r="AD320" t="e">
            <v>#DIV/0!</v>
          </cell>
          <cell r="AE320" t="e">
            <v>#DIV/0!</v>
          </cell>
          <cell r="AF320" t="e">
            <v>#DIV/0!</v>
          </cell>
          <cell r="AH320">
            <v>0.18339967166464963</v>
          </cell>
        </row>
        <row r="321">
          <cell r="B321">
            <v>0.18766274123573545</v>
          </cell>
          <cell r="C321">
            <v>0.53232169914543082</v>
          </cell>
          <cell r="D321">
            <v>0.48622572165130107</v>
          </cell>
          <cell r="E321">
            <v>0.61630017524946623</v>
          </cell>
          <cell r="F321">
            <v>0.49718843013468739</v>
          </cell>
          <cell r="G321">
            <v>0.50630175966412683</v>
          </cell>
          <cell r="H321">
            <v>0.45214326544701472</v>
          </cell>
          <cell r="I321">
            <v>0</v>
          </cell>
          <cell r="J321">
            <v>0.44071493701573555</v>
          </cell>
          <cell r="K321" t="e">
            <v>#DIV/0!</v>
          </cell>
          <cell r="L321" t="e">
            <v>#DIV/0!</v>
          </cell>
          <cell r="M321" t="e">
            <v>#DIV/0!</v>
          </cell>
          <cell r="N321" t="e">
            <v>#DIV/0!</v>
          </cell>
          <cell r="O321" t="e">
            <v>#DIV/0!</v>
          </cell>
          <cell r="P321" t="e">
            <v>#DIV/0!</v>
          </cell>
          <cell r="Q321" t="e">
            <v>#DIV/0!</v>
          </cell>
          <cell r="R321" t="e">
            <v>#DIV/0!</v>
          </cell>
          <cell r="S321" t="e">
            <v>#DIV/0!</v>
          </cell>
          <cell r="T321" t="e">
            <v>#DIV/0!</v>
          </cell>
          <cell r="U321" t="e">
            <v>#DIV/0!</v>
          </cell>
          <cell r="V321" t="e">
            <v>#DIV/0!</v>
          </cell>
          <cell r="W321" t="e">
            <v>#DIV/0!</v>
          </cell>
          <cell r="X321" t="e">
            <v>#DIV/0!</v>
          </cell>
          <cell r="Y321" t="e">
            <v>#DIV/0!</v>
          </cell>
          <cell r="Z321" t="e">
            <v>#DIV/0!</v>
          </cell>
          <cell r="AA321" t="e">
            <v>#DIV/0!</v>
          </cell>
          <cell r="AB321" t="e">
            <v>#DIV/0!</v>
          </cell>
          <cell r="AC321" t="e">
            <v>#DIV/0!</v>
          </cell>
          <cell r="AD321" t="e">
            <v>#DIV/0!</v>
          </cell>
          <cell r="AE321" t="e">
            <v>#DIV/0!</v>
          </cell>
          <cell r="AF321" t="e">
            <v>#DIV/0!</v>
          </cell>
          <cell r="AH321">
            <v>0.50445656975825182</v>
          </cell>
        </row>
        <row r="322">
          <cell r="B322">
            <v>0.10443354533254803</v>
          </cell>
          <cell r="C322">
            <v>0.11893522115232374</v>
          </cell>
          <cell r="D322">
            <v>0.6083024489014307</v>
          </cell>
          <cell r="E322">
            <v>0.12663901071135747</v>
          </cell>
          <cell r="F322">
            <v>0.11182769009610682</v>
          </cell>
          <cell r="G322">
            <v>0.11441668045699716</v>
          </cell>
          <cell r="H322">
            <v>0.10931580326732909</v>
          </cell>
          <cell r="I322">
            <v>0.08</v>
          </cell>
          <cell r="J322">
            <v>0.12283630480014807</v>
          </cell>
          <cell r="K322" t="e">
            <v>#DIV/0!</v>
          </cell>
          <cell r="L322" t="e">
            <v>#DIV/0!</v>
          </cell>
          <cell r="M322" t="e">
            <v>#DIV/0!</v>
          </cell>
          <cell r="N322" t="e">
            <v>#DIV/0!</v>
          </cell>
          <cell r="O322" t="e">
            <v>#DIV/0!</v>
          </cell>
          <cell r="P322" t="e">
            <v>#DIV/0!</v>
          </cell>
          <cell r="Q322" t="e">
            <v>#DIV/0!</v>
          </cell>
          <cell r="R322" t="e">
            <v>#DIV/0!</v>
          </cell>
          <cell r="S322" t="e">
            <v>#DIV/0!</v>
          </cell>
          <cell r="T322" t="e">
            <v>#DIV/0!</v>
          </cell>
          <cell r="U322" t="e">
            <v>#DIV/0!</v>
          </cell>
          <cell r="V322" t="e">
            <v>#DIV/0!</v>
          </cell>
          <cell r="W322" t="e">
            <v>#DIV/0!</v>
          </cell>
          <cell r="X322" t="e">
            <v>#DIV/0!</v>
          </cell>
          <cell r="Y322" t="e">
            <v>#DIV/0!</v>
          </cell>
          <cell r="Z322" t="e">
            <v>#DIV/0!</v>
          </cell>
          <cell r="AA322" t="e">
            <v>#DIV/0!</v>
          </cell>
          <cell r="AB322" t="e">
            <v>#DIV/0!</v>
          </cell>
          <cell r="AC322" t="e">
            <v>#DIV/0!</v>
          </cell>
          <cell r="AD322" t="e">
            <v>#DIV/0!</v>
          </cell>
          <cell r="AE322" t="e">
            <v>#DIV/0!</v>
          </cell>
          <cell r="AF322" t="e">
            <v>#DIV/0!</v>
          </cell>
          <cell r="AH322">
            <v>0.17403414492321168</v>
          </cell>
        </row>
        <row r="323">
          <cell r="B323">
            <v>0.56697865389294244</v>
          </cell>
          <cell r="C323">
            <v>1.0642391215103588</v>
          </cell>
          <cell r="D323">
            <v>1.4605181402787093</v>
          </cell>
          <cell r="E323">
            <v>1.1463268526664665</v>
          </cell>
          <cell r="F323">
            <v>0.96290510882997526</v>
          </cell>
          <cell r="G323">
            <v>0.98844200918637004</v>
          </cell>
          <cell r="H323">
            <v>0.9332173187460604</v>
          </cell>
          <cell r="I323">
            <v>0.21000000000000002</v>
          </cell>
          <cell r="J323">
            <v>0.90460422145857289</v>
          </cell>
          <cell r="K323" t="e">
            <v>#DIV/0!</v>
          </cell>
          <cell r="L323" t="e">
            <v>#DIV/0!</v>
          </cell>
          <cell r="M323" t="e">
            <v>#DIV/0!</v>
          </cell>
          <cell r="N323" t="e">
            <v>#DIV/0!</v>
          </cell>
          <cell r="O323" t="e">
            <v>#DIV/0!</v>
          </cell>
          <cell r="P323" t="e">
            <v>#DIV/0!</v>
          </cell>
          <cell r="Q323" t="e">
            <v>#DIV/0!</v>
          </cell>
          <cell r="R323" t="e">
            <v>#DIV/0!</v>
          </cell>
          <cell r="S323" t="e">
            <v>#DIV/0!</v>
          </cell>
          <cell r="T323" t="e">
            <v>#DIV/0!</v>
          </cell>
          <cell r="U323" t="e">
            <v>#DIV/0!</v>
          </cell>
          <cell r="V323" t="e">
            <v>#DIV/0!</v>
          </cell>
          <cell r="W323" t="e">
            <v>#DIV/0!</v>
          </cell>
          <cell r="X323" t="e">
            <v>#DIV/0!</v>
          </cell>
          <cell r="Y323" t="e">
            <v>#DIV/0!</v>
          </cell>
          <cell r="Z323" t="e">
            <v>#DIV/0!</v>
          </cell>
          <cell r="AA323" t="e">
            <v>#DIV/0!</v>
          </cell>
          <cell r="AB323" t="e">
            <v>#DIV/0!</v>
          </cell>
          <cell r="AC323" t="e">
            <v>#DIV/0!</v>
          </cell>
          <cell r="AD323" t="e">
            <v>#DIV/0!</v>
          </cell>
          <cell r="AE323" t="e">
            <v>#DIV/0!</v>
          </cell>
          <cell r="AF323" t="e">
            <v>#DIV/0!</v>
          </cell>
          <cell r="AH323">
            <v>1.0523169468219002</v>
          </cell>
        </row>
        <row r="324">
          <cell r="B324">
            <v>0.4979860595347646</v>
          </cell>
          <cell r="C324">
            <v>0.85286836192537141</v>
          </cell>
          <cell r="D324">
            <v>1.2743303980725011</v>
          </cell>
          <cell r="E324">
            <v>0.91974938868043221</v>
          </cell>
          <cell r="F324">
            <v>0.78011805448991134</v>
          </cell>
          <cell r="G324">
            <v>0.79456666012678634</v>
          </cell>
          <cell r="H324">
            <v>0.76699073216123415</v>
          </cell>
          <cell r="I324">
            <v>0.21000000000000002</v>
          </cell>
          <cell r="J324">
            <v>0.7498771712892871</v>
          </cell>
          <cell r="K324" t="e">
            <v>#N/A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 t="e">
            <v>#N/A</v>
          </cell>
          <cell r="AF324" t="e">
            <v>#N/A</v>
          </cell>
          <cell r="AH324">
            <v>0.86685782339936857</v>
          </cell>
        </row>
      </sheetData>
      <sheetData sheetId="1" refreshError="1">
        <row r="4">
          <cell r="A4">
            <v>1</v>
          </cell>
          <cell r="B4">
            <v>1</v>
          </cell>
        </row>
        <row r="5">
          <cell r="A5">
            <v>1.1000000000000001</v>
          </cell>
          <cell r="B5">
            <v>0.94517661372648376</v>
          </cell>
        </row>
        <row r="6">
          <cell r="A6">
            <v>1.2</v>
          </cell>
          <cell r="B6">
            <v>0.89769818970993409</v>
          </cell>
        </row>
        <row r="7">
          <cell r="A7">
            <v>1.3</v>
          </cell>
          <cell r="B7">
            <v>0.85618025631148298</v>
          </cell>
        </row>
        <row r="8">
          <cell r="A8">
            <v>1.4</v>
          </cell>
          <cell r="B8">
            <v>0.81956594377427239</v>
          </cell>
        </row>
        <row r="9">
          <cell r="A9">
            <v>1.5</v>
          </cell>
          <cell r="B9">
            <v>0.7870344435379697</v>
          </cell>
        </row>
        <row r="10">
          <cell r="A10">
            <v>1.6</v>
          </cell>
          <cell r="B10">
            <v>0.75793855265137944</v>
          </cell>
        </row>
        <row r="11">
          <cell r="A11">
            <v>1.7</v>
          </cell>
          <cell r="B11">
            <v>0.73176105947053027</v>
          </cell>
        </row>
        <row r="12">
          <cell r="A12">
            <v>1.8</v>
          </cell>
          <cell r="B12">
            <v>0.70808365418802566</v>
          </cell>
        </row>
        <row r="13">
          <cell r="A13">
            <v>1.9</v>
          </cell>
          <cell r="B13">
            <v>0.68656435806639615</v>
          </cell>
        </row>
        <row r="14">
          <cell r="A14">
            <v>2</v>
          </cell>
          <cell r="B14">
            <v>0.66692086617391466</v>
          </cell>
        </row>
        <row r="15">
          <cell r="A15">
            <v>2.1</v>
          </cell>
          <cell r="B15">
            <v>0.64891807113004341</v>
          </cell>
        </row>
        <row r="16">
          <cell r="A16">
            <v>2.2000000000000002</v>
          </cell>
          <cell r="B16">
            <v>0.63235859231368841</v>
          </cell>
        </row>
        <row r="17">
          <cell r="A17">
            <v>2.2999999999999998</v>
          </cell>
          <cell r="B17">
            <v>0.61707549824002628</v>
          </cell>
        </row>
        <row r="18">
          <cell r="A18">
            <v>2.4</v>
          </cell>
          <cell r="B18">
            <v>0.60292665145096636</v>
          </cell>
        </row>
        <row r="19">
          <cell r="A19">
            <v>2.5</v>
          </cell>
          <cell r="B19">
            <v>0.5897902689167408</v>
          </cell>
        </row>
        <row r="20">
          <cell r="A20">
            <v>2.6</v>
          </cell>
          <cell r="B20">
            <v>0.57756140361557107</v>
          </cell>
        </row>
        <row r="21">
          <cell r="A21">
            <v>2.7</v>
          </cell>
          <cell r="B21">
            <v>0.56614913170552594</v>
          </cell>
        </row>
        <row r="22">
          <cell r="A22">
            <v>2.8</v>
          </cell>
          <cell r="B22">
            <v>0.55547428551040745</v>
          </cell>
        </row>
        <row r="23">
          <cell r="A23">
            <v>2.9</v>
          </cell>
          <cell r="B23">
            <v>0.54546761260316701</v>
          </cell>
        </row>
        <row r="24">
          <cell r="A24">
            <v>3</v>
          </cell>
          <cell r="B24">
            <v>0.53606827037312177</v>
          </cell>
        </row>
        <row r="25">
          <cell r="A25">
            <v>3.1</v>
          </cell>
          <cell r="B25">
            <v>0.52722258684026568</v>
          </cell>
        </row>
        <row r="26">
          <cell r="A26">
            <v>3.2</v>
          </cell>
          <cell r="B26">
            <v>0.51888303434512562</v>
          </cell>
        </row>
        <row r="27">
          <cell r="A27">
            <v>3.3</v>
          </cell>
          <cell r="B27">
            <v>0.51100737463121515</v>
          </cell>
        </row>
        <row r="28">
          <cell r="A28">
            <v>3.4</v>
          </cell>
          <cell r="B28">
            <v>0.50355794282680588</v>
          </cell>
        </row>
        <row r="29">
          <cell r="A29">
            <v>3.5</v>
          </cell>
          <cell r="B29">
            <v>0.49650104468826967</v>
          </cell>
        </row>
        <row r="30">
          <cell r="A30">
            <v>3.6</v>
          </cell>
          <cell r="B30">
            <v>0.48980644673718038</v>
          </cell>
        </row>
        <row r="31">
          <cell r="A31">
            <v>3.7</v>
          </cell>
          <cell r="B31">
            <v>0.48344694300502128</v>
          </cell>
        </row>
        <row r="32">
          <cell r="A32">
            <v>3.8</v>
          </cell>
          <cell r="B32">
            <v>0.47739798528318395</v>
          </cell>
        </row>
        <row r="33">
          <cell r="A33">
            <v>3.9</v>
          </cell>
          <cell r="B33">
            <v>0.46919868300472994</v>
          </cell>
        </row>
        <row r="34">
          <cell r="A34">
            <v>4</v>
          </cell>
          <cell r="B34">
            <v>0.46136913806921398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  <sheetName val="Data"/>
      <sheetName val="Konversi Ja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AUL C1,C2,C3"/>
      <sheetName val="OB PLAN"/>
      <sheetName val="COAL ACT"/>
      <sheetName val="WASH PLANT"/>
      <sheetName val="DIRTY COAL ACT"/>
      <sheetName val="JAM2AN"/>
      <sheetName val="SUM"/>
      <sheetName val="HE"/>
      <sheetName val="DB Dept"/>
      <sheetName val="Database"/>
      <sheetName val="Run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 t="str">
            <v xml:space="preserve"> </v>
          </cell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 t="str">
            <v xml:space="preserve"> 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Summary"/>
      <sheetName val="COST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ACT HAUL"/>
      <sheetName val="Truck"/>
      <sheetName val="REFERENSI"/>
    </sheetNames>
    <sheetDataSet>
      <sheetData sheetId="0" refreshError="1"/>
      <sheetData sheetId="1" refreshError="1"/>
      <sheetData sheetId="2" refreshError="1"/>
      <sheetData sheetId="3" refreshError="1">
        <row r="1">
          <cell r="AQ1" t="str">
            <v>machine_id</v>
          </cell>
          <cell r="AR1" t="str">
            <v>machine_type</v>
          </cell>
          <cell r="AS1" t="str">
            <v>category_id</v>
          </cell>
          <cell r="AT1" t="str">
            <v>SumOfSumOfsum_trip</v>
          </cell>
          <cell r="AU1" t="str">
            <v>SumOfSumOfsum_volume</v>
          </cell>
          <cell r="AV1" t="str">
            <v>SumOfSumOfnon_operate</v>
          </cell>
          <cell r="AW1" t="str">
            <v>SumOfSumOfmeter_run</v>
          </cell>
          <cell r="AX1" t="str">
            <v>SumOfdurasi</v>
          </cell>
          <cell r="AY1" t="str">
            <v>SumOfPM-1</v>
          </cell>
          <cell r="AZ1" t="str">
            <v>SumOfPM-2</v>
          </cell>
          <cell r="BA1" t="str">
            <v>SumOfPM-3</v>
          </cell>
          <cell r="BB1" t="str">
            <v>SumOfPM-4</v>
          </cell>
          <cell r="BC1" t="str">
            <v>SumOf2CM-1</v>
          </cell>
          <cell r="BD1" t="str">
            <v>SumOf2CM-2</v>
          </cell>
          <cell r="BE1" t="str">
            <v>SumOf2CM-3</v>
          </cell>
          <cell r="BF1" t="str">
            <v>SumOf2CM-4</v>
          </cell>
          <cell r="BG1" t="str">
            <v>SumOf2CM-5</v>
          </cell>
          <cell r="BH1" t="str">
            <v>SumOf3ID-1</v>
          </cell>
          <cell r="BI1" t="str">
            <v>SumOf3ID-2</v>
          </cell>
          <cell r="BJ1" t="str">
            <v>SumOf3ID-3</v>
          </cell>
          <cell r="BK1" t="str">
            <v>SumOf3ID-4</v>
          </cell>
          <cell r="BL1" t="str">
            <v>SumOf3ID-5</v>
          </cell>
          <cell r="BM1" t="str">
            <v>SumOf3ID-6</v>
          </cell>
          <cell r="BN1" t="str">
            <v>SumOf3ID-7</v>
          </cell>
          <cell r="BO1" t="str">
            <v>SumOf3ID-8</v>
          </cell>
          <cell r="BP1" t="str">
            <v>SumOf3ID-9</v>
          </cell>
          <cell r="BQ1" t="str">
            <v>SumOf4DL-1</v>
          </cell>
          <cell r="BR1" t="str">
            <v>SumOf4DL-2</v>
          </cell>
          <cell r="BS1" t="str">
            <v>SumOf4DL-3</v>
          </cell>
          <cell r="BT1" t="str">
            <v>SumOf4DL-4</v>
          </cell>
          <cell r="BU1" t="str">
            <v>SumOf4DL-5</v>
          </cell>
          <cell r="BV1" t="str">
            <v>SumOf4DL-6</v>
          </cell>
          <cell r="BW1" t="str">
            <v>SumOf4DL-7</v>
          </cell>
          <cell r="BX1" t="str">
            <v>SumOf4DL-8</v>
          </cell>
          <cell r="BY1" t="str">
            <v>SumOf4DL-9</v>
          </cell>
        </row>
        <row r="2">
          <cell r="AN2" t="str">
            <v>JCM-DH-500-10NON</v>
          </cell>
          <cell r="AQ2" t="str">
            <v>JCM-DH-500-10</v>
          </cell>
          <cell r="AR2" t="str">
            <v>Excavator</v>
          </cell>
          <cell r="AS2" t="str">
            <v>NON</v>
          </cell>
          <cell r="AV2">
            <v>0</v>
          </cell>
          <cell r="AW2">
            <v>0</v>
          </cell>
          <cell r="AX2">
            <v>664</v>
          </cell>
          <cell r="AY2">
            <v>0</v>
          </cell>
          <cell r="BE2">
            <v>664.000000000466</v>
          </cell>
        </row>
        <row r="3">
          <cell r="AN3" t="str">
            <v>JCM-DH-500-11NON</v>
          </cell>
          <cell r="AQ3" t="str">
            <v>JCM-DH-500-11</v>
          </cell>
          <cell r="AR3" t="str">
            <v>Excavator</v>
          </cell>
          <cell r="AS3" t="str">
            <v>NON</v>
          </cell>
          <cell r="AV3">
            <v>0</v>
          </cell>
          <cell r="AW3">
            <v>31.900390625</v>
          </cell>
          <cell r="AX3">
            <v>518</v>
          </cell>
          <cell r="AY3">
            <v>0</v>
          </cell>
          <cell r="BE3">
            <v>425.16666666726798</v>
          </cell>
          <cell r="BH3">
            <v>1.38333333295304</v>
          </cell>
          <cell r="BI3">
            <v>2.4166666665114498</v>
          </cell>
          <cell r="BJ3">
            <v>43.400000000023297</v>
          </cell>
          <cell r="BK3">
            <v>0.31666666665114501</v>
          </cell>
          <cell r="BL3">
            <v>12</v>
          </cell>
          <cell r="BM3">
            <v>0.166666666686069</v>
          </cell>
          <cell r="BO3">
            <v>0.25000000011641499</v>
          </cell>
          <cell r="BP3">
            <v>0.99999999994179201</v>
          </cell>
          <cell r="BQ3">
            <v>0.91666666720993795</v>
          </cell>
          <cell r="BR3">
            <v>9.9999999976716894E-2</v>
          </cell>
          <cell r="BW3">
            <v>0.333333333372138</v>
          </cell>
          <cell r="BY3">
            <v>3.4166666666278598</v>
          </cell>
        </row>
        <row r="4">
          <cell r="AN4" t="str">
            <v>JCM-DH-500-11OB</v>
          </cell>
          <cell r="AQ4" t="str">
            <v>JCM-DH-500-11</v>
          </cell>
          <cell r="AR4" t="str">
            <v>Excavator</v>
          </cell>
          <cell r="AS4" t="str">
            <v>OB</v>
          </cell>
          <cell r="AT4">
            <v>0</v>
          </cell>
          <cell r="AU4">
            <v>12842</v>
          </cell>
          <cell r="AV4">
            <v>0</v>
          </cell>
          <cell r="AW4">
            <v>79.99951171875</v>
          </cell>
          <cell r="AX4">
            <v>146</v>
          </cell>
          <cell r="AY4">
            <v>0</v>
          </cell>
          <cell r="BB4">
            <v>0.20000000012805699</v>
          </cell>
          <cell r="BF4">
            <v>10.466666666907299</v>
          </cell>
          <cell r="BH4">
            <v>0.916666666686069</v>
          </cell>
          <cell r="BI4">
            <v>4.7666666666627897</v>
          </cell>
          <cell r="BJ4">
            <v>39.116666666523102</v>
          </cell>
          <cell r="BK4">
            <v>8.3999999999650807</v>
          </cell>
          <cell r="BM4">
            <v>0.88333333341870501</v>
          </cell>
          <cell r="BO4">
            <v>1.25000000023283</v>
          </cell>
          <cell r="BQ4">
            <v>1.5666666670586</v>
          </cell>
          <cell r="BR4">
            <v>1.93333333282499</v>
          </cell>
          <cell r="BU4">
            <v>0.333333333372138</v>
          </cell>
          <cell r="BV4">
            <v>0.50000000005820799</v>
          </cell>
          <cell r="BW4">
            <v>0.33333333319751501</v>
          </cell>
        </row>
        <row r="5">
          <cell r="AN5" t="str">
            <v>KTD-777-01OB</v>
          </cell>
          <cell r="AQ5" t="str">
            <v>KTD-777-01</v>
          </cell>
          <cell r="AR5" t="str">
            <v>Truck</v>
          </cell>
          <cell r="AS5" t="str">
            <v>OB</v>
          </cell>
          <cell r="AT5">
            <v>858</v>
          </cell>
          <cell r="AU5">
            <v>30030</v>
          </cell>
          <cell r="AV5">
            <v>0</v>
          </cell>
          <cell r="AW5">
            <v>236.5</v>
          </cell>
          <cell r="AX5">
            <v>664</v>
          </cell>
          <cell r="AY5">
            <v>0</v>
          </cell>
          <cell r="BC5">
            <v>3.08333333360497</v>
          </cell>
          <cell r="BD5">
            <v>0.74999999982537702</v>
          </cell>
          <cell r="BE5">
            <v>168</v>
          </cell>
          <cell r="BG5">
            <v>2.04999999987194</v>
          </cell>
          <cell r="BH5">
            <v>4.6333333328948401</v>
          </cell>
          <cell r="BI5">
            <v>20.099999999860302</v>
          </cell>
          <cell r="BJ5">
            <v>175.65000000031401</v>
          </cell>
          <cell r="BK5">
            <v>38.900000000197899</v>
          </cell>
          <cell r="BL5">
            <v>0.46666666661622003</v>
          </cell>
          <cell r="BN5">
            <v>2.6166666666395</v>
          </cell>
          <cell r="BO5">
            <v>8.2500000010477397</v>
          </cell>
          <cell r="BP5">
            <v>2.99999999965075</v>
          </cell>
          <cell r="BQ5">
            <v>6.9166666682576796</v>
          </cell>
          <cell r="BS5">
            <v>3.1000000005005899</v>
          </cell>
          <cell r="BU5">
            <v>1.41666666726815</v>
          </cell>
          <cell r="BW5">
            <v>0.51666666677920103</v>
          </cell>
          <cell r="BY5">
            <v>2.5833333335467601</v>
          </cell>
        </row>
        <row r="6">
          <cell r="AN6" t="str">
            <v>KTD-777-02Coal</v>
          </cell>
          <cell r="AQ6" t="str">
            <v>KTD-777-02</v>
          </cell>
          <cell r="AR6" t="str">
            <v>Truck</v>
          </cell>
          <cell r="AS6" t="str">
            <v>Coal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N7" t="str">
            <v>KTD-777-02OB</v>
          </cell>
          <cell r="AQ7" t="str">
            <v>KTD-777-02</v>
          </cell>
          <cell r="AR7" t="str">
            <v>Truck</v>
          </cell>
          <cell r="AS7" t="str">
            <v>OB</v>
          </cell>
          <cell r="AV7">
            <v>0</v>
          </cell>
          <cell r="AW7">
            <v>0</v>
          </cell>
          <cell r="AX7">
            <v>664</v>
          </cell>
          <cell r="AY7">
            <v>0</v>
          </cell>
          <cell r="BE7">
            <v>652.000000000466</v>
          </cell>
          <cell r="BG7">
            <v>12</v>
          </cell>
        </row>
        <row r="8">
          <cell r="AN8" t="str">
            <v>KTD-777-03OB</v>
          </cell>
          <cell r="AQ8" t="str">
            <v>KTD-777-03</v>
          </cell>
          <cell r="AR8" t="str">
            <v>Truck</v>
          </cell>
          <cell r="AS8" t="str">
            <v>OB</v>
          </cell>
          <cell r="AT8">
            <v>1304</v>
          </cell>
          <cell r="AU8">
            <v>45640</v>
          </cell>
          <cell r="AV8">
            <v>0</v>
          </cell>
          <cell r="AW8">
            <v>357.69921875</v>
          </cell>
          <cell r="AX8">
            <v>664</v>
          </cell>
          <cell r="AY8">
            <v>0.28333333338377997</v>
          </cell>
          <cell r="AZ8">
            <v>11.25</v>
          </cell>
          <cell r="BC8">
            <v>0.83333333325572301</v>
          </cell>
          <cell r="BD8">
            <v>2.6833333333488598</v>
          </cell>
          <cell r="BE8">
            <v>24</v>
          </cell>
          <cell r="BF8">
            <v>3.5833333333139299</v>
          </cell>
          <cell r="BG8">
            <v>0.166666666686069</v>
          </cell>
          <cell r="BH8">
            <v>6.2500000001164198</v>
          </cell>
          <cell r="BI8">
            <v>32.916666666220401</v>
          </cell>
          <cell r="BJ8">
            <v>146.38333333341899</v>
          </cell>
          <cell r="BK8">
            <v>57.299999999406303</v>
          </cell>
          <cell r="BL8">
            <v>0.75</v>
          </cell>
          <cell r="BN8">
            <v>2.45000000012806</v>
          </cell>
          <cell r="BO8">
            <v>11.2166666676058</v>
          </cell>
          <cell r="BP8">
            <v>6.23333333304618</v>
          </cell>
          <cell r="BQ8">
            <v>9.3333333345944993</v>
          </cell>
          <cell r="BS8">
            <v>3.35000000044238</v>
          </cell>
          <cell r="BU8">
            <v>2.28333333379123</v>
          </cell>
          <cell r="BW8">
            <v>0.93333333323244005</v>
          </cell>
          <cell r="BY8">
            <v>0.86666666704695705</v>
          </cell>
        </row>
        <row r="9">
          <cell r="AN9" t="str">
            <v>KTD-777-04OB</v>
          </cell>
          <cell r="AQ9" t="str">
            <v>KTD-777-04</v>
          </cell>
          <cell r="AR9" t="str">
            <v>Truck</v>
          </cell>
          <cell r="AS9" t="str">
            <v>OB</v>
          </cell>
          <cell r="AT9">
            <v>1346</v>
          </cell>
          <cell r="AU9">
            <v>47110</v>
          </cell>
          <cell r="AV9">
            <v>0</v>
          </cell>
          <cell r="AW9">
            <v>363.98876953125</v>
          </cell>
          <cell r="AX9">
            <v>664</v>
          </cell>
          <cell r="AY9">
            <v>4.7333333332208003</v>
          </cell>
          <cell r="BB9">
            <v>0.166666666686069</v>
          </cell>
          <cell r="BC9">
            <v>0.26666666666278599</v>
          </cell>
          <cell r="BD9">
            <v>5.0666666665929396</v>
          </cell>
          <cell r="BG9">
            <v>35.166666666744298</v>
          </cell>
          <cell r="BH9">
            <v>4.4833333324058904</v>
          </cell>
          <cell r="BI9">
            <v>33.699999999138498</v>
          </cell>
          <cell r="BJ9">
            <v>127.26666666643</v>
          </cell>
          <cell r="BK9">
            <v>56.966666666208802</v>
          </cell>
          <cell r="BN9">
            <v>3.2666666666627902</v>
          </cell>
          <cell r="BO9">
            <v>11.0500000017928</v>
          </cell>
          <cell r="BP9">
            <v>17.866666666232</v>
          </cell>
          <cell r="BQ9">
            <v>9.5833333368063904</v>
          </cell>
          <cell r="BS9">
            <v>5.0333333335001997</v>
          </cell>
          <cell r="BU9">
            <v>2.2333333332790102</v>
          </cell>
          <cell r="BW9">
            <v>1.30000000022119</v>
          </cell>
          <cell r="BY9">
            <v>1.8666666664648801</v>
          </cell>
        </row>
        <row r="10">
          <cell r="AN10" t="str">
            <v>KTD-777-05OB</v>
          </cell>
          <cell r="AQ10" t="str">
            <v>KTD-777-05</v>
          </cell>
          <cell r="AR10" t="str">
            <v>Truck</v>
          </cell>
          <cell r="AS10" t="str">
            <v>OB</v>
          </cell>
          <cell r="AT10">
            <v>1340</v>
          </cell>
          <cell r="AU10">
            <v>46900</v>
          </cell>
          <cell r="AV10">
            <v>0</v>
          </cell>
          <cell r="AW10">
            <v>375.90625</v>
          </cell>
          <cell r="AX10">
            <v>664</v>
          </cell>
          <cell r="AY10">
            <v>0.31666666647652197</v>
          </cell>
          <cell r="BC10">
            <v>2.0000000000582099</v>
          </cell>
          <cell r="BD10">
            <v>0.166666666686069</v>
          </cell>
          <cell r="BE10">
            <v>1.2666666667791999</v>
          </cell>
          <cell r="BG10">
            <v>3.6166666667559202</v>
          </cell>
          <cell r="BH10">
            <v>4.9833333321148503</v>
          </cell>
          <cell r="BI10">
            <v>34.199999999546002</v>
          </cell>
          <cell r="BJ10">
            <v>163.483333333628</v>
          </cell>
          <cell r="BK10">
            <v>50.649999999906903</v>
          </cell>
          <cell r="BL10">
            <v>1.08333333337214</v>
          </cell>
          <cell r="BN10">
            <v>3.0499999999883598</v>
          </cell>
          <cell r="BO10">
            <v>11.250000001920901</v>
          </cell>
          <cell r="BP10">
            <v>12.033333333092701</v>
          </cell>
          <cell r="BQ10">
            <v>10.366666667803701</v>
          </cell>
          <cell r="BS10">
            <v>2.18333333416376</v>
          </cell>
          <cell r="BU10">
            <v>1.8833333335351199</v>
          </cell>
          <cell r="BW10">
            <v>0.83333333325572301</v>
          </cell>
          <cell r="BY10">
            <v>1.31666666694218</v>
          </cell>
        </row>
        <row r="11">
          <cell r="AN11" t="str">
            <v>KTD-777-06OB</v>
          </cell>
          <cell r="AQ11" t="str">
            <v>KTD-777-06</v>
          </cell>
          <cell r="AR11" t="str">
            <v>Truck</v>
          </cell>
          <cell r="AS11" t="str">
            <v>OB</v>
          </cell>
          <cell r="AT11">
            <v>1284</v>
          </cell>
          <cell r="AU11">
            <v>44940</v>
          </cell>
          <cell r="AV11">
            <v>0</v>
          </cell>
          <cell r="AW11">
            <v>371.2001953125</v>
          </cell>
          <cell r="AX11">
            <v>664</v>
          </cell>
          <cell r="AY11">
            <v>0.166666666686069</v>
          </cell>
          <cell r="AZ11">
            <v>14.25</v>
          </cell>
          <cell r="BC11">
            <v>2.3166666667093501</v>
          </cell>
          <cell r="BD11">
            <v>1.1333333333605</v>
          </cell>
          <cell r="BE11">
            <v>36</v>
          </cell>
          <cell r="BG11">
            <v>18.016666666721001</v>
          </cell>
          <cell r="BH11">
            <v>5.9666666653356497</v>
          </cell>
          <cell r="BI11">
            <v>32.283333332918097</v>
          </cell>
          <cell r="BJ11">
            <v>91.983333333511794</v>
          </cell>
          <cell r="BK11">
            <v>70.750000000290996</v>
          </cell>
          <cell r="BN11">
            <v>3.0666666672332199</v>
          </cell>
          <cell r="BO11">
            <v>12.9500000011758</v>
          </cell>
          <cell r="BP11">
            <v>3.9166666663368201</v>
          </cell>
          <cell r="BQ11">
            <v>10.966666668537099</v>
          </cell>
          <cell r="BS11">
            <v>6.2666666682343903</v>
          </cell>
          <cell r="BU11">
            <v>2.1833333332906499</v>
          </cell>
          <cell r="BW11">
            <v>0.916666666686069</v>
          </cell>
          <cell r="BY11">
            <v>1.5</v>
          </cell>
        </row>
        <row r="12">
          <cell r="AN12" t="str">
            <v>KTD-777-07OB</v>
          </cell>
          <cell r="AQ12" t="str">
            <v>KTD-777-07</v>
          </cell>
          <cell r="AR12" t="str">
            <v>Truck</v>
          </cell>
          <cell r="AS12" t="str">
            <v>OB</v>
          </cell>
          <cell r="AT12">
            <v>1561</v>
          </cell>
          <cell r="AU12">
            <v>54635</v>
          </cell>
          <cell r="AV12">
            <v>0</v>
          </cell>
          <cell r="AW12">
            <v>430.80859375</v>
          </cell>
          <cell r="AX12">
            <v>664</v>
          </cell>
          <cell r="AY12">
            <v>0.166666666686069</v>
          </cell>
          <cell r="AZ12">
            <v>1.5</v>
          </cell>
          <cell r="BB12">
            <v>2.15000000002328</v>
          </cell>
          <cell r="BC12">
            <v>2.3833333334187001</v>
          </cell>
          <cell r="BD12">
            <v>0.56666666659293696</v>
          </cell>
          <cell r="BE12">
            <v>7.9999999998835802</v>
          </cell>
          <cell r="BG12">
            <v>0.96666666667442802</v>
          </cell>
          <cell r="BH12">
            <v>5.5166666654404297</v>
          </cell>
          <cell r="BI12">
            <v>34.683333332184702</v>
          </cell>
          <cell r="BJ12">
            <v>94.450000000186293</v>
          </cell>
          <cell r="BK12">
            <v>54.383333333535099</v>
          </cell>
          <cell r="BL12">
            <v>0.25000000011641499</v>
          </cell>
          <cell r="BN12">
            <v>3.4666666671400899</v>
          </cell>
          <cell r="BO12">
            <v>12.916666668606901</v>
          </cell>
          <cell r="BP12">
            <v>11.799999999522701</v>
          </cell>
          <cell r="BQ12">
            <v>11.583333335293</v>
          </cell>
          <cell r="BS12">
            <v>9.2666666677105205</v>
          </cell>
          <cell r="BU12">
            <v>2.5666666664765199</v>
          </cell>
          <cell r="BW12">
            <v>1.81666666665114</v>
          </cell>
          <cell r="BY12">
            <v>3.68333333416376</v>
          </cell>
        </row>
        <row r="13">
          <cell r="AN13" t="str">
            <v>KTD-777-08OB</v>
          </cell>
          <cell r="AQ13" t="str">
            <v>KTD-777-08</v>
          </cell>
          <cell r="AR13" t="str">
            <v>Truck</v>
          </cell>
          <cell r="AS13" t="str">
            <v>OB</v>
          </cell>
          <cell r="AT13">
            <v>1337</v>
          </cell>
          <cell r="AU13">
            <v>46795</v>
          </cell>
          <cell r="AV13">
            <v>0</v>
          </cell>
          <cell r="AW13">
            <v>377.3984375</v>
          </cell>
          <cell r="AX13">
            <v>664</v>
          </cell>
          <cell r="AY13">
            <v>1.0999999997438901</v>
          </cell>
          <cell r="AZ13">
            <v>9.5666666665929405</v>
          </cell>
          <cell r="BB13">
            <v>0.13333333341870501</v>
          </cell>
          <cell r="BD13">
            <v>0.36666666663950298</v>
          </cell>
          <cell r="BE13">
            <v>89.616666666639503</v>
          </cell>
          <cell r="BG13">
            <v>0.48333333333721401</v>
          </cell>
          <cell r="BH13">
            <v>4.4833333320566497</v>
          </cell>
          <cell r="BI13">
            <v>33.516666666429998</v>
          </cell>
          <cell r="BJ13">
            <v>54.483333333686502</v>
          </cell>
          <cell r="BK13">
            <v>72.866666666872305</v>
          </cell>
          <cell r="BN13">
            <v>2.4499999999534299</v>
          </cell>
          <cell r="BO13">
            <v>11.216666667955</v>
          </cell>
          <cell r="BP13">
            <v>6.3166666666511402</v>
          </cell>
          <cell r="BQ13">
            <v>10.3333333352348</v>
          </cell>
          <cell r="BS13">
            <v>5.1999999993131496</v>
          </cell>
          <cell r="BU13">
            <v>2.4833333332207999</v>
          </cell>
          <cell r="BW13">
            <v>0.54999999987194303</v>
          </cell>
          <cell r="BY13">
            <v>3.26666666683741</v>
          </cell>
        </row>
        <row r="14">
          <cell r="AN14" t="str">
            <v>KTD-777-09OB</v>
          </cell>
          <cell r="AQ14" t="str">
            <v>KTD-777-09</v>
          </cell>
          <cell r="AR14" t="str">
            <v>Truck</v>
          </cell>
          <cell r="AS14" t="str">
            <v>OB</v>
          </cell>
          <cell r="AT14">
            <v>959</v>
          </cell>
          <cell r="AU14">
            <v>33565</v>
          </cell>
          <cell r="AV14">
            <v>0</v>
          </cell>
          <cell r="AW14">
            <v>269.296875</v>
          </cell>
          <cell r="AX14">
            <v>664</v>
          </cell>
          <cell r="AY14">
            <v>0.25000000011641499</v>
          </cell>
          <cell r="AZ14">
            <v>0.25000000011641499</v>
          </cell>
          <cell r="BC14">
            <v>1.58333333325572</v>
          </cell>
          <cell r="BD14">
            <v>5.5833333331975199</v>
          </cell>
          <cell r="BE14">
            <v>47.666666666802499</v>
          </cell>
          <cell r="BF14">
            <v>75.666666666569697</v>
          </cell>
          <cell r="BG14">
            <v>3</v>
          </cell>
          <cell r="BH14">
            <v>4.8499999995692598</v>
          </cell>
          <cell r="BI14">
            <v>25.049999999755499</v>
          </cell>
          <cell r="BJ14">
            <v>161.183333332941</v>
          </cell>
          <cell r="BK14">
            <v>49.666666666686098</v>
          </cell>
          <cell r="BN14">
            <v>2.6166666666395</v>
          </cell>
          <cell r="BO14">
            <v>7.5666666679317096</v>
          </cell>
          <cell r="BP14">
            <v>9.7666666665463708</v>
          </cell>
          <cell r="BQ14">
            <v>8.7166666671400908</v>
          </cell>
          <cell r="BS14">
            <v>4.3500000007334201</v>
          </cell>
          <cell r="BU14">
            <v>1.5166666672448601</v>
          </cell>
          <cell r="BW14">
            <v>0.94999999960418802</v>
          </cell>
          <cell r="BY14">
            <v>3.0666666670586</v>
          </cell>
        </row>
        <row r="15">
          <cell r="AN15" t="str">
            <v>KTD-777-10NON</v>
          </cell>
          <cell r="AQ15" t="str">
            <v>KTD-777-10</v>
          </cell>
          <cell r="AR15" t="str">
            <v>Truck</v>
          </cell>
          <cell r="AS15" t="str">
            <v>NON</v>
          </cell>
          <cell r="AV15">
            <v>0</v>
          </cell>
          <cell r="AW15">
            <v>4</v>
          </cell>
          <cell r="AX15">
            <v>6</v>
          </cell>
          <cell r="AY15">
            <v>0</v>
          </cell>
          <cell r="BI15">
            <v>0.50000000005820799</v>
          </cell>
          <cell r="BK15">
            <v>1.2500000000582101</v>
          </cell>
          <cell r="BO15">
            <v>0.24999999994179201</v>
          </cell>
          <cell r="BQ15">
            <v>8.3333333255723105E-2</v>
          </cell>
          <cell r="BY15">
            <v>4.9999999988358503E-2</v>
          </cell>
        </row>
        <row r="16">
          <cell r="AN16" t="str">
            <v>KTD-777-10OB</v>
          </cell>
          <cell r="AQ16" t="str">
            <v>KTD-777-10</v>
          </cell>
          <cell r="AR16" t="str">
            <v>Truck</v>
          </cell>
          <cell r="AS16" t="str">
            <v>OB</v>
          </cell>
          <cell r="AT16">
            <v>1356</v>
          </cell>
          <cell r="AU16">
            <v>47460</v>
          </cell>
          <cell r="AV16">
            <v>0</v>
          </cell>
          <cell r="AW16">
            <v>371.7109375</v>
          </cell>
          <cell r="AX16">
            <v>658</v>
          </cell>
          <cell r="AY16">
            <v>2.4499999999534299</v>
          </cell>
          <cell r="AZ16">
            <v>0.50000000005820799</v>
          </cell>
          <cell r="BB16">
            <v>0.76666666654637095</v>
          </cell>
          <cell r="BC16">
            <v>3.0000000001746199</v>
          </cell>
          <cell r="BD16">
            <v>2.5666666666511402</v>
          </cell>
          <cell r="BF16">
            <v>11.1666666667443</v>
          </cell>
          <cell r="BH16">
            <v>6.16666666598758</v>
          </cell>
          <cell r="BI16">
            <v>32.833333331916897</v>
          </cell>
          <cell r="BJ16">
            <v>141.93333333323201</v>
          </cell>
          <cell r="BK16">
            <v>60.383333333011301</v>
          </cell>
          <cell r="BN16">
            <v>2.4666666668490498</v>
          </cell>
          <cell r="BO16">
            <v>10.2500000016298</v>
          </cell>
          <cell r="BP16">
            <v>11.8166666665929</v>
          </cell>
          <cell r="BQ16">
            <v>10.5000000026193</v>
          </cell>
          <cell r="BS16">
            <v>5.60000000044238</v>
          </cell>
          <cell r="BU16">
            <v>2.3833333328948401</v>
          </cell>
          <cell r="BW16">
            <v>0.80000000033760399</v>
          </cell>
          <cell r="BY16">
            <v>5.0333333343733102</v>
          </cell>
        </row>
        <row r="17">
          <cell r="AN17" t="str">
            <v>KTD-777-11NON</v>
          </cell>
          <cell r="AQ17" t="str">
            <v>KTD-777-11</v>
          </cell>
          <cell r="AR17" t="str">
            <v>Truck</v>
          </cell>
          <cell r="AS17" t="str">
            <v>NON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AN18" t="str">
            <v>KTD-777-11OB</v>
          </cell>
          <cell r="AQ18" t="str">
            <v>KTD-777-11</v>
          </cell>
          <cell r="AR18" t="str">
            <v>Truck</v>
          </cell>
          <cell r="AS18" t="str">
            <v>OB</v>
          </cell>
          <cell r="AT18">
            <v>1186</v>
          </cell>
          <cell r="AU18">
            <v>41510</v>
          </cell>
          <cell r="AV18">
            <v>0</v>
          </cell>
          <cell r="AW18">
            <v>338.50048828125</v>
          </cell>
          <cell r="AX18">
            <v>664</v>
          </cell>
          <cell r="AY18">
            <v>0</v>
          </cell>
          <cell r="AZ18">
            <v>15.999999999941799</v>
          </cell>
          <cell r="BC18">
            <v>1.4166666665696499</v>
          </cell>
          <cell r="BD18">
            <v>4.3833333336515397</v>
          </cell>
          <cell r="BF18">
            <v>4.2500000000582103</v>
          </cell>
          <cell r="BG18">
            <v>46.033333333558403</v>
          </cell>
          <cell r="BH18">
            <v>5.44999999977881</v>
          </cell>
          <cell r="BI18">
            <v>29.399999999441199</v>
          </cell>
          <cell r="BJ18">
            <v>141.20000000030299</v>
          </cell>
          <cell r="BK18">
            <v>43.783333333558403</v>
          </cell>
          <cell r="BL18">
            <v>4.9166666668024801</v>
          </cell>
          <cell r="BN18">
            <v>3.7166666669072601</v>
          </cell>
          <cell r="BO18">
            <v>9.8333333346527105</v>
          </cell>
          <cell r="BP18">
            <v>15.1166666665231</v>
          </cell>
          <cell r="BQ18">
            <v>9.7666666654986294</v>
          </cell>
          <cell r="BS18">
            <v>9.9499999999534303</v>
          </cell>
          <cell r="BU18">
            <v>2.0166666667792001</v>
          </cell>
          <cell r="BW18">
            <v>2.1166666665812999</v>
          </cell>
          <cell r="BY18">
            <v>3.03333333414048</v>
          </cell>
        </row>
        <row r="19">
          <cell r="AN19" t="str">
            <v>KTD-777-12OB</v>
          </cell>
          <cell r="AQ19" t="str">
            <v>KTD-777-12</v>
          </cell>
          <cell r="AR19" t="str">
            <v>Truck</v>
          </cell>
          <cell r="AS19" t="str">
            <v>OB</v>
          </cell>
          <cell r="AT19">
            <v>1276</v>
          </cell>
          <cell r="AU19">
            <v>44660</v>
          </cell>
          <cell r="AV19">
            <v>0</v>
          </cell>
          <cell r="AW19">
            <v>347.6875</v>
          </cell>
          <cell r="AX19">
            <v>664</v>
          </cell>
          <cell r="AY19">
            <v>0.233333333395422</v>
          </cell>
          <cell r="AZ19">
            <v>5.6999999998952298</v>
          </cell>
          <cell r="BB19">
            <v>0.53333333332557198</v>
          </cell>
          <cell r="BC19">
            <v>1.8499999999185099</v>
          </cell>
          <cell r="BD19">
            <v>2.2499999998253801</v>
          </cell>
          <cell r="BG19">
            <v>5.0500000000465697</v>
          </cell>
          <cell r="BH19">
            <v>5.7666666660807104</v>
          </cell>
          <cell r="BI19">
            <v>34.216666665568503</v>
          </cell>
          <cell r="BJ19">
            <v>166.30000000039601</v>
          </cell>
          <cell r="BK19">
            <v>61.716666666325203</v>
          </cell>
          <cell r="BL19">
            <v>8.0000000000582094</v>
          </cell>
          <cell r="BN19">
            <v>2.8166666669421798</v>
          </cell>
          <cell r="BO19">
            <v>10.2166666680132</v>
          </cell>
          <cell r="BP19">
            <v>11.6500000000815</v>
          </cell>
          <cell r="BQ19">
            <v>9.7500000019208493</v>
          </cell>
          <cell r="BS19">
            <v>4.2666666667791997</v>
          </cell>
          <cell r="BU19">
            <v>1.91666666697711</v>
          </cell>
          <cell r="BW19">
            <v>1.05000000010477</v>
          </cell>
          <cell r="BY19">
            <v>3.9500000008265501</v>
          </cell>
        </row>
        <row r="20">
          <cell r="AN20" t="str">
            <v>KTD-777-13OB</v>
          </cell>
          <cell r="AQ20" t="str">
            <v>KTD-777-13</v>
          </cell>
          <cell r="AR20" t="str">
            <v>Truck</v>
          </cell>
          <cell r="AS20" t="str">
            <v>OB</v>
          </cell>
          <cell r="AT20">
            <v>1118</v>
          </cell>
          <cell r="AU20">
            <v>39130</v>
          </cell>
          <cell r="AV20">
            <v>0</v>
          </cell>
          <cell r="AW20">
            <v>292.09765625</v>
          </cell>
          <cell r="AX20">
            <v>664</v>
          </cell>
          <cell r="AY20">
            <v>1.0499999999301499</v>
          </cell>
          <cell r="AZ20">
            <v>0.166666666686069</v>
          </cell>
          <cell r="BC20">
            <v>3.0000000001746199</v>
          </cell>
          <cell r="BD20">
            <v>3.1000000001513399</v>
          </cell>
          <cell r="BE20">
            <v>42.7000000001863</v>
          </cell>
          <cell r="BF20">
            <v>10.333333333313901</v>
          </cell>
          <cell r="BG20">
            <v>2.0333333333255701</v>
          </cell>
          <cell r="BH20">
            <v>4.4166666662204097</v>
          </cell>
          <cell r="BI20">
            <v>25.0166666657897</v>
          </cell>
          <cell r="BJ20">
            <v>195.11666666599899</v>
          </cell>
          <cell r="BK20">
            <v>40.699999999953398</v>
          </cell>
          <cell r="BN20">
            <v>3.4000000002561102</v>
          </cell>
          <cell r="BO20">
            <v>9.1166666682693194</v>
          </cell>
          <cell r="BP20">
            <v>31.7499999995925</v>
          </cell>
          <cell r="BQ20">
            <v>8.6666666683740896</v>
          </cell>
          <cell r="BS20">
            <v>5.2666666660225001</v>
          </cell>
          <cell r="BU20">
            <v>1.4500000001862601</v>
          </cell>
          <cell r="BW20">
            <v>0.49999999988358501</v>
          </cell>
          <cell r="BY20">
            <v>1.9833333326387199</v>
          </cell>
        </row>
        <row r="21">
          <cell r="AN21" t="str">
            <v>KTD-777-14OB</v>
          </cell>
          <cell r="AQ21" t="str">
            <v>KTD-777-14</v>
          </cell>
          <cell r="AR21" t="str">
            <v>Truck</v>
          </cell>
          <cell r="AS21" t="str">
            <v>OB</v>
          </cell>
          <cell r="AT21">
            <v>1104</v>
          </cell>
          <cell r="AU21">
            <v>38640</v>
          </cell>
          <cell r="AV21">
            <v>0</v>
          </cell>
          <cell r="AW21">
            <v>335.296875</v>
          </cell>
          <cell r="AX21">
            <v>664</v>
          </cell>
          <cell r="AY21">
            <v>0.349999999918509</v>
          </cell>
          <cell r="BB21">
            <v>0.333333333372138</v>
          </cell>
          <cell r="BC21">
            <v>2.83333333313931</v>
          </cell>
          <cell r="BD21">
            <v>3.6166666667559202</v>
          </cell>
          <cell r="BE21">
            <v>12</v>
          </cell>
          <cell r="BF21">
            <v>15.9999999997672</v>
          </cell>
          <cell r="BG21">
            <v>76.916666666802499</v>
          </cell>
          <cell r="BH21">
            <v>4.9166666661039899</v>
          </cell>
          <cell r="BI21">
            <v>28.749999999417899</v>
          </cell>
          <cell r="BJ21">
            <v>115.04999999992999</v>
          </cell>
          <cell r="BK21">
            <v>40.6833333327086</v>
          </cell>
          <cell r="BN21">
            <v>5.05000000022119</v>
          </cell>
          <cell r="BO21">
            <v>9.3166666682227497</v>
          </cell>
          <cell r="BP21">
            <v>12.883333333069499</v>
          </cell>
          <cell r="BQ21">
            <v>10.450000001059401</v>
          </cell>
          <cell r="BS21">
            <v>5.7833333331509502</v>
          </cell>
          <cell r="BU21">
            <v>1.7999999999301499</v>
          </cell>
          <cell r="BW21">
            <v>0.81666666636010599</v>
          </cell>
          <cell r="BY21">
            <v>1.5000000001746201</v>
          </cell>
        </row>
        <row r="22">
          <cell r="AN22" t="str">
            <v>KTD-777-15OB</v>
          </cell>
          <cell r="AQ22" t="str">
            <v>KTD-777-15</v>
          </cell>
          <cell r="AR22" t="str">
            <v>Truck</v>
          </cell>
          <cell r="AS22" t="str">
            <v>OB</v>
          </cell>
          <cell r="AT22">
            <v>455</v>
          </cell>
          <cell r="AU22">
            <v>15925</v>
          </cell>
          <cell r="AV22">
            <v>0</v>
          </cell>
          <cell r="AW22">
            <v>123.796875</v>
          </cell>
          <cell r="AX22">
            <v>664</v>
          </cell>
          <cell r="AY22">
            <v>8.3333333430346102E-2</v>
          </cell>
          <cell r="AZ22">
            <v>12</v>
          </cell>
          <cell r="BA22">
            <v>380.000000000233</v>
          </cell>
          <cell r="BC22">
            <v>1.06666666665114</v>
          </cell>
          <cell r="BD22">
            <v>2.13333333347691</v>
          </cell>
          <cell r="BE22">
            <v>1.1666666668024801</v>
          </cell>
          <cell r="BF22">
            <v>19.416666666744302</v>
          </cell>
          <cell r="BG22">
            <v>0.99999999994179201</v>
          </cell>
          <cell r="BH22">
            <v>2.15000000019791</v>
          </cell>
          <cell r="BI22">
            <v>12.4833333331626</v>
          </cell>
          <cell r="BJ22">
            <v>71.799999999697306</v>
          </cell>
          <cell r="BK22">
            <v>25.483333333104401</v>
          </cell>
          <cell r="BN22">
            <v>1.21666666661622</v>
          </cell>
          <cell r="BO22">
            <v>4.1666666669771102</v>
          </cell>
          <cell r="BP22">
            <v>6.0333333332673602</v>
          </cell>
          <cell r="BQ22">
            <v>3.8833333332440798</v>
          </cell>
          <cell r="BS22">
            <v>1.6500000001396999</v>
          </cell>
          <cell r="BU22">
            <v>0.64999999949941401</v>
          </cell>
          <cell r="BW22">
            <v>0.433333333174232</v>
          </cell>
          <cell r="BY22">
            <v>2.5166666664881601</v>
          </cell>
        </row>
        <row r="23">
          <cell r="AN23" t="str">
            <v>KTD-777-16OB</v>
          </cell>
          <cell r="AQ23" t="str">
            <v>KTD-777-16</v>
          </cell>
          <cell r="AR23" t="str">
            <v>Truck</v>
          </cell>
          <cell r="AS23" t="str">
            <v>OB</v>
          </cell>
          <cell r="AT23">
            <v>1326</v>
          </cell>
          <cell r="AU23">
            <v>46410</v>
          </cell>
          <cell r="AV23">
            <v>0</v>
          </cell>
          <cell r="AW23">
            <v>391.203125</v>
          </cell>
          <cell r="AX23">
            <v>664</v>
          </cell>
          <cell r="AY23">
            <v>0.38333333336049702</v>
          </cell>
          <cell r="AZ23">
            <v>1.5666666667093501</v>
          </cell>
          <cell r="BB23">
            <v>0.31666666665114501</v>
          </cell>
          <cell r="BC23">
            <v>1.9166666668024801</v>
          </cell>
          <cell r="BD23">
            <v>2.3666666666977099</v>
          </cell>
          <cell r="BE23">
            <v>3.9166666666860701</v>
          </cell>
          <cell r="BF23">
            <v>34.500000000174602</v>
          </cell>
          <cell r="BG23">
            <v>2.2333333334536301</v>
          </cell>
          <cell r="BH23">
            <v>6.2999999987077899</v>
          </cell>
          <cell r="BI23">
            <v>32.716666666092401</v>
          </cell>
          <cell r="BJ23">
            <v>91.149999999382999</v>
          </cell>
          <cell r="BK23">
            <v>62.850000000558801</v>
          </cell>
          <cell r="BN23">
            <v>5.8833333334769096</v>
          </cell>
          <cell r="BO23">
            <v>12.116666667745401</v>
          </cell>
          <cell r="BP23">
            <v>14.499999999941799</v>
          </cell>
          <cell r="BQ23">
            <v>11.4500000025728</v>
          </cell>
          <cell r="BS23">
            <v>13.0666666663019</v>
          </cell>
          <cell r="BU23">
            <v>2.5666666666511402</v>
          </cell>
          <cell r="BW23">
            <v>0.81666666688397505</v>
          </cell>
          <cell r="BY23">
            <v>3.1500000017113101</v>
          </cell>
        </row>
        <row r="24">
          <cell r="AN24" t="str">
            <v>KTD-777-17OB</v>
          </cell>
          <cell r="AQ24" t="str">
            <v>KTD-777-17</v>
          </cell>
          <cell r="AR24" t="str">
            <v>Truck</v>
          </cell>
          <cell r="AS24" t="str">
            <v>OB</v>
          </cell>
          <cell r="AV24">
            <v>0</v>
          </cell>
          <cell r="AW24">
            <v>0</v>
          </cell>
          <cell r="AX24">
            <v>664</v>
          </cell>
          <cell r="AY24">
            <v>0</v>
          </cell>
          <cell r="BA24">
            <v>664.000000000466</v>
          </cell>
        </row>
        <row r="25">
          <cell r="AN25" t="str">
            <v>KTD-777-18OB</v>
          </cell>
          <cell r="AQ25" t="str">
            <v>KTD-777-18</v>
          </cell>
          <cell r="AR25" t="str">
            <v>Truck</v>
          </cell>
          <cell r="AS25" t="str">
            <v>OB</v>
          </cell>
          <cell r="AT25">
            <v>1162</v>
          </cell>
          <cell r="AU25">
            <v>40670</v>
          </cell>
          <cell r="AV25">
            <v>0</v>
          </cell>
          <cell r="AW25">
            <v>334.8984375</v>
          </cell>
          <cell r="AX25">
            <v>664</v>
          </cell>
          <cell r="AY25">
            <v>0.25000000011641499</v>
          </cell>
          <cell r="AZ25">
            <v>8.3333333332557196</v>
          </cell>
          <cell r="BB25">
            <v>1.9500000000698501</v>
          </cell>
          <cell r="BC25">
            <v>2.8999999998486601</v>
          </cell>
          <cell r="BD25">
            <v>4.7666666670120303</v>
          </cell>
          <cell r="BE25">
            <v>7.9999999998835802</v>
          </cell>
          <cell r="BG25">
            <v>45.250000000116401</v>
          </cell>
          <cell r="BH25">
            <v>5.8999999989755496</v>
          </cell>
          <cell r="BI25">
            <v>26.516666666488199</v>
          </cell>
          <cell r="BJ25">
            <v>133.183333332476</v>
          </cell>
          <cell r="BK25">
            <v>69.733333333802904</v>
          </cell>
          <cell r="BN25">
            <v>2.1333333336515401</v>
          </cell>
          <cell r="BO25">
            <v>9.0666666675824708</v>
          </cell>
          <cell r="BP25">
            <v>11.116666666755901</v>
          </cell>
          <cell r="BQ25">
            <v>10.1166666690842</v>
          </cell>
          <cell r="BS25">
            <v>2.01666666695382</v>
          </cell>
          <cell r="BU25">
            <v>1.8500000009662501</v>
          </cell>
          <cell r="BW25">
            <v>0.316666666825768</v>
          </cell>
          <cell r="BY25">
            <v>1.1666666664532399</v>
          </cell>
        </row>
        <row r="26">
          <cell r="AN26" t="str">
            <v>KTD-777-19OB</v>
          </cell>
          <cell r="AQ26" t="str">
            <v>KTD-777-19</v>
          </cell>
          <cell r="AR26" t="str">
            <v>Truck</v>
          </cell>
          <cell r="AS26" t="str">
            <v>OB</v>
          </cell>
          <cell r="AT26">
            <v>1280</v>
          </cell>
          <cell r="AU26">
            <v>44800</v>
          </cell>
          <cell r="AV26">
            <v>0</v>
          </cell>
          <cell r="AW26">
            <v>346.19921875</v>
          </cell>
          <cell r="AX26">
            <v>664</v>
          </cell>
          <cell r="AY26">
            <v>0.21666666667442799</v>
          </cell>
          <cell r="AZ26">
            <v>10.7333333333954</v>
          </cell>
          <cell r="BB26">
            <v>0.55000000004656602</v>
          </cell>
          <cell r="BC26">
            <v>2.1499999998486601</v>
          </cell>
          <cell r="BD26">
            <v>3.28333333338378</v>
          </cell>
          <cell r="BE26">
            <v>8.0000000000582094</v>
          </cell>
          <cell r="BF26">
            <v>3.09999999997672</v>
          </cell>
          <cell r="BG26">
            <v>1.23333333316259</v>
          </cell>
          <cell r="BH26">
            <v>4.9999999993597202</v>
          </cell>
          <cell r="BI26">
            <v>29.6333333328366</v>
          </cell>
          <cell r="BJ26">
            <v>181.483333333454</v>
          </cell>
          <cell r="BK26">
            <v>53.166666666220401</v>
          </cell>
          <cell r="BN26">
            <v>3.65000000002328</v>
          </cell>
          <cell r="BO26">
            <v>8.6166666671633703</v>
          </cell>
          <cell r="BP26">
            <v>6.9833333333954197</v>
          </cell>
          <cell r="BQ26">
            <v>10.4833333357237</v>
          </cell>
          <cell r="BS26">
            <v>4.3666666669305396</v>
          </cell>
          <cell r="BU26">
            <v>2.1666666662204102</v>
          </cell>
          <cell r="BW26">
            <v>0.84999999997671705</v>
          </cell>
          <cell r="BY26">
            <v>4.5000000005238698</v>
          </cell>
        </row>
        <row r="27">
          <cell r="AN27" t="str">
            <v>KTD-777-20OB</v>
          </cell>
          <cell r="AQ27" t="str">
            <v>KTD-777-20</v>
          </cell>
          <cell r="AR27" t="str">
            <v>Truck</v>
          </cell>
          <cell r="AS27" t="str">
            <v>OB</v>
          </cell>
          <cell r="AT27">
            <v>1512</v>
          </cell>
          <cell r="AU27">
            <v>52920</v>
          </cell>
          <cell r="AV27">
            <v>0</v>
          </cell>
          <cell r="AW27">
            <v>385.09765625</v>
          </cell>
          <cell r="AX27">
            <v>664</v>
          </cell>
          <cell r="AY27">
            <v>0.60000000020954802</v>
          </cell>
          <cell r="AZ27">
            <v>3.5000000000582099</v>
          </cell>
          <cell r="BB27">
            <v>0.26666666666278599</v>
          </cell>
          <cell r="BC27">
            <v>0.99999999994179201</v>
          </cell>
          <cell r="BD27">
            <v>2.9333333336398901</v>
          </cell>
          <cell r="BE27">
            <v>31.666666666686101</v>
          </cell>
          <cell r="BG27">
            <v>1.80000000010477</v>
          </cell>
          <cell r="BH27">
            <v>6.4833333333372103</v>
          </cell>
          <cell r="BI27">
            <v>31.299999999522701</v>
          </cell>
          <cell r="BJ27">
            <v>116.266666666023</v>
          </cell>
          <cell r="BK27">
            <v>56.799999999697299</v>
          </cell>
          <cell r="BN27">
            <v>3.83333333325572</v>
          </cell>
          <cell r="BO27">
            <v>11.2666666688165</v>
          </cell>
          <cell r="BP27">
            <v>11.183333333116</v>
          </cell>
          <cell r="BQ27">
            <v>11.2833333332674</v>
          </cell>
          <cell r="BS27">
            <v>11.7000000005937</v>
          </cell>
          <cell r="BU27">
            <v>2.44999999977881</v>
          </cell>
          <cell r="BW27">
            <v>0.41666666680248499</v>
          </cell>
          <cell r="BY27">
            <v>3.9500000008265501</v>
          </cell>
        </row>
        <row r="28">
          <cell r="AN28" t="str">
            <v>KTD-785-21OB</v>
          </cell>
          <cell r="AQ28" t="str">
            <v>KTD-785-21</v>
          </cell>
          <cell r="AR28" t="str">
            <v>Truck</v>
          </cell>
          <cell r="AS28" t="str">
            <v>OB</v>
          </cell>
          <cell r="AT28">
            <v>1499</v>
          </cell>
          <cell r="AU28">
            <v>56512.3003425598</v>
          </cell>
          <cell r="AV28">
            <v>0</v>
          </cell>
          <cell r="AW28">
            <v>416</v>
          </cell>
          <cell r="AX28">
            <v>664</v>
          </cell>
          <cell r="AY28">
            <v>0.41666666680248499</v>
          </cell>
          <cell r="AZ28">
            <v>0.75</v>
          </cell>
          <cell r="BB28">
            <v>3.5833333333139299</v>
          </cell>
          <cell r="BC28">
            <v>3.1666666666860701</v>
          </cell>
          <cell r="BD28">
            <v>8.5833333333721402</v>
          </cell>
          <cell r="BE28">
            <v>38.000000000058201</v>
          </cell>
          <cell r="BF28">
            <v>13.333333333313901</v>
          </cell>
          <cell r="BG28">
            <v>48.916666666511396</v>
          </cell>
          <cell r="BH28">
            <v>6.5333333321032097</v>
          </cell>
          <cell r="BI28">
            <v>30.883333332720198</v>
          </cell>
          <cell r="BJ28">
            <v>11.8333333336632</v>
          </cell>
          <cell r="BK28">
            <v>56.000000000582098</v>
          </cell>
          <cell r="BN28">
            <v>3.3666666666395</v>
          </cell>
          <cell r="BO28">
            <v>12.2166666687699</v>
          </cell>
          <cell r="BP28">
            <v>10.4999999996508</v>
          </cell>
          <cell r="BQ28">
            <v>10.166666669072599</v>
          </cell>
          <cell r="BS28">
            <v>4.1333333333604996</v>
          </cell>
          <cell r="BU28">
            <v>1.9166666668024801</v>
          </cell>
          <cell r="BW28">
            <v>0.116666666697711</v>
          </cell>
          <cell r="BY28">
            <v>8.0000000002328306</v>
          </cell>
        </row>
        <row r="29">
          <cell r="AN29" t="str">
            <v>KTD-785-22OB</v>
          </cell>
          <cell r="AQ29" t="str">
            <v>KTD-785-22</v>
          </cell>
          <cell r="AR29" t="str">
            <v>Truck</v>
          </cell>
          <cell r="AS29" t="str">
            <v>OB</v>
          </cell>
          <cell r="AT29">
            <v>1607</v>
          </cell>
          <cell r="AU29">
            <v>60583.900371551499</v>
          </cell>
          <cell r="AV29">
            <v>0</v>
          </cell>
          <cell r="AW29">
            <v>437</v>
          </cell>
          <cell r="AX29">
            <v>664</v>
          </cell>
          <cell r="AY29">
            <v>3.48333333316259</v>
          </cell>
          <cell r="BB29">
            <v>0.333333333372138</v>
          </cell>
          <cell r="BC29">
            <v>2.3666666666977099</v>
          </cell>
          <cell r="BD29">
            <v>2.1666666665696499</v>
          </cell>
          <cell r="BE29">
            <v>86.833333333488596</v>
          </cell>
          <cell r="BG29">
            <v>0.31666666665114501</v>
          </cell>
          <cell r="BH29">
            <v>6.6999999987892798</v>
          </cell>
          <cell r="BI29">
            <v>33.066666666709402</v>
          </cell>
          <cell r="BJ29">
            <v>12.2666666668374</v>
          </cell>
          <cell r="BK29">
            <v>57.250000000291003</v>
          </cell>
          <cell r="BN29">
            <v>5.0000000000582103</v>
          </cell>
          <cell r="BO29">
            <v>13.216666668537099</v>
          </cell>
          <cell r="BP29">
            <v>3.9999999995925499</v>
          </cell>
          <cell r="BQ29">
            <v>11.6666666685487</v>
          </cell>
          <cell r="BS29">
            <v>7.4833333332790097</v>
          </cell>
          <cell r="BU29">
            <v>2.5833333330228898</v>
          </cell>
          <cell r="BW29">
            <v>4.9999999988358503E-2</v>
          </cell>
          <cell r="BY29">
            <v>4.8833333335351199</v>
          </cell>
        </row>
        <row r="30">
          <cell r="AN30" t="str">
            <v>KTD-785-23OB</v>
          </cell>
          <cell r="AQ30" t="str">
            <v>KTD-785-23</v>
          </cell>
          <cell r="AR30" t="str">
            <v>Truck</v>
          </cell>
          <cell r="AS30" t="str">
            <v>OB</v>
          </cell>
          <cell r="AT30">
            <v>1701</v>
          </cell>
          <cell r="AU30">
            <v>64127.700290679903</v>
          </cell>
          <cell r="AV30">
            <v>0</v>
          </cell>
          <cell r="AW30">
            <v>448</v>
          </cell>
          <cell r="AX30">
            <v>664</v>
          </cell>
          <cell r="AY30">
            <v>4.8500000000931296</v>
          </cell>
          <cell r="AZ30">
            <v>19.083333333372099</v>
          </cell>
          <cell r="BB30">
            <v>0.333333333372138</v>
          </cell>
          <cell r="BC30">
            <v>0.61666666675591797</v>
          </cell>
          <cell r="BD30">
            <v>0.60000000003492504</v>
          </cell>
          <cell r="BG30">
            <v>49.583333333255702</v>
          </cell>
          <cell r="BH30">
            <v>5.8833333320799301</v>
          </cell>
          <cell r="BI30">
            <v>33.916666666860699</v>
          </cell>
          <cell r="BJ30">
            <v>12.100000000151301</v>
          </cell>
          <cell r="BK30">
            <v>58.650000000488902</v>
          </cell>
          <cell r="BL30">
            <v>0.416666666627862</v>
          </cell>
          <cell r="BN30">
            <v>4.5999999999767196</v>
          </cell>
          <cell r="BO30">
            <v>14.3000000024331</v>
          </cell>
          <cell r="BP30">
            <v>11.0666666665929</v>
          </cell>
          <cell r="BQ30">
            <v>11.3333333343035</v>
          </cell>
          <cell r="BS30">
            <v>6.6166666678036599</v>
          </cell>
          <cell r="BU30">
            <v>2.3833333334187001</v>
          </cell>
          <cell r="BW30">
            <v>0.93333333305781696</v>
          </cell>
          <cell r="BY30">
            <v>4.0333333339076498</v>
          </cell>
        </row>
        <row r="31">
          <cell r="AN31" t="str">
            <v>KTD-785-24OB</v>
          </cell>
          <cell r="AQ31" t="str">
            <v>KTD-785-24</v>
          </cell>
          <cell r="AR31" t="str">
            <v>Truck</v>
          </cell>
          <cell r="AS31" t="str">
            <v>OB</v>
          </cell>
          <cell r="AT31">
            <v>1785</v>
          </cell>
          <cell r="AU31">
            <v>67294.500003814697</v>
          </cell>
          <cell r="AV31">
            <v>0</v>
          </cell>
          <cell r="AW31">
            <v>495</v>
          </cell>
          <cell r="AX31">
            <v>664</v>
          </cell>
          <cell r="AY31">
            <v>2.25</v>
          </cell>
          <cell r="BB31">
            <v>0.66666666656965401</v>
          </cell>
          <cell r="BC31">
            <v>8.3333333255723105E-2</v>
          </cell>
          <cell r="BF31">
            <v>3.9999999999417901</v>
          </cell>
          <cell r="BG31">
            <v>3.08333333325572</v>
          </cell>
          <cell r="BH31">
            <v>7.0499999985331696</v>
          </cell>
          <cell r="BI31">
            <v>38.833333332964699</v>
          </cell>
          <cell r="BJ31">
            <v>10.200000000069799</v>
          </cell>
          <cell r="BK31">
            <v>69.849999999802094</v>
          </cell>
          <cell r="BN31">
            <v>5.7500000002328298</v>
          </cell>
          <cell r="BO31">
            <v>15.3166666692705</v>
          </cell>
          <cell r="BP31">
            <v>11.9166666665697</v>
          </cell>
          <cell r="BQ31">
            <v>13.416666670062099</v>
          </cell>
          <cell r="BS31">
            <v>9.4666666671400908</v>
          </cell>
          <cell r="BU31">
            <v>2.45000000012806</v>
          </cell>
          <cell r="BW31">
            <v>8.3333333255723105E-2</v>
          </cell>
          <cell r="BY31">
            <v>1.5000000001746201</v>
          </cell>
        </row>
        <row r="32">
          <cell r="AN32" t="str">
            <v>KTD-785-25OB</v>
          </cell>
          <cell r="AQ32" t="str">
            <v>KTD-785-25</v>
          </cell>
          <cell r="AR32" t="str">
            <v>Truck</v>
          </cell>
          <cell r="AS32" t="str">
            <v>OB</v>
          </cell>
          <cell r="AT32">
            <v>1386</v>
          </cell>
          <cell r="AU32">
            <v>52252.200069427498</v>
          </cell>
          <cell r="AV32">
            <v>0</v>
          </cell>
          <cell r="AW32">
            <v>438</v>
          </cell>
          <cell r="AX32">
            <v>664</v>
          </cell>
          <cell r="AY32">
            <v>0.91666666686069198</v>
          </cell>
          <cell r="AZ32">
            <v>0.24999999994179201</v>
          </cell>
          <cell r="BB32">
            <v>1.00000000011642</v>
          </cell>
          <cell r="BE32">
            <v>12</v>
          </cell>
          <cell r="BF32">
            <v>1.16666666662786</v>
          </cell>
          <cell r="BG32">
            <v>67.433333333465299</v>
          </cell>
          <cell r="BH32">
            <v>6.4999999990104698</v>
          </cell>
          <cell r="BI32">
            <v>34.716666666150601</v>
          </cell>
          <cell r="BJ32">
            <v>14.5166666664882</v>
          </cell>
          <cell r="BK32">
            <v>62.083333333488604</v>
          </cell>
          <cell r="BN32">
            <v>4.7500000002910401</v>
          </cell>
          <cell r="BO32">
            <v>12.250000001513399</v>
          </cell>
          <cell r="BP32">
            <v>8.4166666665114498</v>
          </cell>
          <cell r="BQ32">
            <v>11.0000000018044</v>
          </cell>
          <cell r="BS32">
            <v>7.9333333336980996</v>
          </cell>
          <cell r="BU32">
            <v>3.03333333379123</v>
          </cell>
          <cell r="BW32">
            <v>9.9999999976716894E-2</v>
          </cell>
          <cell r="BY32">
            <v>7.1500000013038498</v>
          </cell>
        </row>
        <row r="33">
          <cell r="AN33" t="str">
            <v>KTD-785-26OB</v>
          </cell>
          <cell r="AQ33" t="str">
            <v>KTD-785-26</v>
          </cell>
          <cell r="AR33" t="str">
            <v>Truck</v>
          </cell>
          <cell r="AS33" t="str">
            <v>OB</v>
          </cell>
          <cell r="AT33">
            <v>1633</v>
          </cell>
          <cell r="AU33">
            <v>61564.100196838401</v>
          </cell>
          <cell r="AV33">
            <v>0</v>
          </cell>
          <cell r="AW33">
            <v>448</v>
          </cell>
          <cell r="AX33">
            <v>664</v>
          </cell>
          <cell r="AY33">
            <v>0.38333333318587398</v>
          </cell>
          <cell r="BB33">
            <v>2.5833333333721402</v>
          </cell>
          <cell r="BC33">
            <v>1.58333333325572</v>
          </cell>
          <cell r="BD33">
            <v>1.1166666668141301</v>
          </cell>
          <cell r="BE33">
            <v>3</v>
          </cell>
          <cell r="BG33">
            <v>49.666666666686098</v>
          </cell>
          <cell r="BH33">
            <v>7.58333333238261</v>
          </cell>
          <cell r="BI33">
            <v>36.416666666278601</v>
          </cell>
          <cell r="BJ33">
            <v>23.783333333674801</v>
          </cell>
          <cell r="BK33">
            <v>60.6666666669189</v>
          </cell>
          <cell r="BN33">
            <v>4.2999999998719396</v>
          </cell>
          <cell r="BO33">
            <v>12.7000000021071</v>
          </cell>
          <cell r="BP33">
            <v>12.216666666325199</v>
          </cell>
          <cell r="BQ33">
            <v>12.716666667431101</v>
          </cell>
          <cell r="BS33">
            <v>4.5833333325572303</v>
          </cell>
          <cell r="BU33">
            <v>3.0333333332673602</v>
          </cell>
          <cell r="BW33">
            <v>0.28333333338377997</v>
          </cell>
          <cell r="BY33">
            <v>3.1833333341055599</v>
          </cell>
        </row>
        <row r="34">
          <cell r="AN34" t="str">
            <v>KTD-785-27OB</v>
          </cell>
          <cell r="AQ34" t="str">
            <v>KTD-785-27</v>
          </cell>
          <cell r="AR34" t="str">
            <v>Truck</v>
          </cell>
          <cell r="AS34" t="str">
            <v>OB</v>
          </cell>
          <cell r="AT34">
            <v>1609</v>
          </cell>
          <cell r="AU34">
            <v>60659.300098419197</v>
          </cell>
          <cell r="AV34">
            <v>0</v>
          </cell>
          <cell r="AW34">
            <v>427</v>
          </cell>
          <cell r="AX34">
            <v>664</v>
          </cell>
          <cell r="AY34">
            <v>0.949999999778811</v>
          </cell>
          <cell r="BB34">
            <v>3.6666666665696499</v>
          </cell>
          <cell r="BC34">
            <v>6.3833333333604996</v>
          </cell>
          <cell r="BD34">
            <v>3.28333333338378</v>
          </cell>
          <cell r="BE34">
            <v>43.999999999883599</v>
          </cell>
          <cell r="BG34">
            <v>58.000000000116401</v>
          </cell>
          <cell r="BH34">
            <v>6.1499999985680898</v>
          </cell>
          <cell r="BI34">
            <v>31.833333332848301</v>
          </cell>
          <cell r="BJ34">
            <v>10.0500000002794</v>
          </cell>
          <cell r="BK34">
            <v>44.666666667500998</v>
          </cell>
          <cell r="BN34">
            <v>6.7166666670818804</v>
          </cell>
          <cell r="BO34">
            <v>12.383333335630599</v>
          </cell>
          <cell r="BP34">
            <v>8.9166666665696503</v>
          </cell>
          <cell r="BQ34">
            <v>11.0000000007567</v>
          </cell>
          <cell r="BS34">
            <v>8.3666666679200699</v>
          </cell>
          <cell r="BU34">
            <v>2.4833333337446701</v>
          </cell>
          <cell r="BW34">
            <v>0.66666666674427699</v>
          </cell>
          <cell r="BY34">
            <v>0.74999999982537702</v>
          </cell>
        </row>
        <row r="35">
          <cell r="AN35" t="str">
            <v>KTD-785-28OB</v>
          </cell>
          <cell r="AQ35" t="str">
            <v>KTD-785-28</v>
          </cell>
          <cell r="AR35" t="str">
            <v>Truck</v>
          </cell>
          <cell r="AS35" t="str">
            <v>OB</v>
          </cell>
          <cell r="AT35">
            <v>1714</v>
          </cell>
          <cell r="AU35">
            <v>64617.799938201897</v>
          </cell>
          <cell r="AV35">
            <v>0</v>
          </cell>
          <cell r="AW35">
            <v>467</v>
          </cell>
          <cell r="AX35">
            <v>664</v>
          </cell>
          <cell r="AY35">
            <v>0.26666666683740903</v>
          </cell>
          <cell r="BB35">
            <v>0.66666666674427699</v>
          </cell>
          <cell r="BD35">
            <v>4.9166666666278598</v>
          </cell>
          <cell r="BG35">
            <v>35.0166666666046</v>
          </cell>
          <cell r="BH35">
            <v>7.0666666649049104</v>
          </cell>
          <cell r="BI35">
            <v>38.416666666686098</v>
          </cell>
          <cell r="BJ35">
            <v>21.133333333418701</v>
          </cell>
          <cell r="BK35">
            <v>47.583333333546797</v>
          </cell>
          <cell r="BN35">
            <v>5.8000000000465697</v>
          </cell>
          <cell r="BO35">
            <v>18.883333336038</v>
          </cell>
          <cell r="BP35">
            <v>17.2499999996508</v>
          </cell>
          <cell r="BQ35">
            <v>11.9666666681296</v>
          </cell>
          <cell r="BS35">
            <v>5.7500000004074501</v>
          </cell>
          <cell r="BU35">
            <v>2.66666666627862</v>
          </cell>
          <cell r="BW35">
            <v>0.21666666667442799</v>
          </cell>
          <cell r="BY35">
            <v>5.5500000008032702</v>
          </cell>
        </row>
        <row r="36">
          <cell r="AN36" t="str">
            <v>KTD-785-29OB</v>
          </cell>
          <cell r="AQ36" t="str">
            <v>KTD-785-29</v>
          </cell>
          <cell r="AR36" t="str">
            <v>Truck</v>
          </cell>
          <cell r="AS36" t="str">
            <v>OB</v>
          </cell>
          <cell r="AT36">
            <v>1686</v>
          </cell>
          <cell r="AU36">
            <v>63562.200046539299</v>
          </cell>
          <cell r="AV36">
            <v>0</v>
          </cell>
          <cell r="AW36">
            <v>483</v>
          </cell>
          <cell r="AX36">
            <v>664</v>
          </cell>
          <cell r="AY36">
            <v>2.4499999999534299</v>
          </cell>
          <cell r="AZ36">
            <v>6.9166666666860701</v>
          </cell>
          <cell r="BB36">
            <v>1.1666666668024801</v>
          </cell>
          <cell r="BD36">
            <v>1.3333333333139299</v>
          </cell>
          <cell r="BG36">
            <v>4.1999999998952298</v>
          </cell>
          <cell r="BH36">
            <v>6.81666666461388</v>
          </cell>
          <cell r="BI36">
            <v>36.099999999802101</v>
          </cell>
          <cell r="BJ36">
            <v>14.316666666884</v>
          </cell>
          <cell r="BK36">
            <v>73.066666666825796</v>
          </cell>
          <cell r="BL36">
            <v>7.9999999998835802</v>
          </cell>
          <cell r="BM36">
            <v>8.3333333430346102E-2</v>
          </cell>
          <cell r="BN36">
            <v>4.7833333332091597</v>
          </cell>
          <cell r="BO36">
            <v>14.7666666692239</v>
          </cell>
          <cell r="BP36">
            <v>6.9999999997671702</v>
          </cell>
          <cell r="BQ36">
            <v>12.333333335991499</v>
          </cell>
          <cell r="BS36">
            <v>8.1500000015948899</v>
          </cell>
          <cell r="BU36">
            <v>2.7333333335118399</v>
          </cell>
          <cell r="BW36">
            <v>0.73333333310438298</v>
          </cell>
          <cell r="BY36">
            <v>1.3666666669305401</v>
          </cell>
        </row>
        <row r="37">
          <cell r="AN37" t="str">
            <v>KTD-785-30OB</v>
          </cell>
          <cell r="AQ37" t="str">
            <v>KTD-785-30</v>
          </cell>
          <cell r="AR37" t="str">
            <v>Truck</v>
          </cell>
          <cell r="AS37" t="str">
            <v>OB</v>
          </cell>
          <cell r="AT37">
            <v>1565</v>
          </cell>
          <cell r="AU37">
            <v>59000.499916076697</v>
          </cell>
          <cell r="AV37">
            <v>0</v>
          </cell>
          <cell r="AW37">
            <v>475</v>
          </cell>
          <cell r="AX37">
            <v>664</v>
          </cell>
          <cell r="AY37">
            <v>0.56666666659293696</v>
          </cell>
          <cell r="AZ37">
            <v>7.9166666666278598</v>
          </cell>
          <cell r="BB37">
            <v>1.1666666668024801</v>
          </cell>
          <cell r="BD37">
            <v>2.16666666674428</v>
          </cell>
          <cell r="BE37">
            <v>8.6666666666278598</v>
          </cell>
          <cell r="BG37">
            <v>0.58333333348855398</v>
          </cell>
          <cell r="BH37">
            <v>7.7499999985448103</v>
          </cell>
          <cell r="BI37">
            <v>42.483333332638701</v>
          </cell>
          <cell r="BJ37">
            <v>13.3166666665929</v>
          </cell>
          <cell r="BK37">
            <v>73.800000000454006</v>
          </cell>
          <cell r="BM37">
            <v>0.333333333372138</v>
          </cell>
          <cell r="BN37">
            <v>4.6500000001397002</v>
          </cell>
          <cell r="BO37">
            <v>16.766666669107501</v>
          </cell>
          <cell r="BP37">
            <v>8.8333333333139308</v>
          </cell>
          <cell r="BQ37">
            <v>13.0000000020373</v>
          </cell>
          <cell r="BS37">
            <v>4.1000000007916197</v>
          </cell>
          <cell r="BU37">
            <v>2.8499999998602998</v>
          </cell>
          <cell r="BW37">
            <v>0.21666666667442799</v>
          </cell>
          <cell r="BY37">
            <v>2.5000000001164202</v>
          </cell>
        </row>
        <row r="38">
          <cell r="AN38" t="str">
            <v>KTD-785-31OB</v>
          </cell>
          <cell r="AQ38" t="str">
            <v>KTD-785-31</v>
          </cell>
          <cell r="AR38" t="str">
            <v>Truck</v>
          </cell>
          <cell r="AS38" t="str">
            <v>OB</v>
          </cell>
          <cell r="AT38">
            <v>1560</v>
          </cell>
          <cell r="AU38">
            <v>58812.000267028801</v>
          </cell>
          <cell r="AV38">
            <v>0</v>
          </cell>
          <cell r="AW38">
            <v>451</v>
          </cell>
          <cell r="AX38">
            <v>664</v>
          </cell>
          <cell r="AY38">
            <v>0.31666666665114501</v>
          </cell>
          <cell r="AZ38">
            <v>6.9166666666860701</v>
          </cell>
          <cell r="BB38">
            <v>0.333333333372138</v>
          </cell>
          <cell r="BC38">
            <v>1.3333333333139299</v>
          </cell>
          <cell r="BD38">
            <v>1.99999999988358</v>
          </cell>
          <cell r="BE38">
            <v>4.5</v>
          </cell>
          <cell r="BF38">
            <v>15.999999999941799</v>
          </cell>
          <cell r="BH38">
            <v>7.7666666650911802</v>
          </cell>
          <cell r="BI38">
            <v>33.383333333535099</v>
          </cell>
          <cell r="BJ38">
            <v>37.166666666453203</v>
          </cell>
          <cell r="BK38">
            <v>66.950000000477303</v>
          </cell>
          <cell r="BN38">
            <v>6.8333333332557196</v>
          </cell>
          <cell r="BO38">
            <v>14.100000002305</v>
          </cell>
          <cell r="BP38">
            <v>15.3999999997322</v>
          </cell>
          <cell r="BQ38">
            <v>12.1500000015367</v>
          </cell>
          <cell r="BS38">
            <v>4.5833333343034601</v>
          </cell>
          <cell r="BU38">
            <v>2.3000000001629801</v>
          </cell>
          <cell r="BW38">
            <v>0.416666666627862</v>
          </cell>
          <cell r="BY38">
            <v>5.7666666671284501</v>
          </cell>
        </row>
        <row r="39">
          <cell r="AN39" t="str">
            <v>KTD-785-32OB</v>
          </cell>
          <cell r="AQ39" t="str">
            <v>KTD-785-32</v>
          </cell>
          <cell r="AR39" t="str">
            <v>Truck</v>
          </cell>
          <cell r="AS39" t="str">
            <v>OB</v>
          </cell>
          <cell r="AT39">
            <v>1618</v>
          </cell>
          <cell r="AU39">
            <v>60998.600227356001</v>
          </cell>
          <cell r="AV39">
            <v>0</v>
          </cell>
          <cell r="AW39">
            <v>443</v>
          </cell>
          <cell r="AX39">
            <v>664</v>
          </cell>
          <cell r="AY39">
            <v>2.2333333334536301</v>
          </cell>
          <cell r="AZ39">
            <v>4.9166666664532404</v>
          </cell>
          <cell r="BB39">
            <v>7.3166666665929396</v>
          </cell>
          <cell r="BD39">
            <v>0.93333333323244005</v>
          </cell>
          <cell r="BG39">
            <v>64.000000000116401</v>
          </cell>
          <cell r="BH39">
            <v>6.7499999980791499</v>
          </cell>
          <cell r="BI39">
            <v>33.000000000698499</v>
          </cell>
          <cell r="BJ39">
            <v>10.449999999837001</v>
          </cell>
          <cell r="BK39">
            <v>59.666666667151702</v>
          </cell>
          <cell r="BN39">
            <v>4.2500000000582103</v>
          </cell>
          <cell r="BO39">
            <v>14.5666666690959</v>
          </cell>
          <cell r="BP39">
            <v>12.9166666661622</v>
          </cell>
          <cell r="BQ39">
            <v>11.166666668839801</v>
          </cell>
          <cell r="BS39">
            <v>7.08333333372138</v>
          </cell>
          <cell r="BU39">
            <v>2.8999999998486601</v>
          </cell>
          <cell r="BW39">
            <v>0.65000000002328295</v>
          </cell>
          <cell r="BY39">
            <v>3.46666666696547</v>
          </cell>
        </row>
        <row r="40">
          <cell r="AN40" t="str">
            <v>KTD-785-33OB</v>
          </cell>
          <cell r="AQ40" t="str">
            <v>KTD-785-33</v>
          </cell>
          <cell r="AR40" t="str">
            <v>Truck</v>
          </cell>
          <cell r="AS40" t="str">
            <v>OB</v>
          </cell>
          <cell r="AV40">
            <v>0</v>
          </cell>
          <cell r="AW40">
            <v>0</v>
          </cell>
          <cell r="AX40">
            <v>664</v>
          </cell>
          <cell r="AY40">
            <v>0</v>
          </cell>
          <cell r="BE40">
            <v>664.000000000466</v>
          </cell>
        </row>
        <row r="41">
          <cell r="AN41" t="str">
            <v>KTD-785-34OB</v>
          </cell>
          <cell r="AQ41" t="str">
            <v>KTD-785-34</v>
          </cell>
          <cell r="AR41" t="str">
            <v>Truck</v>
          </cell>
          <cell r="AS41" t="str">
            <v>OB</v>
          </cell>
          <cell r="AT41">
            <v>1654</v>
          </cell>
          <cell r="AU41">
            <v>62355.800167083697</v>
          </cell>
          <cell r="AV41">
            <v>0</v>
          </cell>
          <cell r="AW41">
            <v>452</v>
          </cell>
          <cell r="AX41">
            <v>664</v>
          </cell>
          <cell r="AY41">
            <v>1.0333333332091601</v>
          </cell>
          <cell r="AZ41">
            <v>3.75</v>
          </cell>
          <cell r="BB41">
            <v>0.41666666680248499</v>
          </cell>
          <cell r="BC41">
            <v>6.6666666709352299E-2</v>
          </cell>
          <cell r="BD41">
            <v>0.416666666627862</v>
          </cell>
          <cell r="BG41">
            <v>68.749999999709004</v>
          </cell>
          <cell r="BH41">
            <v>6.48333333194023</v>
          </cell>
          <cell r="BI41">
            <v>33.083333333779599</v>
          </cell>
          <cell r="BJ41">
            <v>1.24999999988358</v>
          </cell>
          <cell r="BK41">
            <v>59.183333334163798</v>
          </cell>
          <cell r="BN41">
            <v>5.1166666669305396</v>
          </cell>
          <cell r="BO41">
            <v>13.5333333351882</v>
          </cell>
          <cell r="BP41">
            <v>18.9166666661622</v>
          </cell>
          <cell r="BQ41">
            <v>11.666666667501</v>
          </cell>
          <cell r="BS41">
            <v>11.5166666680598</v>
          </cell>
          <cell r="BU41">
            <v>2.68333333282499</v>
          </cell>
          <cell r="BW41">
            <v>0.400000000081491</v>
          </cell>
          <cell r="BY41">
            <v>2.96666666585952</v>
          </cell>
        </row>
        <row r="42">
          <cell r="AN42" t="str">
            <v>KTD-785-35OB</v>
          </cell>
          <cell r="AQ42" t="str">
            <v>KTD-785-35</v>
          </cell>
          <cell r="AR42" t="str">
            <v>Truck</v>
          </cell>
          <cell r="AS42" t="str">
            <v>OB</v>
          </cell>
          <cell r="AT42">
            <v>1684</v>
          </cell>
          <cell r="AU42">
            <v>63486.799983978301</v>
          </cell>
          <cell r="AV42">
            <v>0</v>
          </cell>
          <cell r="AW42">
            <v>486</v>
          </cell>
          <cell r="AX42">
            <v>664</v>
          </cell>
          <cell r="AY42">
            <v>1.51666666672099</v>
          </cell>
          <cell r="AZ42">
            <v>1.24999999988358</v>
          </cell>
          <cell r="BB42">
            <v>5.3333333334303497</v>
          </cell>
          <cell r="BD42">
            <v>0.416666666627862</v>
          </cell>
          <cell r="BG42">
            <v>13.833333333372099</v>
          </cell>
          <cell r="BH42">
            <v>7.3166666648467098</v>
          </cell>
          <cell r="BI42">
            <v>36.366666666639503</v>
          </cell>
          <cell r="BJ42">
            <v>11.583333333546801</v>
          </cell>
          <cell r="BK42">
            <v>69</v>
          </cell>
          <cell r="BN42">
            <v>6.2500000002910401</v>
          </cell>
          <cell r="BO42">
            <v>14.633333335979801</v>
          </cell>
          <cell r="BP42">
            <v>10.4999999998254</v>
          </cell>
          <cell r="BQ42">
            <v>13.0833333365154</v>
          </cell>
          <cell r="BS42">
            <v>9.9000000008381903</v>
          </cell>
          <cell r="BU42">
            <v>3.39999999990687</v>
          </cell>
          <cell r="BW42">
            <v>1.16666666662786</v>
          </cell>
          <cell r="BY42">
            <v>4.9833333338610801</v>
          </cell>
        </row>
        <row r="43">
          <cell r="AN43" t="str">
            <v>KTD-785-36OB</v>
          </cell>
          <cell r="AQ43" t="str">
            <v>KTD-785-36</v>
          </cell>
          <cell r="AR43" t="str">
            <v>Truck</v>
          </cell>
          <cell r="AS43" t="str">
            <v>OB</v>
          </cell>
          <cell r="AT43">
            <v>1542</v>
          </cell>
          <cell r="AU43">
            <v>58133.399974822998</v>
          </cell>
          <cell r="AV43">
            <v>0</v>
          </cell>
          <cell r="AW43">
            <v>435</v>
          </cell>
          <cell r="AX43">
            <v>664</v>
          </cell>
          <cell r="AY43">
            <v>0.400000000081491</v>
          </cell>
          <cell r="AZ43">
            <v>21</v>
          </cell>
          <cell r="BB43">
            <v>0.75000000017462298</v>
          </cell>
          <cell r="BC43">
            <v>2.1166666665812999</v>
          </cell>
          <cell r="BD43">
            <v>1.05000000010477</v>
          </cell>
          <cell r="BG43">
            <v>48.4833333333372</v>
          </cell>
          <cell r="BH43">
            <v>6.1166666647768597</v>
          </cell>
          <cell r="BI43">
            <v>33.249999999592497</v>
          </cell>
          <cell r="BJ43">
            <v>18.849999999976699</v>
          </cell>
          <cell r="BK43">
            <v>65.833333334187003</v>
          </cell>
          <cell r="BN43">
            <v>4.3333333336631803</v>
          </cell>
          <cell r="BO43">
            <v>14.3500000024214</v>
          </cell>
          <cell r="BP43">
            <v>12.466666666267001</v>
          </cell>
          <cell r="BQ43">
            <v>11.683333335619</v>
          </cell>
          <cell r="BS43">
            <v>5.1666666662204097</v>
          </cell>
          <cell r="BU43">
            <v>2.4333333337563099</v>
          </cell>
          <cell r="BW43">
            <v>0.38333333336049702</v>
          </cell>
          <cell r="BY43">
            <v>5.2000000010593803</v>
          </cell>
        </row>
        <row r="44">
          <cell r="AN44" t="str">
            <v>KTD-785-37OB</v>
          </cell>
          <cell r="AQ44" t="str">
            <v>KTD-785-37</v>
          </cell>
          <cell r="AR44" t="str">
            <v>Truck</v>
          </cell>
          <cell r="AS44" t="str">
            <v>OB</v>
          </cell>
          <cell r="AT44">
            <v>1845</v>
          </cell>
          <cell r="AU44">
            <v>69556.500522613496</v>
          </cell>
          <cell r="AV44">
            <v>0</v>
          </cell>
          <cell r="AW44">
            <v>484</v>
          </cell>
          <cell r="AX44">
            <v>664</v>
          </cell>
          <cell r="AY44">
            <v>9.8166666667093505</v>
          </cell>
          <cell r="BC44">
            <v>1.16666666662786</v>
          </cell>
          <cell r="BD44">
            <v>0.533333333150949</v>
          </cell>
          <cell r="BG44">
            <v>4.1000000000931296</v>
          </cell>
          <cell r="BH44">
            <v>7.2333333317656097</v>
          </cell>
          <cell r="BI44">
            <v>37.450000000011599</v>
          </cell>
          <cell r="BJ44">
            <v>16.666666666686101</v>
          </cell>
          <cell r="BK44">
            <v>63.9833333333954</v>
          </cell>
          <cell r="BN44">
            <v>5.7500000002328298</v>
          </cell>
          <cell r="BO44">
            <v>15.133333336038</v>
          </cell>
          <cell r="BP44">
            <v>18.166666666686101</v>
          </cell>
          <cell r="BQ44">
            <v>12.750000001397</v>
          </cell>
          <cell r="BS44">
            <v>3.84999999980209</v>
          </cell>
          <cell r="BU44">
            <v>3.2833333337330299</v>
          </cell>
          <cell r="BW44">
            <v>0.349999999918509</v>
          </cell>
          <cell r="BY44">
            <v>4.5000000005238698</v>
          </cell>
        </row>
        <row r="45">
          <cell r="AN45" t="str">
            <v>KTD-785-38OB</v>
          </cell>
          <cell r="AQ45" t="str">
            <v>KTD-785-38</v>
          </cell>
          <cell r="AR45" t="str">
            <v>Truck</v>
          </cell>
          <cell r="AS45" t="str">
            <v>OB</v>
          </cell>
          <cell r="AT45">
            <v>1685</v>
          </cell>
          <cell r="AU45">
            <v>63524.500221252398</v>
          </cell>
          <cell r="AV45">
            <v>0</v>
          </cell>
          <cell r="AW45">
            <v>495</v>
          </cell>
          <cell r="AX45">
            <v>664</v>
          </cell>
          <cell r="AY45">
            <v>2.1833333332906499</v>
          </cell>
          <cell r="BC45">
            <v>0.166666666686069</v>
          </cell>
          <cell r="BD45">
            <v>3.3333333441987599E-2</v>
          </cell>
          <cell r="BG45">
            <v>4.3333333333139299</v>
          </cell>
          <cell r="BH45">
            <v>7.6333333318471004</v>
          </cell>
          <cell r="BI45">
            <v>39.216666666499798</v>
          </cell>
          <cell r="BJ45">
            <v>13.666666666686099</v>
          </cell>
          <cell r="BK45">
            <v>67.566666666884004</v>
          </cell>
          <cell r="BN45">
            <v>4.9166666666278598</v>
          </cell>
          <cell r="BO45">
            <v>16.033333335479298</v>
          </cell>
          <cell r="BP45">
            <v>13.250000000058201</v>
          </cell>
          <cell r="BQ45">
            <v>13.0833333356422</v>
          </cell>
          <cell r="BS45">
            <v>9.9000000008381903</v>
          </cell>
          <cell r="BU45">
            <v>2.7666666662553299</v>
          </cell>
          <cell r="BW45">
            <v>0.23333333322079899</v>
          </cell>
          <cell r="BY45">
            <v>4.7333333332208003</v>
          </cell>
        </row>
        <row r="46">
          <cell r="AN46" t="str">
            <v>KTD-785-39OB</v>
          </cell>
          <cell r="AQ46" t="str">
            <v>KTD-785-39</v>
          </cell>
          <cell r="AR46" t="str">
            <v>Truck</v>
          </cell>
          <cell r="AS46" t="str">
            <v>OB</v>
          </cell>
          <cell r="AT46">
            <v>1627</v>
          </cell>
          <cell r="AU46">
            <v>61337.899948120103</v>
          </cell>
          <cell r="AV46">
            <v>0</v>
          </cell>
          <cell r="AW46">
            <v>467</v>
          </cell>
          <cell r="AX46">
            <v>664</v>
          </cell>
          <cell r="AY46">
            <v>1.2333333333372101</v>
          </cell>
          <cell r="BC46">
            <v>1.45000000001164</v>
          </cell>
          <cell r="BD46">
            <v>2.25</v>
          </cell>
          <cell r="BG46">
            <v>51.900000000139698</v>
          </cell>
          <cell r="BH46">
            <v>7.0999999986961502</v>
          </cell>
          <cell r="BI46">
            <v>34.9166666669771</v>
          </cell>
          <cell r="BJ46">
            <v>12.3499999999185</v>
          </cell>
          <cell r="BK46">
            <v>58.833333333721399</v>
          </cell>
          <cell r="BM46">
            <v>0.50000000005820799</v>
          </cell>
          <cell r="BN46">
            <v>3.5166666667792001</v>
          </cell>
          <cell r="BO46">
            <v>14.483333335141699</v>
          </cell>
          <cell r="BP46">
            <v>8.1333333329530397</v>
          </cell>
          <cell r="BQ46">
            <v>12.4000000009546</v>
          </cell>
          <cell r="BS46">
            <v>11.350000001199099</v>
          </cell>
          <cell r="BU46">
            <v>1.7666666661389201</v>
          </cell>
          <cell r="BX46">
            <v>8.3333333430346102E-2</v>
          </cell>
          <cell r="BY46">
            <v>6.0333333336166097</v>
          </cell>
        </row>
        <row r="47">
          <cell r="AN47" t="str">
            <v>KTD-785-40OB</v>
          </cell>
          <cell r="AQ47" t="str">
            <v>KTD-785-40</v>
          </cell>
          <cell r="AR47" t="str">
            <v>Truck</v>
          </cell>
          <cell r="AS47" t="str">
            <v>OB</v>
          </cell>
          <cell r="AT47">
            <v>1446</v>
          </cell>
          <cell r="AU47">
            <v>54514.199970245398</v>
          </cell>
          <cell r="AV47">
            <v>0</v>
          </cell>
          <cell r="AW47">
            <v>421</v>
          </cell>
          <cell r="AX47">
            <v>664</v>
          </cell>
          <cell r="AY47">
            <v>0.61666666658129499</v>
          </cell>
          <cell r="AZ47">
            <v>12.916666666686099</v>
          </cell>
          <cell r="BB47">
            <v>0.416666666627862</v>
          </cell>
          <cell r="BC47">
            <v>0.916666666686069</v>
          </cell>
          <cell r="BD47">
            <v>1.18333333334886</v>
          </cell>
          <cell r="BE47">
            <v>62.000000000058201</v>
          </cell>
          <cell r="BH47">
            <v>5.6833333317772503</v>
          </cell>
          <cell r="BI47">
            <v>32.866666666581303</v>
          </cell>
          <cell r="BJ47">
            <v>26.5166666666628</v>
          </cell>
          <cell r="BK47">
            <v>67.400000000721803</v>
          </cell>
          <cell r="BM47">
            <v>0.333333333372138</v>
          </cell>
          <cell r="BN47">
            <v>3.0000000001746199</v>
          </cell>
          <cell r="BO47">
            <v>14.6333333352813</v>
          </cell>
          <cell r="BP47">
            <v>15.5166666666046</v>
          </cell>
          <cell r="BQ47">
            <v>12.233333334967</v>
          </cell>
          <cell r="BS47">
            <v>11.1333333333023</v>
          </cell>
          <cell r="BU47">
            <v>2.6833333338727199</v>
          </cell>
          <cell r="BW47">
            <v>0.166666666686069</v>
          </cell>
          <cell r="BY47">
            <v>5.2333333325805098</v>
          </cell>
        </row>
        <row r="48">
          <cell r="AN48" t="str">
            <v>KTD-EX2500-01NON</v>
          </cell>
          <cell r="AQ48" t="str">
            <v>KTD-EX2500-01</v>
          </cell>
          <cell r="AR48" t="str">
            <v>Excavator</v>
          </cell>
          <cell r="AS48" t="str">
            <v>NON</v>
          </cell>
          <cell r="AV48">
            <v>0</v>
          </cell>
          <cell r="AW48">
            <v>0</v>
          </cell>
          <cell r="AX48">
            <v>48</v>
          </cell>
          <cell r="AY48">
            <v>0</v>
          </cell>
          <cell r="BA48">
            <v>31.999999999709001</v>
          </cell>
          <cell r="BG48">
            <v>16.000000000116401</v>
          </cell>
        </row>
        <row r="49">
          <cell r="AN49" t="str">
            <v>KTD-EX2500-01OB</v>
          </cell>
          <cell r="AQ49" t="str">
            <v>KTD-EX2500-01</v>
          </cell>
          <cell r="AR49" t="str">
            <v>Excavator</v>
          </cell>
          <cell r="AS49" t="str">
            <v>OB</v>
          </cell>
          <cell r="AT49">
            <v>0</v>
          </cell>
          <cell r="AU49">
            <v>407222.00075912499</v>
          </cell>
          <cell r="AV49">
            <v>0</v>
          </cell>
          <cell r="AW49">
            <v>462.1962890625</v>
          </cell>
          <cell r="AX49">
            <v>616</v>
          </cell>
          <cell r="AY49">
            <v>2.1166666667559202</v>
          </cell>
          <cell r="AZ49">
            <v>5.0000000000582103</v>
          </cell>
          <cell r="BA49">
            <v>24.000000000174602</v>
          </cell>
          <cell r="BB49">
            <v>1.19999999989523</v>
          </cell>
          <cell r="BC49">
            <v>2.53333333338378</v>
          </cell>
          <cell r="BD49">
            <v>2.7499999998835798</v>
          </cell>
          <cell r="BE49">
            <v>5.2666666667209903</v>
          </cell>
          <cell r="BF49">
            <v>4.0833333331975199</v>
          </cell>
          <cell r="BG49">
            <v>5.3833333332440798</v>
          </cell>
          <cell r="BH49">
            <v>5.0166666655568397</v>
          </cell>
          <cell r="BI49">
            <v>27.183333333232401</v>
          </cell>
          <cell r="BJ49">
            <v>1.81666666682577</v>
          </cell>
          <cell r="BK49">
            <v>49.749999999767198</v>
          </cell>
          <cell r="BM49">
            <v>3.0166666658478798</v>
          </cell>
          <cell r="BN49">
            <v>0.26666666666278599</v>
          </cell>
          <cell r="BO49">
            <v>11.7833333350718</v>
          </cell>
          <cell r="BP49">
            <v>2.6333333330112501</v>
          </cell>
          <cell r="BQ49">
            <v>10.483333334676001</v>
          </cell>
          <cell r="BR49">
            <v>26.0166666666046</v>
          </cell>
          <cell r="BU49">
            <v>0.54999999987194303</v>
          </cell>
          <cell r="BV49">
            <v>4.01666666683741</v>
          </cell>
          <cell r="BW49">
            <v>4.5499999998137399</v>
          </cell>
          <cell r="BY49">
            <v>6.8333333330811001</v>
          </cell>
        </row>
        <row r="50">
          <cell r="AN50" t="str">
            <v>KTD-EX2500-02OB</v>
          </cell>
          <cell r="AQ50" t="str">
            <v>KTD-EX2500-02</v>
          </cell>
          <cell r="AR50" t="str">
            <v>Excavator</v>
          </cell>
          <cell r="AS50" t="str">
            <v>OB</v>
          </cell>
          <cell r="AT50">
            <v>0</v>
          </cell>
          <cell r="AU50">
            <v>420380.30131530802</v>
          </cell>
          <cell r="AV50">
            <v>0</v>
          </cell>
          <cell r="AW50">
            <v>499.4970703125</v>
          </cell>
          <cell r="AX50">
            <v>664</v>
          </cell>
          <cell r="AY50">
            <v>2.33333333325572</v>
          </cell>
          <cell r="AZ50">
            <v>16.666666666686101</v>
          </cell>
          <cell r="BB50">
            <v>0.233333333395422</v>
          </cell>
          <cell r="BC50">
            <v>3.4499999998952302</v>
          </cell>
          <cell r="BD50">
            <v>0.51666666677920103</v>
          </cell>
          <cell r="BE50">
            <v>16.666666666686101</v>
          </cell>
          <cell r="BH50">
            <v>5.4666666649281996</v>
          </cell>
          <cell r="BI50">
            <v>30.300000000104799</v>
          </cell>
          <cell r="BJ50">
            <v>1.0833333331975199</v>
          </cell>
          <cell r="BK50">
            <v>68.833333332615396</v>
          </cell>
          <cell r="BL50">
            <v>8.3333333255723105E-2</v>
          </cell>
          <cell r="BM50">
            <v>2.4500000003026798</v>
          </cell>
          <cell r="BN50">
            <v>0.416666666627862</v>
          </cell>
          <cell r="BO50">
            <v>14.0833333359333</v>
          </cell>
          <cell r="BP50">
            <v>1.9166666664532399</v>
          </cell>
          <cell r="BQ50">
            <v>11.7833333352464</v>
          </cell>
          <cell r="BR50">
            <v>14.4166666679084</v>
          </cell>
          <cell r="BU50">
            <v>0.166666666686069</v>
          </cell>
          <cell r="BV50">
            <v>4.7499999995925499</v>
          </cell>
          <cell r="BW50">
            <v>7.7166666664998003</v>
          </cell>
          <cell r="BY50">
            <v>4.1499999999068704</v>
          </cell>
        </row>
        <row r="51">
          <cell r="AN51" t="str">
            <v>KTD-EX2500-03NON</v>
          </cell>
          <cell r="AQ51" t="str">
            <v>KTD-EX2500-03</v>
          </cell>
          <cell r="AR51" t="str">
            <v>Excavator</v>
          </cell>
          <cell r="AS51" t="str">
            <v>NON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AN52" t="str">
            <v>KTD-EX2500-03OB</v>
          </cell>
          <cell r="AQ52" t="str">
            <v>KTD-EX2500-03</v>
          </cell>
          <cell r="AR52" t="str">
            <v>Excavator</v>
          </cell>
          <cell r="AS52" t="str">
            <v>OB</v>
          </cell>
          <cell r="AT52">
            <v>0</v>
          </cell>
          <cell r="AU52">
            <v>455297.00011062599</v>
          </cell>
          <cell r="AV52">
            <v>0</v>
          </cell>
          <cell r="AW52">
            <v>515.6005859375</v>
          </cell>
          <cell r="AX52">
            <v>664</v>
          </cell>
          <cell r="AY52">
            <v>0.83333333308110003</v>
          </cell>
          <cell r="AZ52">
            <v>9.8333333332557196</v>
          </cell>
          <cell r="BC52">
            <v>0.10000000015134</v>
          </cell>
          <cell r="BD52">
            <v>0.16666666686069201</v>
          </cell>
          <cell r="BG52">
            <v>2.0333333333255701</v>
          </cell>
          <cell r="BH52">
            <v>5.6833333323011201</v>
          </cell>
          <cell r="BI52">
            <v>31.883333333011301</v>
          </cell>
          <cell r="BK52">
            <v>77.266666666197096</v>
          </cell>
          <cell r="BM52">
            <v>3.7999999996391098</v>
          </cell>
          <cell r="BN52">
            <v>0.583333333313931</v>
          </cell>
          <cell r="BO52">
            <v>13.8000000020256</v>
          </cell>
          <cell r="BP52">
            <v>2.4166666661621998</v>
          </cell>
          <cell r="BQ52">
            <v>11.450000002048901</v>
          </cell>
          <cell r="BR52">
            <v>24.783333335712101</v>
          </cell>
          <cell r="BU52">
            <v>0.41666666680248499</v>
          </cell>
          <cell r="BV52">
            <v>4.7166666668490498</v>
          </cell>
          <cell r="BW52">
            <v>8.9666666667326407</v>
          </cell>
          <cell r="BY52">
            <v>4.9500000002444704</v>
          </cell>
        </row>
        <row r="53">
          <cell r="AN53" t="str">
            <v>KTD-H185S#1NON</v>
          </cell>
          <cell r="AQ53" t="str">
            <v>KTD-H185S#1</v>
          </cell>
          <cell r="AR53" t="str">
            <v>Excavator</v>
          </cell>
          <cell r="AS53" t="str">
            <v>NON</v>
          </cell>
          <cell r="AV53">
            <v>0</v>
          </cell>
          <cell r="AW53">
            <v>0</v>
          </cell>
          <cell r="AX53">
            <v>20</v>
          </cell>
          <cell r="AY53">
            <v>0</v>
          </cell>
          <cell r="AZ53">
            <v>19.999999999883599</v>
          </cell>
        </row>
        <row r="54">
          <cell r="AN54" t="str">
            <v>KTD-H185S#1OB</v>
          </cell>
          <cell r="AQ54" t="str">
            <v>KTD-H185S#1</v>
          </cell>
          <cell r="AR54" t="str">
            <v>Excavator</v>
          </cell>
          <cell r="AS54" t="str">
            <v>OB</v>
          </cell>
          <cell r="AT54">
            <v>0</v>
          </cell>
          <cell r="AU54">
            <v>360202.90024948103</v>
          </cell>
          <cell r="AV54">
            <v>0</v>
          </cell>
          <cell r="AW54">
            <v>482.5</v>
          </cell>
          <cell r="AX54">
            <v>644</v>
          </cell>
          <cell r="AY54">
            <v>3.2666666664881601</v>
          </cell>
          <cell r="AZ54">
            <v>4.4500000000116398</v>
          </cell>
          <cell r="BB54">
            <v>2.1000000000349202</v>
          </cell>
          <cell r="BC54">
            <v>7.2333333335118404</v>
          </cell>
          <cell r="BD54">
            <v>11.616666666988699</v>
          </cell>
          <cell r="BE54">
            <v>5.9833333334536301</v>
          </cell>
          <cell r="BG54">
            <v>6.2666666664881596</v>
          </cell>
          <cell r="BH54">
            <v>6.3333333318005298</v>
          </cell>
          <cell r="BI54">
            <v>30.3833333333605</v>
          </cell>
          <cell r="BJ54">
            <v>1.48333333327901</v>
          </cell>
          <cell r="BK54">
            <v>63.016666667070197</v>
          </cell>
          <cell r="BM54">
            <v>2.1499999993247898</v>
          </cell>
          <cell r="BN54">
            <v>0.50000000005820799</v>
          </cell>
          <cell r="BO54">
            <v>14.000000002328299</v>
          </cell>
          <cell r="BP54">
            <v>2.7166666664416002</v>
          </cell>
          <cell r="BQ54">
            <v>11.9166666672681</v>
          </cell>
          <cell r="BR54">
            <v>12.7999999996391</v>
          </cell>
          <cell r="BV54">
            <v>5.8500000000349202</v>
          </cell>
          <cell r="BW54">
            <v>3.3166666663019</v>
          </cell>
          <cell r="BY54">
            <v>5.8666666674544103</v>
          </cell>
        </row>
        <row r="55">
          <cell r="AN55" t="str">
            <v>KTD-PC-300-01NON</v>
          </cell>
          <cell r="AQ55" t="str">
            <v>KTD-PC-300-01</v>
          </cell>
          <cell r="AR55" t="str">
            <v>Excavator</v>
          </cell>
          <cell r="AS55" t="str">
            <v>NON</v>
          </cell>
          <cell r="AV55">
            <v>0</v>
          </cell>
          <cell r="AW55">
            <v>484.8994140625</v>
          </cell>
          <cell r="AX55">
            <v>620</v>
          </cell>
          <cell r="AY55">
            <v>4.7166666664998003</v>
          </cell>
          <cell r="AZ55">
            <v>20.083333333313899</v>
          </cell>
          <cell r="BB55">
            <v>2.8000000000465701</v>
          </cell>
          <cell r="BC55">
            <v>6.5333333333255696</v>
          </cell>
          <cell r="BD55">
            <v>5.4833333332208003</v>
          </cell>
          <cell r="BF55">
            <v>11.6166666664649</v>
          </cell>
          <cell r="BH55">
            <v>6.1499999985680898</v>
          </cell>
          <cell r="BI55">
            <v>30.5500000002212</v>
          </cell>
          <cell r="BJ55">
            <v>9.4833333335118404</v>
          </cell>
          <cell r="BK55">
            <v>16.283333333500199</v>
          </cell>
          <cell r="BM55">
            <v>2.39999999944121</v>
          </cell>
          <cell r="BO55">
            <v>13.9666666694102</v>
          </cell>
          <cell r="BP55">
            <v>5.0333333329763299</v>
          </cell>
          <cell r="BQ55">
            <v>10.5666666684556</v>
          </cell>
          <cell r="BU55">
            <v>1.34999999933643</v>
          </cell>
          <cell r="BW55">
            <v>1.7666666666627899</v>
          </cell>
          <cell r="BY55">
            <v>35.833333332964699</v>
          </cell>
        </row>
        <row r="56">
          <cell r="AN56" t="str">
            <v>KTD-PC-300-01OB</v>
          </cell>
          <cell r="AQ56" t="str">
            <v>KTD-PC-300-01</v>
          </cell>
          <cell r="AR56" t="str">
            <v>Excavator</v>
          </cell>
          <cell r="AS56" t="str">
            <v>OB</v>
          </cell>
          <cell r="AT56">
            <v>0</v>
          </cell>
          <cell r="AU56">
            <v>2969</v>
          </cell>
          <cell r="AV56">
            <v>0</v>
          </cell>
          <cell r="AW56">
            <v>39.5</v>
          </cell>
          <cell r="AX56">
            <v>44</v>
          </cell>
          <cell r="AY56">
            <v>0</v>
          </cell>
          <cell r="BH56">
            <v>0.316666666825768</v>
          </cell>
          <cell r="BI56">
            <v>1.70000000012806</v>
          </cell>
          <cell r="BJ56">
            <v>0.75</v>
          </cell>
          <cell r="BK56">
            <v>0.53333333332557198</v>
          </cell>
          <cell r="BO56">
            <v>0.86666666687233396</v>
          </cell>
          <cell r="BP56">
            <v>0.33333333319751501</v>
          </cell>
          <cell r="BQ56">
            <v>0.64999999984865997</v>
          </cell>
          <cell r="BR56">
            <v>0.35000000026775502</v>
          </cell>
          <cell r="BU56">
            <v>0.18333333340706301</v>
          </cell>
        </row>
        <row r="57">
          <cell r="AN57" t="str">
            <v>KTD-PC-400-6-01NON</v>
          </cell>
          <cell r="AQ57" t="str">
            <v>KTD-PC-400-6-01</v>
          </cell>
          <cell r="AR57" t="str">
            <v>Excavator</v>
          </cell>
          <cell r="AS57" t="str">
            <v>NON</v>
          </cell>
          <cell r="AV57">
            <v>0</v>
          </cell>
          <cell r="AW57">
            <v>421.09375</v>
          </cell>
          <cell r="AX57">
            <v>656</v>
          </cell>
          <cell r="AY57">
            <v>5.7000000000698501</v>
          </cell>
          <cell r="AZ57">
            <v>3.4999999998835798</v>
          </cell>
          <cell r="BB57">
            <v>1.56666666653473</v>
          </cell>
          <cell r="BC57">
            <v>0.71666666673263502</v>
          </cell>
          <cell r="BD57">
            <v>9.9333333335816896</v>
          </cell>
          <cell r="BE57">
            <v>16.3833333333023</v>
          </cell>
          <cell r="BF57">
            <v>23.700000000069799</v>
          </cell>
          <cell r="BG57">
            <v>6.9666666666744304</v>
          </cell>
          <cell r="BH57">
            <v>6.1333333323709702</v>
          </cell>
          <cell r="BI57">
            <v>40.083333332324401</v>
          </cell>
          <cell r="BJ57">
            <v>33.9666666668491</v>
          </cell>
          <cell r="BK57">
            <v>18.5833333334886</v>
          </cell>
          <cell r="BL57">
            <v>48.083333333779599</v>
          </cell>
          <cell r="BM57">
            <v>0.81666666688397505</v>
          </cell>
          <cell r="BN57">
            <v>0.81666666653472897</v>
          </cell>
          <cell r="BO57">
            <v>13.083333334943701</v>
          </cell>
          <cell r="BP57">
            <v>4.8666666662902598</v>
          </cell>
          <cell r="BQ57">
            <v>10.750000001513399</v>
          </cell>
          <cell r="BU57">
            <v>2.44999999977881</v>
          </cell>
          <cell r="BV57">
            <v>6.6666666534729302E-2</v>
          </cell>
          <cell r="BW57">
            <v>4.3333333334885502</v>
          </cell>
          <cell r="BY57">
            <v>47.949999999662403</v>
          </cell>
        </row>
        <row r="58">
          <cell r="AN58" t="str">
            <v>KTD-PC-400-6-01OB</v>
          </cell>
          <cell r="AQ58" t="str">
            <v>KTD-PC-400-6-01</v>
          </cell>
          <cell r="AR58" t="str">
            <v>Excavator</v>
          </cell>
          <cell r="AS58" t="str">
            <v>OB</v>
          </cell>
          <cell r="AT58">
            <v>0</v>
          </cell>
          <cell r="AU58">
            <v>374</v>
          </cell>
          <cell r="AV58">
            <v>0</v>
          </cell>
          <cell r="AW58">
            <v>6.798828125</v>
          </cell>
          <cell r="AX58">
            <v>8</v>
          </cell>
          <cell r="AY58">
            <v>0</v>
          </cell>
          <cell r="BH58">
            <v>8.3333333255723105E-2</v>
          </cell>
          <cell r="BI58">
            <v>0.66666666674427699</v>
          </cell>
          <cell r="BM58">
            <v>0.133333333244082</v>
          </cell>
          <cell r="BO58">
            <v>0.31666666665114501</v>
          </cell>
          <cell r="BQ58">
            <v>0.150000000139698</v>
          </cell>
          <cell r="BR58">
            <v>0.116666666872334</v>
          </cell>
          <cell r="BW58">
            <v>0.99999999994179201</v>
          </cell>
        </row>
        <row r="59">
          <cell r="AN59" t="str">
            <v>KWB-EX 330-76Coal</v>
          </cell>
          <cell r="AQ59" t="str">
            <v>KWB-EX 330-76</v>
          </cell>
          <cell r="AR59" t="str">
            <v>Excavator</v>
          </cell>
          <cell r="AS59" t="str">
            <v>Coal</v>
          </cell>
          <cell r="AT59">
            <v>0</v>
          </cell>
          <cell r="AU59">
            <v>37918.610055923498</v>
          </cell>
          <cell r="AV59">
            <v>0</v>
          </cell>
          <cell r="AW59">
            <v>277.999755859375</v>
          </cell>
          <cell r="AX59">
            <v>398</v>
          </cell>
          <cell r="AY59">
            <v>0</v>
          </cell>
          <cell r="BB59">
            <v>1.2666666667791999</v>
          </cell>
          <cell r="BH59">
            <v>3.16666666598758</v>
          </cell>
          <cell r="BI59">
            <v>19.9999999995343</v>
          </cell>
          <cell r="BJ59">
            <v>42.5833333338378</v>
          </cell>
          <cell r="BK59">
            <v>38.599999999918502</v>
          </cell>
          <cell r="BM59">
            <v>1.23333333316259</v>
          </cell>
          <cell r="BN59">
            <v>1.3333333333139299</v>
          </cell>
          <cell r="BO59">
            <v>7.23333333438495</v>
          </cell>
          <cell r="BQ59">
            <v>5.2666666675941096</v>
          </cell>
          <cell r="BR59">
            <v>6.0333333334419903</v>
          </cell>
          <cell r="BU59">
            <v>0.966666666849051</v>
          </cell>
          <cell r="BV59">
            <v>0.50000000005820799</v>
          </cell>
          <cell r="BW59">
            <v>0.89999999996507496</v>
          </cell>
        </row>
        <row r="60">
          <cell r="AN60" t="str">
            <v>KWB-EX 330-76NON</v>
          </cell>
          <cell r="AQ60" t="str">
            <v>KWB-EX 330-76</v>
          </cell>
          <cell r="AR60" t="str">
            <v>Excavator</v>
          </cell>
          <cell r="AS60" t="str">
            <v>NON</v>
          </cell>
          <cell r="AV60">
            <v>0</v>
          </cell>
          <cell r="AW60">
            <v>26.7001953125</v>
          </cell>
          <cell r="AX60">
            <v>164</v>
          </cell>
          <cell r="AY60">
            <v>0</v>
          </cell>
          <cell r="BH60">
            <v>0.18333333323244</v>
          </cell>
          <cell r="BI60">
            <v>0.50000000005820799</v>
          </cell>
          <cell r="BJ60">
            <v>135.60000000055899</v>
          </cell>
          <cell r="BM60">
            <v>6.6666666534729302E-2</v>
          </cell>
          <cell r="BO60">
            <v>0.94999999995343398</v>
          </cell>
          <cell r="BQ60">
            <v>0.333333333372138</v>
          </cell>
          <cell r="BW60">
            <v>0.91666666651144602</v>
          </cell>
          <cell r="BY60">
            <v>2.3333333334303501</v>
          </cell>
        </row>
        <row r="61">
          <cell r="AN61" t="str">
            <v>KWB-EX 330-76OB</v>
          </cell>
          <cell r="AQ61" t="str">
            <v>KWB-EX 330-76</v>
          </cell>
          <cell r="AR61" t="str">
            <v>Excavator</v>
          </cell>
          <cell r="AS61" t="str">
            <v>OB</v>
          </cell>
          <cell r="AT61">
            <v>0</v>
          </cell>
          <cell r="AU61">
            <v>15810</v>
          </cell>
          <cell r="AV61">
            <v>0</v>
          </cell>
          <cell r="AW61">
            <v>93.400390625</v>
          </cell>
          <cell r="AX61">
            <v>102</v>
          </cell>
          <cell r="AY61">
            <v>0</v>
          </cell>
          <cell r="BH61">
            <v>0.73333333345362905</v>
          </cell>
          <cell r="BI61">
            <v>1.91666666662786</v>
          </cell>
          <cell r="BJ61">
            <v>2.6666666668024801</v>
          </cell>
          <cell r="BK61">
            <v>1.91666666662786</v>
          </cell>
          <cell r="BM61">
            <v>0.28333333320915699</v>
          </cell>
          <cell r="BO61">
            <v>1.08333333337214</v>
          </cell>
          <cell r="BQ61">
            <v>1.13333333370974</v>
          </cell>
          <cell r="BR61">
            <v>1.5833333330810999</v>
          </cell>
          <cell r="BU61">
            <v>0.316666666825768</v>
          </cell>
        </row>
        <row r="62">
          <cell r="AN62" t="str">
            <v>KWB-EX-200-20NON</v>
          </cell>
          <cell r="AQ62" t="str">
            <v>KWB-EX-200-20</v>
          </cell>
          <cell r="AR62" t="str">
            <v>Excavator</v>
          </cell>
          <cell r="AS62" t="str">
            <v>NON</v>
          </cell>
          <cell r="AV62">
            <v>0</v>
          </cell>
          <cell r="AW62">
            <v>78.2001953125</v>
          </cell>
          <cell r="AX62">
            <v>664</v>
          </cell>
          <cell r="AY62">
            <v>0</v>
          </cell>
          <cell r="BH62">
            <v>1.6833333334070599</v>
          </cell>
          <cell r="BI62">
            <v>2.1000000002095498</v>
          </cell>
          <cell r="BJ62">
            <v>578.78333333402395</v>
          </cell>
          <cell r="BK62">
            <v>1.7499999999417899</v>
          </cell>
          <cell r="BM62">
            <v>0.33333333319751501</v>
          </cell>
          <cell r="BO62">
            <v>1.1500000000814901</v>
          </cell>
          <cell r="BQ62">
            <v>4.1833333331742297</v>
          </cell>
          <cell r="BU62">
            <v>0.133333333244082</v>
          </cell>
          <cell r="BW62">
            <v>0.75000000017462298</v>
          </cell>
          <cell r="BY62">
            <v>2.25</v>
          </cell>
        </row>
        <row r="63">
          <cell r="AN63" t="str">
            <v>KWB-EX-200-21Coal</v>
          </cell>
          <cell r="AQ63" t="str">
            <v>KWB-EX-200-21</v>
          </cell>
          <cell r="AR63" t="str">
            <v>Excavator</v>
          </cell>
          <cell r="AS63" t="str">
            <v>Coal</v>
          </cell>
          <cell r="AT63">
            <v>0</v>
          </cell>
          <cell r="AU63">
            <v>691.83999252319302</v>
          </cell>
          <cell r="AV63">
            <v>0</v>
          </cell>
          <cell r="AW63">
            <v>3</v>
          </cell>
          <cell r="AX63">
            <v>20</v>
          </cell>
          <cell r="AY63">
            <v>0</v>
          </cell>
          <cell r="BE63">
            <v>5.9166666667442804</v>
          </cell>
          <cell r="BH63">
            <v>0.16666666651144599</v>
          </cell>
          <cell r="BJ63">
            <v>10.916666666802501</v>
          </cell>
          <cell r="BQ63">
            <v>0.150000000139698</v>
          </cell>
          <cell r="BR63">
            <v>4.9999999988358503E-2</v>
          </cell>
        </row>
        <row r="64">
          <cell r="AN64" t="str">
            <v>KWB-EX-200-21NON</v>
          </cell>
          <cell r="AQ64" t="str">
            <v>KWB-EX-200-21</v>
          </cell>
          <cell r="AR64" t="str">
            <v>Excavator</v>
          </cell>
          <cell r="AS64" t="str">
            <v>NON</v>
          </cell>
          <cell r="AV64">
            <v>0</v>
          </cell>
          <cell r="AW64">
            <v>370.29931640625</v>
          </cell>
          <cell r="AX64">
            <v>644</v>
          </cell>
          <cell r="AY64">
            <v>0</v>
          </cell>
          <cell r="BE64">
            <v>20.000000000058201</v>
          </cell>
          <cell r="BH64">
            <v>4.3499999988125602</v>
          </cell>
          <cell r="BI64">
            <v>22.166666666453199</v>
          </cell>
          <cell r="BJ64">
            <v>196.23333333368601</v>
          </cell>
          <cell r="BK64">
            <v>16.583333333255698</v>
          </cell>
          <cell r="BM64">
            <v>2.68333333247574</v>
          </cell>
          <cell r="BN64">
            <v>1.75000000011642</v>
          </cell>
          <cell r="BO64">
            <v>8.6833333347458392</v>
          </cell>
          <cell r="BP64">
            <v>1.24999999988358</v>
          </cell>
          <cell r="BQ64">
            <v>6.7333333351998599</v>
          </cell>
          <cell r="BR64">
            <v>0.249999999767169</v>
          </cell>
          <cell r="BU64">
            <v>0.98333333374466703</v>
          </cell>
          <cell r="BW64">
            <v>2.1833333332906499</v>
          </cell>
          <cell r="BY64">
            <v>76.900000000081505</v>
          </cell>
        </row>
        <row r="65">
          <cell r="AN65" t="str">
            <v>KWB-EX330-77Coal</v>
          </cell>
          <cell r="AQ65" t="str">
            <v>KWB-EX330-77</v>
          </cell>
          <cell r="AR65" t="str">
            <v>Excavator</v>
          </cell>
          <cell r="AS65" t="str">
            <v>Coal</v>
          </cell>
          <cell r="AT65">
            <v>0</v>
          </cell>
          <cell r="AU65">
            <v>63034.920034408598</v>
          </cell>
          <cell r="AV65">
            <v>0</v>
          </cell>
          <cell r="AW65">
            <v>419.99985361099198</v>
          </cell>
          <cell r="AX65">
            <v>581.5</v>
          </cell>
          <cell r="AY65">
            <v>0</v>
          </cell>
          <cell r="BB65">
            <v>1.0666666664765201</v>
          </cell>
          <cell r="BE65">
            <v>4.2999999998719396</v>
          </cell>
          <cell r="BH65">
            <v>4.4666666651610303</v>
          </cell>
          <cell r="BI65">
            <v>26.999999999825398</v>
          </cell>
          <cell r="BJ65">
            <v>63.916666666686098</v>
          </cell>
          <cell r="BK65">
            <v>44.7333333333372</v>
          </cell>
          <cell r="BM65">
            <v>2.3499999994528502</v>
          </cell>
          <cell r="BN65">
            <v>2.16666666674428</v>
          </cell>
          <cell r="BO65">
            <v>10.2500000018044</v>
          </cell>
          <cell r="BP65">
            <v>1.24999999988358</v>
          </cell>
          <cell r="BQ65">
            <v>8.6666666678502207</v>
          </cell>
          <cell r="BR65">
            <v>10.016666668758299</v>
          </cell>
          <cell r="BU65">
            <v>1.08333333372138</v>
          </cell>
          <cell r="BV65">
            <v>0.83333333343034599</v>
          </cell>
          <cell r="BW65">
            <v>2.5999999999185102</v>
          </cell>
        </row>
        <row r="66">
          <cell r="AN66" t="str">
            <v>KWB-EX330-77NON</v>
          </cell>
          <cell r="AQ66" t="str">
            <v>KWB-EX330-77</v>
          </cell>
          <cell r="AR66" t="str">
            <v>Excavator</v>
          </cell>
          <cell r="AS66" t="str">
            <v>NON</v>
          </cell>
          <cell r="AV66">
            <v>0</v>
          </cell>
          <cell r="AW66">
            <v>31.4002928733826</v>
          </cell>
          <cell r="AX66">
            <v>70.5</v>
          </cell>
          <cell r="AY66">
            <v>0</v>
          </cell>
          <cell r="BH66">
            <v>0.31666666665114501</v>
          </cell>
          <cell r="BJ66">
            <v>32.150000000372501</v>
          </cell>
          <cell r="BK66">
            <v>6.0833333334303497</v>
          </cell>
          <cell r="BO66">
            <v>0.55000000004656602</v>
          </cell>
          <cell r="BQ66">
            <v>0.166666666686069</v>
          </cell>
          <cell r="BW66">
            <v>1.1333333330112501</v>
          </cell>
        </row>
        <row r="67">
          <cell r="AN67" t="str">
            <v>KWB-EX330-77OB</v>
          </cell>
          <cell r="AQ67" t="str">
            <v>KWB-EX330-77</v>
          </cell>
          <cell r="AR67" t="str">
            <v>Excavator</v>
          </cell>
          <cell r="AS67" t="str">
            <v>OB</v>
          </cell>
          <cell r="AT67">
            <v>0</v>
          </cell>
          <cell r="AU67">
            <v>900</v>
          </cell>
          <cell r="AV67">
            <v>0</v>
          </cell>
          <cell r="AW67">
            <v>7.199951171875</v>
          </cell>
          <cell r="AX67">
            <v>12</v>
          </cell>
          <cell r="AY67">
            <v>0</v>
          </cell>
          <cell r="BH67">
            <v>8.3333333255723105E-2</v>
          </cell>
          <cell r="BI67">
            <v>0.99999999994179201</v>
          </cell>
          <cell r="BK67">
            <v>3.3833333333605</v>
          </cell>
          <cell r="BM67">
            <v>8.3333333255723105E-2</v>
          </cell>
          <cell r="BO67">
            <v>0.25000000011641499</v>
          </cell>
          <cell r="BQ67">
            <v>0.16666666686069201</v>
          </cell>
          <cell r="BR67">
            <v>0.150000000139698</v>
          </cell>
        </row>
        <row r="68">
          <cell r="AN68" t="str">
            <v>KWB-KW38Coal</v>
          </cell>
          <cell r="AQ68" t="str">
            <v>KWB-KW38</v>
          </cell>
          <cell r="AR68" t="str">
            <v>Truck</v>
          </cell>
          <cell r="AS68" t="str">
            <v>Coal</v>
          </cell>
          <cell r="AT68">
            <v>243</v>
          </cell>
          <cell r="AU68">
            <v>5215.5299930572501</v>
          </cell>
          <cell r="AV68">
            <v>0</v>
          </cell>
          <cell r="AW68">
            <v>0</v>
          </cell>
          <cell r="AX68">
            <v>486</v>
          </cell>
          <cell r="AY68">
            <v>0</v>
          </cell>
        </row>
        <row r="69">
          <cell r="AN69" t="str">
            <v>KWB-KW39Coal</v>
          </cell>
          <cell r="AQ69" t="str">
            <v>KWB-KW39</v>
          </cell>
          <cell r="AR69" t="str">
            <v>Truck</v>
          </cell>
          <cell r="AS69" t="str">
            <v>Coal</v>
          </cell>
          <cell r="AT69">
            <v>190</v>
          </cell>
          <cell r="AU69">
            <v>4069.23997879028</v>
          </cell>
          <cell r="AV69">
            <v>0</v>
          </cell>
          <cell r="AW69">
            <v>0</v>
          </cell>
          <cell r="AX69">
            <v>426</v>
          </cell>
          <cell r="AY69">
            <v>0</v>
          </cell>
        </row>
        <row r="70">
          <cell r="AN70" t="str">
            <v>KWB-KW40Coal</v>
          </cell>
          <cell r="AQ70" t="str">
            <v>KWB-KW40</v>
          </cell>
          <cell r="AR70" t="str">
            <v>Truck</v>
          </cell>
          <cell r="AS70" t="str">
            <v>Coal</v>
          </cell>
          <cell r="AT70">
            <v>211</v>
          </cell>
          <cell r="AU70">
            <v>4270.1000041961697</v>
          </cell>
          <cell r="AV70">
            <v>0</v>
          </cell>
          <cell r="AW70">
            <v>0</v>
          </cell>
          <cell r="AX70">
            <v>482</v>
          </cell>
          <cell r="AY70">
            <v>0</v>
          </cell>
        </row>
        <row r="71">
          <cell r="AN71" t="str">
            <v>KWB-KW41Coal</v>
          </cell>
          <cell r="AQ71" t="str">
            <v>KWB-KW41</v>
          </cell>
          <cell r="AR71" t="str">
            <v>Truck</v>
          </cell>
          <cell r="AS71" t="str">
            <v>Coal</v>
          </cell>
          <cell r="AT71">
            <v>193</v>
          </cell>
          <cell r="AU71">
            <v>4119.05003547668</v>
          </cell>
          <cell r="AV71">
            <v>0</v>
          </cell>
          <cell r="AW71">
            <v>0</v>
          </cell>
          <cell r="AX71">
            <v>420</v>
          </cell>
          <cell r="AY71">
            <v>0</v>
          </cell>
        </row>
        <row r="72">
          <cell r="AN72" t="str">
            <v>KWB-KW42Coal</v>
          </cell>
          <cell r="AQ72" t="str">
            <v>KWB-KW42</v>
          </cell>
          <cell r="AR72" t="str">
            <v>Truck</v>
          </cell>
          <cell r="AS72" t="str">
            <v>Coal</v>
          </cell>
          <cell r="AT72">
            <v>210</v>
          </cell>
          <cell r="AU72">
            <v>4264.3800067901602</v>
          </cell>
          <cell r="AV72">
            <v>0</v>
          </cell>
          <cell r="AW72">
            <v>0</v>
          </cell>
          <cell r="AX72">
            <v>450</v>
          </cell>
          <cell r="AY72">
            <v>0</v>
          </cell>
        </row>
        <row r="73">
          <cell r="AN73" t="str">
            <v>KWB-KW43Coal</v>
          </cell>
          <cell r="AQ73" t="str">
            <v>KWB-KW43</v>
          </cell>
          <cell r="AR73" t="str">
            <v>Truck</v>
          </cell>
          <cell r="AS73" t="str">
            <v>Coal</v>
          </cell>
          <cell r="AT73">
            <v>173</v>
          </cell>
          <cell r="AU73">
            <v>3677.8099994659401</v>
          </cell>
          <cell r="AV73">
            <v>0</v>
          </cell>
          <cell r="AW73">
            <v>0</v>
          </cell>
          <cell r="AX73">
            <v>444</v>
          </cell>
          <cell r="AY73">
            <v>0</v>
          </cell>
        </row>
        <row r="74">
          <cell r="AN74" t="str">
            <v>KWB-KW44Coal</v>
          </cell>
          <cell r="AQ74" t="str">
            <v>KWB-KW44</v>
          </cell>
          <cell r="AR74" t="str">
            <v>Truck</v>
          </cell>
          <cell r="AS74" t="str">
            <v>Coal</v>
          </cell>
          <cell r="AT74">
            <v>202</v>
          </cell>
          <cell r="AU74">
            <v>4259.5299911498996</v>
          </cell>
          <cell r="AV74">
            <v>0</v>
          </cell>
          <cell r="AW74">
            <v>0</v>
          </cell>
          <cell r="AX74">
            <v>434</v>
          </cell>
          <cell r="AY74">
            <v>0</v>
          </cell>
        </row>
        <row r="75">
          <cell r="AN75" t="str">
            <v>KWB-KW45Coal</v>
          </cell>
          <cell r="AQ75" t="str">
            <v>KWB-KW45</v>
          </cell>
          <cell r="AR75" t="str">
            <v>Truck</v>
          </cell>
          <cell r="AS75" t="str">
            <v>Coal</v>
          </cell>
          <cell r="AT75">
            <v>199</v>
          </cell>
          <cell r="AU75">
            <v>4285.6299953460702</v>
          </cell>
          <cell r="AV75">
            <v>0</v>
          </cell>
          <cell r="AW75">
            <v>0</v>
          </cell>
          <cell r="AX75">
            <v>444</v>
          </cell>
          <cell r="AY75">
            <v>0</v>
          </cell>
        </row>
        <row r="76">
          <cell r="AN76" t="str">
            <v>KWB-KW47Coal</v>
          </cell>
          <cell r="AQ76" t="str">
            <v>KWB-KW47</v>
          </cell>
          <cell r="AR76" t="str">
            <v>Truck</v>
          </cell>
          <cell r="AS76" t="str">
            <v>Coal</v>
          </cell>
          <cell r="AT76">
            <v>214</v>
          </cell>
          <cell r="AU76">
            <v>4587.8500041961697</v>
          </cell>
          <cell r="AV76">
            <v>0</v>
          </cell>
          <cell r="AW76">
            <v>0</v>
          </cell>
          <cell r="AX76">
            <v>528</v>
          </cell>
          <cell r="AY76">
            <v>0</v>
          </cell>
        </row>
        <row r="77">
          <cell r="AN77" t="str">
            <v>KWB-KW48Coal</v>
          </cell>
          <cell r="AQ77" t="str">
            <v>KWB-KW48</v>
          </cell>
          <cell r="AR77" t="str">
            <v>Truck</v>
          </cell>
          <cell r="AS77" t="str">
            <v>Coal</v>
          </cell>
          <cell r="AT77">
            <v>205</v>
          </cell>
          <cell r="AU77">
            <v>4482.5699844360397</v>
          </cell>
          <cell r="AV77">
            <v>0</v>
          </cell>
          <cell r="AW77">
            <v>0</v>
          </cell>
          <cell r="AX77">
            <v>436</v>
          </cell>
          <cell r="AY77">
            <v>0</v>
          </cell>
        </row>
        <row r="78">
          <cell r="AN78" t="str">
            <v>KWB-KW49Coal</v>
          </cell>
          <cell r="AQ78" t="str">
            <v>KWB-KW49</v>
          </cell>
          <cell r="AR78" t="str">
            <v>Truck</v>
          </cell>
          <cell r="AS78" t="str">
            <v>Coal</v>
          </cell>
          <cell r="AT78">
            <v>109</v>
          </cell>
          <cell r="AU78">
            <v>2413.3999977111798</v>
          </cell>
          <cell r="AV78">
            <v>0</v>
          </cell>
          <cell r="AW78">
            <v>0</v>
          </cell>
          <cell r="AX78">
            <v>318</v>
          </cell>
          <cell r="AY78">
            <v>0</v>
          </cell>
        </row>
        <row r="79">
          <cell r="AN79" t="str">
            <v>KWB-KW50Coal</v>
          </cell>
          <cell r="AQ79" t="str">
            <v>KWB-KW50</v>
          </cell>
          <cell r="AR79" t="str">
            <v>Truck</v>
          </cell>
          <cell r="AS79" t="str">
            <v>Coal</v>
          </cell>
          <cell r="AT79">
            <v>195</v>
          </cell>
          <cell r="AU79">
            <v>4248.0799942016602</v>
          </cell>
          <cell r="AV79">
            <v>0</v>
          </cell>
          <cell r="AW79">
            <v>0</v>
          </cell>
          <cell r="AX79">
            <v>490</v>
          </cell>
          <cell r="AY79">
            <v>0</v>
          </cell>
        </row>
        <row r="80">
          <cell r="AN80" t="str">
            <v>KWB-KW52Coal</v>
          </cell>
          <cell r="AQ80" t="str">
            <v>KWB-KW52</v>
          </cell>
          <cell r="AR80" t="str">
            <v>Truck</v>
          </cell>
          <cell r="AS80" t="str">
            <v>Coal</v>
          </cell>
          <cell r="AT80">
            <v>226</v>
          </cell>
          <cell r="AU80">
            <v>4899.8299884796097</v>
          </cell>
          <cell r="AV80">
            <v>0</v>
          </cell>
          <cell r="AW80">
            <v>0</v>
          </cell>
          <cell r="AX80">
            <v>470</v>
          </cell>
          <cell r="AY80">
            <v>0</v>
          </cell>
        </row>
        <row r="81">
          <cell r="AN81" t="str">
            <v>KWB-KW53Coal</v>
          </cell>
          <cell r="AQ81" t="str">
            <v>KWB-KW53</v>
          </cell>
          <cell r="AR81" t="str">
            <v>Truck</v>
          </cell>
          <cell r="AS81" t="str">
            <v>Coal</v>
          </cell>
          <cell r="AT81">
            <v>227</v>
          </cell>
          <cell r="AU81">
            <v>4413.9699935913104</v>
          </cell>
          <cell r="AV81">
            <v>0</v>
          </cell>
          <cell r="AW81">
            <v>0</v>
          </cell>
          <cell r="AX81">
            <v>500</v>
          </cell>
          <cell r="AY81">
            <v>0</v>
          </cell>
        </row>
        <row r="82">
          <cell r="AN82" t="str">
            <v>KWB-KW54Coal</v>
          </cell>
          <cell r="AQ82" t="str">
            <v>KWB-KW54</v>
          </cell>
          <cell r="AR82" t="str">
            <v>Truck</v>
          </cell>
          <cell r="AS82" t="str">
            <v>Coal</v>
          </cell>
          <cell r="AT82">
            <v>266</v>
          </cell>
          <cell r="AU82">
            <v>5711.95998382568</v>
          </cell>
          <cell r="AV82">
            <v>0</v>
          </cell>
          <cell r="AW82">
            <v>0</v>
          </cell>
          <cell r="AX82">
            <v>534</v>
          </cell>
          <cell r="AY82">
            <v>0</v>
          </cell>
        </row>
        <row r="83">
          <cell r="AN83" t="str">
            <v>KWB-KW55Coal</v>
          </cell>
          <cell r="AQ83" t="str">
            <v>KWB-KW55</v>
          </cell>
          <cell r="AR83" t="str">
            <v>Truck</v>
          </cell>
          <cell r="AS83" t="str">
            <v>Coal</v>
          </cell>
          <cell r="AT83">
            <v>252</v>
          </cell>
          <cell r="AU83">
            <v>5448.76000404358</v>
          </cell>
          <cell r="AV83">
            <v>0</v>
          </cell>
          <cell r="AW83">
            <v>0</v>
          </cell>
          <cell r="AX83">
            <v>514</v>
          </cell>
          <cell r="AY83">
            <v>0</v>
          </cell>
        </row>
        <row r="84">
          <cell r="AN84" t="str">
            <v>KWB-KW56Coal</v>
          </cell>
          <cell r="AQ84" t="str">
            <v>KWB-KW56</v>
          </cell>
          <cell r="AR84" t="str">
            <v>Truck</v>
          </cell>
          <cell r="AS84" t="str">
            <v>Coal</v>
          </cell>
          <cell r="AT84">
            <v>243</v>
          </cell>
          <cell r="AU84">
            <v>5262.2800216674796</v>
          </cell>
          <cell r="AV84">
            <v>0</v>
          </cell>
          <cell r="AW84">
            <v>0</v>
          </cell>
          <cell r="AX84">
            <v>526</v>
          </cell>
          <cell r="AY84">
            <v>0</v>
          </cell>
        </row>
        <row r="85">
          <cell r="AN85" t="str">
            <v>KWB-KW57Coal</v>
          </cell>
          <cell r="AQ85" t="str">
            <v>KWB-KW57</v>
          </cell>
          <cell r="AR85" t="str">
            <v>Truck</v>
          </cell>
          <cell r="AS85" t="str">
            <v>Coal</v>
          </cell>
          <cell r="AT85">
            <v>256</v>
          </cell>
          <cell r="AU85">
            <v>5665.2500553131104</v>
          </cell>
          <cell r="AV85">
            <v>0</v>
          </cell>
          <cell r="AW85">
            <v>0</v>
          </cell>
          <cell r="AX85">
            <v>550</v>
          </cell>
          <cell r="AY85">
            <v>0</v>
          </cell>
        </row>
        <row r="86">
          <cell r="AN86" t="str">
            <v>KWB-KW58Coal</v>
          </cell>
          <cell r="AQ86" t="str">
            <v>KWB-KW58</v>
          </cell>
          <cell r="AR86" t="str">
            <v>Truck</v>
          </cell>
          <cell r="AS86" t="str">
            <v>Coal</v>
          </cell>
          <cell r="AT86">
            <v>235</v>
          </cell>
          <cell r="AU86">
            <v>5071.9499912261999</v>
          </cell>
          <cell r="AV86">
            <v>0</v>
          </cell>
          <cell r="AW86">
            <v>0</v>
          </cell>
          <cell r="AX86">
            <v>498</v>
          </cell>
          <cell r="AY86">
            <v>0</v>
          </cell>
        </row>
        <row r="87">
          <cell r="AN87" t="str">
            <v>KWB-KW59Coal</v>
          </cell>
          <cell r="AQ87" t="str">
            <v>KWB-KW59</v>
          </cell>
          <cell r="AR87" t="str">
            <v>Truck</v>
          </cell>
          <cell r="AS87" t="str">
            <v>Coal</v>
          </cell>
          <cell r="AT87">
            <v>235</v>
          </cell>
          <cell r="AU87">
            <v>5106.0299816131601</v>
          </cell>
          <cell r="AV87">
            <v>0</v>
          </cell>
          <cell r="AW87">
            <v>0</v>
          </cell>
          <cell r="AX87">
            <v>540</v>
          </cell>
          <cell r="AY87">
            <v>0</v>
          </cell>
        </row>
        <row r="88">
          <cell r="AN88" t="str">
            <v>KWB-KW60Coal</v>
          </cell>
          <cell r="AQ88" t="str">
            <v>KWB-KW60</v>
          </cell>
          <cell r="AR88" t="str">
            <v>Truck</v>
          </cell>
          <cell r="AS88" t="str">
            <v>Coal</v>
          </cell>
          <cell r="AT88">
            <v>230</v>
          </cell>
          <cell r="AU88">
            <v>5040.2599868774396</v>
          </cell>
          <cell r="AV88">
            <v>0</v>
          </cell>
          <cell r="AW88">
            <v>0</v>
          </cell>
          <cell r="AX88">
            <v>544</v>
          </cell>
          <cell r="AY88">
            <v>0</v>
          </cell>
        </row>
        <row r="89">
          <cell r="AN89" t="str">
            <v>KWB-KW60OB</v>
          </cell>
          <cell r="AQ89" t="str">
            <v>KWB-KW60</v>
          </cell>
          <cell r="AR89" t="str">
            <v>Truck</v>
          </cell>
          <cell r="AS89" t="str">
            <v>OB</v>
          </cell>
          <cell r="AV89">
            <v>0</v>
          </cell>
          <cell r="AW89">
            <v>0</v>
          </cell>
          <cell r="AX89">
            <v>12</v>
          </cell>
          <cell r="AY89">
            <v>0</v>
          </cell>
        </row>
        <row r="90">
          <cell r="AN90" t="str">
            <v>KWB-KW61Coal</v>
          </cell>
          <cell r="AQ90" t="str">
            <v>KWB-KW61</v>
          </cell>
          <cell r="AR90" t="str">
            <v>Truck</v>
          </cell>
          <cell r="AS90" t="str">
            <v>Coal</v>
          </cell>
          <cell r="AT90">
            <v>253</v>
          </cell>
          <cell r="AU90">
            <v>5479.5900325775101</v>
          </cell>
          <cell r="AV90">
            <v>0</v>
          </cell>
          <cell r="AW90">
            <v>0</v>
          </cell>
          <cell r="AX90">
            <v>540</v>
          </cell>
          <cell r="AY90">
            <v>0</v>
          </cell>
        </row>
        <row r="91">
          <cell r="AN91" t="str">
            <v>KWB-KW62Coal</v>
          </cell>
          <cell r="AQ91" t="str">
            <v>KWB-KW62</v>
          </cell>
          <cell r="AR91" t="str">
            <v>Truck</v>
          </cell>
          <cell r="AS91" t="str">
            <v>Coal</v>
          </cell>
          <cell r="AT91">
            <v>215</v>
          </cell>
          <cell r="AU91">
            <v>4730.9800262451199</v>
          </cell>
          <cell r="AV91">
            <v>0</v>
          </cell>
          <cell r="AW91">
            <v>0</v>
          </cell>
          <cell r="AX91">
            <v>458</v>
          </cell>
          <cell r="AY91">
            <v>0</v>
          </cell>
        </row>
        <row r="92">
          <cell r="AN92" t="str">
            <v>KWB-PC-200Coal</v>
          </cell>
          <cell r="AQ92" t="str">
            <v>KWB-PC-200</v>
          </cell>
          <cell r="AR92" t="str">
            <v>Excavator</v>
          </cell>
          <cell r="AS92" t="str">
            <v>Coal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</row>
        <row r="93">
          <cell r="AN93" t="str">
            <v>KWB-PC-200NON</v>
          </cell>
          <cell r="AQ93" t="str">
            <v>KWB-PC-200</v>
          </cell>
          <cell r="AR93" t="str">
            <v>Excavator</v>
          </cell>
          <cell r="AS93" t="str">
            <v>NON</v>
          </cell>
          <cell r="AV93">
            <v>0</v>
          </cell>
          <cell r="AW93">
            <v>376.7998046875</v>
          </cell>
          <cell r="AX93">
            <v>664</v>
          </cell>
          <cell r="AY93">
            <v>0</v>
          </cell>
          <cell r="BE93">
            <v>80.000000000058193</v>
          </cell>
          <cell r="BH93">
            <v>4.8166666657780297</v>
          </cell>
          <cell r="BI93">
            <v>26.033333332976301</v>
          </cell>
          <cell r="BJ93">
            <v>124.899999999732</v>
          </cell>
          <cell r="BK93">
            <v>19.999999999709001</v>
          </cell>
          <cell r="BL93">
            <v>16.000000000116401</v>
          </cell>
          <cell r="BM93">
            <v>2.5333333332091601</v>
          </cell>
          <cell r="BN93">
            <v>2.0833333334885502</v>
          </cell>
          <cell r="BO93">
            <v>9.5833333345362899</v>
          </cell>
          <cell r="BP93">
            <v>1.24999999988358</v>
          </cell>
          <cell r="BQ93">
            <v>6.9833333347924098</v>
          </cell>
          <cell r="BR93">
            <v>0.133333333244082</v>
          </cell>
          <cell r="BU93">
            <v>1.03333333338378</v>
          </cell>
          <cell r="BV93">
            <v>0.166666666686069</v>
          </cell>
          <cell r="BW93">
            <v>4.3333333331393096</v>
          </cell>
          <cell r="BY93">
            <v>62.950000000710098</v>
          </cell>
        </row>
        <row r="94">
          <cell r="AN94" t="str">
            <v>KWB-PC-200-KP-01NON</v>
          </cell>
          <cell r="AQ94" t="str">
            <v>KWB-PC-200-KP-01</v>
          </cell>
          <cell r="AR94" t="str">
            <v>Excavator</v>
          </cell>
          <cell r="AS94" t="str">
            <v>NON</v>
          </cell>
          <cell r="AV94">
            <v>0</v>
          </cell>
          <cell r="AW94">
            <v>0</v>
          </cell>
          <cell r="AX94">
            <v>664</v>
          </cell>
          <cell r="AY94">
            <v>0</v>
          </cell>
          <cell r="BJ94">
            <v>664.000000000466</v>
          </cell>
        </row>
        <row r="95">
          <cell r="AN95" t="str">
            <v>KWB-PC-200-KP-07NON</v>
          </cell>
          <cell r="AQ95" t="str">
            <v>KWB-PC-200-KP-07</v>
          </cell>
          <cell r="AR95" t="str">
            <v>Excavator</v>
          </cell>
          <cell r="AS95" t="str">
            <v>NON</v>
          </cell>
          <cell r="AV95">
            <v>0</v>
          </cell>
          <cell r="AW95">
            <v>0</v>
          </cell>
          <cell r="AX95">
            <v>664</v>
          </cell>
          <cell r="AY95">
            <v>0</v>
          </cell>
          <cell r="BJ95">
            <v>652.000000000466</v>
          </cell>
          <cell r="BM95">
            <v>12</v>
          </cell>
        </row>
        <row r="96">
          <cell r="AN96" t="str">
            <v>KWB-PC-300NON</v>
          </cell>
          <cell r="AQ96" t="str">
            <v>KWB-PC-300</v>
          </cell>
          <cell r="AR96" t="str">
            <v>Excavator</v>
          </cell>
          <cell r="AS96" t="str">
            <v>NON</v>
          </cell>
          <cell r="AV96">
            <v>0</v>
          </cell>
          <cell r="AW96">
            <v>0</v>
          </cell>
          <cell r="AX96">
            <v>656</v>
          </cell>
          <cell r="AY96">
            <v>0</v>
          </cell>
          <cell r="BE96">
            <v>656.00000000058196</v>
          </cell>
        </row>
        <row r="97">
          <cell r="AN97" t="str">
            <v>KWB-PC-EX330Coal</v>
          </cell>
          <cell r="AQ97" t="str">
            <v>KWB-PC-EX330</v>
          </cell>
          <cell r="AR97" t="str">
            <v>Excavator</v>
          </cell>
          <cell r="AS97" t="str">
            <v>Coal</v>
          </cell>
          <cell r="AT97">
            <v>0</v>
          </cell>
          <cell r="AU97">
            <v>6634.3199634552002</v>
          </cell>
          <cell r="AV97">
            <v>0</v>
          </cell>
          <cell r="AW97">
            <v>51.2998046875</v>
          </cell>
          <cell r="AX97">
            <v>70</v>
          </cell>
          <cell r="AY97">
            <v>0</v>
          </cell>
          <cell r="BH97">
            <v>0.53333333297632601</v>
          </cell>
          <cell r="BI97">
            <v>4.9166666666278598</v>
          </cell>
          <cell r="BJ97">
            <v>7.5833333332557196</v>
          </cell>
          <cell r="BK97">
            <v>3.4166666666278598</v>
          </cell>
          <cell r="BM97">
            <v>0.49999999988358501</v>
          </cell>
          <cell r="BN97">
            <v>0.75</v>
          </cell>
          <cell r="BO97">
            <v>1.00000000011642</v>
          </cell>
          <cell r="BQ97">
            <v>1.24999999988358</v>
          </cell>
          <cell r="BR97">
            <v>0.94999999995343398</v>
          </cell>
          <cell r="BU97">
            <v>0.116666666697711</v>
          </cell>
          <cell r="BW97">
            <v>0.50000000005820799</v>
          </cell>
        </row>
        <row r="98">
          <cell r="AN98" t="str">
            <v>KWB-PC-EX330NON</v>
          </cell>
          <cell r="AQ98" t="str">
            <v>KWB-PC-EX330</v>
          </cell>
          <cell r="AR98" t="str">
            <v>Excavator</v>
          </cell>
          <cell r="AS98" t="str">
            <v>NON</v>
          </cell>
          <cell r="AV98">
            <v>0</v>
          </cell>
          <cell r="AW98">
            <v>32.6005859375</v>
          </cell>
          <cell r="AX98">
            <v>390</v>
          </cell>
          <cell r="AY98">
            <v>0</v>
          </cell>
          <cell r="BE98">
            <v>234.00000000034899</v>
          </cell>
          <cell r="BH98">
            <v>0.48333333368645998</v>
          </cell>
          <cell r="BI98">
            <v>0.50000000005820799</v>
          </cell>
          <cell r="BJ98">
            <v>119.500000000291</v>
          </cell>
          <cell r="BK98">
            <v>2.33333333325572</v>
          </cell>
          <cell r="BO98">
            <v>0.583333333313931</v>
          </cell>
          <cell r="BQ98">
            <v>0.58333333313930802</v>
          </cell>
          <cell r="BU98">
            <v>3.33333332673647E-2</v>
          </cell>
          <cell r="BW98">
            <v>0.18333333340706301</v>
          </cell>
          <cell r="BY98">
            <v>5.1666666667442804</v>
          </cell>
        </row>
        <row r="99">
          <cell r="AN99" t="str">
            <v>KWB-PC-EX330OB</v>
          </cell>
          <cell r="AQ99" t="str">
            <v>KWB-PC-EX330</v>
          </cell>
          <cell r="AR99" t="str">
            <v>Excavator</v>
          </cell>
          <cell r="AS99" t="str">
            <v>OB</v>
          </cell>
          <cell r="AT99">
            <v>0</v>
          </cell>
          <cell r="AU99">
            <v>20925</v>
          </cell>
          <cell r="AV99">
            <v>0</v>
          </cell>
          <cell r="AW99">
            <v>153.80078125</v>
          </cell>
          <cell r="AX99">
            <v>204</v>
          </cell>
          <cell r="AY99">
            <v>0</v>
          </cell>
          <cell r="BH99">
            <v>1.3833333326038</v>
          </cell>
          <cell r="BI99">
            <v>8.2833333334419894</v>
          </cell>
          <cell r="BJ99">
            <v>29.183333333290602</v>
          </cell>
          <cell r="BK99">
            <v>5.6166666668141296</v>
          </cell>
          <cell r="BM99">
            <v>0.89999999996507496</v>
          </cell>
          <cell r="BO99">
            <v>4.83333333372138</v>
          </cell>
          <cell r="BQ99">
            <v>2.6333333340589902</v>
          </cell>
          <cell r="BR99">
            <v>3.5833333338378002</v>
          </cell>
          <cell r="BU99">
            <v>0.19999999995343401</v>
          </cell>
          <cell r="BV99">
            <v>0.333333333372138</v>
          </cell>
          <cell r="BW99">
            <v>0.41666666680248499</v>
          </cell>
          <cell r="BY99">
            <v>8.3333333430346102E-2</v>
          </cell>
        </row>
        <row r="100">
          <cell r="AN100" t="str">
            <v>KWB-VOLVO-78NON</v>
          </cell>
          <cell r="AQ100" t="str">
            <v>KWB-VOLVO-78</v>
          </cell>
          <cell r="AR100" t="str">
            <v>Truck</v>
          </cell>
          <cell r="AS100" t="str">
            <v>NON</v>
          </cell>
          <cell r="AV100">
            <v>0</v>
          </cell>
          <cell r="AW100">
            <v>23</v>
          </cell>
          <cell r="AX100">
            <v>48</v>
          </cell>
          <cell r="AY100">
            <v>0</v>
          </cell>
          <cell r="BJ100">
            <v>10.000000000116399</v>
          </cell>
        </row>
        <row r="101">
          <cell r="AN101" t="str">
            <v>KWB-VOLVO-78OB</v>
          </cell>
          <cell r="AQ101" t="str">
            <v>KWB-VOLVO-78</v>
          </cell>
          <cell r="AR101" t="str">
            <v>Truck</v>
          </cell>
          <cell r="AS101" t="str">
            <v>OB</v>
          </cell>
          <cell r="AT101">
            <v>726</v>
          </cell>
          <cell r="AU101">
            <v>10890</v>
          </cell>
          <cell r="AV101">
            <v>0</v>
          </cell>
          <cell r="AW101">
            <v>222</v>
          </cell>
          <cell r="AX101">
            <v>608</v>
          </cell>
          <cell r="AY101">
            <v>0</v>
          </cell>
          <cell r="BJ101">
            <v>256.000000000466</v>
          </cell>
        </row>
        <row r="102">
          <cell r="AN102" t="str">
            <v>KWB-VOLVO-79NON</v>
          </cell>
          <cell r="AQ102" t="str">
            <v>KWB-VOLVO-79</v>
          </cell>
          <cell r="AR102" t="str">
            <v>Truck</v>
          </cell>
          <cell r="AS102" t="str">
            <v>NON</v>
          </cell>
          <cell r="AV102">
            <v>0</v>
          </cell>
          <cell r="AW102">
            <v>13</v>
          </cell>
          <cell r="AX102">
            <v>27</v>
          </cell>
          <cell r="AY102">
            <v>0</v>
          </cell>
        </row>
        <row r="103">
          <cell r="AN103" t="str">
            <v>KWB-VOLVO-79OB</v>
          </cell>
          <cell r="AQ103" t="str">
            <v>KWB-VOLVO-79</v>
          </cell>
          <cell r="AR103" t="str">
            <v>Truck</v>
          </cell>
          <cell r="AS103" t="str">
            <v>OB</v>
          </cell>
          <cell r="AT103">
            <v>1036</v>
          </cell>
          <cell r="AU103">
            <v>15540</v>
          </cell>
          <cell r="AV103">
            <v>0</v>
          </cell>
          <cell r="AW103">
            <v>305</v>
          </cell>
          <cell r="AX103">
            <v>629</v>
          </cell>
          <cell r="AY103">
            <v>0</v>
          </cell>
          <cell r="BJ103">
            <v>192.00000000052401</v>
          </cell>
        </row>
        <row r="104">
          <cell r="AN104" t="str">
            <v>KWB-VOLVO-80NON</v>
          </cell>
          <cell r="AQ104" t="str">
            <v>KWB-VOLVO-80</v>
          </cell>
          <cell r="AR104" t="str">
            <v>Truck</v>
          </cell>
          <cell r="AS104" t="str">
            <v>NON</v>
          </cell>
          <cell r="AV104">
            <v>0</v>
          </cell>
          <cell r="AW104">
            <v>23</v>
          </cell>
          <cell r="AX104">
            <v>48</v>
          </cell>
          <cell r="AY104">
            <v>0</v>
          </cell>
        </row>
        <row r="105">
          <cell r="AN105" t="str">
            <v>KWB-VOLVO-80OB</v>
          </cell>
          <cell r="AQ105" t="str">
            <v>KWB-VOLVO-80</v>
          </cell>
          <cell r="AR105" t="str">
            <v>Truck</v>
          </cell>
          <cell r="AS105" t="str">
            <v>OB</v>
          </cell>
          <cell r="AT105">
            <v>873</v>
          </cell>
          <cell r="AU105">
            <v>13095</v>
          </cell>
          <cell r="AV105">
            <v>0</v>
          </cell>
          <cell r="AW105">
            <v>254</v>
          </cell>
          <cell r="AX105">
            <v>608</v>
          </cell>
          <cell r="AY105">
            <v>0</v>
          </cell>
          <cell r="BJ105">
            <v>200.00000000058199</v>
          </cell>
        </row>
        <row r="106">
          <cell r="AN106" t="str">
            <v>KWB-VOLVO-81NON</v>
          </cell>
          <cell r="AQ106" t="str">
            <v>KWB-VOLVO-81</v>
          </cell>
          <cell r="AR106" t="str">
            <v>Truck</v>
          </cell>
          <cell r="AS106" t="str">
            <v>NON</v>
          </cell>
          <cell r="AV106">
            <v>0</v>
          </cell>
          <cell r="AW106">
            <v>0</v>
          </cell>
          <cell r="AX106">
            <v>18</v>
          </cell>
          <cell r="AY106">
            <v>0</v>
          </cell>
          <cell r="BJ106">
            <v>18</v>
          </cell>
        </row>
        <row r="107">
          <cell r="AN107" t="str">
            <v>KWB-VOLVO-81OB</v>
          </cell>
          <cell r="AQ107" t="str">
            <v>KWB-VOLVO-81</v>
          </cell>
          <cell r="AR107" t="str">
            <v>Truck</v>
          </cell>
          <cell r="AS107" t="str">
            <v>OB</v>
          </cell>
          <cell r="AV107">
            <v>0</v>
          </cell>
          <cell r="AW107">
            <v>0</v>
          </cell>
          <cell r="AX107">
            <v>638</v>
          </cell>
          <cell r="AY107">
            <v>0</v>
          </cell>
          <cell r="BJ107">
            <v>618.00000000052398</v>
          </cell>
        </row>
        <row r="108">
          <cell r="AN108" t="str">
            <v>KWB-VOLVO-82NON</v>
          </cell>
          <cell r="AQ108" t="str">
            <v>KWB-VOLVO-82</v>
          </cell>
          <cell r="AR108" t="str">
            <v>Truck</v>
          </cell>
          <cell r="AS108" t="str">
            <v>NON</v>
          </cell>
          <cell r="AV108">
            <v>0</v>
          </cell>
          <cell r="AW108">
            <v>0</v>
          </cell>
          <cell r="AX108">
            <v>18</v>
          </cell>
          <cell r="AY108">
            <v>0</v>
          </cell>
          <cell r="BJ108">
            <v>18</v>
          </cell>
        </row>
        <row r="109">
          <cell r="AN109" t="str">
            <v>KWB-VOLVO-82OB</v>
          </cell>
          <cell r="AQ109" t="str">
            <v>KWB-VOLVO-82</v>
          </cell>
          <cell r="AR109" t="str">
            <v>Truck</v>
          </cell>
          <cell r="AS109" t="str">
            <v>OB</v>
          </cell>
          <cell r="AV109">
            <v>0</v>
          </cell>
          <cell r="AW109">
            <v>0</v>
          </cell>
          <cell r="AX109">
            <v>638</v>
          </cell>
          <cell r="AY109">
            <v>0</v>
          </cell>
          <cell r="BJ109">
            <v>626.00000000058196</v>
          </cell>
        </row>
        <row r="110">
          <cell r="AN110" t="str">
            <v>KWB-VOLVO-83NON</v>
          </cell>
          <cell r="AQ110" t="str">
            <v>KWB-VOLVO-83</v>
          </cell>
          <cell r="AR110" t="str">
            <v>Truck</v>
          </cell>
          <cell r="AS110" t="str">
            <v>NON</v>
          </cell>
          <cell r="AV110">
            <v>0</v>
          </cell>
          <cell r="AW110">
            <v>0</v>
          </cell>
          <cell r="AX110">
            <v>18</v>
          </cell>
          <cell r="AY110">
            <v>0</v>
          </cell>
          <cell r="BJ110">
            <v>18</v>
          </cell>
        </row>
        <row r="111">
          <cell r="AN111" t="str">
            <v>KWB-VOLVO-83OB</v>
          </cell>
          <cell r="AQ111" t="str">
            <v>KWB-VOLVO-83</v>
          </cell>
          <cell r="AR111" t="str">
            <v>Truck</v>
          </cell>
          <cell r="AS111" t="str">
            <v>OB</v>
          </cell>
          <cell r="AV111">
            <v>0</v>
          </cell>
          <cell r="AW111">
            <v>0</v>
          </cell>
          <cell r="AX111">
            <v>638</v>
          </cell>
          <cell r="AY111">
            <v>0</v>
          </cell>
          <cell r="BJ111">
            <v>626.00000000058196</v>
          </cell>
        </row>
        <row r="112">
          <cell r="AN112" t="str">
            <v>KWB-VOLVO-84NON</v>
          </cell>
          <cell r="AQ112" t="str">
            <v>KWB-VOLVO-84</v>
          </cell>
          <cell r="AR112" t="str">
            <v>Truck</v>
          </cell>
          <cell r="AS112" t="str">
            <v>NON</v>
          </cell>
          <cell r="AV112">
            <v>0</v>
          </cell>
          <cell r="AW112">
            <v>24</v>
          </cell>
          <cell r="AX112">
            <v>55</v>
          </cell>
          <cell r="AY112">
            <v>0</v>
          </cell>
          <cell r="BH112">
            <v>0.16666666686069201</v>
          </cell>
          <cell r="BI112">
            <v>0.66666666656965401</v>
          </cell>
          <cell r="BJ112">
            <v>13.8333333330229</v>
          </cell>
          <cell r="BO112">
            <v>0.33333333319751501</v>
          </cell>
          <cell r="BQ112">
            <v>0.333333333372138</v>
          </cell>
        </row>
        <row r="113">
          <cell r="AN113" t="str">
            <v>KWB-VOLVO-84OB</v>
          </cell>
          <cell r="AQ113" t="str">
            <v>KWB-VOLVO-84</v>
          </cell>
          <cell r="AR113" t="str">
            <v>Truck</v>
          </cell>
          <cell r="AS113" t="str">
            <v>OB</v>
          </cell>
          <cell r="AT113">
            <v>817</v>
          </cell>
          <cell r="AU113">
            <v>12255</v>
          </cell>
          <cell r="AV113">
            <v>0</v>
          </cell>
          <cell r="AW113">
            <v>249</v>
          </cell>
          <cell r="AX113">
            <v>601</v>
          </cell>
          <cell r="AY113">
            <v>0</v>
          </cell>
          <cell r="BJ113">
            <v>236.00000000075701</v>
          </cell>
        </row>
        <row r="114">
          <cell r="AN114" t="str">
            <v>NR-C700-D-01NON</v>
          </cell>
          <cell r="AQ114" t="str">
            <v>NR-C700-D-01</v>
          </cell>
          <cell r="AR114" t="str">
            <v>Drilling</v>
          </cell>
          <cell r="AS114" t="str">
            <v>NON</v>
          </cell>
          <cell r="AT114">
            <v>0</v>
          </cell>
          <cell r="AU114">
            <v>13932.100021362299</v>
          </cell>
          <cell r="AV114">
            <v>0</v>
          </cell>
          <cell r="AW114">
            <v>193.39990234375</v>
          </cell>
          <cell r="AX114">
            <v>664</v>
          </cell>
          <cell r="AY114">
            <v>4.0333333330345296</v>
          </cell>
          <cell r="BC114">
            <v>5.3666666665230904</v>
          </cell>
          <cell r="BD114">
            <v>0.46666666661622003</v>
          </cell>
          <cell r="BE114">
            <v>112.483333333454</v>
          </cell>
          <cell r="BF114">
            <v>11.2500000001746</v>
          </cell>
          <cell r="BG114">
            <v>53.083333333663198</v>
          </cell>
          <cell r="BH114">
            <v>1.0666666656034101</v>
          </cell>
          <cell r="BI114">
            <v>9.8166666665347293</v>
          </cell>
          <cell r="BJ114">
            <v>260.48333333391901</v>
          </cell>
          <cell r="BK114">
            <v>1.3500000000349199</v>
          </cell>
          <cell r="BM114">
            <v>1.0666666664765201</v>
          </cell>
          <cell r="BN114">
            <v>0.73333333345362905</v>
          </cell>
          <cell r="BO114">
            <v>3.15000000031432</v>
          </cell>
          <cell r="BP114">
            <v>2.2499999998253801</v>
          </cell>
          <cell r="BQ114">
            <v>3.6666666677920099</v>
          </cell>
          <cell r="BV114">
            <v>3.5833333334885502</v>
          </cell>
          <cell r="BW114">
            <v>6.0499999998137399</v>
          </cell>
        </row>
        <row r="115">
          <cell r="AN115" t="str">
            <v>NR-C700-D-02NON</v>
          </cell>
          <cell r="AQ115" t="str">
            <v>NR-C700-D-02</v>
          </cell>
          <cell r="AR115" t="str">
            <v>Drilling</v>
          </cell>
          <cell r="AS115" t="str">
            <v>NON</v>
          </cell>
          <cell r="AT115">
            <v>0</v>
          </cell>
          <cell r="AU115">
            <v>22330.799987793001</v>
          </cell>
          <cell r="AV115">
            <v>0</v>
          </cell>
          <cell r="AW115">
            <v>284.5</v>
          </cell>
          <cell r="AX115">
            <v>664</v>
          </cell>
          <cell r="AY115">
            <v>10.266666666255301</v>
          </cell>
          <cell r="BB115">
            <v>0.21666666667442799</v>
          </cell>
          <cell r="BC115">
            <v>2.4999999999417901</v>
          </cell>
          <cell r="BG115">
            <v>54.75</v>
          </cell>
          <cell r="BH115">
            <v>2.6499999992083798</v>
          </cell>
          <cell r="BI115">
            <v>8.5166666664881596</v>
          </cell>
          <cell r="BJ115">
            <v>289.38333333487401</v>
          </cell>
          <cell r="BM115">
            <v>1.18333333334886</v>
          </cell>
          <cell r="BN115">
            <v>3</v>
          </cell>
          <cell r="BO115">
            <v>5.8666666676290298</v>
          </cell>
          <cell r="BP115">
            <v>1.1666666668024801</v>
          </cell>
          <cell r="BQ115">
            <v>4.5333333329181196</v>
          </cell>
          <cell r="BU115">
            <v>0.28333333338377997</v>
          </cell>
          <cell r="BV115">
            <v>6.6499999998486601</v>
          </cell>
          <cell r="BW115">
            <v>11.4999999997672</v>
          </cell>
        </row>
        <row r="116">
          <cell r="AN116" t="str">
            <v>PSR-EX-1200NON</v>
          </cell>
          <cell r="AQ116" t="str">
            <v>PSR-EX-1200</v>
          </cell>
          <cell r="AR116" t="str">
            <v>Excavator</v>
          </cell>
          <cell r="AS116" t="str">
            <v>NON</v>
          </cell>
          <cell r="AV116">
            <v>0</v>
          </cell>
          <cell r="AW116">
            <v>18.2001953125</v>
          </cell>
          <cell r="AX116">
            <v>80</v>
          </cell>
          <cell r="AY116">
            <v>0</v>
          </cell>
          <cell r="BE116">
            <v>40.000000000116401</v>
          </cell>
          <cell r="BH116">
            <v>0.333333333372138</v>
          </cell>
          <cell r="BI116">
            <v>1.33333333313931</v>
          </cell>
          <cell r="BJ116">
            <v>19.549999999988401</v>
          </cell>
          <cell r="BM116">
            <v>0.166666666686069</v>
          </cell>
          <cell r="BO116">
            <v>0.416666666627862</v>
          </cell>
          <cell r="BQ116">
            <v>0.33333333354676098</v>
          </cell>
          <cell r="BU116">
            <v>8.3333333255723105E-2</v>
          </cell>
          <cell r="BW116">
            <v>0.83333333325572301</v>
          </cell>
          <cell r="BY116">
            <v>1.83333333337214</v>
          </cell>
        </row>
        <row r="117">
          <cell r="AN117" t="str">
            <v>PSR-EX-1200OB</v>
          </cell>
          <cell r="AQ117" t="str">
            <v>PSR-EX-1200</v>
          </cell>
          <cell r="AR117" t="str">
            <v>Excavator</v>
          </cell>
          <cell r="AS117" t="str">
            <v>OB</v>
          </cell>
          <cell r="AT117">
            <v>0</v>
          </cell>
          <cell r="AU117">
            <v>83682.2999649048</v>
          </cell>
          <cell r="AV117">
            <v>0</v>
          </cell>
          <cell r="AW117">
            <v>242.9990234375</v>
          </cell>
          <cell r="AX117">
            <v>512</v>
          </cell>
          <cell r="AY117">
            <v>0</v>
          </cell>
          <cell r="BD117">
            <v>1.6666666666860701</v>
          </cell>
          <cell r="BE117">
            <v>82.216666666616206</v>
          </cell>
          <cell r="BF117">
            <v>8.9166666667442804</v>
          </cell>
          <cell r="BG117">
            <v>1.91666666662786</v>
          </cell>
          <cell r="BH117">
            <v>3.6333333320799301</v>
          </cell>
          <cell r="BI117">
            <v>24.349999999743901</v>
          </cell>
          <cell r="BJ117">
            <v>83.149999999673994</v>
          </cell>
          <cell r="BK117">
            <v>35.833333333313902</v>
          </cell>
          <cell r="BL117">
            <v>12</v>
          </cell>
          <cell r="BM117">
            <v>1.06666666665114</v>
          </cell>
          <cell r="BO117">
            <v>7.0000000009895302</v>
          </cell>
          <cell r="BP117">
            <v>7.2500000000582103</v>
          </cell>
          <cell r="BQ117">
            <v>6.1333333356887998</v>
          </cell>
          <cell r="BR117">
            <v>4.9166666652308804</v>
          </cell>
          <cell r="BU117">
            <v>0.51666666695382402</v>
          </cell>
          <cell r="BV117">
            <v>1.16666666662786</v>
          </cell>
          <cell r="BW117">
            <v>1.21666666661622</v>
          </cell>
          <cell r="BY117">
            <v>8.3333333255723105E-2</v>
          </cell>
        </row>
        <row r="118">
          <cell r="AN118" t="str">
            <v>PSR-PC-1800NON</v>
          </cell>
          <cell r="AQ118" t="str">
            <v>PSR-PC-1800</v>
          </cell>
          <cell r="AR118" t="str">
            <v>Excavator</v>
          </cell>
          <cell r="AS118" t="str">
            <v>NON</v>
          </cell>
          <cell r="AV118">
            <v>0</v>
          </cell>
          <cell r="AW118">
            <v>0</v>
          </cell>
          <cell r="AX118">
            <v>92</v>
          </cell>
          <cell r="AY118">
            <v>0</v>
          </cell>
          <cell r="BE118">
            <v>84</v>
          </cell>
          <cell r="BF118">
            <v>7.9999999998835802</v>
          </cell>
        </row>
        <row r="119">
          <cell r="AN119" t="str">
            <v>PSR-PC-1800OB</v>
          </cell>
          <cell r="AQ119" t="str">
            <v>PSR-PC-1800</v>
          </cell>
          <cell r="AR119" t="str">
            <v>Excavator</v>
          </cell>
          <cell r="AS119" t="str">
            <v>OB</v>
          </cell>
          <cell r="AT119">
            <v>0</v>
          </cell>
          <cell r="AU119">
            <v>209991.70015716599</v>
          </cell>
          <cell r="AV119">
            <v>0</v>
          </cell>
          <cell r="AW119">
            <v>384.80029296875</v>
          </cell>
          <cell r="AX119">
            <v>572</v>
          </cell>
          <cell r="AY119">
            <v>0</v>
          </cell>
          <cell r="AZ119">
            <v>4.2500000000582103</v>
          </cell>
          <cell r="BE119">
            <v>71.550000000104802</v>
          </cell>
          <cell r="BF119">
            <v>2.8333333333139299</v>
          </cell>
          <cell r="BH119">
            <v>3.51666666485835</v>
          </cell>
          <cell r="BI119">
            <v>30.700000000360902</v>
          </cell>
          <cell r="BJ119">
            <v>15.3500000002678</v>
          </cell>
          <cell r="BK119">
            <v>38.199999999836997</v>
          </cell>
          <cell r="BL119">
            <v>9.3333333333721402</v>
          </cell>
          <cell r="BM119">
            <v>2.3999999999650798</v>
          </cell>
          <cell r="BO119">
            <v>9.0666666682809591</v>
          </cell>
          <cell r="BQ119">
            <v>7.5833333351765804</v>
          </cell>
          <cell r="BR119">
            <v>7.7999999992316598</v>
          </cell>
          <cell r="BU119">
            <v>0.83333333395421505</v>
          </cell>
          <cell r="BV119">
            <v>0.88333333306945905</v>
          </cell>
          <cell r="BW119">
            <v>1.3333333329646799</v>
          </cell>
          <cell r="BY119">
            <v>0.116666666697711</v>
          </cell>
        </row>
        <row r="120">
          <cell r="AN120" t="str">
            <v>PSR-U/C-05NON</v>
          </cell>
          <cell r="AQ120" t="str">
            <v>PSR-U/C-05</v>
          </cell>
          <cell r="AR120" t="str">
            <v>Truck</v>
          </cell>
          <cell r="AS120" t="str">
            <v>NON</v>
          </cell>
          <cell r="AV120">
            <v>0</v>
          </cell>
          <cell r="AW120">
            <v>16</v>
          </cell>
          <cell r="AX120">
            <v>28.3333333333333</v>
          </cell>
          <cell r="AY120">
            <v>0</v>
          </cell>
          <cell r="BH120">
            <v>0.416666666627862</v>
          </cell>
          <cell r="BI120">
            <v>0.66666666674427699</v>
          </cell>
          <cell r="BJ120">
            <v>7.0833333333721402</v>
          </cell>
          <cell r="BL120">
            <v>3.75</v>
          </cell>
          <cell r="BO120">
            <v>0.41666666680248499</v>
          </cell>
          <cell r="BQ120">
            <v>0.41666666680248499</v>
          </cell>
          <cell r="BU120">
            <v>4.9999999988358503E-2</v>
          </cell>
          <cell r="BW120">
            <v>0.14999999996507499</v>
          </cell>
        </row>
        <row r="121">
          <cell r="AN121" t="str">
            <v>PSR-U/C-05OB</v>
          </cell>
          <cell r="AQ121" t="str">
            <v>PSR-U/C-05</v>
          </cell>
          <cell r="AR121" t="str">
            <v>Truck</v>
          </cell>
          <cell r="AS121" t="str">
            <v>OB</v>
          </cell>
          <cell r="AT121">
            <v>372</v>
          </cell>
          <cell r="AU121">
            <v>8184</v>
          </cell>
          <cell r="AV121">
            <v>0</v>
          </cell>
          <cell r="AW121">
            <v>159</v>
          </cell>
          <cell r="AX121">
            <v>591.66666666666697</v>
          </cell>
          <cell r="AY121">
            <v>0</v>
          </cell>
          <cell r="AZ121">
            <v>24</v>
          </cell>
          <cell r="BD121">
            <v>1.9000000000814901</v>
          </cell>
          <cell r="BH121">
            <v>3.4166666661039899</v>
          </cell>
          <cell r="BI121">
            <v>11.583333333197499</v>
          </cell>
          <cell r="BJ121">
            <v>377.66666666697699</v>
          </cell>
          <cell r="BK121">
            <v>2.7499999998835798</v>
          </cell>
          <cell r="BL121">
            <v>7.9999999998835802</v>
          </cell>
          <cell r="BO121">
            <v>2.43333333358169</v>
          </cell>
          <cell r="BQ121">
            <v>3.5000000009313199</v>
          </cell>
          <cell r="BS121">
            <v>0.81666666688397505</v>
          </cell>
          <cell r="BU121">
            <v>0.66666666709352296</v>
          </cell>
          <cell r="BW121">
            <v>0.14999999996507499</v>
          </cell>
        </row>
        <row r="122">
          <cell r="AN122" t="str">
            <v>PSR-U/C-06NON</v>
          </cell>
          <cell r="AQ122" t="str">
            <v>PSR-U/C-06</v>
          </cell>
          <cell r="AR122" t="str">
            <v>Truck</v>
          </cell>
          <cell r="AS122" t="str">
            <v>NON</v>
          </cell>
          <cell r="AV122">
            <v>0</v>
          </cell>
          <cell r="AW122">
            <v>3</v>
          </cell>
          <cell r="AX122">
            <v>4</v>
          </cell>
          <cell r="AY122">
            <v>0</v>
          </cell>
          <cell r="BJ122">
            <v>1.00000000011642</v>
          </cell>
          <cell r="BS122">
            <v>3.33333332673647E-2</v>
          </cell>
          <cell r="BW122">
            <v>0.150000000139698</v>
          </cell>
        </row>
        <row r="123">
          <cell r="AN123" t="str">
            <v>PSR-U/C-06OB</v>
          </cell>
          <cell r="AQ123" t="str">
            <v>PSR-U/C-06</v>
          </cell>
          <cell r="AR123" t="str">
            <v>Truck</v>
          </cell>
          <cell r="AS123" t="str">
            <v>OB</v>
          </cell>
          <cell r="AT123">
            <v>187</v>
          </cell>
          <cell r="AU123">
            <v>4114</v>
          </cell>
          <cell r="AV123">
            <v>0</v>
          </cell>
          <cell r="AW123">
            <v>71</v>
          </cell>
          <cell r="AX123">
            <v>616</v>
          </cell>
          <cell r="AY123">
            <v>0</v>
          </cell>
          <cell r="BE123">
            <v>7.9999999998835802</v>
          </cell>
          <cell r="BG123">
            <v>300.00000000034902</v>
          </cell>
          <cell r="BH123">
            <v>1.41666666639503</v>
          </cell>
          <cell r="BI123">
            <v>8.9166666667442804</v>
          </cell>
          <cell r="BJ123">
            <v>216.41666666645301</v>
          </cell>
          <cell r="BK123">
            <v>8.25</v>
          </cell>
          <cell r="BO123">
            <v>2.0000000005820802</v>
          </cell>
          <cell r="BQ123">
            <v>1.75000000046566</v>
          </cell>
          <cell r="BS123">
            <v>0.63333333365153499</v>
          </cell>
          <cell r="BU123">
            <v>0.56666666676755995</v>
          </cell>
        </row>
        <row r="124">
          <cell r="AN124" t="str">
            <v>PSR-U/C-08NON</v>
          </cell>
          <cell r="AQ124" t="str">
            <v>PSR-U/C-08</v>
          </cell>
          <cell r="AR124" t="str">
            <v>Truck</v>
          </cell>
          <cell r="AS124" t="str">
            <v>NON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</row>
        <row r="125">
          <cell r="AN125" t="str">
            <v>PSR-U/C-08OB</v>
          </cell>
          <cell r="AQ125" t="str">
            <v>PSR-U/C-08</v>
          </cell>
          <cell r="AR125" t="str">
            <v>Truck</v>
          </cell>
          <cell r="AS125" t="str">
            <v>OB</v>
          </cell>
          <cell r="AT125">
            <v>224</v>
          </cell>
          <cell r="AU125">
            <v>4928</v>
          </cell>
          <cell r="AV125">
            <v>0</v>
          </cell>
          <cell r="AW125">
            <v>87</v>
          </cell>
          <cell r="AX125">
            <v>620</v>
          </cell>
          <cell r="AY125">
            <v>0</v>
          </cell>
          <cell r="BE125">
            <v>418.91666666680197</v>
          </cell>
          <cell r="BH125">
            <v>1.58333333360497</v>
          </cell>
          <cell r="BI125">
            <v>6</v>
          </cell>
          <cell r="BJ125">
            <v>104.000000000233</v>
          </cell>
          <cell r="BO125">
            <v>2.5000000001164202</v>
          </cell>
          <cell r="BQ125">
            <v>2.25</v>
          </cell>
          <cell r="BS125">
            <v>0.70000000001164198</v>
          </cell>
          <cell r="BU125">
            <v>0.38333333336049702</v>
          </cell>
        </row>
        <row r="126">
          <cell r="AN126" t="str">
            <v>PSR-U/C-09NON</v>
          </cell>
          <cell r="AQ126" t="str">
            <v>PSR-U/C-09</v>
          </cell>
          <cell r="AR126" t="str">
            <v>Truck</v>
          </cell>
          <cell r="AS126" t="str">
            <v>NON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</row>
        <row r="127">
          <cell r="AN127" t="str">
            <v>PSR-U/C-09OB</v>
          </cell>
          <cell r="AQ127" t="str">
            <v>PSR-U/C-09</v>
          </cell>
          <cell r="AR127" t="str">
            <v>Truck</v>
          </cell>
          <cell r="AS127" t="str">
            <v>OB</v>
          </cell>
          <cell r="AT127">
            <v>334</v>
          </cell>
          <cell r="AU127">
            <v>7348</v>
          </cell>
          <cell r="AV127">
            <v>0</v>
          </cell>
          <cell r="AW127">
            <v>136</v>
          </cell>
          <cell r="AX127">
            <v>620</v>
          </cell>
          <cell r="AY127">
            <v>0</v>
          </cell>
          <cell r="BE127">
            <v>16.000000000116401</v>
          </cell>
          <cell r="BF127">
            <v>49.666666667035301</v>
          </cell>
          <cell r="BG127">
            <v>263.91666666674399</v>
          </cell>
          <cell r="BH127">
            <v>2.9166666665696499</v>
          </cell>
          <cell r="BI127">
            <v>9.9999999999417906</v>
          </cell>
          <cell r="BJ127">
            <v>138.16666666721</v>
          </cell>
          <cell r="BO127">
            <v>3.2500000001164202</v>
          </cell>
          <cell r="BQ127">
            <v>3.66666666674428</v>
          </cell>
          <cell r="BS127">
            <v>1.21666666696547</v>
          </cell>
          <cell r="BU127">
            <v>0.68333333329064805</v>
          </cell>
        </row>
        <row r="128">
          <cell r="AN128" t="str">
            <v>PSR-U/C-10NON</v>
          </cell>
          <cell r="AQ128" t="str">
            <v>PSR-U/C-10</v>
          </cell>
          <cell r="AR128" t="str">
            <v>Truck</v>
          </cell>
          <cell r="AS128" t="str">
            <v>NON</v>
          </cell>
          <cell r="AV128">
            <v>0</v>
          </cell>
          <cell r="AW128">
            <v>2</v>
          </cell>
          <cell r="AX128">
            <v>16</v>
          </cell>
          <cell r="AY128">
            <v>0</v>
          </cell>
          <cell r="BF128">
            <v>6.9166666666860701</v>
          </cell>
          <cell r="BH128">
            <v>0.24999999994179201</v>
          </cell>
          <cell r="BJ128">
            <v>6.5833333333139299</v>
          </cell>
          <cell r="BO128">
            <v>0.24999999994179201</v>
          </cell>
          <cell r="BQ128">
            <v>0.16666666686069201</v>
          </cell>
        </row>
        <row r="129">
          <cell r="AN129" t="str">
            <v>PSR-U/C-10OB</v>
          </cell>
          <cell r="AQ129" t="str">
            <v>PSR-U/C-10</v>
          </cell>
          <cell r="AR129" t="str">
            <v>Truck</v>
          </cell>
          <cell r="AS129" t="str">
            <v>OB</v>
          </cell>
          <cell r="AT129">
            <v>461</v>
          </cell>
          <cell r="AU129">
            <v>10142</v>
          </cell>
          <cell r="AV129">
            <v>0</v>
          </cell>
          <cell r="AW129">
            <v>184</v>
          </cell>
          <cell r="AX129">
            <v>604</v>
          </cell>
          <cell r="AY129">
            <v>0</v>
          </cell>
          <cell r="BE129">
            <v>26.000000000232799</v>
          </cell>
          <cell r="BH129">
            <v>3.8333333329064798</v>
          </cell>
          <cell r="BI129">
            <v>15.8333333334303</v>
          </cell>
          <cell r="BJ129">
            <v>351.83333333325601</v>
          </cell>
          <cell r="BK129">
            <v>11.3333333334303</v>
          </cell>
          <cell r="BO129">
            <v>3.5833333334885502</v>
          </cell>
          <cell r="BP129">
            <v>7.5833333334303497</v>
          </cell>
          <cell r="BQ129">
            <v>4.4166666679666404</v>
          </cell>
          <cell r="BS129">
            <v>1.53333333361661</v>
          </cell>
          <cell r="BU129">
            <v>1.2000000000698501</v>
          </cell>
        </row>
        <row r="130">
          <cell r="AN130" t="str">
            <v>PTP-D40KS-01NON</v>
          </cell>
          <cell r="AQ130" t="str">
            <v>PTP-D40KS-01</v>
          </cell>
          <cell r="AR130" t="str">
            <v>Drilling</v>
          </cell>
          <cell r="AS130" t="str">
            <v>NON</v>
          </cell>
          <cell r="AT130">
            <v>0</v>
          </cell>
          <cell r="AU130">
            <v>6686.9000015258798</v>
          </cell>
          <cell r="AV130">
            <v>0</v>
          </cell>
          <cell r="AW130">
            <v>164.40234375</v>
          </cell>
          <cell r="AX130">
            <v>664</v>
          </cell>
          <cell r="AY130">
            <v>0</v>
          </cell>
          <cell r="BE130">
            <v>142.00000000011599</v>
          </cell>
          <cell r="BF130">
            <v>48</v>
          </cell>
          <cell r="BH130">
            <v>0.58333333279006205</v>
          </cell>
          <cell r="BI130">
            <v>2.6333333333605</v>
          </cell>
          <cell r="BJ130">
            <v>301.35000000090798</v>
          </cell>
          <cell r="BK130">
            <v>0.35000000009313198</v>
          </cell>
          <cell r="BM130">
            <v>0.96666666667442802</v>
          </cell>
          <cell r="BN130">
            <v>1.7666666664881601</v>
          </cell>
          <cell r="BO130">
            <v>1.9500000004191</v>
          </cell>
          <cell r="BQ130">
            <v>3.0166666658478798</v>
          </cell>
          <cell r="BU130">
            <v>0.25000000011641499</v>
          </cell>
          <cell r="BV130">
            <v>1.99999999988358</v>
          </cell>
          <cell r="BW130">
            <v>4.9166666666278598</v>
          </cell>
        </row>
        <row r="131">
          <cell r="AN131" t="str">
            <v>RA-PC-300Coal</v>
          </cell>
          <cell r="AQ131" t="str">
            <v>RA-PC-300</v>
          </cell>
          <cell r="AR131" t="str">
            <v>Excavator</v>
          </cell>
          <cell r="AS131" t="str">
            <v>Coal</v>
          </cell>
          <cell r="AT131">
            <v>0</v>
          </cell>
          <cell r="AU131">
            <v>11113.779991149901</v>
          </cell>
          <cell r="AV131">
            <v>0</v>
          </cell>
          <cell r="AW131">
            <v>92.699999690055805</v>
          </cell>
          <cell r="AX131">
            <v>153</v>
          </cell>
          <cell r="AY131">
            <v>0</v>
          </cell>
          <cell r="BB131">
            <v>0.50000000005820799</v>
          </cell>
          <cell r="BH131">
            <v>0.94999999995343398</v>
          </cell>
          <cell r="BI131">
            <v>5.3333333330811001</v>
          </cell>
          <cell r="BJ131">
            <v>41.066666666243698</v>
          </cell>
          <cell r="BK131">
            <v>7.9999999998835802</v>
          </cell>
          <cell r="BM131">
            <v>0.75</v>
          </cell>
          <cell r="BN131">
            <v>1.2500000000582101</v>
          </cell>
          <cell r="BO131">
            <v>2.4500000003026798</v>
          </cell>
          <cell r="BQ131">
            <v>1.85000000044238</v>
          </cell>
          <cell r="BR131">
            <v>1.75000000011642</v>
          </cell>
          <cell r="BU131">
            <v>6.6666666709352299E-2</v>
          </cell>
          <cell r="BW131">
            <v>0.19999999995343401</v>
          </cell>
        </row>
        <row r="132">
          <cell r="AN132" t="str">
            <v>RA-PC-300NON</v>
          </cell>
          <cell r="AQ132" t="str">
            <v>RA-PC-300</v>
          </cell>
          <cell r="AR132" t="str">
            <v>Excavator</v>
          </cell>
          <cell r="AS132" t="str">
            <v>NON</v>
          </cell>
          <cell r="AV132">
            <v>0</v>
          </cell>
          <cell r="AW132">
            <v>187.90000009536701</v>
          </cell>
          <cell r="AX132">
            <v>511</v>
          </cell>
          <cell r="AY132">
            <v>0</v>
          </cell>
          <cell r="BE132">
            <v>27.999999999941799</v>
          </cell>
          <cell r="BH132">
            <v>2.3666666666977099</v>
          </cell>
          <cell r="BI132">
            <v>10.6666666663368</v>
          </cell>
          <cell r="BJ132">
            <v>261.06666666670901</v>
          </cell>
          <cell r="BK132">
            <v>18.249999999941799</v>
          </cell>
          <cell r="BM132">
            <v>0.416666666627862</v>
          </cell>
          <cell r="BN132">
            <v>0.50000000005820799</v>
          </cell>
          <cell r="BO132">
            <v>1.83333333302289</v>
          </cell>
          <cell r="BQ132">
            <v>3.2833333339076498</v>
          </cell>
          <cell r="BR132">
            <v>0.29999999993015097</v>
          </cell>
          <cell r="BU132">
            <v>0.78333333344198797</v>
          </cell>
          <cell r="BV132">
            <v>0.50000000005820799</v>
          </cell>
          <cell r="BW132">
            <v>2.6666666666278598</v>
          </cell>
          <cell r="BY132">
            <v>20.1666666665697</v>
          </cell>
        </row>
        <row r="133">
          <cell r="AN133" t="str">
            <v>RA-PC-350Coal</v>
          </cell>
          <cell r="AQ133" t="str">
            <v>RA-PC-350</v>
          </cell>
          <cell r="AR133" t="str">
            <v>Excavator</v>
          </cell>
          <cell r="AS133" t="str">
            <v>Coal</v>
          </cell>
          <cell r="AT133">
            <v>0</v>
          </cell>
          <cell r="AU133">
            <v>13163.7700061798</v>
          </cell>
          <cell r="AV133">
            <v>0</v>
          </cell>
          <cell r="AW133">
            <v>116.599999621511</v>
          </cell>
          <cell r="AX133">
            <v>199</v>
          </cell>
          <cell r="AY133">
            <v>0</v>
          </cell>
          <cell r="BH133">
            <v>1.3499999998603001</v>
          </cell>
          <cell r="BI133">
            <v>7.4999999996507496</v>
          </cell>
          <cell r="BJ133">
            <v>46.666666667035301</v>
          </cell>
          <cell r="BK133">
            <v>22.1333333333605</v>
          </cell>
          <cell r="BM133">
            <v>0.58333333313930802</v>
          </cell>
          <cell r="BN133">
            <v>0.50000000005820799</v>
          </cell>
          <cell r="BO133">
            <v>3.6666666665696499</v>
          </cell>
          <cell r="BQ133">
            <v>2.40000000066357</v>
          </cell>
          <cell r="BR133">
            <v>2.7333333326387201</v>
          </cell>
          <cell r="BU133">
            <v>0.31666666647652197</v>
          </cell>
          <cell r="BV133">
            <v>0.333333333372138</v>
          </cell>
          <cell r="BW133">
            <v>0.583333333313931</v>
          </cell>
        </row>
        <row r="134">
          <cell r="AN134" t="str">
            <v>RA-PC-350NON</v>
          </cell>
          <cell r="AQ134" t="str">
            <v>RA-PC-350</v>
          </cell>
          <cell r="AR134" t="str">
            <v>Excavator</v>
          </cell>
          <cell r="AS134" t="str">
            <v>NON</v>
          </cell>
          <cell r="AV134">
            <v>0</v>
          </cell>
          <cell r="AW134">
            <v>48.800000190734899</v>
          </cell>
          <cell r="AX134">
            <v>465</v>
          </cell>
          <cell r="AY134">
            <v>0</v>
          </cell>
          <cell r="BE134">
            <v>318.00000000034902</v>
          </cell>
          <cell r="BF134">
            <v>12</v>
          </cell>
          <cell r="BH134">
            <v>0.74999999982537702</v>
          </cell>
          <cell r="BI134">
            <v>2.0000000000582099</v>
          </cell>
          <cell r="BJ134">
            <v>77.200000000011599</v>
          </cell>
          <cell r="BK134">
            <v>5.3333333332557196</v>
          </cell>
          <cell r="BM134">
            <v>0.166666666686069</v>
          </cell>
          <cell r="BO134">
            <v>0.75</v>
          </cell>
          <cell r="BQ134">
            <v>0.83333333343034599</v>
          </cell>
          <cell r="BR134">
            <v>0.24999999994179201</v>
          </cell>
          <cell r="BU134">
            <v>9.9999999976716894E-2</v>
          </cell>
          <cell r="BW134">
            <v>0.53333333350019496</v>
          </cell>
          <cell r="BY134">
            <v>8.5000000001164207</v>
          </cell>
        </row>
        <row r="135">
          <cell r="AN135" t="str">
            <v>RA-RA01Coal</v>
          </cell>
          <cell r="AQ135" t="str">
            <v>RA-RA01</v>
          </cell>
          <cell r="AR135" t="str">
            <v>Truck</v>
          </cell>
          <cell r="AS135" t="str">
            <v>Coal</v>
          </cell>
          <cell r="AT135">
            <v>103</v>
          </cell>
          <cell r="AU135">
            <v>2284.8900146484398</v>
          </cell>
          <cell r="AV135">
            <v>0</v>
          </cell>
          <cell r="AW135">
            <v>0</v>
          </cell>
          <cell r="AX135">
            <v>304</v>
          </cell>
          <cell r="AY135">
            <v>0</v>
          </cell>
        </row>
        <row r="136">
          <cell r="AN136" t="str">
            <v>RA-RA02Coal</v>
          </cell>
          <cell r="AQ136" t="str">
            <v>RA-RA02</v>
          </cell>
          <cell r="AR136" t="str">
            <v>Truck</v>
          </cell>
          <cell r="AS136" t="str">
            <v>Coal</v>
          </cell>
          <cell r="AT136">
            <v>106</v>
          </cell>
          <cell r="AU136">
            <v>2358.1899967193599</v>
          </cell>
          <cell r="AV136">
            <v>0</v>
          </cell>
          <cell r="AW136">
            <v>0</v>
          </cell>
          <cell r="AX136">
            <v>336</v>
          </cell>
          <cell r="AY136">
            <v>0</v>
          </cell>
        </row>
        <row r="137">
          <cell r="AN137" t="str">
            <v>RA-RA04Coal</v>
          </cell>
          <cell r="AQ137" t="str">
            <v>RA-RA04</v>
          </cell>
          <cell r="AR137" t="str">
            <v>Truck</v>
          </cell>
          <cell r="AS137" t="str">
            <v>Coal</v>
          </cell>
          <cell r="AT137">
            <v>105</v>
          </cell>
          <cell r="AU137">
            <v>2325.3899898529098</v>
          </cell>
          <cell r="AV137">
            <v>0</v>
          </cell>
          <cell r="AW137">
            <v>0</v>
          </cell>
          <cell r="AX137">
            <v>320</v>
          </cell>
          <cell r="AY137">
            <v>0</v>
          </cell>
        </row>
        <row r="138">
          <cell r="AN138" t="str">
            <v>RA-RA05Coal</v>
          </cell>
          <cell r="AQ138" t="str">
            <v>RA-RA05</v>
          </cell>
          <cell r="AR138" t="str">
            <v>Truck</v>
          </cell>
          <cell r="AS138" t="str">
            <v>Coal</v>
          </cell>
          <cell r="AT138">
            <v>112</v>
          </cell>
          <cell r="AU138">
            <v>2371.0999927520802</v>
          </cell>
          <cell r="AV138">
            <v>0</v>
          </cell>
          <cell r="AW138">
            <v>0</v>
          </cell>
          <cell r="AX138">
            <v>320</v>
          </cell>
          <cell r="AY138">
            <v>0</v>
          </cell>
        </row>
        <row r="139">
          <cell r="AN139" t="str">
            <v>RA-RA06Coal</v>
          </cell>
          <cell r="AQ139" t="str">
            <v>RA-RA06</v>
          </cell>
          <cell r="AR139" t="str">
            <v>Truck</v>
          </cell>
          <cell r="AS139" t="str">
            <v>Coal</v>
          </cell>
          <cell r="AT139">
            <v>125</v>
          </cell>
          <cell r="AU139">
            <v>2762.9099826812699</v>
          </cell>
          <cell r="AV139">
            <v>0</v>
          </cell>
          <cell r="AW139">
            <v>0</v>
          </cell>
          <cell r="AX139">
            <v>352</v>
          </cell>
          <cell r="AY139">
            <v>0</v>
          </cell>
        </row>
        <row r="140">
          <cell r="AN140" t="str">
            <v>RA-RA07Coal</v>
          </cell>
          <cell r="AQ140" t="str">
            <v>RA-RA07</v>
          </cell>
          <cell r="AR140" t="str">
            <v>Truck</v>
          </cell>
          <cell r="AS140" t="str">
            <v>Coal</v>
          </cell>
          <cell r="AT140">
            <v>80</v>
          </cell>
          <cell r="AU140">
            <v>1720.4500102996799</v>
          </cell>
          <cell r="AV140">
            <v>0</v>
          </cell>
          <cell r="AW140">
            <v>0</v>
          </cell>
          <cell r="AX140">
            <v>282</v>
          </cell>
          <cell r="AY140">
            <v>0</v>
          </cell>
        </row>
        <row r="141">
          <cell r="AN141" t="str">
            <v>RA-RA08Coal</v>
          </cell>
          <cell r="AQ141" t="str">
            <v>RA-RA08</v>
          </cell>
          <cell r="AR141" t="str">
            <v>Truck</v>
          </cell>
          <cell r="AS141" t="str">
            <v>Coal</v>
          </cell>
          <cell r="AT141">
            <v>46</v>
          </cell>
          <cell r="AU141">
            <v>1003.21000099182</v>
          </cell>
          <cell r="AV141">
            <v>0</v>
          </cell>
          <cell r="AW141">
            <v>0</v>
          </cell>
          <cell r="AX141">
            <v>142</v>
          </cell>
          <cell r="AY141">
            <v>0</v>
          </cell>
        </row>
        <row r="142">
          <cell r="AN142" t="str">
            <v>RA-RA09Coal</v>
          </cell>
          <cell r="AQ142" t="str">
            <v>RA-RA09</v>
          </cell>
          <cell r="AR142" t="str">
            <v>Truck</v>
          </cell>
          <cell r="AS142" t="str">
            <v>Coal</v>
          </cell>
          <cell r="AT142">
            <v>80</v>
          </cell>
          <cell r="AU142">
            <v>1760.7100162506099</v>
          </cell>
          <cell r="AV142">
            <v>0</v>
          </cell>
          <cell r="AW142">
            <v>0</v>
          </cell>
          <cell r="AX142">
            <v>288</v>
          </cell>
          <cell r="AY142">
            <v>0</v>
          </cell>
        </row>
        <row r="143">
          <cell r="AN143" t="str">
            <v>RA-RA10Coal</v>
          </cell>
          <cell r="AQ143" t="str">
            <v>RA-RA10</v>
          </cell>
          <cell r="AR143" t="str">
            <v>Truck</v>
          </cell>
          <cell r="AS143" t="str">
            <v>Coal</v>
          </cell>
          <cell r="AT143">
            <v>63</v>
          </cell>
          <cell r="AU143">
            <v>1181.4400062561001</v>
          </cell>
          <cell r="AV143">
            <v>0</v>
          </cell>
          <cell r="AW143">
            <v>0</v>
          </cell>
          <cell r="AX143">
            <v>220</v>
          </cell>
          <cell r="AY143">
            <v>0</v>
          </cell>
        </row>
        <row r="144">
          <cell r="AN144" t="str">
            <v>RA-RA11Coal</v>
          </cell>
          <cell r="AQ144" t="str">
            <v>RA-RA11</v>
          </cell>
          <cell r="AR144" t="str">
            <v>Truck</v>
          </cell>
          <cell r="AS144" t="str">
            <v>Coal</v>
          </cell>
          <cell r="AT144">
            <v>68</v>
          </cell>
          <cell r="AU144">
            <v>1496.4700012206999</v>
          </cell>
          <cell r="AV144">
            <v>0</v>
          </cell>
          <cell r="AW144">
            <v>0</v>
          </cell>
          <cell r="AX144">
            <v>210</v>
          </cell>
          <cell r="AY144">
            <v>0</v>
          </cell>
        </row>
        <row r="145">
          <cell r="AN145" t="str">
            <v>RA-RA12Coal</v>
          </cell>
          <cell r="AQ145" t="str">
            <v>RA-RA12</v>
          </cell>
          <cell r="AR145" t="str">
            <v>Truck</v>
          </cell>
          <cell r="AS145" t="str">
            <v>Coal</v>
          </cell>
          <cell r="AT145">
            <v>91</v>
          </cell>
          <cell r="AU145">
            <v>1702.75999069214</v>
          </cell>
          <cell r="AV145">
            <v>0</v>
          </cell>
          <cell r="AW145">
            <v>0</v>
          </cell>
          <cell r="AX145">
            <v>266</v>
          </cell>
          <cell r="AY145">
            <v>0</v>
          </cell>
        </row>
        <row r="146">
          <cell r="AN146" t="str">
            <v>RA-RA14Coal</v>
          </cell>
          <cell r="AQ146" t="str">
            <v>RA-RA14</v>
          </cell>
          <cell r="AR146" t="str">
            <v>Truck</v>
          </cell>
          <cell r="AS146" t="str">
            <v>Coal</v>
          </cell>
          <cell r="AT146">
            <v>86</v>
          </cell>
          <cell r="AU146">
            <v>1623.98000144958</v>
          </cell>
          <cell r="AV146">
            <v>0</v>
          </cell>
          <cell r="AW146">
            <v>0</v>
          </cell>
          <cell r="AX146">
            <v>250</v>
          </cell>
          <cell r="AY146">
            <v>0</v>
          </cell>
        </row>
        <row r="147">
          <cell r="AN147" t="str">
            <v>RA-RA15Coal</v>
          </cell>
          <cell r="AQ147" t="str">
            <v>RA-RA15</v>
          </cell>
          <cell r="AR147" t="str">
            <v>Truck</v>
          </cell>
          <cell r="AS147" t="str">
            <v>Coal</v>
          </cell>
          <cell r="AT147">
            <v>69</v>
          </cell>
          <cell r="AU147">
            <v>1524.9199924469001</v>
          </cell>
          <cell r="AV147">
            <v>0</v>
          </cell>
          <cell r="AW147">
            <v>0</v>
          </cell>
          <cell r="AX147">
            <v>234</v>
          </cell>
          <cell r="AY147">
            <v>0</v>
          </cell>
        </row>
        <row r="148">
          <cell r="AN148" t="str">
            <v>RA-RA16Coal</v>
          </cell>
          <cell r="AQ148" t="str">
            <v>RA-RA16</v>
          </cell>
          <cell r="AR148" t="str">
            <v>Truck</v>
          </cell>
          <cell r="AS148" t="str">
            <v>Coal</v>
          </cell>
          <cell r="AT148">
            <v>80</v>
          </cell>
          <cell r="AU148">
            <v>1716.7899971008301</v>
          </cell>
          <cell r="AV148">
            <v>0</v>
          </cell>
          <cell r="AW148">
            <v>0</v>
          </cell>
          <cell r="AX148">
            <v>264</v>
          </cell>
          <cell r="AY148">
            <v>0</v>
          </cell>
        </row>
        <row r="149">
          <cell r="AN149" t="str">
            <v>RNT-EX-VOLVO-460NON</v>
          </cell>
          <cell r="AQ149" t="str">
            <v>RNT-EX-VOLVO-460</v>
          </cell>
          <cell r="AR149" t="str">
            <v>Excavator</v>
          </cell>
          <cell r="AS149" t="str">
            <v>NON</v>
          </cell>
          <cell r="AV149">
            <v>0</v>
          </cell>
          <cell r="AW149">
            <v>114.89990234375</v>
          </cell>
          <cell r="AX149">
            <v>472</v>
          </cell>
          <cell r="AY149">
            <v>0</v>
          </cell>
          <cell r="BD149">
            <v>0.39999999990686802</v>
          </cell>
          <cell r="BE149">
            <v>29.816666666767599</v>
          </cell>
          <cell r="BF149">
            <v>166.00000000011599</v>
          </cell>
          <cell r="BH149">
            <v>1.3166666662436901</v>
          </cell>
          <cell r="BI149">
            <v>5.8333333333139299</v>
          </cell>
          <cell r="BJ149">
            <v>90.683333333115996</v>
          </cell>
          <cell r="BL149">
            <v>28.000000000116401</v>
          </cell>
          <cell r="BM149">
            <v>0.68333333294140197</v>
          </cell>
          <cell r="BN149">
            <v>0.25000000011641499</v>
          </cell>
          <cell r="BO149">
            <v>2.5333333339076498</v>
          </cell>
          <cell r="BP149">
            <v>31.583333333255698</v>
          </cell>
          <cell r="BQ149">
            <v>2.5500000008032702</v>
          </cell>
          <cell r="BU149">
            <v>0.28333333338377997</v>
          </cell>
          <cell r="BW149">
            <v>0.88333333324408203</v>
          </cell>
          <cell r="BY149">
            <v>22.416666666394999</v>
          </cell>
        </row>
        <row r="150">
          <cell r="AN150" t="str">
            <v>RNT-EX-VOLVO-460OB</v>
          </cell>
          <cell r="AQ150" t="str">
            <v>RNT-EX-VOLVO-460</v>
          </cell>
          <cell r="AR150" t="str">
            <v>Excavator</v>
          </cell>
          <cell r="AS150" t="str">
            <v>OB</v>
          </cell>
          <cell r="AT150">
            <v>0</v>
          </cell>
          <cell r="AU150">
            <v>20534</v>
          </cell>
          <cell r="AV150">
            <v>0</v>
          </cell>
          <cell r="AW150">
            <v>131.699951171875</v>
          </cell>
          <cell r="AX150">
            <v>192</v>
          </cell>
          <cell r="AY150">
            <v>0</v>
          </cell>
          <cell r="BC150">
            <v>0.416666666627862</v>
          </cell>
          <cell r="BH150">
            <v>1.66666666651145</v>
          </cell>
          <cell r="BI150">
            <v>11.049999999871901</v>
          </cell>
          <cell r="BJ150">
            <v>26.299999999988401</v>
          </cell>
          <cell r="BK150">
            <v>8.1500000001979096</v>
          </cell>
          <cell r="BL150">
            <v>5.8000000000465697</v>
          </cell>
          <cell r="BM150">
            <v>0.90000000031432104</v>
          </cell>
          <cell r="BN150">
            <v>0.333333333372138</v>
          </cell>
          <cell r="BO150">
            <v>5.6833333338727199</v>
          </cell>
          <cell r="BQ150">
            <v>2.7666666667792001</v>
          </cell>
          <cell r="BR150">
            <v>2.0666666669421798</v>
          </cell>
          <cell r="BU150">
            <v>0.31666666665114501</v>
          </cell>
          <cell r="BV150">
            <v>0.166666666686069</v>
          </cell>
          <cell r="BW150">
            <v>0.66666666674427699</v>
          </cell>
        </row>
        <row r="151">
          <cell r="AN151" t="str">
            <v>RNT-EX-VOLVO460-C14NON</v>
          </cell>
          <cell r="AQ151" t="str">
            <v>RNT-EX-VOLVO460-C14</v>
          </cell>
          <cell r="AR151" t="str">
            <v>Excavator</v>
          </cell>
          <cell r="AS151" t="str">
            <v>NON</v>
          </cell>
          <cell r="AV151">
            <v>0</v>
          </cell>
          <cell r="AW151">
            <v>0</v>
          </cell>
          <cell r="AX151">
            <v>182</v>
          </cell>
          <cell r="AY151">
            <v>0</v>
          </cell>
          <cell r="BE151">
            <v>174.00000000017499</v>
          </cell>
          <cell r="BF151">
            <v>7.9999999998835802</v>
          </cell>
        </row>
        <row r="152">
          <cell r="AN152" t="str">
            <v/>
          </cell>
        </row>
        <row r="153">
          <cell r="AN153" t="str">
            <v/>
          </cell>
        </row>
        <row r="154">
          <cell r="AN154" t="str">
            <v/>
          </cell>
        </row>
        <row r="155">
          <cell r="AN155" t="str">
            <v/>
          </cell>
        </row>
        <row r="156">
          <cell r="AN156" t="str">
            <v/>
          </cell>
        </row>
        <row r="157">
          <cell r="AN157" t="str">
            <v/>
          </cell>
        </row>
        <row r="158">
          <cell r="AN158" t="str">
            <v/>
          </cell>
        </row>
        <row r="159">
          <cell r="AN159" t="str">
            <v/>
          </cell>
        </row>
        <row r="160">
          <cell r="AN160" t="str">
            <v/>
          </cell>
        </row>
        <row r="161">
          <cell r="AN161" t="str">
            <v/>
          </cell>
        </row>
        <row r="162">
          <cell r="AN162" t="str">
            <v/>
          </cell>
        </row>
        <row r="163">
          <cell r="AN163" t="str">
            <v/>
          </cell>
        </row>
        <row r="164">
          <cell r="AN164" t="str">
            <v/>
          </cell>
        </row>
        <row r="165">
          <cell r="AN165" t="str">
            <v/>
          </cell>
        </row>
        <row r="166">
          <cell r="AN166" t="str">
            <v/>
          </cell>
        </row>
        <row r="167">
          <cell r="AN167" t="str">
            <v/>
          </cell>
        </row>
        <row r="168">
          <cell r="AN168" t="str">
            <v/>
          </cell>
        </row>
        <row r="169">
          <cell r="AN169" t="str">
            <v/>
          </cell>
        </row>
        <row r="170">
          <cell r="AN170" t="str">
            <v/>
          </cell>
        </row>
        <row r="171">
          <cell r="AN171" t="str">
            <v/>
          </cell>
        </row>
        <row r="172">
          <cell r="AN172" t="str">
            <v/>
          </cell>
        </row>
        <row r="173">
          <cell r="AN173" t="str">
            <v/>
          </cell>
        </row>
        <row r="174">
          <cell r="AN174" t="str">
            <v/>
          </cell>
        </row>
        <row r="175">
          <cell r="AN175" t="str">
            <v/>
          </cell>
        </row>
        <row r="176">
          <cell r="AN176" t="str">
            <v/>
          </cell>
        </row>
        <row r="177">
          <cell r="AN177" t="str">
            <v/>
          </cell>
        </row>
        <row r="178">
          <cell r="AN178" t="str">
            <v/>
          </cell>
        </row>
        <row r="179">
          <cell r="AN179" t="str">
            <v/>
          </cell>
        </row>
        <row r="180">
          <cell r="AN180" t="str">
            <v/>
          </cell>
        </row>
        <row r="181">
          <cell r="AN181" t="str">
            <v/>
          </cell>
        </row>
        <row r="182">
          <cell r="AN182" t="str">
            <v/>
          </cell>
        </row>
        <row r="183">
          <cell r="AN183" t="str">
            <v/>
          </cell>
        </row>
        <row r="184">
          <cell r="AN184" t="str">
            <v/>
          </cell>
        </row>
        <row r="185">
          <cell r="AN185" t="str">
            <v/>
          </cell>
        </row>
        <row r="186">
          <cell r="AN186" t="str">
            <v/>
          </cell>
        </row>
        <row r="187">
          <cell r="AN187" t="str">
            <v/>
          </cell>
        </row>
        <row r="188">
          <cell r="AN188" t="str">
            <v/>
          </cell>
        </row>
        <row r="189">
          <cell r="AN189" t="str">
            <v/>
          </cell>
        </row>
        <row r="190">
          <cell r="AN190" t="str">
            <v/>
          </cell>
        </row>
        <row r="191">
          <cell r="AN191" t="str">
            <v/>
          </cell>
        </row>
        <row r="192">
          <cell r="AN192" t="str">
            <v/>
          </cell>
        </row>
        <row r="193">
          <cell r="AN193" t="str">
            <v/>
          </cell>
        </row>
        <row r="194">
          <cell r="AN194" t="str">
            <v/>
          </cell>
        </row>
        <row r="195">
          <cell r="AN195" t="str">
            <v/>
          </cell>
        </row>
        <row r="196">
          <cell r="AN196" t="str">
            <v/>
          </cell>
        </row>
        <row r="197">
          <cell r="AN197" t="str">
            <v/>
          </cell>
        </row>
        <row r="198">
          <cell r="AN198" t="str">
            <v/>
          </cell>
        </row>
        <row r="199">
          <cell r="AN199" t="str">
            <v/>
          </cell>
        </row>
        <row r="200">
          <cell r="AN200" t="str">
            <v/>
          </cell>
        </row>
        <row r="201">
          <cell r="AN201" t="str">
            <v/>
          </cell>
        </row>
        <row r="202">
          <cell r="AN202" t="str">
            <v/>
          </cell>
        </row>
        <row r="203">
          <cell r="AN203" t="str">
            <v/>
          </cell>
        </row>
        <row r="204">
          <cell r="AN204" t="str">
            <v/>
          </cell>
        </row>
        <row r="205">
          <cell r="AN205" t="str">
            <v/>
          </cell>
        </row>
        <row r="206">
          <cell r="AN206" t="str">
            <v/>
          </cell>
        </row>
        <row r="207">
          <cell r="AN207" t="str">
            <v/>
          </cell>
        </row>
        <row r="208">
          <cell r="AN208" t="str">
            <v/>
          </cell>
        </row>
        <row r="209">
          <cell r="AN209" t="str">
            <v/>
          </cell>
        </row>
        <row r="210">
          <cell r="AN210" t="str">
            <v/>
          </cell>
        </row>
        <row r="211">
          <cell r="AN211" t="str">
            <v/>
          </cell>
        </row>
        <row r="212">
          <cell r="AN212" t="str">
            <v/>
          </cell>
        </row>
        <row r="213">
          <cell r="AN213" t="str">
            <v/>
          </cell>
        </row>
        <row r="214">
          <cell r="AN214" t="str">
            <v/>
          </cell>
        </row>
        <row r="215">
          <cell r="AN215" t="str">
            <v/>
          </cell>
        </row>
        <row r="216">
          <cell r="AN216" t="str">
            <v/>
          </cell>
        </row>
        <row r="217">
          <cell r="AN217" t="str">
            <v/>
          </cell>
        </row>
        <row r="218">
          <cell r="AN218" t="str">
            <v/>
          </cell>
        </row>
        <row r="219">
          <cell r="AN219" t="str">
            <v/>
          </cell>
        </row>
        <row r="220">
          <cell r="AN220" t="str">
            <v/>
          </cell>
        </row>
        <row r="221">
          <cell r="AN221" t="str">
            <v/>
          </cell>
        </row>
        <row r="222">
          <cell r="AN222" t="str">
            <v/>
          </cell>
        </row>
        <row r="223">
          <cell r="AN223" t="str">
            <v/>
          </cell>
        </row>
        <row r="224">
          <cell r="AN224" t="str">
            <v/>
          </cell>
        </row>
        <row r="225">
          <cell r="AN225" t="str">
            <v/>
          </cell>
        </row>
        <row r="226">
          <cell r="AN226" t="str">
            <v/>
          </cell>
        </row>
        <row r="227">
          <cell r="AN227" t="str">
            <v/>
          </cell>
        </row>
        <row r="228">
          <cell r="AN228" t="str">
            <v/>
          </cell>
        </row>
        <row r="229">
          <cell r="AN229" t="str">
            <v/>
          </cell>
        </row>
        <row r="230">
          <cell r="AN230" t="str">
            <v/>
          </cell>
        </row>
        <row r="231">
          <cell r="AN231" t="str">
            <v/>
          </cell>
        </row>
        <row r="232">
          <cell r="AN232" t="str">
            <v/>
          </cell>
        </row>
        <row r="233">
          <cell r="AN233" t="str">
            <v/>
          </cell>
        </row>
        <row r="234">
          <cell r="AN234" t="str">
            <v/>
          </cell>
        </row>
        <row r="235">
          <cell r="AN235" t="str">
            <v/>
          </cell>
        </row>
        <row r="236">
          <cell r="AN236" t="str">
            <v/>
          </cell>
        </row>
        <row r="237">
          <cell r="AN237" t="str">
            <v/>
          </cell>
        </row>
        <row r="238">
          <cell r="AN238" t="str">
            <v/>
          </cell>
        </row>
        <row r="239">
          <cell r="AN239" t="str">
            <v/>
          </cell>
        </row>
        <row r="240">
          <cell r="AN240" t="str">
            <v/>
          </cell>
        </row>
        <row r="241">
          <cell r="AN241" t="str">
            <v/>
          </cell>
        </row>
        <row r="242">
          <cell r="AN242" t="str">
            <v/>
          </cell>
        </row>
        <row r="243">
          <cell r="AN243" t="str">
            <v/>
          </cell>
        </row>
        <row r="244">
          <cell r="AN244" t="str">
            <v/>
          </cell>
        </row>
        <row r="245">
          <cell r="AN245" t="str">
            <v/>
          </cell>
        </row>
        <row r="246">
          <cell r="AN246" t="str">
            <v/>
          </cell>
        </row>
        <row r="247">
          <cell r="AN247" t="str">
            <v/>
          </cell>
        </row>
        <row r="248">
          <cell r="AN248" t="str">
            <v/>
          </cell>
        </row>
        <row r="249">
          <cell r="AN249" t="str">
            <v/>
          </cell>
        </row>
        <row r="250">
          <cell r="AN250" t="str">
            <v/>
          </cell>
        </row>
        <row r="251">
          <cell r="AN251" t="str">
            <v/>
          </cell>
        </row>
        <row r="252">
          <cell r="AN252" t="str">
            <v/>
          </cell>
        </row>
        <row r="253">
          <cell r="AN253" t="str">
            <v/>
          </cell>
        </row>
        <row r="254">
          <cell r="AN254" t="str">
            <v/>
          </cell>
        </row>
        <row r="255">
          <cell r="AN255" t="str">
            <v/>
          </cell>
        </row>
        <row r="256">
          <cell r="AN256" t="str">
            <v/>
          </cell>
        </row>
        <row r="257">
          <cell r="AN257" t="str">
            <v/>
          </cell>
        </row>
        <row r="258">
          <cell r="AN258" t="str">
            <v/>
          </cell>
        </row>
        <row r="259">
          <cell r="AN259" t="str">
            <v/>
          </cell>
        </row>
        <row r="260">
          <cell r="AN260" t="str">
            <v/>
          </cell>
        </row>
        <row r="261">
          <cell r="AN261" t="str">
            <v/>
          </cell>
        </row>
        <row r="262">
          <cell r="AN262" t="str">
            <v/>
          </cell>
        </row>
        <row r="263">
          <cell r="AN263" t="str">
            <v/>
          </cell>
        </row>
        <row r="264">
          <cell r="AN264" t="str">
            <v/>
          </cell>
        </row>
        <row r="265">
          <cell r="AN265" t="str">
            <v/>
          </cell>
        </row>
        <row r="266">
          <cell r="AN266" t="str">
            <v/>
          </cell>
        </row>
        <row r="267">
          <cell r="AN267" t="str">
            <v/>
          </cell>
        </row>
        <row r="268">
          <cell r="AN268" t="str">
            <v/>
          </cell>
        </row>
        <row r="269">
          <cell r="AN269" t="str">
            <v/>
          </cell>
        </row>
        <row r="270">
          <cell r="AN270" t="str">
            <v/>
          </cell>
        </row>
        <row r="271">
          <cell r="AN271" t="str">
            <v/>
          </cell>
        </row>
        <row r="272">
          <cell r="AN272" t="str">
            <v/>
          </cell>
        </row>
        <row r="273">
          <cell r="AN273" t="str">
            <v/>
          </cell>
        </row>
        <row r="274">
          <cell r="AN274" t="str">
            <v/>
          </cell>
        </row>
        <row r="275">
          <cell r="AN275" t="str">
            <v/>
          </cell>
        </row>
        <row r="276">
          <cell r="AN276" t="str">
            <v/>
          </cell>
        </row>
        <row r="277">
          <cell r="AN277" t="str">
            <v/>
          </cell>
        </row>
        <row r="278">
          <cell r="AN278" t="str">
            <v/>
          </cell>
        </row>
        <row r="279">
          <cell r="AN279" t="str">
            <v/>
          </cell>
        </row>
        <row r="280">
          <cell r="AN280" t="str">
            <v/>
          </cell>
        </row>
        <row r="281">
          <cell r="AN281" t="str">
            <v/>
          </cell>
        </row>
        <row r="282">
          <cell r="AN282" t="str">
            <v/>
          </cell>
        </row>
        <row r="283">
          <cell r="AN283" t="str">
            <v/>
          </cell>
        </row>
        <row r="284">
          <cell r="AN284" t="str">
            <v/>
          </cell>
        </row>
        <row r="285">
          <cell r="AN285" t="str">
            <v/>
          </cell>
        </row>
        <row r="286">
          <cell r="AN286" t="str">
            <v/>
          </cell>
        </row>
        <row r="287">
          <cell r="AN287" t="str">
            <v/>
          </cell>
        </row>
        <row r="289">
          <cell r="AN289" t="str">
            <v/>
          </cell>
        </row>
        <row r="290">
          <cell r="AN290" t="str">
            <v/>
          </cell>
        </row>
        <row r="291">
          <cell r="AN291" t="str">
            <v/>
          </cell>
        </row>
        <row r="292">
          <cell r="AN292" t="str">
            <v/>
          </cell>
        </row>
        <row r="293">
          <cell r="AN293" t="str">
            <v/>
          </cell>
        </row>
        <row r="294">
          <cell r="AN294" t="str">
            <v/>
          </cell>
        </row>
        <row r="295">
          <cell r="AN295" t="str">
            <v/>
          </cell>
        </row>
        <row r="296">
          <cell r="AN296" t="str">
            <v/>
          </cell>
        </row>
        <row r="297">
          <cell r="AN297" t="str">
            <v/>
          </cell>
        </row>
        <row r="298">
          <cell r="AN298" t="str">
            <v/>
          </cell>
        </row>
        <row r="299">
          <cell r="AN299" t="str">
            <v/>
          </cell>
        </row>
        <row r="300">
          <cell r="AN300" t="str">
            <v/>
          </cell>
        </row>
        <row r="301">
          <cell r="AN301" t="str">
            <v/>
          </cell>
        </row>
        <row r="302">
          <cell r="AN302" t="str">
            <v/>
          </cell>
        </row>
        <row r="303">
          <cell r="AN303" t="str">
            <v/>
          </cell>
        </row>
        <row r="304">
          <cell r="AN304" t="str">
            <v/>
          </cell>
        </row>
        <row r="305">
          <cell r="AN305" t="str">
            <v/>
          </cell>
        </row>
        <row r="306">
          <cell r="AN306" t="str">
            <v/>
          </cell>
        </row>
        <row r="307">
          <cell r="AN307" t="str">
            <v/>
          </cell>
        </row>
        <row r="308">
          <cell r="AN308" t="str">
            <v/>
          </cell>
        </row>
        <row r="309">
          <cell r="AN309" t="str">
            <v/>
          </cell>
        </row>
        <row r="310">
          <cell r="AN310" t="str">
            <v/>
          </cell>
        </row>
        <row r="311">
          <cell r="AN311" t="str">
            <v/>
          </cell>
        </row>
        <row r="312">
          <cell r="AN312" t="str">
            <v/>
          </cell>
        </row>
        <row r="313">
          <cell r="AN313" t="str">
            <v/>
          </cell>
        </row>
        <row r="314">
          <cell r="AN314" t="str">
            <v/>
          </cell>
        </row>
        <row r="315">
          <cell r="AN315" t="str">
            <v/>
          </cell>
        </row>
        <row r="316">
          <cell r="AN316" t="str">
            <v/>
          </cell>
        </row>
        <row r="317">
          <cell r="AN317" t="str">
            <v/>
          </cell>
        </row>
        <row r="318">
          <cell r="AN318" t="str">
            <v/>
          </cell>
        </row>
        <row r="319">
          <cell r="AN319" t="str">
            <v/>
          </cell>
        </row>
        <row r="320">
          <cell r="AN320" t="str">
            <v/>
          </cell>
        </row>
        <row r="321">
          <cell r="AN321" t="str">
            <v/>
          </cell>
        </row>
        <row r="322">
          <cell r="AN322" t="str">
            <v/>
          </cell>
        </row>
        <row r="323">
          <cell r="AN323" t="str">
            <v/>
          </cell>
        </row>
        <row r="324">
          <cell r="AN324" t="str">
            <v/>
          </cell>
        </row>
        <row r="325">
          <cell r="AN325" t="str">
            <v/>
          </cell>
        </row>
        <row r="326">
          <cell r="AN326" t="str">
            <v/>
          </cell>
        </row>
        <row r="327">
          <cell r="AN327" t="str">
            <v/>
          </cell>
        </row>
        <row r="328">
          <cell r="AN328" t="str">
            <v/>
          </cell>
        </row>
        <row r="329">
          <cell r="AN329" t="str">
            <v/>
          </cell>
        </row>
        <row r="330">
          <cell r="AN330" t="str">
            <v/>
          </cell>
        </row>
        <row r="331">
          <cell r="AN331" t="str">
            <v/>
          </cell>
        </row>
        <row r="332">
          <cell r="AN332" t="str">
            <v/>
          </cell>
        </row>
        <row r="333">
          <cell r="AN333" t="str">
            <v/>
          </cell>
        </row>
        <row r="334">
          <cell r="AN334" t="str">
            <v/>
          </cell>
        </row>
        <row r="335">
          <cell r="AN335" t="str">
            <v/>
          </cell>
        </row>
        <row r="336">
          <cell r="AN336" t="str">
            <v/>
          </cell>
        </row>
        <row r="337">
          <cell r="AN337" t="str">
            <v/>
          </cell>
        </row>
        <row r="338">
          <cell r="AN338" t="str">
            <v/>
          </cell>
        </row>
        <row r="339">
          <cell r="AN339" t="str">
            <v/>
          </cell>
        </row>
        <row r="340">
          <cell r="AN340" t="str">
            <v/>
          </cell>
        </row>
        <row r="341">
          <cell r="AN341" t="str">
            <v/>
          </cell>
        </row>
        <row r="342">
          <cell r="AN342" t="str">
            <v/>
          </cell>
        </row>
        <row r="343">
          <cell r="AN343" t="str">
            <v/>
          </cell>
        </row>
        <row r="344">
          <cell r="AN344" t="str">
            <v/>
          </cell>
        </row>
        <row r="345">
          <cell r="AN345" t="str">
            <v/>
          </cell>
        </row>
        <row r="346">
          <cell r="AN346" t="str">
            <v/>
          </cell>
        </row>
        <row r="347">
          <cell r="AN347" t="str">
            <v/>
          </cell>
        </row>
        <row r="348">
          <cell r="AN348" t="str">
            <v/>
          </cell>
        </row>
        <row r="349">
          <cell r="AN349" t="str">
            <v/>
          </cell>
        </row>
        <row r="350">
          <cell r="AN350" t="str">
            <v/>
          </cell>
        </row>
        <row r="351">
          <cell r="AN351" t="str">
            <v/>
          </cell>
        </row>
        <row r="352">
          <cell r="AN352" t="str">
            <v/>
          </cell>
        </row>
        <row r="353">
          <cell r="AN353" t="str">
            <v/>
          </cell>
        </row>
        <row r="354">
          <cell r="AN354" t="str">
            <v/>
          </cell>
        </row>
        <row r="355">
          <cell r="AN355" t="str">
            <v/>
          </cell>
        </row>
        <row r="356">
          <cell r="AN356" t="str">
            <v/>
          </cell>
        </row>
        <row r="357">
          <cell r="AN357" t="str">
            <v/>
          </cell>
        </row>
        <row r="358">
          <cell r="AN358" t="str">
            <v/>
          </cell>
        </row>
        <row r="359">
          <cell r="AN359" t="str">
            <v/>
          </cell>
        </row>
        <row r="360">
          <cell r="AN360" t="str">
            <v/>
          </cell>
        </row>
        <row r="361">
          <cell r="AN361" t="str">
            <v/>
          </cell>
        </row>
        <row r="362">
          <cell r="AN362" t="str">
            <v/>
          </cell>
        </row>
        <row r="363">
          <cell r="AN363" t="str">
            <v/>
          </cell>
        </row>
        <row r="364">
          <cell r="AN364" t="str">
            <v/>
          </cell>
        </row>
        <row r="365">
          <cell r="AN365" t="str">
            <v/>
          </cell>
        </row>
        <row r="366">
          <cell r="AN366" t="str">
            <v/>
          </cell>
        </row>
        <row r="367">
          <cell r="AN367" t="str">
            <v/>
          </cell>
        </row>
        <row r="368">
          <cell r="AN368" t="str">
            <v/>
          </cell>
        </row>
        <row r="369">
          <cell r="AN369" t="str">
            <v/>
          </cell>
        </row>
        <row r="370">
          <cell r="AN370" t="str">
            <v/>
          </cell>
        </row>
        <row r="371">
          <cell r="AN371" t="str">
            <v/>
          </cell>
        </row>
        <row r="372">
          <cell r="AN372" t="str">
            <v/>
          </cell>
        </row>
        <row r="373">
          <cell r="AN373" t="str">
            <v/>
          </cell>
        </row>
        <row r="374">
          <cell r="AN374" t="str">
            <v/>
          </cell>
        </row>
        <row r="375">
          <cell r="AN375" t="str">
            <v/>
          </cell>
        </row>
        <row r="376">
          <cell r="AN376" t="str">
            <v/>
          </cell>
        </row>
        <row r="377">
          <cell r="AN377" t="str">
            <v/>
          </cell>
        </row>
        <row r="378">
          <cell r="AN378" t="str">
            <v/>
          </cell>
        </row>
        <row r="379">
          <cell r="AN379" t="str">
            <v/>
          </cell>
        </row>
        <row r="380">
          <cell r="AN380" t="str">
            <v/>
          </cell>
        </row>
        <row r="381">
          <cell r="AN381" t="str">
            <v/>
          </cell>
        </row>
        <row r="382">
          <cell r="AN382" t="str">
            <v/>
          </cell>
        </row>
        <row r="383">
          <cell r="AN383" t="str">
            <v/>
          </cell>
        </row>
        <row r="384">
          <cell r="AN384" t="str">
            <v/>
          </cell>
        </row>
        <row r="385">
          <cell r="AN385" t="str">
            <v/>
          </cell>
        </row>
        <row r="386">
          <cell r="AN386" t="str">
            <v/>
          </cell>
        </row>
        <row r="387">
          <cell r="AN387" t="str">
            <v/>
          </cell>
        </row>
        <row r="388">
          <cell r="AN388" t="str">
            <v/>
          </cell>
        </row>
        <row r="389">
          <cell r="AN389" t="str">
            <v/>
          </cell>
        </row>
        <row r="390">
          <cell r="AN390" t="str">
            <v/>
          </cell>
        </row>
        <row r="391">
          <cell r="AN391" t="str">
            <v/>
          </cell>
        </row>
        <row r="392">
          <cell r="AN392" t="str">
            <v/>
          </cell>
        </row>
        <row r="393">
          <cell r="AN393" t="str">
            <v/>
          </cell>
        </row>
        <row r="394">
          <cell r="AN394" t="str">
            <v/>
          </cell>
        </row>
        <row r="395">
          <cell r="AN395" t="str">
            <v/>
          </cell>
        </row>
        <row r="396">
          <cell r="AN396" t="str">
            <v/>
          </cell>
        </row>
        <row r="397">
          <cell r="AN397" t="str">
            <v/>
          </cell>
        </row>
        <row r="398">
          <cell r="AN398" t="str">
            <v/>
          </cell>
        </row>
        <row r="399">
          <cell r="AN399" t="str">
            <v/>
          </cell>
        </row>
        <row r="400">
          <cell r="AN400" t="str">
            <v/>
          </cell>
        </row>
        <row r="401">
          <cell r="AN401" t="str">
            <v/>
          </cell>
        </row>
        <row r="402">
          <cell r="AN402" t="str">
            <v/>
          </cell>
        </row>
        <row r="403">
          <cell r="AN403" t="str">
            <v/>
          </cell>
        </row>
        <row r="404">
          <cell r="AN404" t="str">
            <v/>
          </cell>
        </row>
        <row r="405">
          <cell r="AN405" t="str">
            <v/>
          </cell>
        </row>
        <row r="406">
          <cell r="AN406" t="str">
            <v/>
          </cell>
        </row>
        <row r="407">
          <cell r="AN407" t="str">
            <v/>
          </cell>
        </row>
        <row r="408">
          <cell r="AN408" t="str">
            <v/>
          </cell>
        </row>
        <row r="409">
          <cell r="AN409" t="str">
            <v/>
          </cell>
        </row>
        <row r="410">
          <cell r="AN410" t="str">
            <v/>
          </cell>
        </row>
        <row r="411">
          <cell r="AN411" t="str">
            <v/>
          </cell>
        </row>
        <row r="412">
          <cell r="AN412" t="str">
            <v/>
          </cell>
        </row>
        <row r="413">
          <cell r="AN413" t="str">
            <v/>
          </cell>
        </row>
        <row r="414">
          <cell r="AN414" t="str">
            <v/>
          </cell>
        </row>
        <row r="415">
          <cell r="AN415" t="str">
            <v/>
          </cell>
        </row>
        <row r="416">
          <cell r="AN416" t="str">
            <v/>
          </cell>
        </row>
        <row r="417">
          <cell r="AN417" t="str">
            <v/>
          </cell>
        </row>
        <row r="418">
          <cell r="AN418" t="str">
            <v/>
          </cell>
        </row>
        <row r="419">
          <cell r="AN419" t="str">
            <v/>
          </cell>
        </row>
        <row r="420">
          <cell r="AN420" t="str">
            <v/>
          </cell>
        </row>
        <row r="421">
          <cell r="AN421" t="str">
            <v/>
          </cell>
        </row>
        <row r="422">
          <cell r="AN422" t="str">
            <v/>
          </cell>
        </row>
        <row r="423">
          <cell r="AN423" t="str">
            <v/>
          </cell>
        </row>
        <row r="424">
          <cell r="AN424" t="str">
            <v/>
          </cell>
        </row>
        <row r="425">
          <cell r="AN425" t="str">
            <v/>
          </cell>
        </row>
        <row r="426">
          <cell r="AN426" t="str">
            <v/>
          </cell>
        </row>
        <row r="427">
          <cell r="AN427" t="str">
            <v/>
          </cell>
        </row>
        <row r="428">
          <cell r="AN428" t="str">
            <v/>
          </cell>
        </row>
        <row r="429">
          <cell r="AN429" t="str">
            <v/>
          </cell>
        </row>
        <row r="430">
          <cell r="AN430" t="str">
            <v/>
          </cell>
        </row>
        <row r="431">
          <cell r="AN431" t="str">
            <v/>
          </cell>
        </row>
        <row r="432">
          <cell r="AN432" t="str">
            <v/>
          </cell>
        </row>
        <row r="433">
          <cell r="AN433" t="str">
            <v/>
          </cell>
        </row>
        <row r="434">
          <cell r="AN434" t="str">
            <v/>
          </cell>
        </row>
        <row r="435">
          <cell r="AN435" t="str">
            <v/>
          </cell>
        </row>
        <row r="436">
          <cell r="AN436" t="str">
            <v/>
          </cell>
        </row>
        <row r="437">
          <cell r="AN437" t="str">
            <v/>
          </cell>
        </row>
        <row r="438">
          <cell r="AN438" t="str">
            <v/>
          </cell>
        </row>
        <row r="439">
          <cell r="AN439" t="str">
            <v/>
          </cell>
        </row>
        <row r="440">
          <cell r="AN440" t="str">
            <v/>
          </cell>
        </row>
        <row r="441">
          <cell r="AN441" t="str">
            <v/>
          </cell>
        </row>
        <row r="442">
          <cell r="AN442" t="str">
            <v/>
          </cell>
        </row>
        <row r="443">
          <cell r="AN443" t="str">
            <v/>
          </cell>
        </row>
        <row r="444">
          <cell r="AN444" t="str">
            <v/>
          </cell>
        </row>
        <row r="445">
          <cell r="AN445" t="str">
            <v/>
          </cell>
        </row>
        <row r="446">
          <cell r="AN446" t="str">
            <v/>
          </cell>
        </row>
        <row r="447">
          <cell r="AN447" t="str">
            <v/>
          </cell>
        </row>
        <row r="448">
          <cell r="AN448" t="str">
            <v/>
          </cell>
        </row>
        <row r="449">
          <cell r="AN449" t="str">
            <v/>
          </cell>
        </row>
        <row r="450">
          <cell r="AN450" t="str">
            <v/>
          </cell>
        </row>
        <row r="451">
          <cell r="AN451" t="str">
            <v/>
          </cell>
        </row>
        <row r="452">
          <cell r="AN452" t="str">
            <v/>
          </cell>
        </row>
        <row r="453">
          <cell r="AN453" t="str">
            <v/>
          </cell>
        </row>
        <row r="454">
          <cell r="AN454" t="str">
            <v/>
          </cell>
        </row>
        <row r="455">
          <cell r="AN455" t="str">
            <v/>
          </cell>
        </row>
        <row r="456">
          <cell r="AN456" t="str">
            <v/>
          </cell>
        </row>
        <row r="457">
          <cell r="AN457" t="str">
            <v/>
          </cell>
        </row>
        <row r="458">
          <cell r="AN458" t="str">
            <v/>
          </cell>
        </row>
        <row r="459">
          <cell r="AN459" t="str">
            <v/>
          </cell>
        </row>
        <row r="460">
          <cell r="AN460" t="str">
            <v/>
          </cell>
        </row>
        <row r="461">
          <cell r="AN461" t="str">
            <v/>
          </cell>
        </row>
        <row r="462">
          <cell r="AN462" t="str">
            <v/>
          </cell>
        </row>
        <row r="463">
          <cell r="AN463" t="str">
            <v/>
          </cell>
        </row>
        <row r="464">
          <cell r="AN464" t="str">
            <v/>
          </cell>
        </row>
        <row r="465">
          <cell r="AN465" t="str">
            <v/>
          </cell>
        </row>
        <row r="466">
          <cell r="AN466" t="str">
            <v/>
          </cell>
        </row>
        <row r="467">
          <cell r="AN467" t="str">
            <v/>
          </cell>
        </row>
        <row r="468">
          <cell r="AN468" t="str">
            <v/>
          </cell>
        </row>
        <row r="469">
          <cell r="AN469" t="str">
            <v/>
          </cell>
        </row>
        <row r="470">
          <cell r="AN470" t="str">
            <v/>
          </cell>
        </row>
        <row r="471">
          <cell r="AN471" t="str">
            <v/>
          </cell>
        </row>
        <row r="472">
          <cell r="AN472" t="str">
            <v/>
          </cell>
        </row>
        <row r="473">
          <cell r="AN473" t="str">
            <v/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  <cell r="B3" t="str">
            <v>Banpu Public Company  Limted</v>
          </cell>
        </row>
        <row r="4">
          <cell r="A4" t="str">
            <v>02</v>
          </cell>
          <cell r="B4" t="str">
            <v>Banpu Minerals Company  Limted</v>
          </cell>
        </row>
        <row r="5">
          <cell r="A5" t="str">
            <v>05</v>
          </cell>
          <cell r="B5" t="str">
            <v>Promsin Company Limited</v>
          </cell>
        </row>
        <row r="6">
          <cell r="A6" t="str">
            <v>07</v>
          </cell>
          <cell r="B6" t="str">
            <v>Banpu International Limted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  <cell r="B3" t="str">
            <v>Corporate</v>
          </cell>
        </row>
        <row r="4">
          <cell r="A4" t="str">
            <v>02</v>
          </cell>
          <cell r="B4" t="str">
            <v>Coal Thailand Business</v>
          </cell>
        </row>
        <row r="5">
          <cell r="A5" t="str">
            <v>03</v>
          </cell>
          <cell r="B5" t="str">
            <v>Minerals Business</v>
          </cell>
        </row>
        <row r="6">
          <cell r="A6" t="str">
            <v>04</v>
          </cell>
          <cell r="B6" t="str">
            <v>Engineering Service Business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  <cell r="B3" t="str">
            <v>Administration</v>
          </cell>
        </row>
        <row r="4">
          <cell r="A4" t="str">
            <v>01100</v>
          </cell>
          <cell r="B4" t="str">
            <v>Office of CEO</v>
          </cell>
        </row>
        <row r="5">
          <cell r="A5" t="str">
            <v>01200</v>
          </cell>
          <cell r="B5" t="str">
            <v>Government Relations</v>
          </cell>
        </row>
        <row r="6">
          <cell r="A6" t="str">
            <v>01300</v>
          </cell>
          <cell r="B6" t="str">
            <v>Corporate Communications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  <cell r="B3" t="str">
            <v>Routine</v>
          </cell>
        </row>
        <row r="4">
          <cell r="A4" t="str">
            <v>001</v>
          </cell>
          <cell r="B4" t="str">
            <v>Increase domestic coal sales valume in cement industy</v>
          </cell>
        </row>
        <row r="5">
          <cell r="A5" t="str">
            <v>002</v>
          </cell>
          <cell r="B5" t="str">
            <v>Sell Coal to EGAT</v>
          </cell>
        </row>
        <row r="6">
          <cell r="A6" t="str">
            <v>003</v>
          </cell>
          <cell r="B6" t="str">
            <v>Routine-Sales-Coal Thailand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  <cell r="B3" t="str">
            <v>Land</v>
          </cell>
        </row>
        <row r="4">
          <cell r="A4" t="str">
            <v>14111</v>
          </cell>
          <cell r="B4" t="str">
            <v>Land Improvement</v>
          </cell>
        </row>
        <row r="5">
          <cell r="A5" t="str">
            <v>14201</v>
          </cell>
          <cell r="B5" t="str">
            <v>Building</v>
          </cell>
        </row>
        <row r="6">
          <cell r="A6" t="str">
            <v>14211</v>
          </cell>
          <cell r="B6" t="str">
            <v>Structures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  <cell r="B3" t="str">
            <v>SETTING POND</v>
          </cell>
        </row>
        <row r="4">
          <cell r="A4">
            <v>50000009</v>
          </cell>
          <cell r="B4" t="str">
            <v>CONTROLL WATER TANK</v>
          </cell>
        </row>
        <row r="5">
          <cell r="A5">
            <v>50000015</v>
          </cell>
          <cell r="B5" t="str">
            <v>DOCUMENT ROOM</v>
          </cell>
        </row>
        <row r="6">
          <cell r="A6">
            <v>50000022</v>
          </cell>
          <cell r="B6" t="str">
            <v>SPREADER &amp; TRIPPER CAR IN PROGRESS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  <cell r="B3" t="str">
            <v>Unspecified</v>
          </cell>
        </row>
        <row r="4">
          <cell r="A4" t="str">
            <v>0103</v>
          </cell>
          <cell r="B4" t="str">
            <v>LP-2 Project</v>
          </cell>
        </row>
        <row r="5">
          <cell r="A5" t="str">
            <v>0104</v>
          </cell>
          <cell r="B5" t="str">
            <v>Lampang 3 Project</v>
          </cell>
        </row>
        <row r="6">
          <cell r="A6" t="str">
            <v>0108</v>
          </cell>
          <cell r="B6" t="str">
            <v>LP-2 Project (Coordination)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  <row r="6">
          <cell r="A6" t="str">
            <v>33</v>
          </cell>
          <cell r="B6" t="str">
            <v>08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 refreshError="1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 refreshError="1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>
            <v>0</v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>
            <v>0</v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0</v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0</v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>
            <v>0</v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>
            <v>0</v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>
            <v>0</v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>
            <v>0</v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>
            <v>0</v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>
            <v>0</v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>
            <v>0</v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>
            <v>0</v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>
            <v>0</v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>
            <v>0</v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>
            <v>0</v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>
            <v>0</v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>
            <v>0</v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>
            <v>0</v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>
            <v>0</v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>
            <v>0</v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>
            <v>0</v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>
            <v>0</v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>
            <v>0</v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>
            <v>0</v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>
            <v>0</v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>
            <v>0</v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>
            <v>0</v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>
            <v>0</v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>
            <v>0</v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>
            <v>0</v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>
            <v>0</v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>
            <v>0</v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>
            <v>0</v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>
            <v>0</v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>
            <v>0</v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>
            <v>0</v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>
            <v>0</v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>
            <v>0</v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>
            <v>0</v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>
            <v>0</v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>
            <v>0</v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HOURLY"/>
      <sheetName val="dBase"/>
      <sheetName val="dBonus"/>
      <sheetName val="Database"/>
      <sheetName val="sum"/>
      <sheetName val="bantuan"/>
      <sheetName val="Quar Mon"/>
      <sheetName val="base quality"/>
      <sheetName val="Plan 2017"/>
      <sheetName val="coal transport"/>
      <sheetName val="Data"/>
      <sheetName val="Usage"/>
      <sheetName val="Detail Excavator Rental"/>
      <sheetName val="St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HOURLY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OPT_GL"/>
      <sheetName val="Database"/>
      <sheetName val="TABLE"/>
      <sheetName val="Data_AC"/>
      <sheetName val="Data hauler"/>
      <sheetName val="Data"/>
      <sheetName val="Usage"/>
      <sheetName val="Stock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Master"/>
      <sheetName val="Run"/>
      <sheetName val="MTD"/>
      <sheetName val="SUM"/>
      <sheetName val="HOURLY"/>
      <sheetName val="Database"/>
      <sheetName val="Global Assumptions"/>
      <sheetName val="Scenario &amp; Sensitivity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Cost Centre &amp; COA"/>
      <sheetName val="General Assumption"/>
      <sheetName val="Production Evaluat"/>
      <sheetName val="Master"/>
      <sheetName val="Run"/>
      <sheetName val="MTD"/>
      <sheetName val="Daily Plan"/>
      <sheetName val="OL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Master"/>
      <sheetName val="Run"/>
      <sheetName val="Overburden"/>
      <sheetName val="Base"/>
      <sheetName val="Usage"/>
      <sheetName val="Stock"/>
      <sheetName val="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Ru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 refreshError="1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 xml:space="preserve"> 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 xml:space="preserve"> 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_AC"/>
      <sheetName val="summary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Base"/>
      <sheetName val="5-Peralatan"/>
      <sheetName val="Haul Distance Oct 2006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Hourly"/>
      <sheetName val="summary"/>
      <sheetName val="Input Coal"/>
      <sheetName val="MTD OB Forecasting"/>
      <sheetName val="Base"/>
      <sheetName val="Rehab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bantuan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MA_PLANS_"/>
      <sheetName val="M_PLANS_"/>
      <sheetName val="summary"/>
      <sheetName val="Data Coal I"/>
      <sheetName val="Data Coal II"/>
      <sheetName val="Curah hujan"/>
      <sheetName val="Base"/>
      <sheetName val=" OB PLAN"/>
      <sheetName val="REPORT01"/>
      <sheetName val="EQL"/>
      <sheetName val="Source_Data"/>
      <sheetName val="EXA"/>
      <sheetName val="O_PERF"/>
      <sheetName val="ACUM"/>
      <sheetName val="TJ"/>
      <sheetName val="LM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Database"/>
      <sheetName val="Param"/>
      <sheetName val="EPR MTD"/>
      <sheetName val="EXA"/>
      <sheetName val="DP Report"/>
      <sheetName val="Base"/>
      <sheetName val="Tru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HOURLY"/>
      <sheetName val="PRO"/>
      <sheetName val="whrs"/>
      <sheetName val="Database"/>
      <sheetName val="Source"/>
      <sheetName val="Summ PRM"/>
      <sheetName val="rumus"/>
      <sheetName val="Base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Housekeeping"/>
      <sheetName val="Project"/>
      <sheetName val="ACUM"/>
      <sheetName val="TJ"/>
      <sheetName val="LM"/>
      <sheetName val="Stock"/>
      <sheetName val="Usage"/>
      <sheetName val="summary"/>
      <sheetName val="OPT_GL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PLAN"/>
      <sheetName val="simulasi prod'ty"/>
      <sheetName val="Truck"/>
      <sheetName val="Data Base"/>
    </sheetNames>
    <sheetDataSet>
      <sheetData sheetId="0" refreshError="1">
        <row r="5">
          <cell r="E5" t="str">
            <v>SH304</v>
          </cell>
          <cell r="F5">
            <v>3152.358511145997</v>
          </cell>
          <cell r="G5" t="str">
            <v>NORTH EAST</v>
          </cell>
          <cell r="H5">
            <v>523.84505283627914</v>
          </cell>
          <cell r="I5">
            <v>2.950569918081769</v>
          </cell>
        </row>
        <row r="6">
          <cell r="E6" t="str">
            <v>SH305</v>
          </cell>
          <cell r="F6">
            <v>2787.9051618542385</v>
          </cell>
          <cell r="G6" t="str">
            <v>NORTH EAST</v>
          </cell>
          <cell r="H6">
            <v>68.936657079729628</v>
          </cell>
          <cell r="I6">
            <v>2.950569918081769</v>
          </cell>
        </row>
        <row r="7">
          <cell r="E7" t="str">
            <v>SH306</v>
          </cell>
          <cell r="F7">
            <v>3338.5715227690944</v>
          </cell>
          <cell r="G7" t="str">
            <v>NORTH EAST</v>
          </cell>
          <cell r="H7">
            <v>79.686254777416011</v>
          </cell>
          <cell r="I7">
            <v>1.018033906802807</v>
          </cell>
        </row>
        <row r="8">
          <cell r="E8" t="str">
            <v>EX708</v>
          </cell>
          <cell r="F8">
            <v>1725.6347335261985</v>
          </cell>
          <cell r="G8" t="str">
            <v>KUDANIEL</v>
          </cell>
          <cell r="H8">
            <v>120.97724579228654</v>
          </cell>
          <cell r="I8">
            <v>4.8201007548150585</v>
          </cell>
        </row>
        <row r="9">
          <cell r="E9" t="str">
            <v>EX709</v>
          </cell>
          <cell r="F9">
            <v>2336.0365334752655</v>
          </cell>
          <cell r="G9" t="str">
            <v>KUDANIEL</v>
          </cell>
          <cell r="H9">
            <v>731.37904574135337</v>
          </cell>
          <cell r="I9">
            <v>4.8201007548150585</v>
          </cell>
        </row>
        <row r="10">
          <cell r="E10" t="str">
            <v>EX710</v>
          </cell>
          <cell r="F10">
            <v>2046.5901362955183</v>
          </cell>
          <cell r="G10" t="str">
            <v>KUDANIEL</v>
          </cell>
          <cell r="H10">
            <v>441.93264856160624</v>
          </cell>
          <cell r="I10">
            <v>4.8201007548150585</v>
          </cell>
        </row>
        <row r="11">
          <cell r="E11" t="str">
            <v>EX711</v>
          </cell>
          <cell r="F11">
            <v>3342.4648611297625</v>
          </cell>
          <cell r="G11" t="str">
            <v>NORTH EAST</v>
          </cell>
          <cell r="H11">
            <v>713.95140282004502</v>
          </cell>
          <cell r="I11">
            <v>2.950569918081769</v>
          </cell>
        </row>
        <row r="12">
          <cell r="E12" t="str">
            <v>EX729</v>
          </cell>
          <cell r="F12">
            <v>3150.0904774768187</v>
          </cell>
          <cell r="G12" t="str">
            <v>NORTH EAST</v>
          </cell>
          <cell r="H12">
            <v>521.57701916710096</v>
          </cell>
          <cell r="I12">
            <v>2.950569918081769</v>
          </cell>
        </row>
        <row r="13">
          <cell r="E13" t="str">
            <v>EX718</v>
          </cell>
          <cell r="F13">
            <v>3582.5725687698377</v>
          </cell>
          <cell r="G13" t="str">
            <v>NORTH EAST</v>
          </cell>
          <cell r="H13">
            <v>954.05911046011965</v>
          </cell>
          <cell r="I13">
            <v>2.950569918081769</v>
          </cell>
        </row>
        <row r="14">
          <cell r="E14" t="str">
            <v>EX1701</v>
          </cell>
          <cell r="F14">
            <v>0</v>
          </cell>
          <cell r="G14" t="str">
            <v>ROM 90</v>
          </cell>
          <cell r="H14">
            <v>290802.14587779553</v>
          </cell>
          <cell r="I14">
            <v>1.191707616031169</v>
          </cell>
        </row>
        <row r="15">
          <cell r="E15" t="str">
            <v>EX1001</v>
          </cell>
          <cell r="F15">
            <v>1842.0651241455532</v>
          </cell>
          <cell r="G15" t="str">
            <v>KUDANIEL</v>
          </cell>
          <cell r="H15">
            <v>364.21279469520999</v>
          </cell>
          <cell r="I15">
            <v>4.8201007548150585</v>
          </cell>
        </row>
        <row r="16">
          <cell r="E16" t="str">
            <v>EX1002</v>
          </cell>
          <cell r="F16">
            <v>2099.2356638400638</v>
          </cell>
          <cell r="G16" t="str">
            <v>KUDANIEL</v>
          </cell>
          <cell r="H16">
            <v>494.57817610615189</v>
          </cell>
          <cell r="I16">
            <v>4.8201007548150585</v>
          </cell>
        </row>
        <row r="17">
          <cell r="E17" t="str">
            <v>EX1004</v>
          </cell>
          <cell r="F17">
            <v>3168.9611907961312</v>
          </cell>
          <cell r="G17" t="str">
            <v>ROM 90</v>
          </cell>
          <cell r="H17">
            <v>230.18880592476788</v>
          </cell>
          <cell r="I17">
            <v>1.191707616031169</v>
          </cell>
        </row>
        <row r="18">
          <cell r="E18" t="str">
            <v>EX1006</v>
          </cell>
          <cell r="F18">
            <v>962.66660252622751</v>
          </cell>
          <cell r="G18" t="str">
            <v>STP H</v>
          </cell>
          <cell r="H18">
            <v>152.66344241386884</v>
          </cell>
          <cell r="I18" t="e">
            <v>#VALUE!</v>
          </cell>
        </row>
        <row r="19">
          <cell r="E19" t="str">
            <v>EX1008</v>
          </cell>
          <cell r="F19">
            <v>2822.7933394688612</v>
          </cell>
          <cell r="G19" t="str">
            <v>ROM 90</v>
          </cell>
          <cell r="H19">
            <v>339.7661802289025</v>
          </cell>
          <cell r="I19">
            <v>6.6428337528365073</v>
          </cell>
        </row>
        <row r="20">
          <cell r="E20" t="str">
            <v>EX1013</v>
          </cell>
          <cell r="F20">
            <v>3699.9790172301168</v>
          </cell>
          <cell r="G20" t="str">
            <v>ROM 90</v>
          </cell>
          <cell r="H20">
            <v>761.20663235875372</v>
          </cell>
          <cell r="I20">
            <v>1.191707616031169</v>
          </cell>
        </row>
        <row r="21">
          <cell r="E21" t="str">
            <v>EX1014</v>
          </cell>
          <cell r="F21">
            <v>3728.8056844649905</v>
          </cell>
          <cell r="G21" t="str">
            <v>ROM 90</v>
          </cell>
          <cell r="H21">
            <v>790.03329959362679</v>
          </cell>
          <cell r="I21">
            <v>1.191707616031169</v>
          </cell>
        </row>
        <row r="22">
          <cell r="E22" t="str">
            <v>EX1021</v>
          </cell>
          <cell r="F22">
            <v>0</v>
          </cell>
          <cell r="G22" t="e">
            <v>#N/A</v>
          </cell>
          <cell r="I22">
            <v>0</v>
          </cell>
        </row>
        <row r="23">
          <cell r="E23" t="str">
            <v>EX577</v>
          </cell>
          <cell r="F23">
            <v>0</v>
          </cell>
          <cell r="G23" t="str">
            <v>STP H</v>
          </cell>
          <cell r="H23">
            <v>292389.69016577356</v>
          </cell>
          <cell r="I23">
            <v>0</v>
          </cell>
        </row>
        <row r="24">
          <cell r="E24" t="str">
            <v>EX578</v>
          </cell>
          <cell r="F24">
            <v>0</v>
          </cell>
          <cell r="G24" t="str">
            <v>STP H</v>
          </cell>
          <cell r="H24">
            <v>292389.69016577356</v>
          </cell>
          <cell r="I24">
            <v>0</v>
          </cell>
        </row>
        <row r="25">
          <cell r="E25" t="str">
            <v>EX579</v>
          </cell>
          <cell r="F25">
            <v>1175.1544582499964</v>
          </cell>
          <cell r="G25" t="str">
            <v>STPB</v>
          </cell>
          <cell r="H25">
            <v>419.05917317079587</v>
          </cell>
          <cell r="I25" t="e">
            <v>#VALUE!</v>
          </cell>
        </row>
        <row r="26">
          <cell r="E26" t="str">
            <v>EX429</v>
          </cell>
          <cell r="F26">
            <v>0</v>
          </cell>
          <cell r="G26" t="e">
            <v>#N/A</v>
          </cell>
          <cell r="H26" t="e">
            <v>#N/A</v>
          </cell>
          <cell r="I26">
            <v>0</v>
          </cell>
        </row>
        <row r="27">
          <cell r="E27" t="str">
            <v>EX430</v>
          </cell>
          <cell r="F27">
            <v>0</v>
          </cell>
          <cell r="G27" t="e">
            <v>#N/A</v>
          </cell>
          <cell r="H27" t="e">
            <v>#N/A</v>
          </cell>
          <cell r="I27">
            <v>0</v>
          </cell>
        </row>
        <row r="28">
          <cell r="E28" t="str">
            <v>EX26</v>
          </cell>
          <cell r="F28">
            <v>860.27095149949071</v>
          </cell>
          <cell r="G28" t="str">
            <v>STP H</v>
          </cell>
          <cell r="H28">
            <v>100.26779138713209</v>
          </cell>
          <cell r="I28" t="e">
            <v>#VALUE!</v>
          </cell>
        </row>
        <row r="29">
          <cell r="E29" t="str">
            <v>KPLMEX002</v>
          </cell>
          <cell r="F29">
            <v>0</v>
          </cell>
          <cell r="G29" t="e">
            <v>#N/A</v>
          </cell>
          <cell r="H29" t="e">
            <v>#N/A</v>
          </cell>
          <cell r="I29">
            <v>0</v>
          </cell>
        </row>
        <row r="30">
          <cell r="E30" t="str">
            <v>WL508</v>
          </cell>
          <cell r="I30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Rain &amp; Slippery Method"/>
      <sheetName val="MTD OB Forecasting"/>
      <sheetName val="Project"/>
      <sheetName val="PLAN"/>
      <sheetName val="BS final"/>
      <sheetName val="Data Base"/>
      <sheetName val="Daily Plan"/>
      <sheetName val="Petrosea"/>
      <sheetName val="chart D31"/>
      <sheetName val="chart-DT"/>
      <sheetName val="chart-WA 500"/>
      <sheetName val="Permanent info"/>
      <sheetName val="GeneralInfo"/>
      <sheetName val="A"/>
    </sheetNames>
    <sheetDataSet>
      <sheetData sheetId="0" refreshError="1">
        <row r="4">
          <cell r="B4" t="str">
            <v>KPTJEX023</v>
          </cell>
          <cell r="C4" t="str">
            <v>D_AWT</v>
          </cell>
          <cell r="D4" t="str">
            <v>D_AHT</v>
          </cell>
          <cell r="E4" t="str">
            <v>N_AWT</v>
          </cell>
          <cell r="F4" t="str">
            <v>N_AHT</v>
          </cell>
          <cell r="G4" t="str">
            <v>D_TT</v>
          </cell>
          <cell r="H4" t="str">
            <v>N_TT</v>
          </cell>
          <cell r="I4" t="str">
            <v>DN_TT</v>
          </cell>
          <cell r="J4" t="str">
            <v>STBT</v>
          </cell>
          <cell r="K4" t="str">
            <v>REMT</v>
          </cell>
          <cell r="L4" t="str">
            <v>BREAK DOWN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118</v>
          </cell>
          <cell r="D5">
            <v>119</v>
          </cell>
          <cell r="E5">
            <v>119</v>
          </cell>
          <cell r="F5">
            <v>119</v>
          </cell>
          <cell r="G5">
            <v>1</v>
          </cell>
          <cell r="H5">
            <v>0</v>
          </cell>
          <cell r="I5">
            <v>1</v>
          </cell>
          <cell r="J5">
            <v>23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119</v>
          </cell>
          <cell r="D7">
            <v>119</v>
          </cell>
          <cell r="E7">
            <v>119</v>
          </cell>
          <cell r="F7">
            <v>119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119</v>
          </cell>
          <cell r="D10">
            <v>119</v>
          </cell>
          <cell r="E10">
            <v>119</v>
          </cell>
          <cell r="F10">
            <v>119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119</v>
          </cell>
          <cell r="D11">
            <v>119</v>
          </cell>
          <cell r="E11">
            <v>119</v>
          </cell>
          <cell r="F11">
            <v>119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119</v>
          </cell>
          <cell r="D12">
            <v>119</v>
          </cell>
          <cell r="E12">
            <v>119</v>
          </cell>
          <cell r="F12">
            <v>119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119</v>
          </cell>
          <cell r="D13">
            <v>119</v>
          </cell>
          <cell r="E13">
            <v>119</v>
          </cell>
          <cell r="F13">
            <v>119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119</v>
          </cell>
          <cell r="D14">
            <v>122.5</v>
          </cell>
          <cell r="E14">
            <v>122.5</v>
          </cell>
          <cell r="F14">
            <v>122.5</v>
          </cell>
          <cell r="G14">
            <v>3.5</v>
          </cell>
          <cell r="H14">
            <v>0</v>
          </cell>
          <cell r="I14">
            <v>3.5</v>
          </cell>
          <cell r="J14">
            <v>20.5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122.5</v>
          </cell>
          <cell r="D15">
            <v>122.5</v>
          </cell>
          <cell r="E15">
            <v>122.5</v>
          </cell>
          <cell r="F15">
            <v>122.5</v>
          </cell>
          <cell r="G15">
            <v>0</v>
          </cell>
          <cell r="H15">
            <v>0</v>
          </cell>
          <cell r="I15">
            <v>0</v>
          </cell>
          <cell r="J15">
            <v>24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135</v>
          </cell>
          <cell r="D18">
            <v>139</v>
          </cell>
          <cell r="E18">
            <v>139</v>
          </cell>
          <cell r="F18">
            <v>141.5</v>
          </cell>
          <cell r="G18">
            <v>4</v>
          </cell>
          <cell r="H18">
            <v>2.5</v>
          </cell>
          <cell r="I18">
            <v>6.5</v>
          </cell>
          <cell r="J18">
            <v>17.5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141.5</v>
          </cell>
          <cell r="D19">
            <v>141.5</v>
          </cell>
          <cell r="E19">
            <v>141.5</v>
          </cell>
          <cell r="F19">
            <v>145</v>
          </cell>
          <cell r="G19">
            <v>0</v>
          </cell>
          <cell r="H19">
            <v>3.5</v>
          </cell>
          <cell r="I19">
            <v>3.5</v>
          </cell>
          <cell r="J19">
            <v>20.5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147.5</v>
          </cell>
          <cell r="D21">
            <v>147.5</v>
          </cell>
          <cell r="E21">
            <v>147.5</v>
          </cell>
          <cell r="F21">
            <v>147.5</v>
          </cell>
          <cell r="G21">
            <v>0</v>
          </cell>
          <cell r="H21">
            <v>0</v>
          </cell>
          <cell r="I21">
            <v>0</v>
          </cell>
          <cell r="J21">
            <v>24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147.5</v>
          </cell>
          <cell r="D22">
            <v>147.5</v>
          </cell>
          <cell r="E22">
            <v>147.5</v>
          </cell>
          <cell r="F22">
            <v>147.5</v>
          </cell>
          <cell r="G22">
            <v>0</v>
          </cell>
          <cell r="H22">
            <v>0</v>
          </cell>
          <cell r="I22">
            <v>0</v>
          </cell>
          <cell r="J22">
            <v>24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</v>
          </cell>
          <cell r="Y22">
            <v>0</v>
          </cell>
        </row>
        <row r="23">
          <cell r="C23">
            <v>147.5</v>
          </cell>
          <cell r="D23">
            <v>154</v>
          </cell>
          <cell r="E23">
            <v>154</v>
          </cell>
          <cell r="F23">
            <v>154</v>
          </cell>
          <cell r="G23">
            <v>6.5</v>
          </cell>
          <cell r="H23">
            <v>0</v>
          </cell>
          <cell r="I23">
            <v>6.5</v>
          </cell>
          <cell r="J23">
            <v>17.5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154</v>
          </cell>
          <cell r="D24">
            <v>154</v>
          </cell>
          <cell r="E24">
            <v>154</v>
          </cell>
          <cell r="F24">
            <v>154</v>
          </cell>
          <cell r="G24">
            <v>0</v>
          </cell>
          <cell r="H24">
            <v>0</v>
          </cell>
          <cell r="I24">
            <v>0</v>
          </cell>
          <cell r="J24">
            <v>24</v>
          </cell>
          <cell r="K24">
            <v>4</v>
          </cell>
          <cell r="L24">
            <v>10</v>
          </cell>
          <cell r="M24">
            <v>0</v>
          </cell>
          <cell r="N24">
            <v>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154</v>
          </cell>
          <cell r="D25">
            <v>154</v>
          </cell>
          <cell r="E25">
            <v>154</v>
          </cell>
          <cell r="F25">
            <v>154</v>
          </cell>
          <cell r="G25">
            <v>0</v>
          </cell>
          <cell r="H25">
            <v>0</v>
          </cell>
          <cell r="I25">
            <v>0</v>
          </cell>
          <cell r="J25">
            <v>24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154</v>
          </cell>
          <cell r="D26">
            <v>154</v>
          </cell>
          <cell r="E26">
            <v>154</v>
          </cell>
          <cell r="F26">
            <v>157</v>
          </cell>
          <cell r="G26">
            <v>0</v>
          </cell>
          <cell r="H26">
            <v>3</v>
          </cell>
          <cell r="I26">
            <v>3</v>
          </cell>
          <cell r="J26">
            <v>21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157</v>
          </cell>
          <cell r="D27">
            <v>160</v>
          </cell>
          <cell r="E27">
            <v>160</v>
          </cell>
          <cell r="F27">
            <v>160</v>
          </cell>
          <cell r="G27">
            <v>3</v>
          </cell>
          <cell r="H27">
            <v>0</v>
          </cell>
          <cell r="I27">
            <v>3</v>
          </cell>
          <cell r="J27">
            <v>21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21</v>
          </cell>
          <cell r="U27">
            <v>0</v>
          </cell>
          <cell r="V27">
            <v>-480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160</v>
          </cell>
          <cell r="D28">
            <v>167</v>
          </cell>
          <cell r="E28">
            <v>167</v>
          </cell>
          <cell r="F28">
            <v>177</v>
          </cell>
          <cell r="G28">
            <v>7</v>
          </cell>
          <cell r="H28">
            <v>10</v>
          </cell>
          <cell r="I28">
            <v>17</v>
          </cell>
          <cell r="J28">
            <v>7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177</v>
          </cell>
          <cell r="D29">
            <v>183</v>
          </cell>
          <cell r="E29">
            <v>183</v>
          </cell>
          <cell r="F29">
            <v>183</v>
          </cell>
          <cell r="G29">
            <v>6</v>
          </cell>
          <cell r="H29">
            <v>0</v>
          </cell>
          <cell r="I29">
            <v>6</v>
          </cell>
          <cell r="J29">
            <v>18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183</v>
          </cell>
          <cell r="D30">
            <v>190</v>
          </cell>
          <cell r="E30">
            <v>190</v>
          </cell>
          <cell r="F30">
            <v>190</v>
          </cell>
          <cell r="G30">
            <v>7</v>
          </cell>
          <cell r="H30">
            <v>0</v>
          </cell>
          <cell r="I30">
            <v>7</v>
          </cell>
          <cell r="J30">
            <v>17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190</v>
          </cell>
          <cell r="D31">
            <v>200</v>
          </cell>
          <cell r="E31">
            <v>200</v>
          </cell>
          <cell r="F31">
            <v>200</v>
          </cell>
          <cell r="G31">
            <v>10</v>
          </cell>
          <cell r="H31">
            <v>0</v>
          </cell>
          <cell r="I31">
            <v>10</v>
          </cell>
          <cell r="J31">
            <v>14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200</v>
          </cell>
          <cell r="D32">
            <v>209</v>
          </cell>
          <cell r="E32">
            <v>209</v>
          </cell>
          <cell r="F32">
            <v>209</v>
          </cell>
          <cell r="G32">
            <v>9</v>
          </cell>
          <cell r="H32">
            <v>0</v>
          </cell>
          <cell r="I32">
            <v>9</v>
          </cell>
          <cell r="J32">
            <v>15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209</v>
          </cell>
          <cell r="D33">
            <v>210.8</v>
          </cell>
          <cell r="E33">
            <v>210.8</v>
          </cell>
          <cell r="F33">
            <v>210.8</v>
          </cell>
          <cell r="G33">
            <v>1.8000000000000114</v>
          </cell>
          <cell r="H33">
            <v>0</v>
          </cell>
          <cell r="I33">
            <v>1.8000000000000114</v>
          </cell>
          <cell r="J33">
            <v>21.949999999999989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0.25000000000000044</v>
          </cell>
          <cell r="O33" t="str">
            <v>Perbaikan Ac</v>
          </cell>
          <cell r="R33">
            <v>0</v>
          </cell>
          <cell r="V33">
            <v>0</v>
          </cell>
          <cell r="X33">
            <v>0.25000000000000044</v>
          </cell>
          <cell r="Y33" t="str">
            <v>Perbaikan Ac</v>
          </cell>
        </row>
        <row r="34">
          <cell r="C34">
            <v>210.8</v>
          </cell>
          <cell r="D34">
            <v>218</v>
          </cell>
          <cell r="E34">
            <v>218</v>
          </cell>
          <cell r="F34">
            <v>218</v>
          </cell>
          <cell r="G34">
            <v>7.1999999999999886</v>
          </cell>
          <cell r="H34">
            <v>0</v>
          </cell>
          <cell r="I34">
            <v>7.1999999999999886</v>
          </cell>
          <cell r="J34">
            <v>16.800000000000011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218</v>
          </cell>
          <cell r="D35">
            <v>223.5</v>
          </cell>
          <cell r="E35">
            <v>223.5</v>
          </cell>
          <cell r="F35">
            <v>223.5</v>
          </cell>
          <cell r="G35">
            <v>5.5</v>
          </cell>
          <cell r="H35">
            <v>0</v>
          </cell>
          <cell r="I35">
            <v>5.5</v>
          </cell>
          <cell r="J35">
            <v>18.5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118</v>
          </cell>
          <cell r="D36">
            <v>223.5</v>
          </cell>
          <cell r="E36">
            <v>119</v>
          </cell>
          <cell r="F36">
            <v>223.5</v>
          </cell>
          <cell r="G36">
            <v>81.5</v>
          </cell>
          <cell r="H36">
            <v>24</v>
          </cell>
          <cell r="I36">
            <v>105.5</v>
          </cell>
          <cell r="J36">
            <v>638.25</v>
          </cell>
          <cell r="N36">
            <v>0.25000000000000044</v>
          </cell>
          <cell r="R36" t="str">
            <v/>
          </cell>
          <cell r="V36">
            <v>-480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L45">
            <v>0.8125</v>
          </cell>
          <cell r="M45">
            <v>0.81597222222222221</v>
          </cell>
          <cell r="N45">
            <v>0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0</v>
          </cell>
          <cell r="Y45">
            <v>0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L57">
            <v>0.44444444444444442</v>
          </cell>
          <cell r="M57">
            <v>0.5</v>
          </cell>
          <cell r="N57">
            <v>0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0</v>
          </cell>
          <cell r="Y57">
            <v>0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L59">
            <v>0.58680555555555558</v>
          </cell>
          <cell r="M59">
            <v>0.75</v>
          </cell>
          <cell r="N59">
            <v>0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0</v>
          </cell>
          <cell r="S59" t="str">
            <v>Cylinder arm bocor</v>
          </cell>
          <cell r="V59">
            <v>0</v>
          </cell>
          <cell r="X59">
            <v>0</v>
          </cell>
          <cell r="Y59">
            <v>0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0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0</v>
          </cell>
          <cell r="S60" t="str">
            <v>Cylinder arm bocor</v>
          </cell>
          <cell r="V60">
            <v>0</v>
          </cell>
          <cell r="X60">
            <v>0</v>
          </cell>
          <cell r="Y60">
            <v>0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0.29166666666666669</v>
          </cell>
          <cell r="M61">
            <v>0.68402777777777779</v>
          </cell>
          <cell r="N61">
            <v>0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0</v>
          </cell>
          <cell r="Y61">
            <v>0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L63">
            <v>0.33333333333333331</v>
          </cell>
          <cell r="M63">
            <v>0.34722222222222227</v>
          </cell>
          <cell r="N63">
            <v>0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0</v>
          </cell>
          <cell r="S63" t="str">
            <v>Lock pin bucket patah</v>
          </cell>
          <cell r="V63">
            <v>0</v>
          </cell>
          <cell r="X63">
            <v>0</v>
          </cell>
          <cell r="Y63">
            <v>0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N69" t="str">
            <v/>
          </cell>
          <cell r="R69" t="str">
            <v/>
          </cell>
          <cell r="V69" t="str">
            <v/>
          </cell>
        </row>
        <row r="70">
          <cell r="V70" t="str">
            <v/>
          </cell>
        </row>
        <row r="71">
          <cell r="C71">
            <v>12211</v>
          </cell>
          <cell r="D71">
            <v>12211</v>
          </cell>
          <cell r="E71">
            <v>12211</v>
          </cell>
          <cell r="F71">
            <v>12211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0.29166666666666669</v>
          </cell>
          <cell r="M71">
            <v>0.75</v>
          </cell>
          <cell r="N71">
            <v>11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12211</v>
          </cell>
          <cell r="D72">
            <v>12211</v>
          </cell>
          <cell r="E72">
            <v>12211</v>
          </cell>
          <cell r="F72">
            <v>12211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0.29166666666666669</v>
          </cell>
          <cell r="M72">
            <v>0.75</v>
          </cell>
          <cell r="N72">
            <v>11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13</v>
          </cell>
          <cell r="S72" t="str">
            <v>Kabin bocor</v>
          </cell>
          <cell r="V72">
            <v>0</v>
          </cell>
          <cell r="X72">
            <v>24</v>
          </cell>
          <cell r="Y72" t="str">
            <v>Kabin bocor,Kabin bocor</v>
          </cell>
        </row>
        <row r="73">
          <cell r="C73">
            <v>12211</v>
          </cell>
          <cell r="D73">
            <v>12211</v>
          </cell>
          <cell r="E73">
            <v>12211</v>
          </cell>
          <cell r="F73">
            <v>12211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L73">
            <v>0.29166666666666669</v>
          </cell>
          <cell r="M73">
            <v>0.75</v>
          </cell>
          <cell r="N73">
            <v>11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13</v>
          </cell>
          <cell r="S73" t="str">
            <v>Kabin bocor</v>
          </cell>
          <cell r="V73">
            <v>0</v>
          </cell>
          <cell r="X73">
            <v>24</v>
          </cell>
          <cell r="Y73" t="str">
            <v>Kabin bocor,Kabin bocor</v>
          </cell>
        </row>
        <row r="74">
          <cell r="C74">
            <v>12211</v>
          </cell>
          <cell r="D74">
            <v>12211</v>
          </cell>
          <cell r="E74">
            <v>12211</v>
          </cell>
          <cell r="F74">
            <v>12211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L74">
            <v>0.29166666666666669</v>
          </cell>
          <cell r="M74">
            <v>0.75</v>
          </cell>
          <cell r="N74">
            <v>11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13</v>
          </cell>
          <cell r="S74" t="str">
            <v>Kabin bocor</v>
          </cell>
          <cell r="V74">
            <v>0</v>
          </cell>
          <cell r="X74">
            <v>24</v>
          </cell>
          <cell r="Y74" t="str">
            <v>Kabin bocor,Kabin bocor</v>
          </cell>
        </row>
        <row r="75">
          <cell r="C75">
            <v>12211</v>
          </cell>
          <cell r="D75">
            <v>12211</v>
          </cell>
          <cell r="E75">
            <v>12211</v>
          </cell>
          <cell r="F75">
            <v>12211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L75">
            <v>0.29166666666666669</v>
          </cell>
          <cell r="M75">
            <v>0.75</v>
          </cell>
          <cell r="N75">
            <v>11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13</v>
          </cell>
          <cell r="S75" t="str">
            <v>Kabin bocor</v>
          </cell>
          <cell r="V75">
            <v>0</v>
          </cell>
          <cell r="X75">
            <v>24</v>
          </cell>
          <cell r="Y75" t="str">
            <v>Kabin bocor,Kabin bocor</v>
          </cell>
        </row>
        <row r="76">
          <cell r="C76">
            <v>12211</v>
          </cell>
          <cell r="D76">
            <v>12211</v>
          </cell>
          <cell r="E76">
            <v>12211</v>
          </cell>
          <cell r="F76">
            <v>12211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0.29166666666666669</v>
          </cell>
          <cell r="M76">
            <v>0.75</v>
          </cell>
          <cell r="N76">
            <v>11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13</v>
          </cell>
          <cell r="S76" t="str">
            <v>Kabin bocor</v>
          </cell>
          <cell r="V76">
            <v>0</v>
          </cell>
          <cell r="X76">
            <v>24</v>
          </cell>
          <cell r="Y76" t="str">
            <v>Kabin bocor,Kabin bocor</v>
          </cell>
        </row>
        <row r="77">
          <cell r="C77">
            <v>12211</v>
          </cell>
          <cell r="D77">
            <v>12211</v>
          </cell>
          <cell r="E77">
            <v>12211</v>
          </cell>
          <cell r="F77">
            <v>12211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0.29166666666666669</v>
          </cell>
          <cell r="M77">
            <v>0.75</v>
          </cell>
          <cell r="N77">
            <v>11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13</v>
          </cell>
          <cell r="S77" t="str">
            <v>Kabin bocor</v>
          </cell>
          <cell r="V77">
            <v>0</v>
          </cell>
          <cell r="X77">
            <v>24</v>
          </cell>
          <cell r="Y77" t="str">
            <v>Kabin bocor,Kabin bocor</v>
          </cell>
        </row>
        <row r="78">
          <cell r="C78">
            <v>12211</v>
          </cell>
          <cell r="D78">
            <v>12211</v>
          </cell>
          <cell r="E78">
            <v>12211</v>
          </cell>
          <cell r="F78">
            <v>12211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0.29166666666666669</v>
          </cell>
          <cell r="M78">
            <v>0.75</v>
          </cell>
          <cell r="N78">
            <v>11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13</v>
          </cell>
          <cell r="S78" t="str">
            <v>Kabin bocor</v>
          </cell>
          <cell r="V78">
            <v>0</v>
          </cell>
          <cell r="X78">
            <v>24</v>
          </cell>
          <cell r="Y78" t="str">
            <v>Kabin bocor,Kabin bocor</v>
          </cell>
        </row>
        <row r="79">
          <cell r="C79">
            <v>12211</v>
          </cell>
          <cell r="D79">
            <v>12211</v>
          </cell>
          <cell r="E79">
            <v>12211</v>
          </cell>
          <cell r="F79">
            <v>12211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0.29166666666666669</v>
          </cell>
          <cell r="M79">
            <v>0.75</v>
          </cell>
          <cell r="N79">
            <v>11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13</v>
          </cell>
          <cell r="S79" t="str">
            <v>Kabin bocor</v>
          </cell>
          <cell r="V79">
            <v>0</v>
          </cell>
          <cell r="X79">
            <v>24</v>
          </cell>
          <cell r="Y79" t="str">
            <v>Kabin bocor,Kabin bocor</v>
          </cell>
        </row>
        <row r="80">
          <cell r="C80">
            <v>12211</v>
          </cell>
          <cell r="D80">
            <v>12211</v>
          </cell>
          <cell r="E80">
            <v>12211</v>
          </cell>
          <cell r="F80">
            <v>12211</v>
          </cell>
          <cell r="G80">
            <v>0</v>
          </cell>
          <cell r="H80">
            <v>0</v>
          </cell>
          <cell r="I80">
            <v>0</v>
          </cell>
          <cell r="J80">
            <v>22.25</v>
          </cell>
          <cell r="L80">
            <v>0.29166666666666669</v>
          </cell>
          <cell r="M80">
            <v>0.36458333333333331</v>
          </cell>
          <cell r="N80">
            <v>1.7499999999999991</v>
          </cell>
          <cell r="O80" t="str">
            <v>Kabin bocor</v>
          </cell>
          <cell r="R80">
            <v>0</v>
          </cell>
          <cell r="V80">
            <v>0</v>
          </cell>
          <cell r="X80">
            <v>1.7499999999999991</v>
          </cell>
          <cell r="Y80" t="str">
            <v>Kabin bocor</v>
          </cell>
        </row>
        <row r="81">
          <cell r="C81">
            <v>12211</v>
          </cell>
          <cell r="D81">
            <v>12211</v>
          </cell>
          <cell r="E81">
            <v>12211</v>
          </cell>
          <cell r="F81">
            <v>12211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>Commisioning</v>
          </cell>
        </row>
        <row r="82">
          <cell r="C82">
            <v>12211</v>
          </cell>
          <cell r="D82">
            <v>12211</v>
          </cell>
          <cell r="E82">
            <v>12211</v>
          </cell>
          <cell r="F82">
            <v>12211</v>
          </cell>
          <cell r="G82">
            <v>0</v>
          </cell>
          <cell r="H82">
            <v>0</v>
          </cell>
          <cell r="I82">
            <v>0</v>
          </cell>
          <cell r="J82">
            <v>24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>Commisioning</v>
          </cell>
        </row>
        <row r="83">
          <cell r="C83">
            <v>12211</v>
          </cell>
          <cell r="D83">
            <v>12211</v>
          </cell>
          <cell r="E83">
            <v>12211</v>
          </cell>
          <cell r="F83">
            <v>12211</v>
          </cell>
          <cell r="G83">
            <v>0</v>
          </cell>
          <cell r="H83">
            <v>0</v>
          </cell>
          <cell r="I83">
            <v>0</v>
          </cell>
          <cell r="J83">
            <v>24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>Commisioning</v>
          </cell>
        </row>
        <row r="84">
          <cell r="C84">
            <v>12211</v>
          </cell>
          <cell r="D84">
            <v>12211</v>
          </cell>
          <cell r="E84">
            <v>12211</v>
          </cell>
          <cell r="F84">
            <v>12211</v>
          </cell>
          <cell r="G84">
            <v>0</v>
          </cell>
          <cell r="H84">
            <v>0</v>
          </cell>
          <cell r="I84">
            <v>0</v>
          </cell>
          <cell r="J84">
            <v>24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>Commisioning</v>
          </cell>
        </row>
        <row r="85">
          <cell r="C85">
            <v>12211</v>
          </cell>
          <cell r="D85">
            <v>12211</v>
          </cell>
          <cell r="E85">
            <v>12211</v>
          </cell>
          <cell r="F85">
            <v>12211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Commisioning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12211</v>
          </cell>
          <cell r="D86">
            <v>12211</v>
          </cell>
          <cell r="E86">
            <v>12211</v>
          </cell>
          <cell r="F86">
            <v>12211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>Commisioning</v>
          </cell>
        </row>
        <row r="87">
          <cell r="C87">
            <v>12211</v>
          </cell>
          <cell r="D87">
            <v>12211</v>
          </cell>
          <cell r="E87">
            <v>12211</v>
          </cell>
          <cell r="F87">
            <v>12211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>Commisioning</v>
          </cell>
        </row>
        <row r="88">
          <cell r="C88">
            <v>12211</v>
          </cell>
          <cell r="D88">
            <v>12211</v>
          </cell>
          <cell r="E88">
            <v>12211</v>
          </cell>
          <cell r="F88">
            <v>12211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>Commisioning</v>
          </cell>
        </row>
        <row r="89">
          <cell r="C89">
            <v>12211</v>
          </cell>
          <cell r="D89">
            <v>12221</v>
          </cell>
          <cell r="E89">
            <v>12221</v>
          </cell>
          <cell r="F89">
            <v>12229</v>
          </cell>
          <cell r="G89">
            <v>10</v>
          </cell>
          <cell r="H89">
            <v>8</v>
          </cell>
          <cell r="I89">
            <v>18</v>
          </cell>
          <cell r="J89">
            <v>6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12229</v>
          </cell>
          <cell r="D90">
            <v>12231</v>
          </cell>
          <cell r="E90">
            <v>12231</v>
          </cell>
          <cell r="F90">
            <v>12231</v>
          </cell>
          <cell r="G90">
            <v>2</v>
          </cell>
          <cell r="H90">
            <v>0</v>
          </cell>
          <cell r="I90">
            <v>2</v>
          </cell>
          <cell r="J90">
            <v>22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12231</v>
          </cell>
          <cell r="D91">
            <v>12231</v>
          </cell>
          <cell r="E91">
            <v>12231</v>
          </cell>
          <cell r="F91">
            <v>12231</v>
          </cell>
          <cell r="G91">
            <v>0</v>
          </cell>
          <cell r="H91">
            <v>0</v>
          </cell>
          <cell r="I91">
            <v>0</v>
          </cell>
          <cell r="J91">
            <v>24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12231</v>
          </cell>
          <cell r="D92">
            <v>12231</v>
          </cell>
          <cell r="E92">
            <v>12231</v>
          </cell>
          <cell r="F92">
            <v>12231</v>
          </cell>
          <cell r="G92">
            <v>0</v>
          </cell>
          <cell r="H92">
            <v>0</v>
          </cell>
          <cell r="I92">
            <v>0</v>
          </cell>
          <cell r="J92">
            <v>24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12231</v>
          </cell>
          <cell r="D93">
            <v>12231</v>
          </cell>
          <cell r="E93">
            <v>12231</v>
          </cell>
          <cell r="F93">
            <v>12231</v>
          </cell>
          <cell r="G93">
            <v>0</v>
          </cell>
          <cell r="H93">
            <v>0</v>
          </cell>
          <cell r="I93">
            <v>0</v>
          </cell>
          <cell r="J93">
            <v>24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12231</v>
          </cell>
          <cell r="D94">
            <v>12231</v>
          </cell>
          <cell r="E94">
            <v>12231</v>
          </cell>
          <cell r="F94">
            <v>12231</v>
          </cell>
          <cell r="G94">
            <v>0</v>
          </cell>
          <cell r="H94">
            <v>0</v>
          </cell>
          <cell r="I94">
            <v>0</v>
          </cell>
          <cell r="J94">
            <v>24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12231</v>
          </cell>
          <cell r="D95">
            <v>12238</v>
          </cell>
          <cell r="E95">
            <v>12238</v>
          </cell>
          <cell r="F95">
            <v>12248</v>
          </cell>
          <cell r="G95">
            <v>7</v>
          </cell>
          <cell r="H95">
            <v>10</v>
          </cell>
          <cell r="I95">
            <v>17</v>
          </cell>
          <cell r="J95">
            <v>7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12248</v>
          </cell>
          <cell r="D96">
            <v>12257</v>
          </cell>
          <cell r="E96">
            <v>12257</v>
          </cell>
          <cell r="F96">
            <v>12257</v>
          </cell>
          <cell r="G96">
            <v>9</v>
          </cell>
          <cell r="H96">
            <v>0</v>
          </cell>
          <cell r="I96">
            <v>9</v>
          </cell>
          <cell r="J96">
            <v>15</v>
          </cell>
          <cell r="L96">
            <v>0.3125</v>
          </cell>
          <cell r="M96">
            <v>0.33333333333333331</v>
          </cell>
          <cell r="N96">
            <v>0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</v>
          </cell>
          <cell r="Y96">
            <v>0</v>
          </cell>
        </row>
        <row r="97">
          <cell r="C97">
            <v>12257</v>
          </cell>
          <cell r="D97">
            <v>12266</v>
          </cell>
          <cell r="E97">
            <v>12266</v>
          </cell>
          <cell r="F97">
            <v>12266</v>
          </cell>
          <cell r="G97">
            <v>9</v>
          </cell>
          <cell r="H97">
            <v>0</v>
          </cell>
          <cell r="I97">
            <v>9</v>
          </cell>
          <cell r="J97">
            <v>15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12266</v>
          </cell>
          <cell r="D98">
            <v>12266</v>
          </cell>
          <cell r="E98">
            <v>12266</v>
          </cell>
          <cell r="F98">
            <v>12276</v>
          </cell>
          <cell r="G98">
            <v>0</v>
          </cell>
          <cell r="H98">
            <v>10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12276</v>
          </cell>
          <cell r="D99">
            <v>12276</v>
          </cell>
          <cell r="E99">
            <v>12276</v>
          </cell>
          <cell r="F99">
            <v>12276</v>
          </cell>
          <cell r="G99">
            <v>0</v>
          </cell>
          <cell r="H99">
            <v>0</v>
          </cell>
          <cell r="I99">
            <v>0</v>
          </cell>
          <cell r="J99">
            <v>23.566666666666666</v>
          </cell>
          <cell r="K99" t="str">
            <v>Standby</v>
          </cell>
          <cell r="L99">
            <v>0.84375</v>
          </cell>
          <cell r="M99">
            <v>0.8618055555555556</v>
          </cell>
          <cell r="N99">
            <v>0.43333333333333446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0.43333333333333446</v>
          </cell>
          <cell r="Y99" t="str">
            <v>Perbaikan lampu kerja</v>
          </cell>
        </row>
        <row r="100">
          <cell r="C100">
            <v>12276</v>
          </cell>
          <cell r="D100">
            <v>12276</v>
          </cell>
          <cell r="E100">
            <v>12276</v>
          </cell>
          <cell r="F100">
            <v>12276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12276</v>
          </cell>
          <cell r="D101">
            <v>12276</v>
          </cell>
          <cell r="E101">
            <v>12276</v>
          </cell>
          <cell r="F101">
            <v>12276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12211</v>
          </cell>
          <cell r="D102">
            <v>12276</v>
          </cell>
          <cell r="E102">
            <v>12211</v>
          </cell>
          <cell r="F102">
            <v>12276</v>
          </cell>
          <cell r="G102">
            <v>37</v>
          </cell>
          <cell r="H102">
            <v>28</v>
          </cell>
          <cell r="I102">
            <v>65</v>
          </cell>
          <cell r="J102">
            <v>268.81666666666666</v>
          </cell>
          <cell r="N102">
            <v>101.18333333333334</v>
          </cell>
          <cell r="R102">
            <v>117</v>
          </cell>
          <cell r="V102" t="str">
            <v/>
          </cell>
          <cell r="X102">
            <v>218.18333333333334</v>
          </cell>
        </row>
        <row r="103">
          <cell r="X103">
            <v>218.18333333333334</v>
          </cell>
        </row>
        <row r="104">
          <cell r="C104">
            <v>8483</v>
          </cell>
          <cell r="D104">
            <v>8483</v>
          </cell>
          <cell r="E104">
            <v>8483</v>
          </cell>
          <cell r="F104">
            <v>8483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8483</v>
          </cell>
          <cell r="D105">
            <v>8483</v>
          </cell>
          <cell r="E105">
            <v>8483</v>
          </cell>
          <cell r="F105">
            <v>8483</v>
          </cell>
          <cell r="G105">
            <v>0</v>
          </cell>
          <cell r="H105">
            <v>0</v>
          </cell>
          <cell r="I105">
            <v>0</v>
          </cell>
          <cell r="J105">
            <v>24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8483</v>
          </cell>
          <cell r="D106">
            <v>8489</v>
          </cell>
          <cell r="E106">
            <v>8489</v>
          </cell>
          <cell r="F106">
            <v>8496.5</v>
          </cell>
          <cell r="G106">
            <v>6</v>
          </cell>
          <cell r="H106">
            <v>7.5</v>
          </cell>
          <cell r="I106">
            <v>13.5</v>
          </cell>
          <cell r="J106">
            <v>10.5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8496.5</v>
          </cell>
          <cell r="D107">
            <v>8505</v>
          </cell>
          <cell r="E107">
            <v>8505</v>
          </cell>
          <cell r="F107">
            <v>8514</v>
          </cell>
          <cell r="G107">
            <v>8.5</v>
          </cell>
          <cell r="H107">
            <v>9</v>
          </cell>
          <cell r="I107">
            <v>17.5</v>
          </cell>
          <cell r="J107">
            <v>6.5</v>
          </cell>
          <cell r="L107">
            <v>0.36458333333333331</v>
          </cell>
          <cell r="M107">
            <v>0.41666666666666669</v>
          </cell>
          <cell r="N107">
            <v>0</v>
          </cell>
          <cell r="O107" t="str">
            <v>Ac hot</v>
          </cell>
          <cell r="R107">
            <v>0</v>
          </cell>
          <cell r="V107">
            <v>0</v>
          </cell>
          <cell r="X107">
            <v>0</v>
          </cell>
          <cell r="Y107">
            <v>0</v>
          </cell>
        </row>
        <row r="108">
          <cell r="C108">
            <v>8514</v>
          </cell>
          <cell r="D108">
            <v>8516.4</v>
          </cell>
          <cell r="E108">
            <v>8516.4</v>
          </cell>
          <cell r="F108">
            <v>8517</v>
          </cell>
          <cell r="G108">
            <v>2.3999999999996362</v>
          </cell>
          <cell r="H108">
            <v>0.6000000000003638</v>
          </cell>
          <cell r="I108">
            <v>3</v>
          </cell>
          <cell r="J108">
            <v>21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8517</v>
          </cell>
          <cell r="D109">
            <v>8517</v>
          </cell>
          <cell r="E109">
            <v>8517</v>
          </cell>
          <cell r="F109">
            <v>8517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8517</v>
          </cell>
          <cell r="D110">
            <v>8517</v>
          </cell>
          <cell r="E110">
            <v>8517</v>
          </cell>
          <cell r="F110">
            <v>8527.5</v>
          </cell>
          <cell r="G110">
            <v>0</v>
          </cell>
          <cell r="H110">
            <v>10.5</v>
          </cell>
          <cell r="I110">
            <v>10.5</v>
          </cell>
          <cell r="J110">
            <v>12.25</v>
          </cell>
          <cell r="L110">
            <v>0.85416666666666663</v>
          </cell>
          <cell r="M110">
            <v>0.90625</v>
          </cell>
          <cell r="N110">
            <v>1.2500000000000009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1.2500000000000009</v>
          </cell>
          <cell r="Y110" t="str">
            <v>Lampu kerja lh depan off</v>
          </cell>
        </row>
        <row r="111">
          <cell r="C111">
            <v>8527.5</v>
          </cell>
          <cell r="D111">
            <v>8536</v>
          </cell>
          <cell r="E111">
            <v>8536</v>
          </cell>
          <cell r="F111">
            <v>8541</v>
          </cell>
          <cell r="G111">
            <v>8.5</v>
          </cell>
          <cell r="H111">
            <v>5</v>
          </cell>
          <cell r="I111">
            <v>13.5</v>
          </cell>
          <cell r="J111">
            <v>10.333333333333334</v>
          </cell>
          <cell r="L111">
            <v>0.84722222222222221</v>
          </cell>
          <cell r="M111">
            <v>0.85416666666666663</v>
          </cell>
          <cell r="N111">
            <v>0.16666666666666607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0.16666666666666607</v>
          </cell>
          <cell r="Y111" t="str">
            <v>Tambah oil hydrolick</v>
          </cell>
        </row>
        <row r="112">
          <cell r="C112">
            <v>8541</v>
          </cell>
          <cell r="D112">
            <v>8550</v>
          </cell>
          <cell r="E112">
            <v>8550</v>
          </cell>
          <cell r="F112">
            <v>8560</v>
          </cell>
          <cell r="G112">
            <v>9</v>
          </cell>
          <cell r="H112">
            <v>10</v>
          </cell>
          <cell r="I112">
            <v>19</v>
          </cell>
          <cell r="J112">
            <v>4.9166666666666714</v>
          </cell>
          <cell r="L112">
            <v>0.86458333333333337</v>
          </cell>
          <cell r="M112">
            <v>0.86805555555555547</v>
          </cell>
          <cell r="N112">
            <v>8.3333333333330373E-2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8.3333333333330373E-2</v>
          </cell>
          <cell r="Y112" t="str">
            <v>Lampu kerja off</v>
          </cell>
        </row>
        <row r="113">
          <cell r="C113">
            <v>8560</v>
          </cell>
          <cell r="D113">
            <v>8569</v>
          </cell>
          <cell r="E113">
            <v>8569</v>
          </cell>
          <cell r="F113">
            <v>8577</v>
          </cell>
          <cell r="G113">
            <v>9</v>
          </cell>
          <cell r="H113">
            <v>8</v>
          </cell>
          <cell r="I113">
            <v>17</v>
          </cell>
          <cell r="J113">
            <v>6.9166666666666679</v>
          </cell>
          <cell r="L113">
            <v>0.3888888888888889</v>
          </cell>
          <cell r="M113">
            <v>0.3923611111111111</v>
          </cell>
          <cell r="N113">
            <v>8.3333333333333037E-2</v>
          </cell>
          <cell r="O113" t="str">
            <v>Ac hot</v>
          </cell>
          <cell r="R113">
            <v>0</v>
          </cell>
          <cell r="V113">
            <v>0</v>
          </cell>
          <cell r="X113">
            <v>8.3333333333333037E-2</v>
          </cell>
          <cell r="Y113" t="str">
            <v>Ac hot</v>
          </cell>
        </row>
        <row r="114">
          <cell r="C114">
            <v>8577</v>
          </cell>
          <cell r="D114">
            <v>8585.5</v>
          </cell>
          <cell r="E114">
            <v>8585.5</v>
          </cell>
          <cell r="F114">
            <v>8595</v>
          </cell>
          <cell r="G114">
            <v>8.5</v>
          </cell>
          <cell r="H114">
            <v>9.5</v>
          </cell>
          <cell r="I114">
            <v>18</v>
          </cell>
          <cell r="J114">
            <v>5.75</v>
          </cell>
          <cell r="L114">
            <v>0.86805555555555547</v>
          </cell>
          <cell r="M114">
            <v>0.87847222222222221</v>
          </cell>
          <cell r="N114">
            <v>0.25000000000000178</v>
          </cell>
          <cell r="O114" t="str">
            <v>Tambah oil hydrolick</v>
          </cell>
          <cell r="P114">
            <v>0.45833333333333331</v>
          </cell>
          <cell r="Q114">
            <v>0.46875</v>
          </cell>
          <cell r="R114">
            <v>0</v>
          </cell>
          <cell r="S114" t="str">
            <v>Ac hot</v>
          </cell>
          <cell r="V114">
            <v>0</v>
          </cell>
          <cell r="X114">
            <v>0.25000000000000178</v>
          </cell>
          <cell r="Y114" t="str">
            <v>Tambah oil hydrolick</v>
          </cell>
        </row>
        <row r="115">
          <cell r="C115">
            <v>8595</v>
          </cell>
          <cell r="D115">
            <v>8604</v>
          </cell>
          <cell r="E115">
            <v>8604</v>
          </cell>
          <cell r="F115">
            <v>8613.5</v>
          </cell>
          <cell r="G115">
            <v>9</v>
          </cell>
          <cell r="H115">
            <v>9.5</v>
          </cell>
          <cell r="I115">
            <v>18.5</v>
          </cell>
          <cell r="J115">
            <v>5.25</v>
          </cell>
          <cell r="L115">
            <v>0.30208333333333331</v>
          </cell>
          <cell r="M115">
            <v>0.3125</v>
          </cell>
          <cell r="N115">
            <v>0.25000000000000044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0.25000000000000044</v>
          </cell>
          <cell r="Y115" t="str">
            <v>Air radiator low</v>
          </cell>
        </row>
        <row r="116">
          <cell r="C116">
            <v>8613.5</v>
          </cell>
          <cell r="D116">
            <v>8622</v>
          </cell>
          <cell r="E116">
            <v>8622</v>
          </cell>
          <cell r="F116">
            <v>8622</v>
          </cell>
          <cell r="G116">
            <v>8.5</v>
          </cell>
          <cell r="H116">
            <v>0</v>
          </cell>
          <cell r="I116">
            <v>8.5</v>
          </cell>
          <cell r="J116">
            <v>12.833333333333332</v>
          </cell>
          <cell r="L116">
            <v>0.77430555555555547</v>
          </cell>
          <cell r="M116">
            <v>0.88541666666666663</v>
          </cell>
          <cell r="N116">
            <v>2.6666666666666679</v>
          </cell>
          <cell r="O116" t="str">
            <v>Cant start</v>
          </cell>
          <cell r="R116">
            <v>0</v>
          </cell>
          <cell r="V116">
            <v>0</v>
          </cell>
          <cell r="X116">
            <v>2.6666666666666679</v>
          </cell>
          <cell r="Y116" t="str">
            <v>Cant start</v>
          </cell>
        </row>
        <row r="117">
          <cell r="C117">
            <v>8622</v>
          </cell>
          <cell r="D117">
            <v>8631.5</v>
          </cell>
          <cell r="E117">
            <v>8631.5</v>
          </cell>
          <cell r="F117">
            <v>8637</v>
          </cell>
          <cell r="G117">
            <v>9.5</v>
          </cell>
          <cell r="H117">
            <v>5.5</v>
          </cell>
          <cell r="I117">
            <v>15</v>
          </cell>
          <cell r="J117">
            <v>9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8637</v>
          </cell>
          <cell r="D118">
            <v>8637</v>
          </cell>
          <cell r="E118">
            <v>8637</v>
          </cell>
          <cell r="F118">
            <v>8637</v>
          </cell>
          <cell r="G118">
            <v>0</v>
          </cell>
          <cell r="H118">
            <v>0</v>
          </cell>
          <cell r="I118">
            <v>0</v>
          </cell>
          <cell r="J118">
            <v>24</v>
          </cell>
          <cell r="L118">
            <v>0.375</v>
          </cell>
          <cell r="M118">
            <v>0.43402777777777773</v>
          </cell>
          <cell r="N118">
            <v>0</v>
          </cell>
          <cell r="O118" t="str">
            <v>Commisioning</v>
          </cell>
          <cell r="R118">
            <v>0</v>
          </cell>
          <cell r="V118">
            <v>0</v>
          </cell>
          <cell r="X118">
            <v>0</v>
          </cell>
          <cell r="Y118" t="str">
            <v>Commisioning</v>
          </cell>
        </row>
        <row r="119">
          <cell r="C119">
            <v>8637</v>
          </cell>
          <cell r="D119">
            <v>8637</v>
          </cell>
          <cell r="E119">
            <v>8637</v>
          </cell>
          <cell r="F119">
            <v>8637</v>
          </cell>
          <cell r="G119">
            <v>0</v>
          </cell>
          <cell r="H119">
            <v>0</v>
          </cell>
          <cell r="I119">
            <v>0</v>
          </cell>
          <cell r="J119">
            <v>24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>Commisioning</v>
          </cell>
        </row>
        <row r="120">
          <cell r="C120">
            <v>8637</v>
          </cell>
          <cell r="D120">
            <v>8637</v>
          </cell>
          <cell r="E120">
            <v>8637</v>
          </cell>
          <cell r="F120">
            <v>8637</v>
          </cell>
          <cell r="G120">
            <v>0</v>
          </cell>
          <cell r="H120">
            <v>0</v>
          </cell>
          <cell r="I120">
            <v>0</v>
          </cell>
          <cell r="J120">
            <v>24</v>
          </cell>
          <cell r="L120">
            <v>0.14583333333333334</v>
          </cell>
          <cell r="M120">
            <v>0.29166666666666669</v>
          </cell>
          <cell r="N120">
            <v>0</v>
          </cell>
          <cell r="O120" t="str">
            <v>Commisioning</v>
          </cell>
          <cell r="R120">
            <v>0</v>
          </cell>
          <cell r="V120">
            <v>0</v>
          </cell>
          <cell r="X120">
            <v>0</v>
          </cell>
          <cell r="Y120" t="str">
            <v>Commisioning</v>
          </cell>
        </row>
        <row r="121">
          <cell r="C121">
            <v>8637</v>
          </cell>
          <cell r="D121">
            <v>8637</v>
          </cell>
          <cell r="E121">
            <v>8637</v>
          </cell>
          <cell r="F121">
            <v>8637</v>
          </cell>
          <cell r="G121">
            <v>0</v>
          </cell>
          <cell r="H121">
            <v>0</v>
          </cell>
          <cell r="I121">
            <v>0</v>
          </cell>
          <cell r="J121">
            <v>24</v>
          </cell>
          <cell r="L121">
            <v>0.29166666666666669</v>
          </cell>
          <cell r="M121">
            <v>0.33333333333333331</v>
          </cell>
          <cell r="N121">
            <v>0</v>
          </cell>
          <cell r="O121" t="str">
            <v>Commisioning</v>
          </cell>
          <cell r="R121">
            <v>0</v>
          </cell>
          <cell r="V121">
            <v>0</v>
          </cell>
          <cell r="X121">
            <v>0</v>
          </cell>
          <cell r="Y121" t="str">
            <v>Commisioning</v>
          </cell>
        </row>
        <row r="122">
          <cell r="C122">
            <v>8637</v>
          </cell>
          <cell r="D122">
            <v>8637</v>
          </cell>
          <cell r="E122">
            <v>8637</v>
          </cell>
          <cell r="F122">
            <v>8637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0.39166666666666666</v>
          </cell>
          <cell r="M122">
            <v>0.44097222222222227</v>
          </cell>
          <cell r="N122">
            <v>0</v>
          </cell>
          <cell r="O122" t="str">
            <v>Commisioning</v>
          </cell>
          <cell r="P122">
            <v>0.31944444444444448</v>
          </cell>
          <cell r="Q122">
            <v>0.3263888888888889</v>
          </cell>
          <cell r="R122">
            <v>0</v>
          </cell>
          <cell r="S122" t="str">
            <v>Ac off</v>
          </cell>
          <cell r="V122">
            <v>0</v>
          </cell>
          <cell r="X122">
            <v>0</v>
          </cell>
          <cell r="Y122" t="str">
            <v>Commisioning</v>
          </cell>
        </row>
        <row r="123">
          <cell r="C123">
            <v>8637</v>
          </cell>
          <cell r="D123">
            <v>8637</v>
          </cell>
          <cell r="E123">
            <v>8637</v>
          </cell>
          <cell r="F123">
            <v>8637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>Commisioning</v>
          </cell>
        </row>
        <row r="124">
          <cell r="C124">
            <v>8637</v>
          </cell>
          <cell r="D124">
            <v>8637</v>
          </cell>
          <cell r="E124">
            <v>8637</v>
          </cell>
          <cell r="F124">
            <v>8649</v>
          </cell>
          <cell r="G124">
            <v>0</v>
          </cell>
          <cell r="H124">
            <v>12</v>
          </cell>
          <cell r="I124">
            <v>12</v>
          </cell>
          <cell r="J124">
            <v>12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8649</v>
          </cell>
          <cell r="D125">
            <v>8658</v>
          </cell>
          <cell r="E125">
            <v>8658</v>
          </cell>
          <cell r="F125">
            <v>8668.5</v>
          </cell>
          <cell r="G125">
            <v>9</v>
          </cell>
          <cell r="H125">
            <v>10.5</v>
          </cell>
          <cell r="I125">
            <v>19.5</v>
          </cell>
          <cell r="J125">
            <v>4.3333333333333357</v>
          </cell>
          <cell r="L125">
            <v>0.81597222222222221</v>
          </cell>
          <cell r="M125">
            <v>0.82291666666666663</v>
          </cell>
          <cell r="N125">
            <v>0.16666666666666607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0.16666666666666607</v>
          </cell>
          <cell r="Y125" t="str">
            <v>Oil hydrolick low</v>
          </cell>
        </row>
        <row r="126">
          <cell r="C126">
            <v>8668.5</v>
          </cell>
          <cell r="D126">
            <v>8677</v>
          </cell>
          <cell r="E126">
            <v>8677</v>
          </cell>
          <cell r="F126">
            <v>8685</v>
          </cell>
          <cell r="G126">
            <v>8.5</v>
          </cell>
          <cell r="H126">
            <v>8</v>
          </cell>
          <cell r="I126">
            <v>16.5</v>
          </cell>
          <cell r="J126">
            <v>7.5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8685</v>
          </cell>
          <cell r="D127">
            <v>8693</v>
          </cell>
          <cell r="E127">
            <v>8693</v>
          </cell>
          <cell r="F127">
            <v>8704</v>
          </cell>
          <cell r="G127">
            <v>8</v>
          </cell>
          <cell r="H127">
            <v>11</v>
          </cell>
          <cell r="I127">
            <v>19</v>
          </cell>
          <cell r="J127">
            <v>4.0999999999999979</v>
          </cell>
          <cell r="L127">
            <v>0.35347222222222219</v>
          </cell>
          <cell r="M127">
            <v>0.3611111111111111</v>
          </cell>
          <cell r="N127">
            <v>0.18333333333333401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0.71666666666666679</v>
          </cell>
          <cell r="S127" t="str">
            <v>Low power</v>
          </cell>
          <cell r="V127">
            <v>0</v>
          </cell>
          <cell r="X127">
            <v>0.9000000000000008</v>
          </cell>
          <cell r="Y127" t="str">
            <v>Oil hydrolick low,Low power</v>
          </cell>
        </row>
        <row r="128">
          <cell r="C128">
            <v>8704</v>
          </cell>
          <cell r="D128">
            <v>8713</v>
          </cell>
          <cell r="E128">
            <v>8713</v>
          </cell>
          <cell r="F128">
            <v>8713</v>
          </cell>
          <cell r="G128">
            <v>9</v>
          </cell>
          <cell r="H128">
            <v>0</v>
          </cell>
          <cell r="I128">
            <v>9</v>
          </cell>
          <cell r="J128">
            <v>14.833333333333336</v>
          </cell>
          <cell r="L128">
            <v>0.76736111111111116</v>
          </cell>
          <cell r="M128">
            <v>0.77430555555555547</v>
          </cell>
          <cell r="N128">
            <v>0.16666666666666341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0.16666666666666341</v>
          </cell>
          <cell r="Y128" t="str">
            <v>Oil hydrolick bocor</v>
          </cell>
        </row>
        <row r="129">
          <cell r="C129">
            <v>8713</v>
          </cell>
          <cell r="D129">
            <v>8720</v>
          </cell>
          <cell r="E129">
            <v>8720</v>
          </cell>
          <cell r="F129">
            <v>8731</v>
          </cell>
          <cell r="G129">
            <v>7</v>
          </cell>
          <cell r="H129">
            <v>11</v>
          </cell>
          <cell r="I129">
            <v>18</v>
          </cell>
          <cell r="J129">
            <v>6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8731</v>
          </cell>
          <cell r="D130">
            <v>8740</v>
          </cell>
          <cell r="E130">
            <v>8740</v>
          </cell>
          <cell r="F130">
            <v>8750.5</v>
          </cell>
          <cell r="G130">
            <v>9</v>
          </cell>
          <cell r="H130">
            <v>10.5</v>
          </cell>
          <cell r="I130">
            <v>19.5</v>
          </cell>
          <cell r="J130">
            <v>4.4166666666666679</v>
          </cell>
          <cell r="L130">
            <v>0.8125</v>
          </cell>
          <cell r="M130">
            <v>0.81597222222222221</v>
          </cell>
          <cell r="N130">
            <v>8.3333333333333037E-2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8.3333333333333037E-2</v>
          </cell>
          <cell r="Y130" t="str">
            <v>Oil hydrolick low</v>
          </cell>
        </row>
        <row r="131">
          <cell r="C131">
            <v>8750.5</v>
          </cell>
          <cell r="D131">
            <v>8760</v>
          </cell>
          <cell r="E131">
            <v>8760</v>
          </cell>
          <cell r="F131">
            <v>8769</v>
          </cell>
          <cell r="G131">
            <v>9.5</v>
          </cell>
          <cell r="H131">
            <v>9</v>
          </cell>
          <cell r="I131">
            <v>18.5</v>
          </cell>
          <cell r="J131">
            <v>5.1333333333333329</v>
          </cell>
          <cell r="L131">
            <v>8.3333333333333329E-2</v>
          </cell>
          <cell r="M131">
            <v>9.8611111111111108E-2</v>
          </cell>
          <cell r="N131">
            <v>0.3666666666666667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0.3666666666666667</v>
          </cell>
          <cell r="Y131" t="str">
            <v>Tambah air radiator</v>
          </cell>
        </row>
        <row r="132">
          <cell r="C132">
            <v>8769</v>
          </cell>
          <cell r="D132">
            <v>8769</v>
          </cell>
          <cell r="E132">
            <v>8769</v>
          </cell>
          <cell r="F132">
            <v>8769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8769</v>
          </cell>
          <cell r="D133">
            <v>8769</v>
          </cell>
          <cell r="E133">
            <v>8769</v>
          </cell>
          <cell r="F133">
            <v>8769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8769</v>
          </cell>
          <cell r="D134">
            <v>8769</v>
          </cell>
          <cell r="E134">
            <v>8769</v>
          </cell>
          <cell r="F134">
            <v>8769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8483</v>
          </cell>
          <cell r="D135">
            <v>8769</v>
          </cell>
          <cell r="E135">
            <v>8483</v>
          </cell>
          <cell r="F135">
            <v>8769</v>
          </cell>
          <cell r="G135">
            <v>138.89999999999964</v>
          </cell>
          <cell r="H135">
            <v>147.10000000000036</v>
          </cell>
          <cell r="I135">
            <v>286</v>
          </cell>
          <cell r="J135">
            <v>307.56666666666666</v>
          </cell>
          <cell r="N135">
            <v>0</v>
          </cell>
          <cell r="R135">
            <v>0.71666666666666679</v>
          </cell>
          <cell r="V135" t="str">
            <v/>
          </cell>
          <cell r="X135">
            <v>6.43333333333333</v>
          </cell>
        </row>
        <row r="136">
          <cell r="N136">
            <v>0</v>
          </cell>
        </row>
        <row r="137">
          <cell r="C137">
            <v>9711.7000000000007</v>
          </cell>
          <cell r="D137">
            <v>9711.7000000000007</v>
          </cell>
          <cell r="E137">
            <v>9711.7000000000007</v>
          </cell>
          <cell r="F137">
            <v>9711.7000000000007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0.29166666666666669</v>
          </cell>
          <cell r="M137">
            <v>0.75</v>
          </cell>
          <cell r="N137">
            <v>11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13</v>
          </cell>
          <cell r="S137" t="str">
            <v>Track lh lepas</v>
          </cell>
          <cell r="V137">
            <v>0</v>
          </cell>
          <cell r="X137">
            <v>24</v>
          </cell>
          <cell r="Y137" t="str">
            <v>Track lh lepas,Track lh lepas</v>
          </cell>
        </row>
        <row r="138">
          <cell r="C138">
            <v>9711.7000000000007</v>
          </cell>
          <cell r="D138">
            <v>9720</v>
          </cell>
          <cell r="E138">
            <v>9720</v>
          </cell>
          <cell r="F138">
            <v>9730</v>
          </cell>
          <cell r="G138">
            <v>8.2999999999992724</v>
          </cell>
          <cell r="H138">
            <v>10</v>
          </cell>
          <cell r="I138">
            <v>18.299999999999272</v>
          </cell>
          <cell r="J138">
            <v>3.3333333334063298E-2</v>
          </cell>
          <cell r="L138">
            <v>0.29166666666666669</v>
          </cell>
          <cell r="M138">
            <v>0.52777777777777779</v>
          </cell>
          <cell r="N138">
            <v>5.6666666666666661</v>
          </cell>
          <cell r="O138" t="str">
            <v>Track lh lepas</v>
          </cell>
          <cell r="R138">
            <v>0</v>
          </cell>
          <cell r="V138">
            <v>0</v>
          </cell>
          <cell r="X138">
            <v>5.6666666666666661</v>
          </cell>
          <cell r="Y138" t="str">
            <v>Track lh lepas</v>
          </cell>
        </row>
        <row r="139">
          <cell r="C139">
            <v>9730</v>
          </cell>
          <cell r="D139">
            <v>9739</v>
          </cell>
          <cell r="E139">
            <v>9739</v>
          </cell>
          <cell r="F139">
            <v>9746</v>
          </cell>
          <cell r="G139">
            <v>9</v>
          </cell>
          <cell r="H139">
            <v>7</v>
          </cell>
          <cell r="I139">
            <v>16</v>
          </cell>
          <cell r="J139">
            <v>8</v>
          </cell>
          <cell r="L139">
            <v>0.40625</v>
          </cell>
          <cell r="M139">
            <v>0.49652777777777773</v>
          </cell>
          <cell r="N139">
            <v>0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0</v>
          </cell>
          <cell r="Y139">
            <v>0</v>
          </cell>
        </row>
        <row r="140">
          <cell r="C140">
            <v>9746</v>
          </cell>
          <cell r="D140">
            <v>9752</v>
          </cell>
          <cell r="E140">
            <v>9752</v>
          </cell>
          <cell r="F140">
            <v>9757</v>
          </cell>
          <cell r="G140">
            <v>6</v>
          </cell>
          <cell r="H140">
            <v>5</v>
          </cell>
          <cell r="I140">
            <v>11</v>
          </cell>
          <cell r="J140">
            <v>5.1666666666666288</v>
          </cell>
          <cell r="L140">
            <v>0.78125</v>
          </cell>
          <cell r="M140">
            <v>0.1076388888888889</v>
          </cell>
          <cell r="N140">
            <v>7.8333333333333712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7.8333333333333712</v>
          </cell>
          <cell r="Y140" t="str">
            <v>Penggantian hose trevel rh bocor</v>
          </cell>
        </row>
        <row r="141">
          <cell r="C141">
            <v>9757</v>
          </cell>
          <cell r="D141">
            <v>9768</v>
          </cell>
          <cell r="E141">
            <v>9768</v>
          </cell>
          <cell r="F141">
            <v>9774</v>
          </cell>
          <cell r="G141">
            <v>11</v>
          </cell>
          <cell r="H141">
            <v>6</v>
          </cell>
          <cell r="I141">
            <v>17</v>
          </cell>
          <cell r="J141">
            <v>7</v>
          </cell>
          <cell r="L141">
            <v>0.22222222222222221</v>
          </cell>
          <cell r="M141">
            <v>0.29166666666666669</v>
          </cell>
          <cell r="N141">
            <v>0</v>
          </cell>
          <cell r="O141" t="str">
            <v>Control valve cylinder bucket bocor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9774</v>
          </cell>
          <cell r="D142">
            <v>9774</v>
          </cell>
          <cell r="E142">
            <v>9774</v>
          </cell>
          <cell r="F142">
            <v>9774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9774</v>
          </cell>
          <cell r="D143">
            <v>9774</v>
          </cell>
          <cell r="E143">
            <v>9774</v>
          </cell>
          <cell r="F143">
            <v>9779</v>
          </cell>
          <cell r="G143">
            <v>0</v>
          </cell>
          <cell r="H143">
            <v>5</v>
          </cell>
          <cell r="I143">
            <v>5</v>
          </cell>
          <cell r="J143">
            <v>18.833333333333332</v>
          </cell>
          <cell r="L143">
            <v>0.22222222222222221</v>
          </cell>
          <cell r="M143">
            <v>0.22916666666666666</v>
          </cell>
          <cell r="N143">
            <v>0.16666666666666674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0.16666666666666674</v>
          </cell>
          <cell r="Y143" t="str">
            <v>Control valve cylinder bucket bocor</v>
          </cell>
        </row>
        <row r="144">
          <cell r="C144">
            <v>9779</v>
          </cell>
          <cell r="D144">
            <v>9786</v>
          </cell>
          <cell r="E144">
            <v>9786</v>
          </cell>
          <cell r="F144">
            <v>9793</v>
          </cell>
          <cell r="G144">
            <v>7</v>
          </cell>
          <cell r="H144">
            <v>7</v>
          </cell>
          <cell r="I144">
            <v>14</v>
          </cell>
          <cell r="J144">
            <v>8</v>
          </cell>
          <cell r="L144">
            <v>0.29166666666666669</v>
          </cell>
          <cell r="M144">
            <v>0.375</v>
          </cell>
          <cell r="N144">
            <v>1.9999999999999996</v>
          </cell>
          <cell r="O144" t="str">
            <v>Hose pecah</v>
          </cell>
          <cell r="R144">
            <v>0</v>
          </cell>
          <cell r="V144">
            <v>0</v>
          </cell>
          <cell r="X144">
            <v>1.9999999999999996</v>
          </cell>
          <cell r="Y144" t="str">
            <v>Hose pecah</v>
          </cell>
        </row>
        <row r="145">
          <cell r="C145">
            <v>9793</v>
          </cell>
          <cell r="D145">
            <v>9802</v>
          </cell>
          <cell r="E145">
            <v>9802</v>
          </cell>
          <cell r="F145">
            <v>9809</v>
          </cell>
          <cell r="G145">
            <v>9</v>
          </cell>
          <cell r="H145">
            <v>7</v>
          </cell>
          <cell r="I145">
            <v>16</v>
          </cell>
          <cell r="J145">
            <v>7.2833333333333314</v>
          </cell>
          <cell r="L145">
            <v>0.1875</v>
          </cell>
          <cell r="M145">
            <v>0.21736111111111112</v>
          </cell>
          <cell r="N145">
            <v>0.71666666666666679</v>
          </cell>
          <cell r="O145" t="str">
            <v>Ps 111</v>
          </cell>
          <cell r="R145">
            <v>0</v>
          </cell>
          <cell r="V145">
            <v>0</v>
          </cell>
          <cell r="X145">
            <v>0.71666666666666679</v>
          </cell>
          <cell r="Y145" t="str">
            <v>Ps 111</v>
          </cell>
        </row>
        <row r="146">
          <cell r="C146">
            <v>9809</v>
          </cell>
          <cell r="D146">
            <v>9814</v>
          </cell>
          <cell r="E146">
            <v>9814</v>
          </cell>
          <cell r="F146">
            <v>9822</v>
          </cell>
          <cell r="G146">
            <v>5</v>
          </cell>
          <cell r="H146">
            <v>8</v>
          </cell>
          <cell r="I146">
            <v>13</v>
          </cell>
          <cell r="J146">
            <v>5.5166666666666657</v>
          </cell>
          <cell r="L146">
            <v>0.36180555555555555</v>
          </cell>
          <cell r="M146">
            <v>0.59027777777777779</v>
          </cell>
          <cell r="N146">
            <v>5.4833333333333343</v>
          </cell>
          <cell r="O146" t="str">
            <v>Ac hot</v>
          </cell>
          <cell r="P146">
            <v>0.55208333333333337</v>
          </cell>
          <cell r="Q146">
            <v>0.5625</v>
          </cell>
          <cell r="R146">
            <v>0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</v>
          </cell>
          <cell r="W146" t="str">
            <v>Cant start</v>
          </cell>
          <cell r="X146">
            <v>5.4833333333333343</v>
          </cell>
          <cell r="Y146" t="str">
            <v>Ac hot</v>
          </cell>
        </row>
        <row r="147">
          <cell r="C147">
            <v>9822</v>
          </cell>
          <cell r="D147">
            <v>9826.5</v>
          </cell>
          <cell r="E147">
            <v>9826.5</v>
          </cell>
          <cell r="F147">
            <v>9837.2000000000007</v>
          </cell>
          <cell r="G147">
            <v>4.5</v>
          </cell>
          <cell r="H147">
            <v>10.700000000000728</v>
          </cell>
          <cell r="I147">
            <v>15.200000000000728</v>
          </cell>
          <cell r="J147">
            <v>8.1666666666659395</v>
          </cell>
          <cell r="L147">
            <v>0.35972222222222222</v>
          </cell>
          <cell r="M147">
            <v>0.38611111111111113</v>
          </cell>
          <cell r="N147">
            <v>0.63333333333333375</v>
          </cell>
          <cell r="O147" t="str">
            <v>Low power</v>
          </cell>
          <cell r="R147">
            <v>0</v>
          </cell>
          <cell r="V147">
            <v>0</v>
          </cell>
          <cell r="X147">
            <v>0.63333333333333375</v>
          </cell>
          <cell r="Y147" t="str">
            <v>Low power</v>
          </cell>
        </row>
        <row r="148">
          <cell r="C148">
            <v>9837.2000000000007</v>
          </cell>
          <cell r="D148">
            <v>9846</v>
          </cell>
          <cell r="E148">
            <v>9846</v>
          </cell>
          <cell r="F148">
            <v>9853.2999999999993</v>
          </cell>
          <cell r="G148">
            <v>8.7999999999992724</v>
          </cell>
          <cell r="H148">
            <v>7.2999999999992724</v>
          </cell>
          <cell r="I148">
            <v>16.099999999998545</v>
          </cell>
          <cell r="J148">
            <v>2.8166666666681195</v>
          </cell>
          <cell r="L148">
            <v>7.9861111111111105E-2</v>
          </cell>
          <cell r="M148">
            <v>0.29166666666666669</v>
          </cell>
          <cell r="N148">
            <v>5.0833333333333339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5.0833333333333339</v>
          </cell>
          <cell r="Y148" t="str">
            <v>Engine mati mendadak</v>
          </cell>
        </row>
        <row r="149">
          <cell r="C149">
            <v>9853.2999999999993</v>
          </cell>
          <cell r="D149">
            <v>9853.2999999999993</v>
          </cell>
          <cell r="E149">
            <v>9853.2999999999993</v>
          </cell>
          <cell r="F149">
            <v>9864</v>
          </cell>
          <cell r="G149">
            <v>0</v>
          </cell>
          <cell r="H149">
            <v>10.700000000000728</v>
          </cell>
          <cell r="I149">
            <v>10.700000000000728</v>
          </cell>
          <cell r="J149">
            <v>5.2999999999992724</v>
          </cell>
          <cell r="L149">
            <v>0.29166666666666669</v>
          </cell>
          <cell r="M149">
            <v>0.625</v>
          </cell>
          <cell r="N149">
            <v>8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8</v>
          </cell>
          <cell r="Y149" t="str">
            <v>Greasing, noice</v>
          </cell>
        </row>
        <row r="150">
          <cell r="C150">
            <v>9864</v>
          </cell>
          <cell r="D150">
            <v>9872</v>
          </cell>
          <cell r="E150">
            <v>9872</v>
          </cell>
          <cell r="F150">
            <v>9881.5</v>
          </cell>
          <cell r="G150">
            <v>8</v>
          </cell>
          <cell r="H150">
            <v>9.5</v>
          </cell>
          <cell r="I150">
            <v>17.5</v>
          </cell>
          <cell r="J150">
            <v>6.5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9881.5</v>
          </cell>
          <cell r="D151">
            <v>9890</v>
          </cell>
          <cell r="E151">
            <v>9890</v>
          </cell>
          <cell r="F151">
            <v>9899</v>
          </cell>
          <cell r="G151">
            <v>8.5</v>
          </cell>
          <cell r="H151">
            <v>9</v>
          </cell>
          <cell r="I151">
            <v>17.5</v>
          </cell>
          <cell r="J151">
            <v>6.2333333333333343</v>
          </cell>
          <cell r="L151">
            <v>0.12291666666666667</v>
          </cell>
          <cell r="M151">
            <v>0.13402777777777777</v>
          </cell>
          <cell r="N151">
            <v>0.26666666666666639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0.26666666666666639</v>
          </cell>
          <cell r="Y151" t="str">
            <v>Over head, tambah air radiator</v>
          </cell>
        </row>
        <row r="152">
          <cell r="C152">
            <v>9899</v>
          </cell>
          <cell r="D152">
            <v>9907.7999999999993</v>
          </cell>
          <cell r="E152">
            <v>9907.7999999999993</v>
          </cell>
          <cell r="F152">
            <v>9916</v>
          </cell>
          <cell r="G152">
            <v>8.7999999999992724</v>
          </cell>
          <cell r="H152">
            <v>8.2000000000007276</v>
          </cell>
          <cell r="I152">
            <v>17</v>
          </cell>
          <cell r="J152">
            <v>4.75</v>
          </cell>
          <cell r="L152">
            <v>0.84375</v>
          </cell>
          <cell r="M152">
            <v>0.89583333333333337</v>
          </cell>
          <cell r="N152">
            <v>1.2500000000000009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0.99999999999999911</v>
          </cell>
          <cell r="S152" t="str">
            <v>Perbaikan kabel</v>
          </cell>
          <cell r="V152">
            <v>0</v>
          </cell>
          <cell r="X152">
            <v>2.25</v>
          </cell>
          <cell r="Y152" t="str">
            <v>Over head,Perbaikan kabel</v>
          </cell>
        </row>
        <row r="153">
          <cell r="C153">
            <v>9916</v>
          </cell>
          <cell r="D153">
            <v>9925</v>
          </cell>
          <cell r="E153">
            <v>9925</v>
          </cell>
          <cell r="F153">
            <v>9934.7999999999993</v>
          </cell>
          <cell r="G153">
            <v>9</v>
          </cell>
          <cell r="H153">
            <v>9.7999999999992724</v>
          </cell>
          <cell r="I153">
            <v>18.799999999999272</v>
          </cell>
          <cell r="J153">
            <v>4.2333333333340661</v>
          </cell>
          <cell r="L153">
            <v>6.7361111111111108E-2</v>
          </cell>
          <cell r="M153">
            <v>6.9444444444444434E-2</v>
          </cell>
          <cell r="N153">
            <v>4.9999999999999822E-2</v>
          </cell>
          <cell r="O153" t="str">
            <v>Cant start</v>
          </cell>
          <cell r="P153">
            <v>0.82986111111111116</v>
          </cell>
          <cell r="Q153">
            <v>0.86805555555555547</v>
          </cell>
          <cell r="R153">
            <v>0.91666666666666341</v>
          </cell>
          <cell r="S153" t="str">
            <v>Lampu kerja off</v>
          </cell>
          <cell r="V153">
            <v>0</v>
          </cell>
          <cell r="X153">
            <v>0.96666666666666323</v>
          </cell>
          <cell r="Y153" t="str">
            <v>Cant start,Lampu kerja off</v>
          </cell>
        </row>
        <row r="154">
          <cell r="C154">
            <v>9934.7999999999993</v>
          </cell>
          <cell r="D154">
            <v>9941</v>
          </cell>
          <cell r="E154">
            <v>9941</v>
          </cell>
          <cell r="F154">
            <v>9951</v>
          </cell>
          <cell r="G154">
            <v>6.2000000000007276</v>
          </cell>
          <cell r="H154">
            <v>10</v>
          </cell>
          <cell r="I154">
            <v>16.200000000000728</v>
          </cell>
          <cell r="J154">
            <v>7.7999999999992724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9951</v>
          </cell>
          <cell r="D155">
            <v>9961</v>
          </cell>
          <cell r="E155">
            <v>9961</v>
          </cell>
          <cell r="F155">
            <v>9972.5</v>
          </cell>
          <cell r="G155">
            <v>10</v>
          </cell>
          <cell r="H155">
            <v>11.5</v>
          </cell>
          <cell r="I155">
            <v>21.5</v>
          </cell>
          <cell r="J155">
            <v>2.5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9972.5</v>
          </cell>
          <cell r="D156">
            <v>9972.5</v>
          </cell>
          <cell r="E156">
            <v>9972.5</v>
          </cell>
          <cell r="F156">
            <v>9981.5</v>
          </cell>
          <cell r="G156">
            <v>0</v>
          </cell>
          <cell r="H156">
            <v>9</v>
          </cell>
          <cell r="I156">
            <v>9</v>
          </cell>
          <cell r="J156">
            <v>0</v>
          </cell>
          <cell r="L156">
            <v>0.31597222222222221</v>
          </cell>
          <cell r="M156">
            <v>0.75</v>
          </cell>
          <cell r="N156">
            <v>10.416666666666668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4.583333333333333</v>
          </cell>
          <cell r="S156" t="str">
            <v>Kebocoran oil hydrolick</v>
          </cell>
          <cell r="V156">
            <v>0</v>
          </cell>
          <cell r="X156">
            <v>15</v>
          </cell>
          <cell r="Y156" t="str">
            <v>Kebocoran oil hydrolick,Kebocoran oil hydrolick</v>
          </cell>
        </row>
        <row r="157">
          <cell r="C157">
            <v>9981.5</v>
          </cell>
          <cell r="D157">
            <v>9990</v>
          </cell>
          <cell r="E157">
            <v>9990</v>
          </cell>
          <cell r="F157">
            <v>9999</v>
          </cell>
          <cell r="G157">
            <v>8.5</v>
          </cell>
          <cell r="H157">
            <v>9</v>
          </cell>
          <cell r="I157">
            <v>17.5</v>
          </cell>
          <cell r="J157">
            <v>6.5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9999</v>
          </cell>
          <cell r="D158">
            <v>10003.5</v>
          </cell>
          <cell r="E158">
            <v>10003.5</v>
          </cell>
          <cell r="F158">
            <v>10011.5</v>
          </cell>
          <cell r="G158">
            <v>4.5</v>
          </cell>
          <cell r="H158">
            <v>8</v>
          </cell>
          <cell r="I158">
            <v>12.5</v>
          </cell>
          <cell r="J158">
            <v>11.166666666666668</v>
          </cell>
          <cell r="L158">
            <v>0.36805555555555558</v>
          </cell>
          <cell r="M158">
            <v>0.38194444444444442</v>
          </cell>
          <cell r="N158">
            <v>0.33333333333333215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0.33333333333333215</v>
          </cell>
          <cell r="Y158" t="str">
            <v>Track lh kendor</v>
          </cell>
        </row>
        <row r="159">
          <cell r="C159">
            <v>10011.5</v>
          </cell>
          <cell r="D159">
            <v>10020</v>
          </cell>
          <cell r="E159">
            <v>10020</v>
          </cell>
          <cell r="F159">
            <v>10025.5</v>
          </cell>
          <cell r="G159">
            <v>8.5</v>
          </cell>
          <cell r="H159">
            <v>5.5</v>
          </cell>
          <cell r="I159">
            <v>14</v>
          </cell>
          <cell r="J159">
            <v>10</v>
          </cell>
          <cell r="L159">
            <v>0.29166666666666669</v>
          </cell>
          <cell r="M159">
            <v>0.3263888888888889</v>
          </cell>
          <cell r="N159">
            <v>0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</v>
          </cell>
          <cell r="Y159">
            <v>0</v>
          </cell>
        </row>
        <row r="160">
          <cell r="C160">
            <v>10025.5</v>
          </cell>
          <cell r="D160">
            <v>10032</v>
          </cell>
          <cell r="E160">
            <v>10032</v>
          </cell>
          <cell r="F160">
            <v>10037</v>
          </cell>
          <cell r="G160">
            <v>6.5</v>
          </cell>
          <cell r="H160">
            <v>5</v>
          </cell>
          <cell r="I160">
            <v>11.5</v>
          </cell>
          <cell r="J160">
            <v>11.083333333333332</v>
          </cell>
          <cell r="L160">
            <v>0.5</v>
          </cell>
          <cell r="M160">
            <v>0.55902777777777779</v>
          </cell>
          <cell r="N160">
            <v>1.416666666666667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1.416666666666667</v>
          </cell>
          <cell r="Y160" t="str">
            <v>Tilt bucket lh hilang satu</v>
          </cell>
        </row>
        <row r="161">
          <cell r="C161">
            <v>10037</v>
          </cell>
          <cell r="D161">
            <v>10041.799999999999</v>
          </cell>
          <cell r="E161">
            <v>10041.799999999999</v>
          </cell>
          <cell r="F161">
            <v>10053</v>
          </cell>
          <cell r="G161">
            <v>4.7999999999992724</v>
          </cell>
          <cell r="H161">
            <v>11.200000000000728</v>
          </cell>
          <cell r="I161">
            <v>16</v>
          </cell>
          <cell r="J161">
            <v>8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10053</v>
          </cell>
          <cell r="D162">
            <v>10062.5</v>
          </cell>
          <cell r="E162">
            <v>10062.5</v>
          </cell>
          <cell r="F162">
            <v>10073.799999999999</v>
          </cell>
          <cell r="G162">
            <v>9.5</v>
          </cell>
          <cell r="H162">
            <v>11.299999999999272</v>
          </cell>
          <cell r="I162">
            <v>20.799999999999272</v>
          </cell>
          <cell r="J162">
            <v>2.4833333333340626</v>
          </cell>
          <cell r="L162">
            <v>0.47916666666666669</v>
          </cell>
          <cell r="M162">
            <v>0.50902777777777775</v>
          </cell>
          <cell r="N162">
            <v>0.71666666666666545</v>
          </cell>
          <cell r="O162" t="str">
            <v>Ac hot</v>
          </cell>
          <cell r="R162">
            <v>0</v>
          </cell>
          <cell r="V162">
            <v>0</v>
          </cell>
          <cell r="X162">
            <v>0.71666666666666545</v>
          </cell>
          <cell r="Y162" t="str">
            <v>Ac hot</v>
          </cell>
        </row>
        <row r="163">
          <cell r="C163">
            <v>10073.799999999999</v>
          </cell>
          <cell r="D163">
            <v>10083.5</v>
          </cell>
          <cell r="E163">
            <v>10083.5</v>
          </cell>
          <cell r="F163">
            <v>10095</v>
          </cell>
          <cell r="G163">
            <v>9.7000000000007276</v>
          </cell>
          <cell r="H163">
            <v>11.5</v>
          </cell>
          <cell r="I163">
            <v>21.200000000000728</v>
          </cell>
          <cell r="J163">
            <v>2.7999999999992724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10095</v>
          </cell>
          <cell r="D164">
            <v>10101.200000000001</v>
          </cell>
          <cell r="E164">
            <v>10101.200000000001</v>
          </cell>
          <cell r="F164">
            <v>10112.6</v>
          </cell>
          <cell r="G164">
            <v>6.2000000000007276</v>
          </cell>
          <cell r="H164">
            <v>11.399999999999636</v>
          </cell>
          <cell r="I164">
            <v>17.600000000000364</v>
          </cell>
          <cell r="J164">
            <v>5.3999999999996362</v>
          </cell>
          <cell r="L164">
            <v>0.77777777777777779</v>
          </cell>
          <cell r="M164">
            <v>0.81944444444444453</v>
          </cell>
          <cell r="N164">
            <v>1.0000000000000018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1.0000000000000018</v>
          </cell>
          <cell r="Y164" t="str">
            <v>Engine over head</v>
          </cell>
        </row>
        <row r="165">
          <cell r="C165">
            <v>10112.6</v>
          </cell>
          <cell r="D165">
            <v>10112.6</v>
          </cell>
          <cell r="E165">
            <v>10112.6</v>
          </cell>
          <cell r="F165">
            <v>10112.6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10112.6</v>
          </cell>
          <cell r="D166">
            <v>10112.6</v>
          </cell>
          <cell r="E166">
            <v>10112.6</v>
          </cell>
          <cell r="F166">
            <v>10112.6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Standnby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10112.6</v>
          </cell>
          <cell r="D167">
            <v>10112.6</v>
          </cell>
          <cell r="E167">
            <v>10112.6</v>
          </cell>
          <cell r="F167">
            <v>10112.6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9711.7000000000007</v>
          </cell>
          <cell r="D168">
            <v>10112.6</v>
          </cell>
          <cell r="E168">
            <v>9711.7000000000007</v>
          </cell>
          <cell r="F168">
            <v>10112.6</v>
          </cell>
          <cell r="G168">
            <v>177.29999999999927</v>
          </cell>
          <cell r="H168">
            <v>223.60000000000036</v>
          </cell>
          <cell r="I168">
            <v>400.89999999999964</v>
          </cell>
          <cell r="J168">
            <v>261.566666666667</v>
          </cell>
          <cell r="N168">
            <v>62.033333333333367</v>
          </cell>
          <cell r="R168">
            <v>19.499999999999996</v>
          </cell>
          <cell r="V168" t="str">
            <v/>
          </cell>
          <cell r="X168">
            <v>81.53333333333336</v>
          </cell>
        </row>
        <row r="169">
          <cell r="X169">
            <v>81.53333333333336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N170">
            <v>0</v>
          </cell>
          <cell r="R170">
            <v>0</v>
          </cell>
          <cell r="V170">
            <v>0</v>
          </cell>
          <cell r="X170">
            <v>0</v>
          </cell>
          <cell r="Y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N171">
            <v>0</v>
          </cell>
          <cell r="R171">
            <v>0</v>
          </cell>
          <cell r="V171">
            <v>0</v>
          </cell>
          <cell r="X171">
            <v>0</v>
          </cell>
          <cell r="Y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N172">
            <v>0</v>
          </cell>
          <cell r="R172">
            <v>0</v>
          </cell>
          <cell r="V172">
            <v>0</v>
          </cell>
          <cell r="X172">
            <v>0</v>
          </cell>
          <cell r="Y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N173">
            <v>0</v>
          </cell>
          <cell r="R173">
            <v>0</v>
          </cell>
          <cell r="V173">
            <v>0</v>
          </cell>
          <cell r="X173">
            <v>0</v>
          </cell>
          <cell r="Y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N174">
            <v>0</v>
          </cell>
          <cell r="R174">
            <v>0</v>
          </cell>
          <cell r="V174">
            <v>0</v>
          </cell>
          <cell r="X174">
            <v>0</v>
          </cell>
          <cell r="Y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N175">
            <v>0</v>
          </cell>
          <cell r="R175">
            <v>0</v>
          </cell>
          <cell r="V175">
            <v>0</v>
          </cell>
          <cell r="X175">
            <v>0</v>
          </cell>
          <cell r="Y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N176">
            <v>0</v>
          </cell>
          <cell r="R176">
            <v>0</v>
          </cell>
          <cell r="V176">
            <v>0</v>
          </cell>
          <cell r="X176">
            <v>0</v>
          </cell>
          <cell r="Y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X177">
            <v>0</v>
          </cell>
          <cell r="Y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N178">
            <v>0</v>
          </cell>
          <cell r="R178">
            <v>0</v>
          </cell>
          <cell r="V178">
            <v>0</v>
          </cell>
          <cell r="X178">
            <v>0</v>
          </cell>
          <cell r="Y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N179">
            <v>0</v>
          </cell>
          <cell r="R179">
            <v>0</v>
          </cell>
          <cell r="V179">
            <v>0</v>
          </cell>
          <cell r="X179">
            <v>0</v>
          </cell>
          <cell r="Y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N180">
            <v>0</v>
          </cell>
          <cell r="R180">
            <v>0</v>
          </cell>
          <cell r="V180">
            <v>0</v>
          </cell>
          <cell r="X180">
            <v>0</v>
          </cell>
          <cell r="Y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N181">
            <v>0</v>
          </cell>
          <cell r="R181">
            <v>0</v>
          </cell>
          <cell r="V181">
            <v>0</v>
          </cell>
          <cell r="X181">
            <v>0</v>
          </cell>
          <cell r="Y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N182">
            <v>0</v>
          </cell>
          <cell r="R182">
            <v>0</v>
          </cell>
          <cell r="V182">
            <v>0</v>
          </cell>
          <cell r="X182">
            <v>0</v>
          </cell>
          <cell r="Y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N183">
            <v>0</v>
          </cell>
          <cell r="R183">
            <v>0</v>
          </cell>
          <cell r="V183">
            <v>0</v>
          </cell>
          <cell r="X183">
            <v>0</v>
          </cell>
          <cell r="Y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N184">
            <v>0</v>
          </cell>
          <cell r="R184">
            <v>0</v>
          </cell>
          <cell r="V184">
            <v>0</v>
          </cell>
          <cell r="X184">
            <v>0</v>
          </cell>
          <cell r="Y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N185">
            <v>0</v>
          </cell>
          <cell r="R185">
            <v>0</v>
          </cell>
          <cell r="V185">
            <v>0</v>
          </cell>
          <cell r="X185">
            <v>0</v>
          </cell>
          <cell r="Y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N186">
            <v>0</v>
          </cell>
          <cell r="R186">
            <v>0</v>
          </cell>
          <cell r="V186">
            <v>0</v>
          </cell>
          <cell r="X186">
            <v>0</v>
          </cell>
          <cell r="Y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N187">
            <v>0</v>
          </cell>
          <cell r="R187">
            <v>0</v>
          </cell>
          <cell r="V187">
            <v>0</v>
          </cell>
          <cell r="X187">
            <v>0</v>
          </cell>
          <cell r="Y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N188">
            <v>0</v>
          </cell>
          <cell r="R188">
            <v>0</v>
          </cell>
          <cell r="V188">
            <v>0</v>
          </cell>
          <cell r="X188">
            <v>0</v>
          </cell>
          <cell r="Y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N189">
            <v>0</v>
          </cell>
          <cell r="R189">
            <v>0</v>
          </cell>
          <cell r="V189">
            <v>0</v>
          </cell>
          <cell r="X189">
            <v>0</v>
          </cell>
          <cell r="Y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N190">
            <v>0</v>
          </cell>
          <cell r="R190">
            <v>0</v>
          </cell>
          <cell r="V190">
            <v>0</v>
          </cell>
          <cell r="X190">
            <v>0</v>
          </cell>
          <cell r="Y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N191">
            <v>0</v>
          </cell>
          <cell r="R191">
            <v>0</v>
          </cell>
          <cell r="V191">
            <v>0</v>
          </cell>
          <cell r="X191">
            <v>0</v>
          </cell>
          <cell r="Y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N192">
            <v>0</v>
          </cell>
          <cell r="R192">
            <v>0</v>
          </cell>
          <cell r="V192">
            <v>0</v>
          </cell>
          <cell r="X192">
            <v>0</v>
          </cell>
          <cell r="Y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N193">
            <v>0</v>
          </cell>
          <cell r="R193">
            <v>0</v>
          </cell>
          <cell r="V193">
            <v>0</v>
          </cell>
          <cell r="X193">
            <v>0</v>
          </cell>
          <cell r="Y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N194">
            <v>0</v>
          </cell>
          <cell r="R194">
            <v>0</v>
          </cell>
          <cell r="V194">
            <v>0</v>
          </cell>
          <cell r="X194">
            <v>0</v>
          </cell>
          <cell r="Y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N195">
            <v>0</v>
          </cell>
          <cell r="R195">
            <v>0</v>
          </cell>
          <cell r="V195">
            <v>0</v>
          </cell>
          <cell r="X195">
            <v>0</v>
          </cell>
          <cell r="Y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N196">
            <v>0</v>
          </cell>
          <cell r="R196">
            <v>0</v>
          </cell>
          <cell r="V196">
            <v>0</v>
          </cell>
          <cell r="X196">
            <v>0</v>
          </cell>
          <cell r="Y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N197">
            <v>0</v>
          </cell>
          <cell r="R197">
            <v>0</v>
          </cell>
          <cell r="V197">
            <v>0</v>
          </cell>
          <cell r="X197">
            <v>0</v>
          </cell>
          <cell r="Y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N198">
            <v>0</v>
          </cell>
          <cell r="R198">
            <v>0</v>
          </cell>
          <cell r="V198">
            <v>0</v>
          </cell>
          <cell r="X198">
            <v>0</v>
          </cell>
          <cell r="Y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N199">
            <v>0</v>
          </cell>
          <cell r="R199">
            <v>0</v>
          </cell>
          <cell r="V199">
            <v>0</v>
          </cell>
          <cell r="X199">
            <v>0</v>
          </cell>
          <cell r="Y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N200">
            <v>0</v>
          </cell>
          <cell r="R200">
            <v>0</v>
          </cell>
          <cell r="V200">
            <v>0</v>
          </cell>
          <cell r="X200">
            <v>0</v>
          </cell>
          <cell r="Y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N201" t="str">
            <v/>
          </cell>
          <cell r="R201" t="str">
            <v/>
          </cell>
          <cell r="V201" t="str">
            <v/>
          </cell>
        </row>
        <row r="202">
          <cell r="V202" t="str">
            <v/>
          </cell>
        </row>
        <row r="203">
          <cell r="C203">
            <v>7125</v>
          </cell>
          <cell r="D203">
            <v>7125</v>
          </cell>
          <cell r="E203">
            <v>7125</v>
          </cell>
          <cell r="F203">
            <v>7125</v>
          </cell>
          <cell r="G203">
            <v>0</v>
          </cell>
          <cell r="H203">
            <v>0</v>
          </cell>
          <cell r="I203">
            <v>0</v>
          </cell>
          <cell r="J203">
            <v>24</v>
          </cell>
          <cell r="N203">
            <v>0</v>
          </cell>
          <cell r="R203">
            <v>0</v>
          </cell>
          <cell r="V203">
            <v>0</v>
          </cell>
          <cell r="X203">
            <v>0</v>
          </cell>
          <cell r="Y203">
            <v>0</v>
          </cell>
        </row>
        <row r="204">
          <cell r="C204">
            <v>7125</v>
          </cell>
          <cell r="D204">
            <v>7125</v>
          </cell>
          <cell r="E204">
            <v>7125</v>
          </cell>
          <cell r="F204">
            <v>7125</v>
          </cell>
          <cell r="G204">
            <v>0</v>
          </cell>
          <cell r="H204">
            <v>0</v>
          </cell>
          <cell r="I204">
            <v>0</v>
          </cell>
          <cell r="J204">
            <v>24</v>
          </cell>
          <cell r="N204">
            <v>0</v>
          </cell>
          <cell r="R204">
            <v>0</v>
          </cell>
          <cell r="V204">
            <v>0</v>
          </cell>
          <cell r="X204">
            <v>0</v>
          </cell>
          <cell r="Y204">
            <v>0</v>
          </cell>
        </row>
        <row r="205">
          <cell r="C205">
            <v>7125</v>
          </cell>
          <cell r="D205">
            <v>7125</v>
          </cell>
          <cell r="E205">
            <v>7125</v>
          </cell>
          <cell r="F205">
            <v>7125</v>
          </cell>
          <cell r="G205">
            <v>0</v>
          </cell>
          <cell r="H205">
            <v>0</v>
          </cell>
          <cell r="I205">
            <v>0</v>
          </cell>
          <cell r="J205">
            <v>24</v>
          </cell>
          <cell r="N205">
            <v>0</v>
          </cell>
          <cell r="R205">
            <v>0</v>
          </cell>
          <cell r="V205">
            <v>0</v>
          </cell>
          <cell r="X205">
            <v>0</v>
          </cell>
          <cell r="Y205">
            <v>0</v>
          </cell>
        </row>
        <row r="206">
          <cell r="C206">
            <v>7125</v>
          </cell>
          <cell r="D206">
            <v>7125</v>
          </cell>
          <cell r="E206">
            <v>7125</v>
          </cell>
          <cell r="F206">
            <v>7134.5</v>
          </cell>
          <cell r="G206">
            <v>0</v>
          </cell>
          <cell r="H206">
            <v>9.5</v>
          </cell>
          <cell r="I206">
            <v>9.5</v>
          </cell>
          <cell r="J206">
            <v>14.5</v>
          </cell>
          <cell r="N206">
            <v>0</v>
          </cell>
          <cell r="R206">
            <v>0</v>
          </cell>
          <cell r="V206">
            <v>0</v>
          </cell>
          <cell r="X206">
            <v>0</v>
          </cell>
          <cell r="Y206">
            <v>0</v>
          </cell>
        </row>
        <row r="207">
          <cell r="C207">
            <v>7134.5</v>
          </cell>
          <cell r="D207">
            <v>7134.5</v>
          </cell>
          <cell r="E207">
            <v>7134.5</v>
          </cell>
          <cell r="F207">
            <v>7135</v>
          </cell>
          <cell r="G207">
            <v>0</v>
          </cell>
          <cell r="H207">
            <v>0.5</v>
          </cell>
          <cell r="I207">
            <v>0.5</v>
          </cell>
          <cell r="J207">
            <v>23.5</v>
          </cell>
          <cell r="N207">
            <v>0</v>
          </cell>
          <cell r="R207">
            <v>0</v>
          </cell>
          <cell r="V207">
            <v>0</v>
          </cell>
          <cell r="X207">
            <v>0</v>
          </cell>
          <cell r="Y207">
            <v>0</v>
          </cell>
        </row>
        <row r="208">
          <cell r="C208">
            <v>7135</v>
          </cell>
          <cell r="D208">
            <v>7135</v>
          </cell>
          <cell r="E208">
            <v>7135</v>
          </cell>
          <cell r="F208">
            <v>7135</v>
          </cell>
          <cell r="G208">
            <v>0</v>
          </cell>
          <cell r="H208">
            <v>0</v>
          </cell>
          <cell r="I208">
            <v>0</v>
          </cell>
          <cell r="J208">
            <v>24</v>
          </cell>
          <cell r="N208">
            <v>0</v>
          </cell>
          <cell r="R208">
            <v>0</v>
          </cell>
          <cell r="V208">
            <v>0</v>
          </cell>
          <cell r="X208">
            <v>0</v>
          </cell>
          <cell r="Y208">
            <v>0</v>
          </cell>
        </row>
        <row r="209">
          <cell r="C209">
            <v>7135</v>
          </cell>
          <cell r="D209">
            <v>7135</v>
          </cell>
          <cell r="E209">
            <v>7135</v>
          </cell>
          <cell r="F209">
            <v>7146</v>
          </cell>
          <cell r="G209">
            <v>0</v>
          </cell>
          <cell r="H209">
            <v>11</v>
          </cell>
          <cell r="I209">
            <v>11</v>
          </cell>
          <cell r="J209">
            <v>13</v>
          </cell>
          <cell r="N209">
            <v>0</v>
          </cell>
          <cell r="R209">
            <v>0</v>
          </cell>
          <cell r="V209">
            <v>0</v>
          </cell>
          <cell r="X209">
            <v>0</v>
          </cell>
          <cell r="Y209">
            <v>0</v>
          </cell>
        </row>
        <row r="210">
          <cell r="C210">
            <v>7146</v>
          </cell>
          <cell r="D210">
            <v>7155</v>
          </cell>
          <cell r="E210">
            <v>7155</v>
          </cell>
          <cell r="F210">
            <v>7160.8</v>
          </cell>
          <cell r="G210">
            <v>9</v>
          </cell>
          <cell r="H210">
            <v>5.8000000000001819</v>
          </cell>
          <cell r="I210">
            <v>14.800000000000182</v>
          </cell>
          <cell r="J210">
            <v>7.7499999999998224</v>
          </cell>
          <cell r="L210">
            <v>0.76736111111111116</v>
          </cell>
          <cell r="M210">
            <v>0.82291666666666663</v>
          </cell>
          <cell r="N210">
            <v>1.3333333333333313</v>
          </cell>
          <cell r="O210" t="str">
            <v>Cant start</v>
          </cell>
          <cell r="P210">
            <v>0.67569444444444438</v>
          </cell>
          <cell r="Q210">
            <v>0.68055555555555547</v>
          </cell>
          <cell r="R210">
            <v>0.11666666666666625</v>
          </cell>
          <cell r="S210" t="str">
            <v>Over head, tambah air radiator</v>
          </cell>
          <cell r="V210">
            <v>0</v>
          </cell>
          <cell r="X210">
            <v>1.4499999999999975</v>
          </cell>
          <cell r="Y210" t="str">
            <v>Cant start,Over head, tambah air radiator</v>
          </cell>
        </row>
        <row r="211">
          <cell r="C211">
            <v>7160.8</v>
          </cell>
          <cell r="D211">
            <v>7168</v>
          </cell>
          <cell r="E211">
            <v>7168</v>
          </cell>
          <cell r="F211">
            <v>7178</v>
          </cell>
          <cell r="G211">
            <v>7.1999999999998181</v>
          </cell>
          <cell r="H211">
            <v>10</v>
          </cell>
          <cell r="I211">
            <v>17.199999999999818</v>
          </cell>
          <cell r="J211">
            <v>4.8000000000001819</v>
          </cell>
          <cell r="L211">
            <v>0.84027777777777779</v>
          </cell>
          <cell r="M211">
            <v>0.86111111111111116</v>
          </cell>
          <cell r="N211">
            <v>0.50000000000000089</v>
          </cell>
          <cell r="P211">
            <v>0.79166666666666663</v>
          </cell>
          <cell r="Q211">
            <v>0.85416666666666663</v>
          </cell>
          <cell r="R211">
            <v>1.5</v>
          </cell>
          <cell r="S211" t="str">
            <v>Repaire lampu kerja</v>
          </cell>
          <cell r="V211">
            <v>0</v>
          </cell>
          <cell r="X211">
            <v>2.0000000000000009</v>
          </cell>
          <cell r="Y211" t="str">
            <v>Repaire lampu kerja</v>
          </cell>
        </row>
        <row r="212">
          <cell r="C212">
            <v>7178</v>
          </cell>
          <cell r="D212">
            <v>7185</v>
          </cell>
          <cell r="E212">
            <v>7185</v>
          </cell>
          <cell r="F212">
            <v>7185</v>
          </cell>
          <cell r="G212">
            <v>7</v>
          </cell>
          <cell r="H212">
            <v>0</v>
          </cell>
          <cell r="I212">
            <v>7</v>
          </cell>
          <cell r="J212">
            <v>16.25</v>
          </cell>
          <cell r="L212">
            <v>0.37152777777777773</v>
          </cell>
          <cell r="M212">
            <v>0.40277777777777773</v>
          </cell>
          <cell r="N212">
            <v>0.75</v>
          </cell>
          <cell r="O212" t="str">
            <v>Alarm mundur off</v>
          </cell>
          <cell r="R212">
            <v>0</v>
          </cell>
          <cell r="V212">
            <v>0</v>
          </cell>
          <cell r="X212">
            <v>0.75</v>
          </cell>
          <cell r="Y212" t="str">
            <v>Alarm mundur off</v>
          </cell>
        </row>
        <row r="213">
          <cell r="C213">
            <v>7185</v>
          </cell>
          <cell r="D213">
            <v>7194.5</v>
          </cell>
          <cell r="E213">
            <v>7194.5</v>
          </cell>
          <cell r="F213">
            <v>7194.5</v>
          </cell>
          <cell r="G213">
            <v>9.5</v>
          </cell>
          <cell r="H213">
            <v>0</v>
          </cell>
          <cell r="I213">
            <v>9.5</v>
          </cell>
          <cell r="J213">
            <v>14.5</v>
          </cell>
          <cell r="N213">
            <v>0</v>
          </cell>
          <cell r="R213">
            <v>0</v>
          </cell>
          <cell r="V213">
            <v>0</v>
          </cell>
          <cell r="X213">
            <v>0</v>
          </cell>
          <cell r="Y213">
            <v>0</v>
          </cell>
        </row>
        <row r="214">
          <cell r="C214">
            <v>7194.5</v>
          </cell>
          <cell r="D214">
            <v>7198.5</v>
          </cell>
          <cell r="E214">
            <v>7198.5</v>
          </cell>
          <cell r="F214">
            <v>7204</v>
          </cell>
          <cell r="G214">
            <v>4</v>
          </cell>
          <cell r="H214">
            <v>5.5</v>
          </cell>
          <cell r="I214">
            <v>9.5</v>
          </cell>
          <cell r="J214">
            <v>14.333333333333334</v>
          </cell>
          <cell r="L214">
            <v>0.32291666666666669</v>
          </cell>
          <cell r="M214">
            <v>0.3298611111111111</v>
          </cell>
          <cell r="N214">
            <v>0.16666666666666607</v>
          </cell>
          <cell r="O214" t="str">
            <v>Oil engine low</v>
          </cell>
          <cell r="R214">
            <v>0</v>
          </cell>
          <cell r="V214">
            <v>0</v>
          </cell>
          <cell r="X214">
            <v>0.16666666666666607</v>
          </cell>
          <cell r="Y214" t="str">
            <v>Oil engine low</v>
          </cell>
        </row>
        <row r="215">
          <cell r="C215">
            <v>7204</v>
          </cell>
          <cell r="D215">
            <v>7204</v>
          </cell>
          <cell r="E215">
            <v>7204</v>
          </cell>
          <cell r="F215">
            <v>7208.7</v>
          </cell>
          <cell r="G215">
            <v>0</v>
          </cell>
          <cell r="H215">
            <v>4.6999999999998181</v>
          </cell>
          <cell r="I215">
            <v>4.6999999999998181</v>
          </cell>
          <cell r="J215">
            <v>19.300000000000182</v>
          </cell>
          <cell r="N215">
            <v>0</v>
          </cell>
          <cell r="R215">
            <v>0</v>
          </cell>
          <cell r="X215">
            <v>0</v>
          </cell>
          <cell r="Y215">
            <v>0</v>
          </cell>
        </row>
        <row r="216">
          <cell r="C216">
            <v>7208.7</v>
          </cell>
          <cell r="D216">
            <v>7215.2</v>
          </cell>
          <cell r="E216">
            <v>7215.2</v>
          </cell>
          <cell r="F216">
            <v>7215.2</v>
          </cell>
          <cell r="G216">
            <v>6.5</v>
          </cell>
          <cell r="H216">
            <v>0</v>
          </cell>
          <cell r="I216">
            <v>6.5</v>
          </cell>
          <cell r="J216">
            <v>16.75</v>
          </cell>
          <cell r="L216">
            <v>0.15625</v>
          </cell>
          <cell r="M216">
            <v>0.1875</v>
          </cell>
          <cell r="N216">
            <v>0.75</v>
          </cell>
          <cell r="O216" t="str">
            <v>Lampu kerja off</v>
          </cell>
          <cell r="R216">
            <v>0</v>
          </cell>
          <cell r="V216">
            <v>0</v>
          </cell>
          <cell r="X216">
            <v>0.75</v>
          </cell>
          <cell r="Y216" t="str">
            <v>Lampu kerja off</v>
          </cell>
        </row>
        <row r="217">
          <cell r="C217">
            <v>7215.2</v>
          </cell>
          <cell r="D217">
            <v>7224.2</v>
          </cell>
          <cell r="E217">
            <v>7224.2</v>
          </cell>
          <cell r="F217">
            <v>7228.5</v>
          </cell>
          <cell r="G217">
            <v>9</v>
          </cell>
          <cell r="H217">
            <v>4.3000000000001819</v>
          </cell>
          <cell r="I217">
            <v>13.300000000000182</v>
          </cell>
          <cell r="J217">
            <v>10.416666666666487</v>
          </cell>
          <cell r="L217">
            <v>0.81458333333333333</v>
          </cell>
          <cell r="M217">
            <v>0.82638888888888884</v>
          </cell>
          <cell r="N217">
            <v>0.28333333333333233</v>
          </cell>
          <cell r="O217" t="str">
            <v>Repaire lampu kerja</v>
          </cell>
          <cell r="R217">
            <v>0</v>
          </cell>
          <cell r="V217">
            <v>0</v>
          </cell>
          <cell r="X217">
            <v>0.28333333333333233</v>
          </cell>
          <cell r="Y217" t="str">
            <v>Repaire lampu kerja</v>
          </cell>
        </row>
        <row r="218">
          <cell r="C218">
            <v>7228.5</v>
          </cell>
          <cell r="D218">
            <v>7237</v>
          </cell>
          <cell r="E218">
            <v>7237</v>
          </cell>
          <cell r="F218">
            <v>7245</v>
          </cell>
          <cell r="G218">
            <v>8.5</v>
          </cell>
          <cell r="H218">
            <v>8</v>
          </cell>
          <cell r="I218">
            <v>16.5</v>
          </cell>
          <cell r="J218">
            <v>7.25</v>
          </cell>
          <cell r="L218">
            <v>0.34375</v>
          </cell>
          <cell r="M218">
            <v>0.35416666666666669</v>
          </cell>
          <cell r="N218">
            <v>0.25000000000000044</v>
          </cell>
          <cell r="O218" t="str">
            <v>Pedal gas abnormal</v>
          </cell>
          <cell r="R218">
            <v>0</v>
          </cell>
          <cell r="V218">
            <v>0</v>
          </cell>
          <cell r="X218">
            <v>0.25000000000000044</v>
          </cell>
          <cell r="Y218" t="str">
            <v>Pedal gas abnormal</v>
          </cell>
        </row>
        <row r="219">
          <cell r="C219">
            <v>7245</v>
          </cell>
          <cell r="D219">
            <v>7253</v>
          </cell>
          <cell r="E219">
            <v>7253</v>
          </cell>
          <cell r="F219">
            <v>7263</v>
          </cell>
          <cell r="G219">
            <v>8</v>
          </cell>
          <cell r="H219">
            <v>10</v>
          </cell>
          <cell r="I219">
            <v>18</v>
          </cell>
          <cell r="J219">
            <v>5.5</v>
          </cell>
          <cell r="L219">
            <v>0.69791666666666663</v>
          </cell>
          <cell r="M219">
            <v>0.71875</v>
          </cell>
          <cell r="N219">
            <v>0.50000000000000089</v>
          </cell>
          <cell r="O219" t="str">
            <v>Hose tilt bocor</v>
          </cell>
          <cell r="R219">
            <v>0</v>
          </cell>
          <cell r="V219">
            <v>0</v>
          </cell>
          <cell r="X219">
            <v>0.50000000000000089</v>
          </cell>
          <cell r="Y219" t="str">
            <v>Hose tilt bocor</v>
          </cell>
        </row>
        <row r="220">
          <cell r="C220">
            <v>7263</v>
          </cell>
          <cell r="D220">
            <v>7267</v>
          </cell>
          <cell r="E220">
            <v>7267</v>
          </cell>
          <cell r="F220">
            <v>7267</v>
          </cell>
          <cell r="G220">
            <v>4</v>
          </cell>
          <cell r="H220">
            <v>0</v>
          </cell>
          <cell r="I220">
            <v>4</v>
          </cell>
          <cell r="J220">
            <v>20</v>
          </cell>
          <cell r="N220">
            <v>0</v>
          </cell>
          <cell r="R220">
            <v>0</v>
          </cell>
          <cell r="V220">
            <v>0</v>
          </cell>
          <cell r="X220">
            <v>0</v>
          </cell>
          <cell r="Y220">
            <v>0</v>
          </cell>
        </row>
        <row r="221">
          <cell r="C221">
            <v>7267</v>
          </cell>
          <cell r="D221">
            <v>7267</v>
          </cell>
          <cell r="E221">
            <v>7267</v>
          </cell>
          <cell r="F221">
            <v>7278</v>
          </cell>
          <cell r="G221">
            <v>0</v>
          </cell>
          <cell r="H221">
            <v>11</v>
          </cell>
          <cell r="I221">
            <v>11</v>
          </cell>
          <cell r="J221">
            <v>13</v>
          </cell>
          <cell r="N221">
            <v>0</v>
          </cell>
          <cell r="R221">
            <v>0</v>
          </cell>
          <cell r="V221">
            <v>0</v>
          </cell>
          <cell r="X221">
            <v>0</v>
          </cell>
          <cell r="Y221">
            <v>0</v>
          </cell>
        </row>
        <row r="222">
          <cell r="C222">
            <v>7278</v>
          </cell>
          <cell r="D222">
            <v>7287</v>
          </cell>
          <cell r="E222">
            <v>7287</v>
          </cell>
          <cell r="F222">
            <v>7297</v>
          </cell>
          <cell r="G222">
            <v>9</v>
          </cell>
          <cell r="H222">
            <v>10</v>
          </cell>
          <cell r="I222">
            <v>19</v>
          </cell>
          <cell r="J222">
            <v>5</v>
          </cell>
          <cell r="N222">
            <v>0</v>
          </cell>
          <cell r="R222">
            <v>0</v>
          </cell>
          <cell r="V222">
            <v>0</v>
          </cell>
          <cell r="X222">
            <v>0</v>
          </cell>
          <cell r="Y222">
            <v>0</v>
          </cell>
        </row>
        <row r="223">
          <cell r="C223">
            <v>7297</v>
          </cell>
          <cell r="D223">
            <v>7301</v>
          </cell>
          <cell r="E223">
            <v>7301</v>
          </cell>
          <cell r="F223">
            <v>7301</v>
          </cell>
          <cell r="G223">
            <v>4</v>
          </cell>
          <cell r="H223">
            <v>0</v>
          </cell>
          <cell r="I223">
            <v>4</v>
          </cell>
          <cell r="J223">
            <v>20</v>
          </cell>
          <cell r="N223">
            <v>0</v>
          </cell>
          <cell r="R223">
            <v>0</v>
          </cell>
          <cell r="V223">
            <v>0</v>
          </cell>
          <cell r="X223">
            <v>0</v>
          </cell>
          <cell r="Y223">
            <v>0</v>
          </cell>
        </row>
        <row r="224">
          <cell r="C224">
            <v>7301</v>
          </cell>
          <cell r="D224">
            <v>7309</v>
          </cell>
          <cell r="E224">
            <v>7309</v>
          </cell>
          <cell r="F224">
            <v>7320</v>
          </cell>
          <cell r="G224">
            <v>8</v>
          </cell>
          <cell r="H224">
            <v>11</v>
          </cell>
          <cell r="I224">
            <v>19</v>
          </cell>
          <cell r="J224">
            <v>4.9166666666666679</v>
          </cell>
          <cell r="L224">
            <v>0.85416666666666663</v>
          </cell>
          <cell r="M224">
            <v>0.85763888888888884</v>
          </cell>
          <cell r="N224">
            <v>8.3333333333333037E-2</v>
          </cell>
          <cell r="O224" t="str">
            <v>Water radiator low</v>
          </cell>
          <cell r="R224">
            <v>0</v>
          </cell>
          <cell r="V224">
            <v>0</v>
          </cell>
          <cell r="X224">
            <v>8.3333333333333037E-2</v>
          </cell>
          <cell r="Y224" t="str">
            <v>Water radiator low</v>
          </cell>
        </row>
        <row r="225">
          <cell r="C225">
            <v>7320</v>
          </cell>
          <cell r="D225">
            <v>7321</v>
          </cell>
          <cell r="E225">
            <v>7321</v>
          </cell>
          <cell r="F225">
            <v>7321</v>
          </cell>
          <cell r="G225">
            <v>1</v>
          </cell>
          <cell r="H225">
            <v>0</v>
          </cell>
          <cell r="I225">
            <v>1</v>
          </cell>
          <cell r="J225">
            <v>17.133333333333333</v>
          </cell>
          <cell r="L225">
            <v>0.30763888888888891</v>
          </cell>
          <cell r="M225">
            <v>0.55208333333333337</v>
          </cell>
          <cell r="N225">
            <v>5.8666666666666671</v>
          </cell>
          <cell r="O225" t="str">
            <v>Ac hot</v>
          </cell>
          <cell r="R225">
            <v>0</v>
          </cell>
          <cell r="V225">
            <v>0</v>
          </cell>
          <cell r="X225">
            <v>5.8666666666666671</v>
          </cell>
          <cell r="Y225" t="str">
            <v>Ac hot</v>
          </cell>
        </row>
        <row r="226">
          <cell r="C226">
            <v>7321</v>
          </cell>
          <cell r="D226">
            <v>7330</v>
          </cell>
          <cell r="E226">
            <v>7330</v>
          </cell>
          <cell r="F226">
            <v>7340</v>
          </cell>
          <cell r="G226">
            <v>9</v>
          </cell>
          <cell r="H226">
            <v>10</v>
          </cell>
          <cell r="I226">
            <v>19</v>
          </cell>
          <cell r="J226">
            <v>4.8999999999999986</v>
          </cell>
          <cell r="L226">
            <v>0.79513888888888884</v>
          </cell>
          <cell r="M226">
            <v>0.7993055555555556</v>
          </cell>
          <cell r="N226">
            <v>0.10000000000000231</v>
          </cell>
          <cell r="O226" t="str">
            <v>Perbaikan lampu kerja</v>
          </cell>
          <cell r="R226">
            <v>0</v>
          </cell>
          <cell r="V226">
            <v>0</v>
          </cell>
          <cell r="X226">
            <v>0.10000000000000231</v>
          </cell>
          <cell r="Y226" t="str">
            <v>Perbaikan lampu kerja</v>
          </cell>
        </row>
        <row r="227">
          <cell r="C227">
            <v>7340</v>
          </cell>
          <cell r="D227">
            <v>7348</v>
          </cell>
          <cell r="E227">
            <v>7348</v>
          </cell>
          <cell r="F227">
            <v>7360</v>
          </cell>
          <cell r="G227">
            <v>8</v>
          </cell>
          <cell r="H227">
            <v>12</v>
          </cell>
          <cell r="I227">
            <v>20</v>
          </cell>
          <cell r="J227">
            <v>4</v>
          </cell>
          <cell r="N227">
            <v>0</v>
          </cell>
          <cell r="R227">
            <v>0</v>
          </cell>
          <cell r="V227">
            <v>0</v>
          </cell>
          <cell r="X227">
            <v>0</v>
          </cell>
          <cell r="Y227">
            <v>0</v>
          </cell>
        </row>
        <row r="228">
          <cell r="C228">
            <v>7360</v>
          </cell>
          <cell r="D228">
            <v>7368</v>
          </cell>
          <cell r="E228">
            <v>7368</v>
          </cell>
          <cell r="F228">
            <v>7368</v>
          </cell>
          <cell r="G228">
            <v>8</v>
          </cell>
          <cell r="H228">
            <v>0</v>
          </cell>
          <cell r="I228">
            <v>8</v>
          </cell>
          <cell r="J228">
            <v>16</v>
          </cell>
          <cell r="N228">
            <v>0</v>
          </cell>
          <cell r="R228">
            <v>0</v>
          </cell>
          <cell r="V228">
            <v>0</v>
          </cell>
          <cell r="X228">
            <v>0</v>
          </cell>
          <cell r="Y228">
            <v>0</v>
          </cell>
        </row>
        <row r="229">
          <cell r="C229">
            <v>7368</v>
          </cell>
          <cell r="D229">
            <v>7374</v>
          </cell>
          <cell r="E229">
            <v>7374</v>
          </cell>
          <cell r="F229">
            <v>7385</v>
          </cell>
          <cell r="G229">
            <v>6</v>
          </cell>
          <cell r="H229">
            <v>11</v>
          </cell>
          <cell r="I229">
            <v>17</v>
          </cell>
          <cell r="J229">
            <v>3.6666666666666679</v>
          </cell>
          <cell r="L229">
            <v>0.29166666666666669</v>
          </cell>
          <cell r="M229">
            <v>0.43055555555555558</v>
          </cell>
          <cell r="N229">
            <v>3.3333333333333335</v>
          </cell>
          <cell r="O229" t="str">
            <v>Ac abnormal</v>
          </cell>
          <cell r="R229">
            <v>0</v>
          </cell>
          <cell r="V229">
            <v>0</v>
          </cell>
          <cell r="X229">
            <v>3.3333333333333335</v>
          </cell>
          <cell r="Y229" t="str">
            <v>Ac abnormal</v>
          </cell>
        </row>
        <row r="230">
          <cell r="C230">
            <v>7385</v>
          </cell>
          <cell r="D230">
            <v>7392</v>
          </cell>
          <cell r="E230">
            <v>7392</v>
          </cell>
          <cell r="F230">
            <v>7392</v>
          </cell>
          <cell r="G230">
            <v>7</v>
          </cell>
          <cell r="H230">
            <v>0</v>
          </cell>
          <cell r="I230">
            <v>7</v>
          </cell>
          <cell r="J230">
            <v>17</v>
          </cell>
          <cell r="N230">
            <v>0</v>
          </cell>
          <cell r="R230">
            <v>0</v>
          </cell>
          <cell r="V230">
            <v>0</v>
          </cell>
          <cell r="X230">
            <v>0</v>
          </cell>
          <cell r="Y230">
            <v>0</v>
          </cell>
        </row>
        <row r="231">
          <cell r="C231">
            <v>7392</v>
          </cell>
          <cell r="D231">
            <v>7392</v>
          </cell>
          <cell r="E231">
            <v>7392</v>
          </cell>
          <cell r="F231">
            <v>7392</v>
          </cell>
          <cell r="G231">
            <v>0</v>
          </cell>
          <cell r="H231">
            <v>0</v>
          </cell>
          <cell r="I231">
            <v>0</v>
          </cell>
          <cell r="J231">
            <v>24</v>
          </cell>
          <cell r="K231" t="str">
            <v>Standby</v>
          </cell>
          <cell r="N231">
            <v>0</v>
          </cell>
          <cell r="R231">
            <v>0</v>
          </cell>
          <cell r="V231">
            <v>0</v>
          </cell>
          <cell r="X231">
            <v>0</v>
          </cell>
          <cell r="Y231">
            <v>0</v>
          </cell>
        </row>
        <row r="232">
          <cell r="C232">
            <v>7392</v>
          </cell>
          <cell r="D232">
            <v>7392</v>
          </cell>
          <cell r="E232">
            <v>7392</v>
          </cell>
          <cell r="F232">
            <v>7392</v>
          </cell>
          <cell r="G232">
            <v>0</v>
          </cell>
          <cell r="H232">
            <v>0</v>
          </cell>
          <cell r="I232">
            <v>0</v>
          </cell>
          <cell r="J232">
            <v>24</v>
          </cell>
          <cell r="K232" t="str">
            <v>Standby</v>
          </cell>
          <cell r="N232">
            <v>0</v>
          </cell>
          <cell r="R232">
            <v>0</v>
          </cell>
          <cell r="V232">
            <v>0</v>
          </cell>
          <cell r="X232">
            <v>0</v>
          </cell>
          <cell r="Y232">
            <v>0</v>
          </cell>
        </row>
        <row r="233">
          <cell r="C233">
            <v>7392</v>
          </cell>
          <cell r="D233">
            <v>7392</v>
          </cell>
          <cell r="E233">
            <v>7392</v>
          </cell>
          <cell r="F233">
            <v>7392</v>
          </cell>
          <cell r="G233">
            <v>0</v>
          </cell>
          <cell r="H233">
            <v>0</v>
          </cell>
          <cell r="I233">
            <v>0</v>
          </cell>
          <cell r="J233">
            <v>24</v>
          </cell>
          <cell r="K233" t="str">
            <v>Standby</v>
          </cell>
          <cell r="N233">
            <v>0</v>
          </cell>
          <cell r="R233">
            <v>0</v>
          </cell>
          <cell r="V233">
            <v>0</v>
          </cell>
          <cell r="X233">
            <v>0</v>
          </cell>
          <cell r="Y233">
            <v>0</v>
          </cell>
        </row>
        <row r="234">
          <cell r="C234">
            <v>7125</v>
          </cell>
          <cell r="D234">
            <v>7392</v>
          </cell>
          <cell r="E234">
            <v>7125</v>
          </cell>
          <cell r="F234">
            <v>7392</v>
          </cell>
          <cell r="G234">
            <v>132.69999999999982</v>
          </cell>
          <cell r="H234">
            <v>134.30000000000018</v>
          </cell>
          <cell r="I234">
            <v>267</v>
          </cell>
          <cell r="J234">
            <v>461.4666666666667</v>
          </cell>
          <cell r="N234">
            <v>13.91666666666667</v>
          </cell>
          <cell r="R234">
            <v>1.6166666666666663</v>
          </cell>
          <cell r="V234" t="str">
            <v/>
          </cell>
        </row>
        <row r="235">
          <cell r="V235" t="str">
            <v/>
          </cell>
        </row>
        <row r="236">
          <cell r="C236">
            <v>8337.5</v>
          </cell>
          <cell r="D236">
            <v>8337.5</v>
          </cell>
          <cell r="E236">
            <v>8337.5</v>
          </cell>
          <cell r="F236">
            <v>8337.5</v>
          </cell>
          <cell r="G236">
            <v>0</v>
          </cell>
          <cell r="H236">
            <v>0</v>
          </cell>
          <cell r="I236">
            <v>0</v>
          </cell>
          <cell r="J236">
            <v>24</v>
          </cell>
          <cell r="N236">
            <v>0</v>
          </cell>
          <cell r="R236">
            <v>0</v>
          </cell>
          <cell r="V236">
            <v>0</v>
          </cell>
          <cell r="X236">
            <v>0</v>
          </cell>
          <cell r="Y236">
            <v>0</v>
          </cell>
        </row>
        <row r="237">
          <cell r="C237">
            <v>8337.5</v>
          </cell>
          <cell r="D237">
            <v>8337.5</v>
          </cell>
          <cell r="E237">
            <v>8337.5</v>
          </cell>
          <cell r="F237">
            <v>8337.5</v>
          </cell>
          <cell r="G237">
            <v>0</v>
          </cell>
          <cell r="H237">
            <v>0</v>
          </cell>
          <cell r="I237">
            <v>0</v>
          </cell>
          <cell r="J237">
            <v>24</v>
          </cell>
          <cell r="N237">
            <v>0</v>
          </cell>
          <cell r="R237">
            <v>0</v>
          </cell>
          <cell r="V237">
            <v>0</v>
          </cell>
          <cell r="X237">
            <v>0</v>
          </cell>
          <cell r="Y237">
            <v>0</v>
          </cell>
        </row>
        <row r="238">
          <cell r="C238">
            <v>8337.5</v>
          </cell>
          <cell r="D238">
            <v>8337.5</v>
          </cell>
          <cell r="E238">
            <v>8337.5</v>
          </cell>
          <cell r="F238">
            <v>8337.5</v>
          </cell>
          <cell r="G238">
            <v>0</v>
          </cell>
          <cell r="H238">
            <v>0</v>
          </cell>
          <cell r="I238">
            <v>0</v>
          </cell>
          <cell r="J238">
            <v>24</v>
          </cell>
          <cell r="N238">
            <v>0</v>
          </cell>
          <cell r="R238">
            <v>0</v>
          </cell>
          <cell r="V238">
            <v>0</v>
          </cell>
          <cell r="X238">
            <v>0</v>
          </cell>
          <cell r="Y238">
            <v>0</v>
          </cell>
        </row>
        <row r="239">
          <cell r="C239">
            <v>8337.5</v>
          </cell>
          <cell r="D239">
            <v>8337.5</v>
          </cell>
          <cell r="E239">
            <v>8337.5</v>
          </cell>
          <cell r="F239">
            <v>8337.5</v>
          </cell>
          <cell r="G239">
            <v>0</v>
          </cell>
          <cell r="H239">
            <v>0</v>
          </cell>
          <cell r="I239">
            <v>0</v>
          </cell>
          <cell r="J239">
            <v>24</v>
          </cell>
          <cell r="N239">
            <v>0</v>
          </cell>
          <cell r="R239">
            <v>0</v>
          </cell>
          <cell r="V239">
            <v>0</v>
          </cell>
          <cell r="X239">
            <v>0</v>
          </cell>
          <cell r="Y239">
            <v>0</v>
          </cell>
        </row>
        <row r="240">
          <cell r="C240">
            <v>8337.5</v>
          </cell>
          <cell r="D240">
            <v>8337.5</v>
          </cell>
          <cell r="E240">
            <v>8337.5</v>
          </cell>
          <cell r="F240">
            <v>8340</v>
          </cell>
          <cell r="G240">
            <v>0</v>
          </cell>
          <cell r="H240">
            <v>2.5</v>
          </cell>
          <cell r="I240">
            <v>2.5</v>
          </cell>
          <cell r="J240">
            <v>19.5</v>
          </cell>
          <cell r="L240">
            <v>0.78125</v>
          </cell>
          <cell r="M240">
            <v>0.86458333333333337</v>
          </cell>
          <cell r="N240">
            <v>2.0000000000000009</v>
          </cell>
          <cell r="O240" t="str">
            <v>Lampu kerja mati semua</v>
          </cell>
          <cell r="R240">
            <v>0</v>
          </cell>
          <cell r="V240">
            <v>0</v>
          </cell>
          <cell r="X240">
            <v>2.0000000000000009</v>
          </cell>
          <cell r="Y240" t="str">
            <v>Lampu kerja mati semua</v>
          </cell>
        </row>
        <row r="241">
          <cell r="C241">
            <v>8340</v>
          </cell>
          <cell r="D241">
            <v>8340</v>
          </cell>
          <cell r="E241">
            <v>8340</v>
          </cell>
          <cell r="F241">
            <v>8340</v>
          </cell>
          <cell r="G241">
            <v>0</v>
          </cell>
          <cell r="H241">
            <v>0</v>
          </cell>
          <cell r="I241">
            <v>0</v>
          </cell>
          <cell r="J241">
            <v>24</v>
          </cell>
          <cell r="N241">
            <v>0</v>
          </cell>
          <cell r="R241">
            <v>0</v>
          </cell>
          <cell r="V241">
            <v>0</v>
          </cell>
          <cell r="X241">
            <v>0</v>
          </cell>
          <cell r="Y241">
            <v>0</v>
          </cell>
        </row>
        <row r="242">
          <cell r="C242">
            <v>8340</v>
          </cell>
          <cell r="D242">
            <v>8340</v>
          </cell>
          <cell r="E242">
            <v>8340</v>
          </cell>
          <cell r="F242">
            <v>8340</v>
          </cell>
          <cell r="G242">
            <v>0</v>
          </cell>
          <cell r="H242">
            <v>0</v>
          </cell>
          <cell r="I242">
            <v>0</v>
          </cell>
          <cell r="J242">
            <v>24</v>
          </cell>
          <cell r="N242">
            <v>0</v>
          </cell>
          <cell r="R242">
            <v>0</v>
          </cell>
          <cell r="V242">
            <v>0</v>
          </cell>
          <cell r="X242">
            <v>0</v>
          </cell>
          <cell r="Y242">
            <v>0</v>
          </cell>
        </row>
        <row r="243">
          <cell r="C243">
            <v>8340</v>
          </cell>
          <cell r="D243">
            <v>8347</v>
          </cell>
          <cell r="E243">
            <v>8347</v>
          </cell>
          <cell r="F243">
            <v>8347</v>
          </cell>
          <cell r="G243">
            <v>7</v>
          </cell>
          <cell r="H243">
            <v>0</v>
          </cell>
          <cell r="I243">
            <v>7</v>
          </cell>
          <cell r="J243">
            <v>16.75</v>
          </cell>
          <cell r="L243">
            <v>0.37291666666666662</v>
          </cell>
          <cell r="M243">
            <v>0.3833333333333333</v>
          </cell>
          <cell r="N243">
            <v>0.25000000000000044</v>
          </cell>
          <cell r="O243" t="str">
            <v>Cant start</v>
          </cell>
          <cell r="V243">
            <v>0</v>
          </cell>
          <cell r="X243">
            <v>0.25000000000000044</v>
          </cell>
          <cell r="Y243" t="str">
            <v>Cant start</v>
          </cell>
        </row>
        <row r="244">
          <cell r="C244">
            <v>8347</v>
          </cell>
          <cell r="D244">
            <v>8348</v>
          </cell>
          <cell r="E244">
            <v>8348</v>
          </cell>
          <cell r="F244">
            <v>8348</v>
          </cell>
          <cell r="G244">
            <v>1</v>
          </cell>
          <cell r="H244">
            <v>0</v>
          </cell>
          <cell r="I244">
            <v>1</v>
          </cell>
          <cell r="J244">
            <v>23</v>
          </cell>
          <cell r="N244">
            <v>0</v>
          </cell>
          <cell r="V244">
            <v>0</v>
          </cell>
          <cell r="X244">
            <v>0</v>
          </cell>
          <cell r="Y244">
            <v>0</v>
          </cell>
        </row>
        <row r="245">
          <cell r="C245">
            <v>8348</v>
          </cell>
          <cell r="D245">
            <v>8357</v>
          </cell>
          <cell r="E245">
            <v>8357</v>
          </cell>
          <cell r="F245">
            <v>8366.5</v>
          </cell>
          <cell r="G245">
            <v>9</v>
          </cell>
          <cell r="H245">
            <v>9.5</v>
          </cell>
          <cell r="I245">
            <v>18.5</v>
          </cell>
          <cell r="J245">
            <v>5.3333333333333321</v>
          </cell>
          <cell r="L245">
            <v>0.30208333333333331</v>
          </cell>
          <cell r="M245">
            <v>0.30902777777777779</v>
          </cell>
          <cell r="N245">
            <v>0.16666666666666741</v>
          </cell>
          <cell r="O245" t="str">
            <v>Cant start</v>
          </cell>
          <cell r="V245">
            <v>0</v>
          </cell>
          <cell r="X245">
            <v>0.16666666666666741</v>
          </cell>
          <cell r="Y245" t="str">
            <v>Cant start</v>
          </cell>
        </row>
        <row r="246">
          <cell r="C246">
            <v>8366.5</v>
          </cell>
          <cell r="D246">
            <v>8374</v>
          </cell>
          <cell r="E246">
            <v>8374</v>
          </cell>
          <cell r="F246">
            <v>8385</v>
          </cell>
          <cell r="G246">
            <v>7.5</v>
          </cell>
          <cell r="H246">
            <v>11</v>
          </cell>
          <cell r="I246">
            <v>18.5</v>
          </cell>
          <cell r="J246">
            <v>5.5</v>
          </cell>
          <cell r="N246">
            <v>0</v>
          </cell>
          <cell r="V246">
            <v>0</v>
          </cell>
          <cell r="X246">
            <v>0</v>
          </cell>
          <cell r="Y246">
            <v>0</v>
          </cell>
        </row>
        <row r="247">
          <cell r="C247">
            <v>8385</v>
          </cell>
          <cell r="D247">
            <v>8395</v>
          </cell>
          <cell r="E247">
            <v>8395</v>
          </cell>
          <cell r="F247">
            <v>8404</v>
          </cell>
          <cell r="G247">
            <v>10</v>
          </cell>
          <cell r="H247">
            <v>9</v>
          </cell>
          <cell r="I247">
            <v>19</v>
          </cell>
          <cell r="J247">
            <v>5</v>
          </cell>
          <cell r="N247">
            <v>0</v>
          </cell>
          <cell r="V247">
            <v>0</v>
          </cell>
          <cell r="X247">
            <v>0</v>
          </cell>
          <cell r="Y247">
            <v>0</v>
          </cell>
        </row>
        <row r="248">
          <cell r="C248">
            <v>8404</v>
          </cell>
          <cell r="D248">
            <v>8412.5</v>
          </cell>
          <cell r="E248">
            <v>8412.5</v>
          </cell>
          <cell r="F248">
            <v>8423</v>
          </cell>
          <cell r="G248">
            <v>8.5</v>
          </cell>
          <cell r="H248">
            <v>10.5</v>
          </cell>
          <cell r="I248">
            <v>19</v>
          </cell>
          <cell r="J248">
            <v>5</v>
          </cell>
          <cell r="N248">
            <v>0</v>
          </cell>
          <cell r="V248">
            <v>0</v>
          </cell>
          <cell r="X248">
            <v>0</v>
          </cell>
          <cell r="Y248">
            <v>0</v>
          </cell>
        </row>
        <row r="249">
          <cell r="C249">
            <v>8423</v>
          </cell>
          <cell r="D249">
            <v>8431.7999999999993</v>
          </cell>
          <cell r="E249">
            <v>8431.7999999999993</v>
          </cell>
          <cell r="F249">
            <v>8434</v>
          </cell>
          <cell r="G249">
            <v>8.7999999999992724</v>
          </cell>
          <cell r="H249">
            <v>2.2000000000007276</v>
          </cell>
          <cell r="I249">
            <v>11</v>
          </cell>
          <cell r="J249">
            <v>9.4333333333333336</v>
          </cell>
          <cell r="L249">
            <v>0.14305555555555557</v>
          </cell>
          <cell r="M249">
            <v>0.29166666666666669</v>
          </cell>
          <cell r="N249">
            <v>3.5666666666666664</v>
          </cell>
          <cell r="O249" t="str">
            <v>Oil hydrolick bocor</v>
          </cell>
          <cell r="V249">
            <v>0</v>
          </cell>
          <cell r="X249">
            <v>3.5666666666666664</v>
          </cell>
          <cell r="Y249" t="str">
            <v>Oil hydrolick bocor</v>
          </cell>
        </row>
        <row r="250">
          <cell r="C250">
            <v>8434</v>
          </cell>
          <cell r="D250">
            <v>8440.5</v>
          </cell>
          <cell r="E250">
            <v>8440.5</v>
          </cell>
          <cell r="F250">
            <v>8449</v>
          </cell>
          <cell r="G250">
            <v>6.5</v>
          </cell>
          <cell r="H250">
            <v>8.5</v>
          </cell>
          <cell r="I250">
            <v>15</v>
          </cell>
          <cell r="J250">
            <v>8</v>
          </cell>
          <cell r="L250">
            <v>0.29166666666666669</v>
          </cell>
          <cell r="M250">
            <v>0.33333333333333331</v>
          </cell>
          <cell r="N250">
            <v>0.99999999999999911</v>
          </cell>
          <cell r="O250" t="str">
            <v>Tilt blit bocor</v>
          </cell>
          <cell r="R250">
            <v>0</v>
          </cell>
          <cell r="V250">
            <v>0</v>
          </cell>
          <cell r="X250">
            <v>0.99999999999999911</v>
          </cell>
          <cell r="Y250" t="str">
            <v>Tilt blit bocor</v>
          </cell>
        </row>
        <row r="251">
          <cell r="C251">
            <v>8449</v>
          </cell>
          <cell r="D251">
            <v>8459</v>
          </cell>
          <cell r="E251">
            <v>8459</v>
          </cell>
          <cell r="F251">
            <v>8467.5</v>
          </cell>
          <cell r="G251">
            <v>10</v>
          </cell>
          <cell r="H251">
            <v>8.5</v>
          </cell>
          <cell r="I251">
            <v>18.5</v>
          </cell>
          <cell r="J251">
            <v>5.5</v>
          </cell>
          <cell r="N251">
            <v>0</v>
          </cell>
          <cell r="R251">
            <v>0</v>
          </cell>
          <cell r="V251">
            <v>0</v>
          </cell>
          <cell r="X251">
            <v>0</v>
          </cell>
          <cell r="Y251">
            <v>0</v>
          </cell>
        </row>
        <row r="252">
          <cell r="C252">
            <v>8467.5</v>
          </cell>
          <cell r="D252">
            <v>8476.5</v>
          </cell>
          <cell r="E252">
            <v>8476.5</v>
          </cell>
          <cell r="F252">
            <v>8476.5</v>
          </cell>
          <cell r="G252">
            <v>9</v>
          </cell>
          <cell r="H252">
            <v>0</v>
          </cell>
          <cell r="I252">
            <v>9</v>
          </cell>
          <cell r="J252">
            <v>15</v>
          </cell>
          <cell r="N252">
            <v>0</v>
          </cell>
          <cell r="R252">
            <v>0</v>
          </cell>
          <cell r="V252">
            <v>0</v>
          </cell>
          <cell r="X252">
            <v>0</v>
          </cell>
          <cell r="Y252">
            <v>0</v>
          </cell>
        </row>
        <row r="253">
          <cell r="C253">
            <v>8476.5</v>
          </cell>
          <cell r="D253">
            <v>8481</v>
          </cell>
          <cell r="E253">
            <v>8481</v>
          </cell>
          <cell r="F253">
            <v>8490.1</v>
          </cell>
          <cell r="G253">
            <v>4.5</v>
          </cell>
          <cell r="H253">
            <v>9.1000000000003638</v>
          </cell>
          <cell r="I253">
            <v>13.600000000000364</v>
          </cell>
          <cell r="J253">
            <v>10.399999999999636</v>
          </cell>
          <cell r="N253">
            <v>0</v>
          </cell>
          <cell r="R253">
            <v>0</v>
          </cell>
          <cell r="V253">
            <v>0</v>
          </cell>
          <cell r="X253">
            <v>0</v>
          </cell>
          <cell r="Y253">
            <v>0</v>
          </cell>
        </row>
        <row r="254">
          <cell r="C254">
            <v>8490.1</v>
          </cell>
          <cell r="D254">
            <v>8499.7000000000007</v>
          </cell>
          <cell r="E254">
            <v>8499.7000000000007</v>
          </cell>
          <cell r="F254">
            <v>8505</v>
          </cell>
          <cell r="G254">
            <v>9.6000000000003638</v>
          </cell>
          <cell r="H254">
            <v>5.2999999999992724</v>
          </cell>
          <cell r="I254">
            <v>14.899999999999636</v>
          </cell>
          <cell r="J254">
            <v>7.6000000000003638</v>
          </cell>
          <cell r="L254">
            <v>0.45833333333333331</v>
          </cell>
          <cell r="M254">
            <v>0.5</v>
          </cell>
          <cell r="N254">
            <v>1.0000000000000004</v>
          </cell>
          <cell r="O254" t="str">
            <v>Ac hot</v>
          </cell>
          <cell r="P254">
            <v>4.1666666666666664E-2</v>
          </cell>
          <cell r="Q254">
            <v>6.25E-2</v>
          </cell>
          <cell r="R254">
            <v>0.5</v>
          </cell>
          <cell r="S254" t="str">
            <v>PsII</v>
          </cell>
          <cell r="V254">
            <v>0</v>
          </cell>
          <cell r="X254">
            <v>1.5000000000000004</v>
          </cell>
          <cell r="Y254" t="str">
            <v>Ac hot,PsII</v>
          </cell>
        </row>
        <row r="255">
          <cell r="C255">
            <v>8505</v>
          </cell>
          <cell r="D255">
            <v>8508</v>
          </cell>
          <cell r="E255">
            <v>8508</v>
          </cell>
          <cell r="F255">
            <v>8508</v>
          </cell>
          <cell r="G255">
            <v>3</v>
          </cell>
          <cell r="H255">
            <v>0</v>
          </cell>
          <cell r="I255">
            <v>3</v>
          </cell>
          <cell r="J255">
            <v>21</v>
          </cell>
          <cell r="N255">
            <v>0</v>
          </cell>
          <cell r="R255">
            <v>0</v>
          </cell>
          <cell r="V255">
            <v>0</v>
          </cell>
          <cell r="X255">
            <v>0</v>
          </cell>
          <cell r="Y255">
            <v>0</v>
          </cell>
        </row>
        <row r="256">
          <cell r="C256">
            <v>8508</v>
          </cell>
          <cell r="D256">
            <v>8508</v>
          </cell>
          <cell r="E256">
            <v>8508</v>
          </cell>
          <cell r="F256">
            <v>8508</v>
          </cell>
          <cell r="G256">
            <v>0</v>
          </cell>
          <cell r="H256">
            <v>0</v>
          </cell>
          <cell r="I256">
            <v>0</v>
          </cell>
          <cell r="J256">
            <v>24</v>
          </cell>
          <cell r="N256">
            <v>0</v>
          </cell>
          <cell r="R256">
            <v>0</v>
          </cell>
          <cell r="V256">
            <v>0</v>
          </cell>
          <cell r="X256">
            <v>0</v>
          </cell>
          <cell r="Y256">
            <v>0</v>
          </cell>
        </row>
        <row r="257">
          <cell r="C257">
            <v>8508</v>
          </cell>
          <cell r="D257">
            <v>8508</v>
          </cell>
          <cell r="E257">
            <v>8508</v>
          </cell>
          <cell r="F257">
            <v>8508</v>
          </cell>
          <cell r="G257">
            <v>0</v>
          </cell>
          <cell r="H257">
            <v>0</v>
          </cell>
          <cell r="I257">
            <v>0</v>
          </cell>
          <cell r="J257">
            <v>24</v>
          </cell>
          <cell r="N257">
            <v>0</v>
          </cell>
          <cell r="R257">
            <v>0</v>
          </cell>
          <cell r="V257">
            <v>0</v>
          </cell>
          <cell r="X257">
            <v>0</v>
          </cell>
          <cell r="Y257">
            <v>0</v>
          </cell>
        </row>
        <row r="258">
          <cell r="C258">
            <v>8508</v>
          </cell>
          <cell r="D258">
            <v>8517</v>
          </cell>
          <cell r="E258">
            <v>8517</v>
          </cell>
          <cell r="F258">
            <v>8526.4</v>
          </cell>
          <cell r="G258">
            <v>9</v>
          </cell>
          <cell r="H258">
            <v>9.3999999999996362</v>
          </cell>
          <cell r="I258">
            <v>18.399999999999636</v>
          </cell>
          <cell r="J258">
            <v>5.6000000000003638</v>
          </cell>
          <cell r="N258">
            <v>0</v>
          </cell>
          <cell r="R258">
            <v>0</v>
          </cell>
          <cell r="V258">
            <v>0</v>
          </cell>
          <cell r="X258">
            <v>0</v>
          </cell>
          <cell r="Y258">
            <v>0</v>
          </cell>
        </row>
        <row r="259">
          <cell r="C259">
            <v>8526.4</v>
          </cell>
          <cell r="D259">
            <v>8533</v>
          </cell>
          <cell r="E259">
            <v>8533</v>
          </cell>
          <cell r="F259">
            <v>8533</v>
          </cell>
          <cell r="G259">
            <v>6.6000000000003638</v>
          </cell>
          <cell r="H259">
            <v>0</v>
          </cell>
          <cell r="I259">
            <v>6.6000000000003638</v>
          </cell>
          <cell r="J259">
            <v>17.399999999999636</v>
          </cell>
          <cell r="N259">
            <v>0</v>
          </cell>
          <cell r="R259">
            <v>0</v>
          </cell>
          <cell r="V259">
            <v>0</v>
          </cell>
          <cell r="X259">
            <v>0</v>
          </cell>
          <cell r="Y259">
            <v>0</v>
          </cell>
        </row>
        <row r="260">
          <cell r="C260">
            <v>8533</v>
          </cell>
          <cell r="D260">
            <v>8543</v>
          </cell>
          <cell r="E260">
            <v>8543</v>
          </cell>
          <cell r="F260">
            <v>8553.5</v>
          </cell>
          <cell r="G260">
            <v>10</v>
          </cell>
          <cell r="H260">
            <v>10.5</v>
          </cell>
          <cell r="I260">
            <v>20.5</v>
          </cell>
          <cell r="J260">
            <v>3.5</v>
          </cell>
          <cell r="N260">
            <v>0</v>
          </cell>
          <cell r="R260">
            <v>0</v>
          </cell>
          <cell r="V260">
            <v>0</v>
          </cell>
          <cell r="X260">
            <v>0</v>
          </cell>
          <cell r="Y260">
            <v>0</v>
          </cell>
        </row>
        <row r="261">
          <cell r="C261">
            <v>8553.5</v>
          </cell>
          <cell r="D261">
            <v>8563</v>
          </cell>
          <cell r="E261">
            <v>8563</v>
          </cell>
          <cell r="F261">
            <v>8574</v>
          </cell>
          <cell r="G261">
            <v>9.5</v>
          </cell>
          <cell r="H261">
            <v>11</v>
          </cell>
          <cell r="I261">
            <v>20.5</v>
          </cell>
          <cell r="J261">
            <v>3.5</v>
          </cell>
          <cell r="N261">
            <v>0</v>
          </cell>
          <cell r="R261">
            <v>0</v>
          </cell>
          <cell r="V261">
            <v>0</v>
          </cell>
          <cell r="X261">
            <v>0</v>
          </cell>
          <cell r="Y261">
            <v>0</v>
          </cell>
        </row>
        <row r="262">
          <cell r="C262">
            <v>8574</v>
          </cell>
          <cell r="D262">
            <v>8584</v>
          </cell>
          <cell r="E262">
            <v>8584</v>
          </cell>
          <cell r="F262">
            <v>8594</v>
          </cell>
          <cell r="G262">
            <v>10</v>
          </cell>
          <cell r="H262">
            <v>10</v>
          </cell>
          <cell r="I262">
            <v>20</v>
          </cell>
          <cell r="J262">
            <v>4</v>
          </cell>
          <cell r="N262">
            <v>0</v>
          </cell>
          <cell r="R262">
            <v>0</v>
          </cell>
          <cell r="V262">
            <v>0</v>
          </cell>
          <cell r="X262">
            <v>0</v>
          </cell>
          <cell r="Y262">
            <v>0</v>
          </cell>
        </row>
        <row r="263">
          <cell r="C263">
            <v>8594</v>
          </cell>
          <cell r="D263">
            <v>8603</v>
          </cell>
          <cell r="E263">
            <v>8603</v>
          </cell>
          <cell r="F263">
            <v>8605.5</v>
          </cell>
          <cell r="G263">
            <v>9</v>
          </cell>
          <cell r="H263">
            <v>2.5</v>
          </cell>
          <cell r="I263">
            <v>11.5</v>
          </cell>
          <cell r="J263">
            <v>10.116666666666788</v>
          </cell>
          <cell r="L263">
            <v>0.96180555555555547</v>
          </cell>
          <cell r="M263">
            <v>6.1111111111111116E-2</v>
          </cell>
          <cell r="N263">
            <v>2.3833333333332121</v>
          </cell>
          <cell r="O263" t="str">
            <v>Hose seal bocor</v>
          </cell>
          <cell r="R263">
            <v>0</v>
          </cell>
          <cell r="V263">
            <v>0</v>
          </cell>
          <cell r="X263">
            <v>2.3833333333332121</v>
          </cell>
          <cell r="Y263" t="str">
            <v>Hose seal bocor</v>
          </cell>
        </row>
        <row r="264">
          <cell r="C264">
            <v>8605.5</v>
          </cell>
          <cell r="D264">
            <v>8605.5</v>
          </cell>
          <cell r="E264">
            <v>8605.5</v>
          </cell>
          <cell r="F264">
            <v>8605.5</v>
          </cell>
          <cell r="G264">
            <v>0</v>
          </cell>
          <cell r="H264">
            <v>0</v>
          </cell>
          <cell r="I264">
            <v>0</v>
          </cell>
          <cell r="J264">
            <v>24</v>
          </cell>
          <cell r="K264" t="str">
            <v>Standby</v>
          </cell>
          <cell r="N264">
            <v>0</v>
          </cell>
          <cell r="R264">
            <v>0</v>
          </cell>
          <cell r="V264">
            <v>0</v>
          </cell>
          <cell r="X264">
            <v>0</v>
          </cell>
          <cell r="Y264">
            <v>0</v>
          </cell>
        </row>
        <row r="265">
          <cell r="C265">
            <v>8605.5</v>
          </cell>
          <cell r="D265">
            <v>8605.5</v>
          </cell>
          <cell r="E265">
            <v>8605.5</v>
          </cell>
          <cell r="F265">
            <v>8605.5</v>
          </cell>
          <cell r="G265">
            <v>0</v>
          </cell>
          <cell r="H265">
            <v>0</v>
          </cell>
          <cell r="I265">
            <v>0</v>
          </cell>
          <cell r="J265">
            <v>24</v>
          </cell>
          <cell r="K265" t="str">
            <v>Standby</v>
          </cell>
          <cell r="N265">
            <v>0</v>
          </cell>
          <cell r="R265">
            <v>0</v>
          </cell>
          <cell r="V265">
            <v>0</v>
          </cell>
          <cell r="X265">
            <v>0</v>
          </cell>
          <cell r="Y265">
            <v>0</v>
          </cell>
        </row>
        <row r="266">
          <cell r="C266">
            <v>8605.5</v>
          </cell>
          <cell r="D266">
            <v>8605.5</v>
          </cell>
          <cell r="E266">
            <v>8605.5</v>
          </cell>
          <cell r="F266">
            <v>8605.5</v>
          </cell>
          <cell r="G266">
            <v>0</v>
          </cell>
          <cell r="H266">
            <v>0</v>
          </cell>
          <cell r="I266">
            <v>0</v>
          </cell>
          <cell r="J266">
            <v>24</v>
          </cell>
          <cell r="K266" t="str">
            <v>Standby</v>
          </cell>
          <cell r="N266">
            <v>0</v>
          </cell>
          <cell r="V266">
            <v>0</v>
          </cell>
          <cell r="X266">
            <v>0</v>
          </cell>
          <cell r="Y266">
            <v>0</v>
          </cell>
        </row>
        <row r="267">
          <cell r="C267">
            <v>8337.5</v>
          </cell>
          <cell r="D267">
            <v>8605.5</v>
          </cell>
          <cell r="E267">
            <v>8337.5</v>
          </cell>
          <cell r="F267">
            <v>8605.5</v>
          </cell>
          <cell r="G267">
            <v>148.5</v>
          </cell>
          <cell r="H267">
            <v>119.5</v>
          </cell>
          <cell r="I267">
            <v>268</v>
          </cell>
          <cell r="J267">
            <v>465.13333333333344</v>
          </cell>
          <cell r="N267">
            <v>10.366666666666546</v>
          </cell>
          <cell r="R267">
            <v>0.5</v>
          </cell>
          <cell r="V267" t="str">
            <v/>
          </cell>
        </row>
        <row r="268">
          <cell r="V268" t="str">
            <v/>
          </cell>
        </row>
        <row r="269">
          <cell r="C269">
            <v>132.5</v>
          </cell>
          <cell r="D269">
            <v>141</v>
          </cell>
          <cell r="E269">
            <v>141</v>
          </cell>
          <cell r="F269">
            <v>145</v>
          </cell>
          <cell r="G269">
            <v>8.5</v>
          </cell>
          <cell r="H269">
            <v>4</v>
          </cell>
          <cell r="I269">
            <v>12.5</v>
          </cell>
          <cell r="J269">
            <v>11</v>
          </cell>
          <cell r="L269">
            <v>0.91666666666666663</v>
          </cell>
          <cell r="M269">
            <v>0.9375</v>
          </cell>
          <cell r="N269">
            <v>0.50000000000000089</v>
          </cell>
          <cell r="O269" t="str">
            <v>Pin riper hilang</v>
          </cell>
          <cell r="R269">
            <v>0</v>
          </cell>
          <cell r="V269">
            <v>0</v>
          </cell>
          <cell r="X269">
            <v>0.50000000000000089</v>
          </cell>
          <cell r="Y269" t="str">
            <v>Pin riper hilang</v>
          </cell>
        </row>
        <row r="270">
          <cell r="C270">
            <v>145</v>
          </cell>
          <cell r="D270">
            <v>153.5</v>
          </cell>
          <cell r="E270">
            <v>153.5</v>
          </cell>
          <cell r="F270">
            <v>164</v>
          </cell>
          <cell r="G270">
            <v>8.5</v>
          </cell>
          <cell r="H270">
            <v>10.5</v>
          </cell>
          <cell r="I270">
            <v>19</v>
          </cell>
          <cell r="J270">
            <v>4.8333333333333357</v>
          </cell>
          <cell r="L270">
            <v>0.83333333333333337</v>
          </cell>
          <cell r="M270">
            <v>0.84027777777777779</v>
          </cell>
          <cell r="N270">
            <v>0.16666666666666607</v>
          </cell>
          <cell r="O270" t="str">
            <v>Baut kendor,riper hilang</v>
          </cell>
          <cell r="R270">
            <v>0</v>
          </cell>
          <cell r="V270">
            <v>0</v>
          </cell>
          <cell r="X270">
            <v>0.16666666666666607</v>
          </cell>
          <cell r="Y270" t="str">
            <v>Baut kendor,riper hilang</v>
          </cell>
        </row>
        <row r="271">
          <cell r="C271">
            <v>164</v>
          </cell>
          <cell r="D271">
            <v>171</v>
          </cell>
          <cell r="E271">
            <v>171</v>
          </cell>
          <cell r="F271">
            <v>181.5</v>
          </cell>
          <cell r="G271">
            <v>7</v>
          </cell>
          <cell r="H271">
            <v>10.5</v>
          </cell>
          <cell r="I271">
            <v>17.5</v>
          </cell>
          <cell r="J271">
            <v>6.5</v>
          </cell>
          <cell r="N271">
            <v>0</v>
          </cell>
          <cell r="R271">
            <v>0</v>
          </cell>
          <cell r="V271">
            <v>0</v>
          </cell>
          <cell r="X271">
            <v>0</v>
          </cell>
          <cell r="Y271">
            <v>0</v>
          </cell>
        </row>
        <row r="272">
          <cell r="C272">
            <v>181.5</v>
          </cell>
          <cell r="D272">
            <v>189</v>
          </cell>
          <cell r="E272">
            <v>189</v>
          </cell>
          <cell r="F272">
            <v>200</v>
          </cell>
          <cell r="G272">
            <v>7.5</v>
          </cell>
          <cell r="H272">
            <v>11</v>
          </cell>
          <cell r="I272">
            <v>18.5</v>
          </cell>
          <cell r="J272">
            <v>5.5</v>
          </cell>
          <cell r="N272">
            <v>0</v>
          </cell>
          <cell r="R272">
            <v>0</v>
          </cell>
          <cell r="V272">
            <v>0</v>
          </cell>
          <cell r="X272">
            <v>0</v>
          </cell>
          <cell r="Y272">
            <v>0</v>
          </cell>
        </row>
        <row r="273">
          <cell r="C273">
            <v>200</v>
          </cell>
          <cell r="D273">
            <v>208</v>
          </cell>
          <cell r="E273">
            <v>208</v>
          </cell>
          <cell r="F273">
            <v>211</v>
          </cell>
          <cell r="G273">
            <v>8</v>
          </cell>
          <cell r="H273">
            <v>3</v>
          </cell>
          <cell r="I273">
            <v>11</v>
          </cell>
          <cell r="J273">
            <v>12.833333333333332</v>
          </cell>
          <cell r="L273">
            <v>0.85763888888888884</v>
          </cell>
          <cell r="M273">
            <v>0.86458333333333337</v>
          </cell>
          <cell r="N273">
            <v>0.16666666666666874</v>
          </cell>
          <cell r="O273" t="str">
            <v>Lampu kerja off semua</v>
          </cell>
          <cell r="R273">
            <v>0</v>
          </cell>
          <cell r="V273">
            <v>0</v>
          </cell>
          <cell r="X273">
            <v>0.16666666666666874</v>
          </cell>
          <cell r="Y273" t="str">
            <v>Lampu kerja off semua</v>
          </cell>
        </row>
        <row r="274">
          <cell r="C274">
            <v>211</v>
          </cell>
          <cell r="D274">
            <v>211</v>
          </cell>
          <cell r="E274">
            <v>211</v>
          </cell>
          <cell r="F274">
            <v>211</v>
          </cell>
          <cell r="G274">
            <v>0</v>
          </cell>
          <cell r="H274">
            <v>0</v>
          </cell>
          <cell r="I274">
            <v>0</v>
          </cell>
          <cell r="J274">
            <v>24</v>
          </cell>
          <cell r="N274">
            <v>0</v>
          </cell>
          <cell r="R274">
            <v>0</v>
          </cell>
          <cell r="V274">
            <v>0</v>
          </cell>
          <cell r="X274">
            <v>0</v>
          </cell>
          <cell r="Y274">
            <v>0</v>
          </cell>
        </row>
        <row r="275">
          <cell r="C275">
            <v>211</v>
          </cell>
          <cell r="D275">
            <v>211</v>
          </cell>
          <cell r="E275">
            <v>211</v>
          </cell>
          <cell r="F275">
            <v>221</v>
          </cell>
          <cell r="G275">
            <v>0</v>
          </cell>
          <cell r="H275">
            <v>10</v>
          </cell>
          <cell r="I275">
            <v>10</v>
          </cell>
          <cell r="J275">
            <v>14</v>
          </cell>
          <cell r="N275">
            <v>0</v>
          </cell>
          <cell r="R275">
            <v>0</v>
          </cell>
          <cell r="V275">
            <v>0</v>
          </cell>
          <cell r="X275">
            <v>0</v>
          </cell>
          <cell r="Y275">
            <v>0</v>
          </cell>
        </row>
        <row r="276">
          <cell r="C276">
            <v>221</v>
          </cell>
          <cell r="D276">
            <v>229</v>
          </cell>
          <cell r="E276">
            <v>229</v>
          </cell>
          <cell r="F276">
            <v>233</v>
          </cell>
          <cell r="G276">
            <v>8</v>
          </cell>
          <cell r="H276">
            <v>4</v>
          </cell>
          <cell r="I276">
            <v>12</v>
          </cell>
          <cell r="J276">
            <v>12</v>
          </cell>
          <cell r="N276">
            <v>0</v>
          </cell>
          <cell r="R276">
            <v>0</v>
          </cell>
          <cell r="V276">
            <v>0</v>
          </cell>
          <cell r="X276">
            <v>0</v>
          </cell>
          <cell r="Y276">
            <v>0</v>
          </cell>
        </row>
        <row r="277">
          <cell r="C277">
            <v>233</v>
          </cell>
          <cell r="D277">
            <v>233</v>
          </cell>
          <cell r="E277">
            <v>233</v>
          </cell>
          <cell r="F277">
            <v>244</v>
          </cell>
          <cell r="G277">
            <v>0</v>
          </cell>
          <cell r="H277">
            <v>11</v>
          </cell>
          <cell r="I277">
            <v>11</v>
          </cell>
          <cell r="J277">
            <v>13</v>
          </cell>
          <cell r="N277">
            <v>0</v>
          </cell>
          <cell r="R277">
            <v>0</v>
          </cell>
          <cell r="V277">
            <v>0</v>
          </cell>
          <cell r="X277">
            <v>0</v>
          </cell>
          <cell r="Y277">
            <v>0</v>
          </cell>
        </row>
        <row r="278">
          <cell r="C278">
            <v>244</v>
          </cell>
          <cell r="D278">
            <v>252.2</v>
          </cell>
          <cell r="E278">
            <v>252.2</v>
          </cell>
          <cell r="F278">
            <v>263.5</v>
          </cell>
          <cell r="G278">
            <v>8.1999999999999886</v>
          </cell>
          <cell r="H278">
            <v>11.300000000000011</v>
          </cell>
          <cell r="I278">
            <v>19.5</v>
          </cell>
          <cell r="J278">
            <v>4.5</v>
          </cell>
          <cell r="N278">
            <v>0</v>
          </cell>
          <cell r="R278">
            <v>0</v>
          </cell>
          <cell r="V278">
            <v>0</v>
          </cell>
          <cell r="X278">
            <v>0</v>
          </cell>
          <cell r="Y278">
            <v>0</v>
          </cell>
        </row>
        <row r="279">
          <cell r="C279">
            <v>263.5</v>
          </cell>
          <cell r="D279">
            <v>267</v>
          </cell>
          <cell r="E279">
            <v>267</v>
          </cell>
          <cell r="F279">
            <v>276.8</v>
          </cell>
          <cell r="G279">
            <v>3.5</v>
          </cell>
          <cell r="H279">
            <v>9.8000000000000114</v>
          </cell>
          <cell r="I279">
            <v>13.300000000000011</v>
          </cell>
          <cell r="J279">
            <v>10.199999999999989</v>
          </cell>
          <cell r="L279">
            <v>0.82638888888888884</v>
          </cell>
          <cell r="M279">
            <v>0.84722222222222221</v>
          </cell>
          <cell r="N279">
            <v>0.50000000000000089</v>
          </cell>
          <cell r="O279" t="str">
            <v>Lapu kerja di atas kabin off</v>
          </cell>
          <cell r="R279">
            <v>0</v>
          </cell>
          <cell r="V279">
            <v>0</v>
          </cell>
          <cell r="X279">
            <v>0.50000000000000089</v>
          </cell>
          <cell r="Y279" t="str">
            <v>Lapu kerja di atas kabin off</v>
          </cell>
        </row>
        <row r="280">
          <cell r="C280">
            <v>276.8</v>
          </cell>
          <cell r="D280">
            <v>286</v>
          </cell>
          <cell r="E280">
            <v>286</v>
          </cell>
          <cell r="F280">
            <v>289.7</v>
          </cell>
          <cell r="G280">
            <v>9.1999999999999886</v>
          </cell>
          <cell r="H280">
            <v>3.6999999999999886</v>
          </cell>
          <cell r="I280">
            <v>12.899999999999977</v>
          </cell>
          <cell r="J280">
            <v>11.016666666666689</v>
          </cell>
          <cell r="L280">
            <v>0.37152777777777773</v>
          </cell>
          <cell r="M280">
            <v>0.375</v>
          </cell>
          <cell r="N280">
            <v>8.333333333333437E-2</v>
          </cell>
          <cell r="O280" t="str">
            <v>Lampu kerja lepas</v>
          </cell>
          <cell r="R280">
            <v>0</v>
          </cell>
          <cell r="V280">
            <v>0</v>
          </cell>
          <cell r="X280">
            <v>8.333333333333437E-2</v>
          </cell>
          <cell r="Y280" t="str">
            <v>Lampu kerja lepas</v>
          </cell>
        </row>
        <row r="281">
          <cell r="C281">
            <v>289.7</v>
          </cell>
          <cell r="D281">
            <v>289.7</v>
          </cell>
          <cell r="E281">
            <v>289.7</v>
          </cell>
          <cell r="F281">
            <v>299</v>
          </cell>
          <cell r="G281">
            <v>0</v>
          </cell>
          <cell r="H281">
            <v>9.3000000000000114</v>
          </cell>
          <cell r="I281">
            <v>9.3000000000000114</v>
          </cell>
          <cell r="J281">
            <v>13.666666666666654</v>
          </cell>
          <cell r="L281">
            <v>0.91666666666666663</v>
          </cell>
          <cell r="M281">
            <v>0.92708333333333337</v>
          </cell>
          <cell r="N281">
            <v>0.25000000000000178</v>
          </cell>
          <cell r="O281" t="str">
            <v>Lampu kerja kabin lh pecah</v>
          </cell>
          <cell r="P281">
            <v>0.16666666666666666</v>
          </cell>
          <cell r="Q281">
            <v>0.19930555555555554</v>
          </cell>
          <cell r="R281">
            <v>0.78333333333333321</v>
          </cell>
          <cell r="S281" t="str">
            <v>Ps1</v>
          </cell>
          <cell r="V281">
            <v>0</v>
          </cell>
          <cell r="X281">
            <v>1.033333333333335</v>
          </cell>
          <cell r="Y281" t="str">
            <v>Lampu kerja kabin lh pecah,Ps1</v>
          </cell>
        </row>
        <row r="282">
          <cell r="C282">
            <v>299</v>
          </cell>
          <cell r="D282">
            <v>308</v>
          </cell>
          <cell r="E282">
            <v>308</v>
          </cell>
          <cell r="F282">
            <v>315</v>
          </cell>
          <cell r="G282">
            <v>9</v>
          </cell>
          <cell r="H282">
            <v>7</v>
          </cell>
          <cell r="I282">
            <v>16</v>
          </cell>
          <cell r="J282">
            <v>8</v>
          </cell>
          <cell r="N282">
            <v>0</v>
          </cell>
          <cell r="R282">
            <v>0</v>
          </cell>
          <cell r="V282">
            <v>0</v>
          </cell>
          <cell r="X282">
            <v>0</v>
          </cell>
          <cell r="Y282">
            <v>0</v>
          </cell>
        </row>
        <row r="283">
          <cell r="C283">
            <v>315</v>
          </cell>
          <cell r="D283">
            <v>323.5</v>
          </cell>
          <cell r="E283">
            <v>323.5</v>
          </cell>
          <cell r="F283">
            <v>333</v>
          </cell>
          <cell r="G283">
            <v>8.5</v>
          </cell>
          <cell r="H283">
            <v>9.5</v>
          </cell>
          <cell r="I283">
            <v>18</v>
          </cell>
          <cell r="J283">
            <v>5.5999999999999979</v>
          </cell>
          <cell r="L283">
            <v>0.95625000000000004</v>
          </cell>
          <cell r="M283">
            <v>0.97291666666666676</v>
          </cell>
          <cell r="N283">
            <v>0.40000000000000124</v>
          </cell>
          <cell r="O283" t="str">
            <v>Repaire lampu kerja</v>
          </cell>
          <cell r="R283">
            <v>0</v>
          </cell>
          <cell r="V283">
            <v>0</v>
          </cell>
          <cell r="X283">
            <v>0.40000000000000124</v>
          </cell>
          <cell r="Y283" t="str">
            <v>Repaire lampu kerja</v>
          </cell>
        </row>
        <row r="284">
          <cell r="C284">
            <v>333</v>
          </cell>
          <cell r="D284">
            <v>343.5</v>
          </cell>
          <cell r="E284">
            <v>343.5</v>
          </cell>
          <cell r="F284">
            <v>350</v>
          </cell>
          <cell r="G284">
            <v>10.5</v>
          </cell>
          <cell r="H284">
            <v>6.5</v>
          </cell>
          <cell r="I284">
            <v>17</v>
          </cell>
          <cell r="J284">
            <v>7</v>
          </cell>
          <cell r="N284">
            <v>0</v>
          </cell>
          <cell r="R284">
            <v>0</v>
          </cell>
          <cell r="V284">
            <v>0</v>
          </cell>
          <cell r="X284">
            <v>0</v>
          </cell>
          <cell r="Y284">
            <v>0</v>
          </cell>
        </row>
        <row r="285">
          <cell r="C285">
            <v>350</v>
          </cell>
          <cell r="D285">
            <v>359.5</v>
          </cell>
          <cell r="E285">
            <v>359.5</v>
          </cell>
          <cell r="F285">
            <v>366.5</v>
          </cell>
          <cell r="G285">
            <v>9.5</v>
          </cell>
          <cell r="H285">
            <v>7</v>
          </cell>
          <cell r="I285">
            <v>16.5</v>
          </cell>
          <cell r="J285">
            <v>6.4166666666666679</v>
          </cell>
          <cell r="L285">
            <v>0.78125</v>
          </cell>
          <cell r="M285">
            <v>0.82638888888888884</v>
          </cell>
          <cell r="N285">
            <v>1.0833333333333321</v>
          </cell>
          <cell r="O285" t="str">
            <v>Lampu kerja lepas</v>
          </cell>
          <cell r="R285">
            <v>0</v>
          </cell>
          <cell r="V285">
            <v>0</v>
          </cell>
          <cell r="X285">
            <v>1.0833333333333321</v>
          </cell>
          <cell r="Y285" t="str">
            <v>Lampu kerja lepas</v>
          </cell>
        </row>
        <row r="286">
          <cell r="C286">
            <v>366.5</v>
          </cell>
          <cell r="D286">
            <v>366.5</v>
          </cell>
          <cell r="E286">
            <v>366.5</v>
          </cell>
          <cell r="F286">
            <v>366.5</v>
          </cell>
          <cell r="G286">
            <v>0</v>
          </cell>
          <cell r="H286">
            <v>0</v>
          </cell>
          <cell r="I286">
            <v>0</v>
          </cell>
          <cell r="J286">
            <v>24</v>
          </cell>
          <cell r="N286">
            <v>0</v>
          </cell>
          <cell r="R286">
            <v>0</v>
          </cell>
          <cell r="V286">
            <v>0</v>
          </cell>
          <cell r="X286">
            <v>0</v>
          </cell>
          <cell r="Y286">
            <v>0</v>
          </cell>
        </row>
        <row r="287">
          <cell r="C287">
            <v>366.5</v>
          </cell>
          <cell r="D287">
            <v>372.5</v>
          </cell>
          <cell r="E287">
            <v>372.5</v>
          </cell>
          <cell r="F287">
            <v>374</v>
          </cell>
          <cell r="G287">
            <v>6</v>
          </cell>
          <cell r="H287">
            <v>1.5</v>
          </cell>
          <cell r="I287">
            <v>7.5</v>
          </cell>
          <cell r="J287">
            <v>16.5</v>
          </cell>
          <cell r="N287">
            <v>0</v>
          </cell>
          <cell r="R287">
            <v>0</v>
          </cell>
          <cell r="V287">
            <v>0</v>
          </cell>
          <cell r="X287">
            <v>0</v>
          </cell>
          <cell r="Y287">
            <v>0</v>
          </cell>
        </row>
        <row r="288">
          <cell r="C288">
            <v>374</v>
          </cell>
          <cell r="D288">
            <v>374</v>
          </cell>
          <cell r="E288">
            <v>374</v>
          </cell>
          <cell r="F288">
            <v>377</v>
          </cell>
          <cell r="G288">
            <v>0</v>
          </cell>
          <cell r="H288">
            <v>3</v>
          </cell>
          <cell r="I288">
            <v>3</v>
          </cell>
          <cell r="J288">
            <v>21</v>
          </cell>
          <cell r="N288">
            <v>0</v>
          </cell>
          <cell r="R288">
            <v>0</v>
          </cell>
          <cell r="V288">
            <v>0</v>
          </cell>
          <cell r="X288">
            <v>0</v>
          </cell>
          <cell r="Y288">
            <v>0</v>
          </cell>
        </row>
        <row r="289">
          <cell r="C289">
            <v>377</v>
          </cell>
          <cell r="D289">
            <v>377</v>
          </cell>
          <cell r="E289">
            <v>377</v>
          </cell>
          <cell r="F289">
            <v>377</v>
          </cell>
          <cell r="G289">
            <v>0</v>
          </cell>
          <cell r="H289">
            <v>0</v>
          </cell>
          <cell r="I289">
            <v>0</v>
          </cell>
          <cell r="J289">
            <v>24</v>
          </cell>
          <cell r="N289">
            <v>0</v>
          </cell>
          <cell r="R289">
            <v>0</v>
          </cell>
          <cell r="V289">
            <v>0</v>
          </cell>
          <cell r="X289">
            <v>0</v>
          </cell>
          <cell r="Y289">
            <v>0</v>
          </cell>
        </row>
        <row r="290">
          <cell r="C290">
            <v>377</v>
          </cell>
          <cell r="D290">
            <v>387</v>
          </cell>
          <cell r="E290">
            <v>387</v>
          </cell>
          <cell r="F290">
            <v>387</v>
          </cell>
          <cell r="G290">
            <v>10</v>
          </cell>
          <cell r="H290">
            <v>0</v>
          </cell>
          <cell r="I290">
            <v>10</v>
          </cell>
          <cell r="J290">
            <v>14</v>
          </cell>
          <cell r="N290">
            <v>0</v>
          </cell>
          <cell r="R290">
            <v>0</v>
          </cell>
          <cell r="V290">
            <v>0</v>
          </cell>
          <cell r="X290">
            <v>0</v>
          </cell>
          <cell r="Y290">
            <v>0</v>
          </cell>
        </row>
        <row r="291">
          <cell r="C291">
            <v>387</v>
          </cell>
          <cell r="D291">
            <v>396.5</v>
          </cell>
          <cell r="E291">
            <v>396.5</v>
          </cell>
          <cell r="F291">
            <v>397.5</v>
          </cell>
          <cell r="G291">
            <v>9.5</v>
          </cell>
          <cell r="H291">
            <v>1</v>
          </cell>
          <cell r="I291">
            <v>10.5</v>
          </cell>
          <cell r="J291">
            <v>13.333333333333334</v>
          </cell>
          <cell r="L291">
            <v>0.4513888888888889</v>
          </cell>
          <cell r="M291">
            <v>0.45833333333333331</v>
          </cell>
          <cell r="N291">
            <v>0.16666666666666607</v>
          </cell>
          <cell r="O291" t="str">
            <v>Ac hot</v>
          </cell>
          <cell r="R291">
            <v>0</v>
          </cell>
          <cell r="V291">
            <v>0</v>
          </cell>
          <cell r="X291">
            <v>0.16666666666666607</v>
          </cell>
          <cell r="Y291" t="str">
            <v>Ac hot</v>
          </cell>
        </row>
        <row r="292">
          <cell r="C292">
            <v>397.5</v>
          </cell>
          <cell r="D292">
            <v>401</v>
          </cell>
          <cell r="E292">
            <v>401</v>
          </cell>
          <cell r="F292">
            <v>401</v>
          </cell>
          <cell r="G292">
            <v>3.5</v>
          </cell>
          <cell r="H292">
            <v>0</v>
          </cell>
          <cell r="I292">
            <v>3.5</v>
          </cell>
          <cell r="J292">
            <v>20.5</v>
          </cell>
          <cell r="N292">
            <v>0</v>
          </cell>
          <cell r="R292">
            <v>0</v>
          </cell>
          <cell r="V292">
            <v>0</v>
          </cell>
          <cell r="X292">
            <v>0</v>
          </cell>
          <cell r="Y292">
            <v>0</v>
          </cell>
        </row>
        <row r="293">
          <cell r="C293">
            <v>401</v>
          </cell>
          <cell r="D293">
            <v>405.5</v>
          </cell>
          <cell r="E293">
            <v>405.5</v>
          </cell>
          <cell r="F293">
            <v>405.5</v>
          </cell>
          <cell r="G293">
            <v>4.5</v>
          </cell>
          <cell r="H293">
            <v>0</v>
          </cell>
          <cell r="I293">
            <v>4.5</v>
          </cell>
          <cell r="J293">
            <v>19.5</v>
          </cell>
          <cell r="N293">
            <v>0</v>
          </cell>
          <cell r="R293">
            <v>0</v>
          </cell>
          <cell r="V293">
            <v>0</v>
          </cell>
          <cell r="X293">
            <v>0</v>
          </cell>
          <cell r="Y293">
            <v>0</v>
          </cell>
        </row>
        <row r="294">
          <cell r="C294">
            <v>405.5</v>
          </cell>
          <cell r="D294">
            <v>414</v>
          </cell>
          <cell r="E294">
            <v>414</v>
          </cell>
          <cell r="F294">
            <v>424</v>
          </cell>
          <cell r="G294">
            <v>8.5</v>
          </cell>
          <cell r="H294">
            <v>10</v>
          </cell>
          <cell r="I294">
            <v>18.5</v>
          </cell>
          <cell r="J294">
            <v>4</v>
          </cell>
          <cell r="L294">
            <v>0.79166666666666663</v>
          </cell>
          <cell r="M294">
            <v>0.85416666666666663</v>
          </cell>
          <cell r="N294">
            <v>1.5</v>
          </cell>
          <cell r="O294" t="str">
            <v>Lampu kerja di atas kabin off</v>
          </cell>
          <cell r="R294">
            <v>0</v>
          </cell>
          <cell r="V294">
            <v>0</v>
          </cell>
          <cell r="X294">
            <v>1.5</v>
          </cell>
          <cell r="Y294" t="str">
            <v>Lampu kerja di atas kabin off</v>
          </cell>
        </row>
        <row r="295">
          <cell r="C295">
            <v>424</v>
          </cell>
          <cell r="D295">
            <v>430</v>
          </cell>
          <cell r="E295">
            <v>430</v>
          </cell>
          <cell r="F295">
            <v>430</v>
          </cell>
          <cell r="G295">
            <v>6</v>
          </cell>
          <cell r="H295">
            <v>0</v>
          </cell>
          <cell r="I295">
            <v>6</v>
          </cell>
          <cell r="J295">
            <v>18</v>
          </cell>
          <cell r="N295">
            <v>0</v>
          </cell>
          <cell r="R295">
            <v>0</v>
          </cell>
          <cell r="V295">
            <v>0</v>
          </cell>
          <cell r="X295">
            <v>0</v>
          </cell>
          <cell r="Y295">
            <v>0</v>
          </cell>
        </row>
        <row r="296">
          <cell r="C296">
            <v>430</v>
          </cell>
          <cell r="D296">
            <v>437</v>
          </cell>
          <cell r="E296">
            <v>437</v>
          </cell>
          <cell r="F296">
            <v>437</v>
          </cell>
          <cell r="G296">
            <v>7</v>
          </cell>
          <cell r="H296">
            <v>0</v>
          </cell>
          <cell r="I296">
            <v>7</v>
          </cell>
          <cell r="J296">
            <v>17</v>
          </cell>
          <cell r="N296">
            <v>0</v>
          </cell>
          <cell r="R296">
            <v>0</v>
          </cell>
          <cell r="V296">
            <v>0</v>
          </cell>
          <cell r="X296">
            <v>0</v>
          </cell>
          <cell r="Y296">
            <v>0</v>
          </cell>
        </row>
        <row r="297">
          <cell r="C297">
            <v>437</v>
          </cell>
          <cell r="D297">
            <v>437</v>
          </cell>
          <cell r="E297">
            <v>437</v>
          </cell>
          <cell r="F297">
            <v>437</v>
          </cell>
          <cell r="G297">
            <v>0</v>
          </cell>
          <cell r="H297">
            <v>0</v>
          </cell>
          <cell r="I297">
            <v>0</v>
          </cell>
          <cell r="J297">
            <v>24</v>
          </cell>
          <cell r="K297" t="str">
            <v>Standby</v>
          </cell>
          <cell r="N297">
            <v>0</v>
          </cell>
          <cell r="R297">
            <v>0</v>
          </cell>
          <cell r="V297">
            <v>0</v>
          </cell>
          <cell r="X297">
            <v>0</v>
          </cell>
          <cell r="Y297">
            <v>0</v>
          </cell>
        </row>
        <row r="298">
          <cell r="C298">
            <v>437</v>
          </cell>
          <cell r="D298">
            <v>437</v>
          </cell>
          <cell r="E298">
            <v>437</v>
          </cell>
          <cell r="F298">
            <v>437</v>
          </cell>
          <cell r="G298">
            <v>0</v>
          </cell>
          <cell r="H298">
            <v>0</v>
          </cell>
          <cell r="I298">
            <v>0</v>
          </cell>
          <cell r="J298">
            <v>24</v>
          </cell>
          <cell r="K298" t="str">
            <v>Standby</v>
          </cell>
          <cell r="N298">
            <v>0</v>
          </cell>
          <cell r="R298">
            <v>0</v>
          </cell>
          <cell r="V298">
            <v>0</v>
          </cell>
          <cell r="X298">
            <v>0</v>
          </cell>
          <cell r="Y298">
            <v>0</v>
          </cell>
        </row>
        <row r="299">
          <cell r="C299">
            <v>437</v>
          </cell>
          <cell r="D299">
            <v>437</v>
          </cell>
          <cell r="E299">
            <v>437</v>
          </cell>
          <cell r="F299">
            <v>437</v>
          </cell>
          <cell r="G299">
            <v>0</v>
          </cell>
          <cell r="H299">
            <v>0</v>
          </cell>
          <cell r="I299">
            <v>0</v>
          </cell>
          <cell r="J299">
            <v>24</v>
          </cell>
          <cell r="K299" t="str">
            <v>Standby</v>
          </cell>
          <cell r="N299">
            <v>0</v>
          </cell>
          <cell r="R299">
            <v>0</v>
          </cell>
          <cell r="V299">
            <v>0</v>
          </cell>
          <cell r="X299">
            <v>0</v>
          </cell>
          <cell r="Y299">
            <v>0</v>
          </cell>
        </row>
        <row r="300">
          <cell r="C300">
            <v>132.5</v>
          </cell>
          <cell r="D300">
            <v>437</v>
          </cell>
          <cell r="E300">
            <v>141</v>
          </cell>
          <cell r="F300">
            <v>437</v>
          </cell>
          <cell r="G300">
            <v>160.89999999999998</v>
          </cell>
          <cell r="H300">
            <v>143.60000000000002</v>
          </cell>
          <cell r="I300">
            <v>304.5</v>
          </cell>
          <cell r="J300">
            <v>433.9</v>
          </cell>
          <cell r="N300">
            <v>4.8166666666666718</v>
          </cell>
          <cell r="R300">
            <v>0.78333333333333321</v>
          </cell>
          <cell r="V300" t="str">
            <v/>
          </cell>
        </row>
        <row r="301">
          <cell r="V301" t="str">
            <v/>
          </cell>
        </row>
        <row r="302">
          <cell r="C302">
            <v>1696</v>
          </cell>
          <cell r="D302">
            <v>1704</v>
          </cell>
          <cell r="E302">
            <v>1704</v>
          </cell>
          <cell r="F302">
            <v>1714</v>
          </cell>
          <cell r="G302">
            <v>8</v>
          </cell>
          <cell r="H302">
            <v>10</v>
          </cell>
          <cell r="I302">
            <v>18</v>
          </cell>
          <cell r="J302">
            <v>6</v>
          </cell>
          <cell r="N302">
            <v>0</v>
          </cell>
          <cell r="R302">
            <v>0</v>
          </cell>
          <cell r="V302">
            <v>0</v>
          </cell>
          <cell r="X302">
            <v>0</v>
          </cell>
          <cell r="Y302">
            <v>0</v>
          </cell>
        </row>
        <row r="303">
          <cell r="C303">
            <v>1714</v>
          </cell>
          <cell r="D303">
            <v>1724</v>
          </cell>
          <cell r="E303">
            <v>1724</v>
          </cell>
          <cell r="F303">
            <v>1733.5</v>
          </cell>
          <cell r="G303">
            <v>10</v>
          </cell>
          <cell r="H303">
            <v>9.5</v>
          </cell>
          <cell r="I303">
            <v>19.5</v>
          </cell>
          <cell r="J303">
            <v>4.5</v>
          </cell>
          <cell r="N303">
            <v>0</v>
          </cell>
          <cell r="R303">
            <v>0</v>
          </cell>
          <cell r="V303">
            <v>0</v>
          </cell>
          <cell r="X303">
            <v>0</v>
          </cell>
          <cell r="Y303">
            <v>0</v>
          </cell>
        </row>
        <row r="304">
          <cell r="C304">
            <v>1733.5</v>
          </cell>
          <cell r="D304">
            <v>1740.2</v>
          </cell>
          <cell r="E304">
            <v>1740.2</v>
          </cell>
          <cell r="F304">
            <v>1751</v>
          </cell>
          <cell r="G304">
            <v>6.7000000000000455</v>
          </cell>
          <cell r="H304">
            <v>10.799999999999955</v>
          </cell>
          <cell r="I304">
            <v>17.5</v>
          </cell>
          <cell r="J304">
            <v>6.5</v>
          </cell>
          <cell r="N304">
            <v>0</v>
          </cell>
          <cell r="R304">
            <v>0</v>
          </cell>
          <cell r="V304">
            <v>0</v>
          </cell>
          <cell r="X304">
            <v>0</v>
          </cell>
          <cell r="Y304">
            <v>0</v>
          </cell>
        </row>
        <row r="305">
          <cell r="C305">
            <v>1751</v>
          </cell>
          <cell r="D305">
            <v>1758.6</v>
          </cell>
          <cell r="E305">
            <v>1758.6</v>
          </cell>
          <cell r="F305">
            <v>1767.4</v>
          </cell>
          <cell r="G305">
            <v>7.5999999999999091</v>
          </cell>
          <cell r="H305">
            <v>8.8000000000001819</v>
          </cell>
          <cell r="I305">
            <v>16.400000000000091</v>
          </cell>
          <cell r="J305">
            <v>7.5999999999999091</v>
          </cell>
          <cell r="N305">
            <v>0</v>
          </cell>
          <cell r="R305">
            <v>0</v>
          </cell>
          <cell r="V305">
            <v>0</v>
          </cell>
          <cell r="X305">
            <v>0</v>
          </cell>
          <cell r="Y305">
            <v>0</v>
          </cell>
        </row>
        <row r="306">
          <cell r="C306">
            <v>1767.4</v>
          </cell>
          <cell r="D306">
            <v>1770.5</v>
          </cell>
          <cell r="E306">
            <v>1770.5</v>
          </cell>
          <cell r="F306">
            <v>1770.5</v>
          </cell>
          <cell r="G306">
            <v>3.0999999999999091</v>
          </cell>
          <cell r="H306">
            <v>0</v>
          </cell>
          <cell r="I306">
            <v>3.0999999999999091</v>
          </cell>
          <cell r="J306">
            <v>20.900000000000091</v>
          </cell>
          <cell r="N306">
            <v>0</v>
          </cell>
          <cell r="R306">
            <v>0</v>
          </cell>
          <cell r="V306">
            <v>0</v>
          </cell>
          <cell r="X306">
            <v>0</v>
          </cell>
          <cell r="Y306">
            <v>0</v>
          </cell>
        </row>
        <row r="307">
          <cell r="C307">
            <v>1770.5</v>
          </cell>
          <cell r="D307">
            <v>1770.5</v>
          </cell>
          <cell r="E307">
            <v>1770.5</v>
          </cell>
          <cell r="F307">
            <v>1770.5</v>
          </cell>
          <cell r="G307">
            <v>0</v>
          </cell>
          <cell r="H307">
            <v>0</v>
          </cell>
          <cell r="I307">
            <v>0</v>
          </cell>
          <cell r="J307">
            <v>24</v>
          </cell>
          <cell r="N307">
            <v>0</v>
          </cell>
          <cell r="R307">
            <v>0</v>
          </cell>
          <cell r="V307">
            <v>0</v>
          </cell>
          <cell r="X307">
            <v>0</v>
          </cell>
          <cell r="Y307">
            <v>0</v>
          </cell>
        </row>
        <row r="308">
          <cell r="C308">
            <v>1770.5</v>
          </cell>
          <cell r="D308">
            <v>1770.5</v>
          </cell>
          <cell r="E308">
            <v>1770.5</v>
          </cell>
          <cell r="F308">
            <v>1782</v>
          </cell>
          <cell r="G308">
            <v>0</v>
          </cell>
          <cell r="H308">
            <v>11.5</v>
          </cell>
          <cell r="I308">
            <v>11.5</v>
          </cell>
          <cell r="J308">
            <v>12.5</v>
          </cell>
          <cell r="N308">
            <v>0</v>
          </cell>
          <cell r="V308">
            <v>0</v>
          </cell>
          <cell r="X308">
            <v>0</v>
          </cell>
          <cell r="Y308">
            <v>0</v>
          </cell>
        </row>
        <row r="309">
          <cell r="C309">
            <v>1782</v>
          </cell>
          <cell r="D309">
            <v>1791</v>
          </cell>
          <cell r="E309">
            <v>1791</v>
          </cell>
          <cell r="F309">
            <v>1796</v>
          </cell>
          <cell r="G309">
            <v>9</v>
          </cell>
          <cell r="H309">
            <v>5</v>
          </cell>
          <cell r="I309">
            <v>14</v>
          </cell>
          <cell r="J309">
            <v>10</v>
          </cell>
          <cell r="N309">
            <v>0</v>
          </cell>
          <cell r="R309">
            <v>0</v>
          </cell>
          <cell r="V309">
            <v>0</v>
          </cell>
          <cell r="X309">
            <v>0</v>
          </cell>
          <cell r="Y309">
            <v>0</v>
          </cell>
        </row>
        <row r="310">
          <cell r="C310">
            <v>1796</v>
          </cell>
          <cell r="D310">
            <v>1800</v>
          </cell>
          <cell r="E310">
            <v>1800</v>
          </cell>
          <cell r="F310">
            <v>1800</v>
          </cell>
          <cell r="G310">
            <v>4</v>
          </cell>
          <cell r="H310">
            <v>0</v>
          </cell>
          <cell r="I310">
            <v>4</v>
          </cell>
          <cell r="J310">
            <v>18.75</v>
          </cell>
          <cell r="L310">
            <v>0.57291666666666663</v>
          </cell>
          <cell r="M310">
            <v>0.625</v>
          </cell>
          <cell r="N310">
            <v>1.2500000000000009</v>
          </cell>
          <cell r="O310" t="str">
            <v>Cant start</v>
          </cell>
          <cell r="R310">
            <v>0</v>
          </cell>
          <cell r="V310">
            <v>0</v>
          </cell>
          <cell r="X310">
            <v>1.2500000000000009</v>
          </cell>
          <cell r="Y310" t="str">
            <v>Cant start</v>
          </cell>
        </row>
        <row r="311">
          <cell r="C311">
            <v>1800</v>
          </cell>
          <cell r="D311">
            <v>1800</v>
          </cell>
          <cell r="E311">
            <v>1800</v>
          </cell>
          <cell r="F311">
            <v>1800</v>
          </cell>
          <cell r="G311">
            <v>0</v>
          </cell>
          <cell r="H311">
            <v>0</v>
          </cell>
          <cell r="I311">
            <v>0</v>
          </cell>
          <cell r="J311">
            <v>24</v>
          </cell>
          <cell r="N311">
            <v>0</v>
          </cell>
          <cell r="R311">
            <v>0</v>
          </cell>
          <cell r="V311">
            <v>0</v>
          </cell>
          <cell r="X311">
            <v>0</v>
          </cell>
          <cell r="Y311">
            <v>0</v>
          </cell>
        </row>
        <row r="312">
          <cell r="C312">
            <v>1800</v>
          </cell>
          <cell r="D312">
            <v>1800</v>
          </cell>
          <cell r="E312">
            <v>1800</v>
          </cell>
          <cell r="F312">
            <v>1800</v>
          </cell>
          <cell r="G312">
            <v>0</v>
          </cell>
          <cell r="H312">
            <v>0</v>
          </cell>
          <cell r="I312">
            <v>0</v>
          </cell>
          <cell r="J312">
            <v>24</v>
          </cell>
          <cell r="K312" t="str">
            <v>Masa comisioning habis</v>
          </cell>
          <cell r="N312">
            <v>0</v>
          </cell>
          <cell r="R312">
            <v>0</v>
          </cell>
          <cell r="V312">
            <v>0</v>
          </cell>
          <cell r="X312">
            <v>0</v>
          </cell>
          <cell r="Y312">
            <v>0</v>
          </cell>
        </row>
        <row r="313">
          <cell r="C313">
            <v>1800</v>
          </cell>
          <cell r="D313">
            <v>1800</v>
          </cell>
          <cell r="E313">
            <v>1800</v>
          </cell>
          <cell r="F313">
            <v>1800</v>
          </cell>
          <cell r="G313">
            <v>0</v>
          </cell>
          <cell r="H313">
            <v>0</v>
          </cell>
          <cell r="I313">
            <v>0</v>
          </cell>
          <cell r="J313">
            <v>24</v>
          </cell>
          <cell r="N313">
            <v>0</v>
          </cell>
          <cell r="R313">
            <v>0</v>
          </cell>
          <cell r="V313">
            <v>0</v>
          </cell>
          <cell r="X313">
            <v>0</v>
          </cell>
          <cell r="Y313">
            <v>0</v>
          </cell>
        </row>
        <row r="314">
          <cell r="C314">
            <v>1800</v>
          </cell>
          <cell r="D314">
            <v>1800</v>
          </cell>
          <cell r="E314">
            <v>1800</v>
          </cell>
          <cell r="F314">
            <v>1809.5</v>
          </cell>
          <cell r="G314">
            <v>0</v>
          </cell>
          <cell r="H314">
            <v>9.5</v>
          </cell>
          <cell r="I314">
            <v>9.5</v>
          </cell>
          <cell r="J314">
            <v>14.5</v>
          </cell>
          <cell r="N314">
            <v>0</v>
          </cell>
          <cell r="R314">
            <v>0</v>
          </cell>
          <cell r="V314">
            <v>0</v>
          </cell>
          <cell r="X314">
            <v>0</v>
          </cell>
          <cell r="Y314">
            <v>0</v>
          </cell>
        </row>
        <row r="315">
          <cell r="C315">
            <v>1809.5</v>
          </cell>
          <cell r="D315">
            <v>1809.5</v>
          </cell>
          <cell r="E315">
            <v>1809.5</v>
          </cell>
          <cell r="F315">
            <v>1809.5</v>
          </cell>
          <cell r="G315">
            <v>0</v>
          </cell>
          <cell r="H315">
            <v>0</v>
          </cell>
          <cell r="I315">
            <v>0</v>
          </cell>
          <cell r="J315">
            <v>24</v>
          </cell>
          <cell r="N315">
            <v>0</v>
          </cell>
          <cell r="O315" t="str">
            <v>Commisioning</v>
          </cell>
          <cell r="R315">
            <v>0</v>
          </cell>
          <cell r="V315">
            <v>0</v>
          </cell>
          <cell r="X315">
            <v>0</v>
          </cell>
          <cell r="Y315" t="str">
            <v>Commisioning</v>
          </cell>
        </row>
        <row r="316">
          <cell r="C316">
            <v>1809.5</v>
          </cell>
          <cell r="D316">
            <v>1809.5</v>
          </cell>
          <cell r="E316">
            <v>1809.5</v>
          </cell>
          <cell r="F316">
            <v>1809.5</v>
          </cell>
          <cell r="G316">
            <v>0</v>
          </cell>
          <cell r="H316">
            <v>0</v>
          </cell>
          <cell r="I316">
            <v>0</v>
          </cell>
          <cell r="J316">
            <v>24</v>
          </cell>
          <cell r="N316">
            <v>0</v>
          </cell>
          <cell r="O316" t="str">
            <v>Commisioning</v>
          </cell>
          <cell r="R316">
            <v>0</v>
          </cell>
          <cell r="V316">
            <v>0</v>
          </cell>
          <cell r="X316">
            <v>0</v>
          </cell>
          <cell r="Y316" t="str">
            <v>Commisioning</v>
          </cell>
        </row>
        <row r="317">
          <cell r="C317">
            <v>1809.5</v>
          </cell>
          <cell r="D317">
            <v>1813</v>
          </cell>
          <cell r="E317">
            <v>1813</v>
          </cell>
          <cell r="F317">
            <v>1813</v>
          </cell>
          <cell r="G317">
            <v>3.5</v>
          </cell>
          <cell r="H317">
            <v>0</v>
          </cell>
          <cell r="I317">
            <v>3.5</v>
          </cell>
          <cell r="J317">
            <v>20.5</v>
          </cell>
          <cell r="N317">
            <v>0</v>
          </cell>
          <cell r="R317">
            <v>0</v>
          </cell>
          <cell r="V317">
            <v>0</v>
          </cell>
          <cell r="X317">
            <v>0</v>
          </cell>
          <cell r="Y317">
            <v>0</v>
          </cell>
        </row>
        <row r="318">
          <cell r="C318">
            <v>1813</v>
          </cell>
          <cell r="D318">
            <v>1813</v>
          </cell>
          <cell r="E318">
            <v>1813</v>
          </cell>
          <cell r="F318">
            <v>1813</v>
          </cell>
          <cell r="G318">
            <v>0</v>
          </cell>
          <cell r="H318">
            <v>0</v>
          </cell>
          <cell r="I318">
            <v>0</v>
          </cell>
          <cell r="J318">
            <v>24</v>
          </cell>
          <cell r="N318">
            <v>0</v>
          </cell>
          <cell r="O318" t="str">
            <v>Commisioning</v>
          </cell>
          <cell r="R318">
            <v>0</v>
          </cell>
          <cell r="V318">
            <v>0</v>
          </cell>
          <cell r="X318">
            <v>0</v>
          </cell>
          <cell r="Y318" t="str">
            <v>Commisioning</v>
          </cell>
        </row>
        <row r="319">
          <cell r="C319">
            <v>1813</v>
          </cell>
          <cell r="D319">
            <v>1814</v>
          </cell>
          <cell r="E319">
            <v>1814</v>
          </cell>
          <cell r="F319">
            <v>1814</v>
          </cell>
          <cell r="G319">
            <v>1</v>
          </cell>
          <cell r="H319">
            <v>0</v>
          </cell>
          <cell r="I319">
            <v>1</v>
          </cell>
          <cell r="J319">
            <v>23</v>
          </cell>
          <cell r="N319">
            <v>0</v>
          </cell>
          <cell r="V319">
            <v>0</v>
          </cell>
          <cell r="X319">
            <v>0</v>
          </cell>
          <cell r="Y319">
            <v>0</v>
          </cell>
        </row>
        <row r="320">
          <cell r="C320">
            <v>1814</v>
          </cell>
          <cell r="D320">
            <v>1824</v>
          </cell>
          <cell r="E320">
            <v>1824</v>
          </cell>
          <cell r="F320">
            <v>1834</v>
          </cell>
          <cell r="G320">
            <v>10</v>
          </cell>
          <cell r="H320">
            <v>10</v>
          </cell>
          <cell r="I320">
            <v>20</v>
          </cell>
          <cell r="J320">
            <v>3.9166666666666679</v>
          </cell>
          <cell r="L320">
            <v>0.84027777777777779</v>
          </cell>
          <cell r="M320">
            <v>0.84375</v>
          </cell>
          <cell r="N320">
            <v>8.3333333333333037E-2</v>
          </cell>
          <cell r="O320" t="str">
            <v>Lampu belakang  off</v>
          </cell>
          <cell r="V320">
            <v>0</v>
          </cell>
          <cell r="X320">
            <v>8.3333333333333037E-2</v>
          </cell>
          <cell r="Y320" t="str">
            <v>Lampu belakang  off</v>
          </cell>
        </row>
        <row r="321">
          <cell r="C321">
            <v>1834</v>
          </cell>
          <cell r="D321">
            <v>1844</v>
          </cell>
          <cell r="E321">
            <v>1844</v>
          </cell>
          <cell r="F321">
            <v>1854</v>
          </cell>
          <cell r="G321">
            <v>10</v>
          </cell>
          <cell r="H321">
            <v>10</v>
          </cell>
          <cell r="I321">
            <v>20</v>
          </cell>
          <cell r="J321">
            <v>4</v>
          </cell>
          <cell r="N321">
            <v>0</v>
          </cell>
          <cell r="R321">
            <v>0</v>
          </cell>
          <cell r="V321">
            <v>0</v>
          </cell>
          <cell r="X321">
            <v>0</v>
          </cell>
          <cell r="Y321">
            <v>0</v>
          </cell>
        </row>
        <row r="322">
          <cell r="C322">
            <v>1854</v>
          </cell>
          <cell r="D322">
            <v>1860.5</v>
          </cell>
          <cell r="E322">
            <v>1860.5</v>
          </cell>
          <cell r="F322">
            <v>1869</v>
          </cell>
          <cell r="G322">
            <v>6.5</v>
          </cell>
          <cell r="H322">
            <v>8.5</v>
          </cell>
          <cell r="I322">
            <v>15</v>
          </cell>
          <cell r="J322">
            <v>7.4166666666667425</v>
          </cell>
          <cell r="L322">
            <v>0.95486111111111116</v>
          </cell>
          <cell r="M322">
            <v>2.0833333333333332E-2</v>
          </cell>
          <cell r="N322">
            <v>1.5833333333332575</v>
          </cell>
          <cell r="O322" t="str">
            <v>Lampu kerja mati semua</v>
          </cell>
          <cell r="R322">
            <v>0</v>
          </cell>
          <cell r="V322">
            <v>0</v>
          </cell>
          <cell r="X322">
            <v>1.5833333333332575</v>
          </cell>
          <cell r="Y322" t="str">
            <v>Lampu kerja mati semua</v>
          </cell>
        </row>
        <row r="323">
          <cell r="C323">
            <v>1869</v>
          </cell>
          <cell r="D323">
            <v>1877</v>
          </cell>
          <cell r="E323">
            <v>1877</v>
          </cell>
          <cell r="F323">
            <v>1888</v>
          </cell>
          <cell r="G323">
            <v>8</v>
          </cell>
          <cell r="H323">
            <v>11</v>
          </cell>
          <cell r="I323">
            <v>19</v>
          </cell>
          <cell r="J323">
            <v>5</v>
          </cell>
          <cell r="N323">
            <v>0</v>
          </cell>
          <cell r="R323">
            <v>0</v>
          </cell>
          <cell r="V323">
            <v>0</v>
          </cell>
          <cell r="X323">
            <v>0</v>
          </cell>
          <cell r="Y323">
            <v>0</v>
          </cell>
        </row>
        <row r="324">
          <cell r="C324">
            <v>1888</v>
          </cell>
          <cell r="D324">
            <v>1897</v>
          </cell>
          <cell r="E324">
            <v>1897</v>
          </cell>
          <cell r="F324">
            <v>1905.5</v>
          </cell>
          <cell r="G324">
            <v>9</v>
          </cell>
          <cell r="H324">
            <v>8.5</v>
          </cell>
          <cell r="I324">
            <v>17.5</v>
          </cell>
          <cell r="J324">
            <v>6.5</v>
          </cell>
          <cell r="N324">
            <v>0</v>
          </cell>
          <cell r="R324">
            <v>0</v>
          </cell>
          <cell r="V324">
            <v>0</v>
          </cell>
          <cell r="X324">
            <v>0</v>
          </cell>
          <cell r="Y324">
            <v>0</v>
          </cell>
        </row>
        <row r="325">
          <cell r="C325">
            <v>1905.5</v>
          </cell>
          <cell r="D325">
            <v>1914</v>
          </cell>
          <cell r="E325">
            <v>1914</v>
          </cell>
          <cell r="F325">
            <v>1924.5</v>
          </cell>
          <cell r="G325">
            <v>8.5</v>
          </cell>
          <cell r="H325">
            <v>10.5</v>
          </cell>
          <cell r="I325">
            <v>19</v>
          </cell>
          <cell r="J325">
            <v>5</v>
          </cell>
          <cell r="N325">
            <v>0</v>
          </cell>
          <cell r="R325">
            <v>0</v>
          </cell>
          <cell r="V325">
            <v>0</v>
          </cell>
          <cell r="X325">
            <v>0</v>
          </cell>
          <cell r="Y325">
            <v>0</v>
          </cell>
        </row>
        <row r="326">
          <cell r="C326">
            <v>1924.5</v>
          </cell>
          <cell r="D326">
            <v>1934.7</v>
          </cell>
          <cell r="E326">
            <v>1934.7</v>
          </cell>
          <cell r="F326">
            <v>1943</v>
          </cell>
          <cell r="G326">
            <v>10.200000000000045</v>
          </cell>
          <cell r="H326">
            <v>8.2999999999999545</v>
          </cell>
          <cell r="I326">
            <v>18.5</v>
          </cell>
          <cell r="J326">
            <v>5.25</v>
          </cell>
          <cell r="L326">
            <v>0.97013888888888899</v>
          </cell>
          <cell r="M326">
            <v>0.98055555555555562</v>
          </cell>
          <cell r="N326">
            <v>0.24999999999999911</v>
          </cell>
          <cell r="O326" t="str">
            <v>Perbaikan lampu kerja dan greasing</v>
          </cell>
          <cell r="R326">
            <v>0</v>
          </cell>
          <cell r="V326">
            <v>0</v>
          </cell>
          <cell r="X326">
            <v>0.24999999999999911</v>
          </cell>
          <cell r="Y326" t="str">
            <v>Perbaikan lampu kerja dan greasing</v>
          </cell>
        </row>
        <row r="327">
          <cell r="C327">
            <v>1943</v>
          </cell>
          <cell r="D327">
            <v>1952.5</v>
          </cell>
          <cell r="E327">
            <v>1952.5</v>
          </cell>
          <cell r="F327">
            <v>1963</v>
          </cell>
          <cell r="G327">
            <v>9.5</v>
          </cell>
          <cell r="H327">
            <v>10.5</v>
          </cell>
          <cell r="I327">
            <v>20</v>
          </cell>
          <cell r="J327">
            <v>4</v>
          </cell>
          <cell r="N327">
            <v>0</v>
          </cell>
          <cell r="R327">
            <v>0</v>
          </cell>
          <cell r="V327">
            <v>0</v>
          </cell>
          <cell r="X327">
            <v>0</v>
          </cell>
          <cell r="Y327">
            <v>0</v>
          </cell>
        </row>
        <row r="328">
          <cell r="C328">
            <v>1963</v>
          </cell>
          <cell r="D328">
            <v>1972</v>
          </cell>
          <cell r="E328">
            <v>1972</v>
          </cell>
          <cell r="F328">
            <v>1972</v>
          </cell>
          <cell r="G328">
            <v>9</v>
          </cell>
          <cell r="H328">
            <v>0</v>
          </cell>
          <cell r="I328">
            <v>9</v>
          </cell>
          <cell r="J328">
            <v>15</v>
          </cell>
          <cell r="N328">
            <v>0</v>
          </cell>
          <cell r="R328">
            <v>0</v>
          </cell>
          <cell r="V328">
            <v>0</v>
          </cell>
          <cell r="X328">
            <v>0</v>
          </cell>
          <cell r="Y328">
            <v>0</v>
          </cell>
        </row>
        <row r="329">
          <cell r="C329">
            <v>1972</v>
          </cell>
          <cell r="D329">
            <v>1982.2</v>
          </cell>
          <cell r="E329">
            <v>1982.2</v>
          </cell>
          <cell r="F329">
            <v>1990</v>
          </cell>
          <cell r="G329">
            <v>10.200000000000045</v>
          </cell>
          <cell r="H329">
            <v>7.7999999999999545</v>
          </cell>
          <cell r="I329">
            <v>18</v>
          </cell>
          <cell r="J329">
            <v>6</v>
          </cell>
          <cell r="N329">
            <v>0</v>
          </cell>
          <cell r="R329">
            <v>0</v>
          </cell>
          <cell r="V329">
            <v>0</v>
          </cell>
          <cell r="X329">
            <v>0</v>
          </cell>
          <cell r="Y329">
            <v>0</v>
          </cell>
        </row>
        <row r="330">
          <cell r="C330">
            <v>1990</v>
          </cell>
          <cell r="D330">
            <v>1990</v>
          </cell>
          <cell r="E330">
            <v>1990</v>
          </cell>
          <cell r="F330">
            <v>1990</v>
          </cell>
          <cell r="G330">
            <v>0</v>
          </cell>
          <cell r="H330">
            <v>0</v>
          </cell>
          <cell r="I330">
            <v>0</v>
          </cell>
          <cell r="J330">
            <v>24</v>
          </cell>
          <cell r="K330" t="str">
            <v>Standby</v>
          </cell>
          <cell r="N330">
            <v>0</v>
          </cell>
          <cell r="R330">
            <v>0</v>
          </cell>
          <cell r="V330">
            <v>0</v>
          </cell>
          <cell r="X330">
            <v>0</v>
          </cell>
          <cell r="Y330">
            <v>0</v>
          </cell>
        </row>
        <row r="331">
          <cell r="C331">
            <v>1990</v>
          </cell>
          <cell r="D331">
            <v>1990</v>
          </cell>
          <cell r="E331">
            <v>1990</v>
          </cell>
          <cell r="F331">
            <v>1990</v>
          </cell>
          <cell r="G331">
            <v>0</v>
          </cell>
          <cell r="H331">
            <v>0</v>
          </cell>
          <cell r="I331">
            <v>0</v>
          </cell>
          <cell r="J331">
            <v>24</v>
          </cell>
          <cell r="K331" t="str">
            <v>Standby</v>
          </cell>
          <cell r="N331">
            <v>0</v>
          </cell>
          <cell r="R331">
            <v>0</v>
          </cell>
          <cell r="V331">
            <v>0</v>
          </cell>
          <cell r="X331">
            <v>0</v>
          </cell>
          <cell r="Y331">
            <v>0</v>
          </cell>
        </row>
        <row r="332">
          <cell r="C332">
            <v>1990</v>
          </cell>
          <cell r="D332">
            <v>1990</v>
          </cell>
          <cell r="E332">
            <v>1990</v>
          </cell>
          <cell r="F332">
            <v>1990</v>
          </cell>
          <cell r="G332">
            <v>0</v>
          </cell>
          <cell r="H332">
            <v>0</v>
          </cell>
          <cell r="I332">
            <v>0</v>
          </cell>
          <cell r="J332">
            <v>24</v>
          </cell>
          <cell r="K332" t="str">
            <v>Standby</v>
          </cell>
          <cell r="N332">
            <v>0</v>
          </cell>
          <cell r="R332">
            <v>0</v>
          </cell>
          <cell r="V332">
            <v>0</v>
          </cell>
          <cell r="X332">
            <v>0</v>
          </cell>
          <cell r="Y332">
            <v>0</v>
          </cell>
        </row>
        <row r="333">
          <cell r="C333">
            <v>1696</v>
          </cell>
          <cell r="D333">
            <v>1990</v>
          </cell>
          <cell r="E333">
            <v>1704</v>
          </cell>
          <cell r="F333">
            <v>1990</v>
          </cell>
          <cell r="G333">
            <v>143.79999999999995</v>
          </cell>
          <cell r="H333">
            <v>150.20000000000005</v>
          </cell>
          <cell r="I333">
            <v>294</v>
          </cell>
          <cell r="J333">
            <v>374.83333333333337</v>
          </cell>
          <cell r="N333">
            <v>3.1666666666665906</v>
          </cell>
          <cell r="R333" t="str">
            <v/>
          </cell>
          <cell r="V333" t="str">
            <v/>
          </cell>
        </row>
        <row r="334">
          <cell r="V334" t="str">
            <v/>
          </cell>
        </row>
        <row r="335">
          <cell r="C335">
            <v>6452</v>
          </cell>
          <cell r="D335">
            <v>6452</v>
          </cell>
          <cell r="E335">
            <v>6452</v>
          </cell>
          <cell r="F335">
            <v>6452</v>
          </cell>
          <cell r="G335">
            <v>0</v>
          </cell>
          <cell r="H335">
            <v>0</v>
          </cell>
          <cell r="I335">
            <v>0</v>
          </cell>
          <cell r="J335">
            <v>24</v>
          </cell>
          <cell r="L335">
            <v>0.80763888888888891</v>
          </cell>
          <cell r="M335">
            <v>0.82291666666666663</v>
          </cell>
          <cell r="N335">
            <v>0</v>
          </cell>
          <cell r="O335" t="str">
            <v>Baut cating buket</v>
          </cell>
          <cell r="R335">
            <v>0</v>
          </cell>
          <cell r="V335">
            <v>0</v>
          </cell>
          <cell r="X335">
            <v>0</v>
          </cell>
          <cell r="Y335">
            <v>0</v>
          </cell>
        </row>
        <row r="336">
          <cell r="C336">
            <v>6452</v>
          </cell>
          <cell r="D336">
            <v>6452</v>
          </cell>
          <cell r="E336">
            <v>6452</v>
          </cell>
          <cell r="F336">
            <v>6452</v>
          </cell>
          <cell r="G336">
            <v>0</v>
          </cell>
          <cell r="H336">
            <v>0</v>
          </cell>
          <cell r="I336">
            <v>0</v>
          </cell>
          <cell r="J336">
            <v>24</v>
          </cell>
          <cell r="N336">
            <v>0</v>
          </cell>
          <cell r="V336">
            <v>0</v>
          </cell>
          <cell r="X336">
            <v>0</v>
          </cell>
          <cell r="Y336">
            <v>0</v>
          </cell>
        </row>
        <row r="337">
          <cell r="C337">
            <v>6452</v>
          </cell>
          <cell r="D337">
            <v>6452</v>
          </cell>
          <cell r="E337">
            <v>6452</v>
          </cell>
          <cell r="F337">
            <v>6452</v>
          </cell>
          <cell r="G337">
            <v>0</v>
          </cell>
          <cell r="H337">
            <v>0</v>
          </cell>
          <cell r="I337">
            <v>0</v>
          </cell>
          <cell r="J337">
            <v>24</v>
          </cell>
          <cell r="N337">
            <v>0</v>
          </cell>
          <cell r="R337">
            <v>0</v>
          </cell>
          <cell r="V337">
            <v>0</v>
          </cell>
          <cell r="X337">
            <v>0</v>
          </cell>
          <cell r="Y337">
            <v>0</v>
          </cell>
        </row>
        <row r="338">
          <cell r="C338">
            <v>6452</v>
          </cell>
          <cell r="D338">
            <v>6452</v>
          </cell>
          <cell r="E338">
            <v>6452</v>
          </cell>
          <cell r="F338">
            <v>6452</v>
          </cell>
          <cell r="G338">
            <v>0</v>
          </cell>
          <cell r="H338">
            <v>0</v>
          </cell>
          <cell r="I338">
            <v>0</v>
          </cell>
          <cell r="J338">
            <v>24</v>
          </cell>
          <cell r="N338">
            <v>0</v>
          </cell>
          <cell r="R338">
            <v>0</v>
          </cell>
          <cell r="V338">
            <v>0</v>
          </cell>
          <cell r="X338">
            <v>0</v>
          </cell>
          <cell r="Y338">
            <v>0</v>
          </cell>
        </row>
        <row r="339">
          <cell r="C339">
            <v>6452</v>
          </cell>
          <cell r="D339">
            <v>6452</v>
          </cell>
          <cell r="E339">
            <v>6452</v>
          </cell>
          <cell r="F339">
            <v>6452</v>
          </cell>
          <cell r="G339">
            <v>0</v>
          </cell>
          <cell r="H339">
            <v>0</v>
          </cell>
          <cell r="I339">
            <v>0</v>
          </cell>
          <cell r="J339">
            <v>24</v>
          </cell>
          <cell r="N339">
            <v>0</v>
          </cell>
          <cell r="R339">
            <v>0</v>
          </cell>
          <cell r="V339">
            <v>0</v>
          </cell>
          <cell r="X339">
            <v>0</v>
          </cell>
          <cell r="Y339">
            <v>0</v>
          </cell>
        </row>
        <row r="340">
          <cell r="C340">
            <v>6452</v>
          </cell>
          <cell r="D340">
            <v>6452</v>
          </cell>
          <cell r="E340">
            <v>6452</v>
          </cell>
          <cell r="F340">
            <v>6452</v>
          </cell>
          <cell r="G340">
            <v>0</v>
          </cell>
          <cell r="H340">
            <v>0</v>
          </cell>
          <cell r="I340">
            <v>0</v>
          </cell>
          <cell r="J340">
            <v>24</v>
          </cell>
          <cell r="N340">
            <v>0</v>
          </cell>
          <cell r="R340">
            <v>0</v>
          </cell>
          <cell r="V340">
            <v>0</v>
          </cell>
          <cell r="X340">
            <v>0</v>
          </cell>
          <cell r="Y340">
            <v>0</v>
          </cell>
        </row>
        <row r="341">
          <cell r="C341">
            <v>6452</v>
          </cell>
          <cell r="D341">
            <v>6452</v>
          </cell>
          <cell r="E341">
            <v>6452</v>
          </cell>
          <cell r="F341">
            <v>6452</v>
          </cell>
          <cell r="G341">
            <v>0</v>
          </cell>
          <cell r="H341">
            <v>0</v>
          </cell>
          <cell r="I341">
            <v>0</v>
          </cell>
          <cell r="J341">
            <v>24</v>
          </cell>
          <cell r="N341">
            <v>0</v>
          </cell>
          <cell r="R341">
            <v>0</v>
          </cell>
          <cell r="V341">
            <v>0</v>
          </cell>
          <cell r="X341">
            <v>0</v>
          </cell>
          <cell r="Y341">
            <v>0</v>
          </cell>
        </row>
        <row r="342">
          <cell r="C342">
            <v>6452</v>
          </cell>
          <cell r="D342">
            <v>6452</v>
          </cell>
          <cell r="E342">
            <v>6452</v>
          </cell>
          <cell r="F342">
            <v>6452</v>
          </cell>
          <cell r="G342">
            <v>0</v>
          </cell>
          <cell r="H342">
            <v>0</v>
          </cell>
          <cell r="I342">
            <v>0</v>
          </cell>
          <cell r="J342">
            <v>24</v>
          </cell>
          <cell r="K342" t="str">
            <v>Off hire</v>
          </cell>
          <cell r="N342">
            <v>0</v>
          </cell>
          <cell r="R342">
            <v>0</v>
          </cell>
          <cell r="V342">
            <v>0</v>
          </cell>
          <cell r="X342">
            <v>0</v>
          </cell>
          <cell r="Y342">
            <v>0</v>
          </cell>
        </row>
        <row r="343">
          <cell r="C343">
            <v>6452</v>
          </cell>
          <cell r="D343">
            <v>6452</v>
          </cell>
          <cell r="E343">
            <v>6452</v>
          </cell>
          <cell r="F343">
            <v>6452</v>
          </cell>
          <cell r="G343">
            <v>0</v>
          </cell>
          <cell r="H343">
            <v>0</v>
          </cell>
          <cell r="I343">
            <v>0</v>
          </cell>
          <cell r="J343">
            <v>24</v>
          </cell>
          <cell r="N343">
            <v>0</v>
          </cell>
          <cell r="R343">
            <v>0</v>
          </cell>
          <cell r="V343">
            <v>0</v>
          </cell>
          <cell r="X343">
            <v>0</v>
          </cell>
          <cell r="Y343">
            <v>0</v>
          </cell>
        </row>
        <row r="344">
          <cell r="C344">
            <v>6452</v>
          </cell>
          <cell r="D344">
            <v>6452</v>
          </cell>
          <cell r="E344">
            <v>6452</v>
          </cell>
          <cell r="F344">
            <v>6452</v>
          </cell>
          <cell r="G344">
            <v>0</v>
          </cell>
          <cell r="H344">
            <v>0</v>
          </cell>
          <cell r="I344">
            <v>0</v>
          </cell>
          <cell r="J344">
            <v>24</v>
          </cell>
          <cell r="N344">
            <v>0</v>
          </cell>
          <cell r="R344">
            <v>0</v>
          </cell>
          <cell r="V344">
            <v>0</v>
          </cell>
          <cell r="X344">
            <v>0</v>
          </cell>
          <cell r="Y344">
            <v>0</v>
          </cell>
        </row>
        <row r="345">
          <cell r="C345">
            <v>6452</v>
          </cell>
          <cell r="D345">
            <v>6452</v>
          </cell>
          <cell r="E345">
            <v>6452</v>
          </cell>
          <cell r="F345">
            <v>6452</v>
          </cell>
          <cell r="G345">
            <v>0</v>
          </cell>
          <cell r="H345">
            <v>0</v>
          </cell>
          <cell r="I345">
            <v>0</v>
          </cell>
          <cell r="J345">
            <v>24</v>
          </cell>
          <cell r="N345">
            <v>0</v>
          </cell>
          <cell r="R345">
            <v>0</v>
          </cell>
          <cell r="V345">
            <v>0</v>
          </cell>
          <cell r="X345">
            <v>0</v>
          </cell>
          <cell r="Y345">
            <v>0</v>
          </cell>
        </row>
        <row r="346">
          <cell r="C346">
            <v>6452</v>
          </cell>
          <cell r="D346">
            <v>6452</v>
          </cell>
          <cell r="E346">
            <v>6452</v>
          </cell>
          <cell r="F346">
            <v>6452</v>
          </cell>
          <cell r="G346">
            <v>0</v>
          </cell>
          <cell r="H346">
            <v>0</v>
          </cell>
          <cell r="I346">
            <v>0</v>
          </cell>
          <cell r="J346">
            <v>24</v>
          </cell>
          <cell r="N346">
            <v>0</v>
          </cell>
          <cell r="R346">
            <v>0</v>
          </cell>
          <cell r="V346">
            <v>0</v>
          </cell>
          <cell r="X346">
            <v>0</v>
          </cell>
          <cell r="Y346">
            <v>0</v>
          </cell>
        </row>
        <row r="347">
          <cell r="C347">
            <v>6452</v>
          </cell>
          <cell r="D347">
            <v>6452</v>
          </cell>
          <cell r="E347">
            <v>6452</v>
          </cell>
          <cell r="F347">
            <v>6452</v>
          </cell>
          <cell r="G347">
            <v>0</v>
          </cell>
          <cell r="H347">
            <v>0</v>
          </cell>
          <cell r="I347">
            <v>0</v>
          </cell>
          <cell r="J347">
            <v>24</v>
          </cell>
          <cell r="N347">
            <v>0</v>
          </cell>
          <cell r="R347">
            <v>0</v>
          </cell>
          <cell r="V347">
            <v>0</v>
          </cell>
          <cell r="X347">
            <v>0</v>
          </cell>
          <cell r="Y347">
            <v>0</v>
          </cell>
        </row>
        <row r="348">
          <cell r="C348">
            <v>6452</v>
          </cell>
          <cell r="D348">
            <v>6452</v>
          </cell>
          <cell r="E348">
            <v>6452</v>
          </cell>
          <cell r="F348">
            <v>6452</v>
          </cell>
          <cell r="G348">
            <v>0</v>
          </cell>
          <cell r="H348">
            <v>0</v>
          </cell>
          <cell r="I348">
            <v>0</v>
          </cell>
          <cell r="J348">
            <v>24</v>
          </cell>
          <cell r="N348">
            <v>0</v>
          </cell>
          <cell r="R348">
            <v>0</v>
          </cell>
          <cell r="V348">
            <v>0</v>
          </cell>
          <cell r="X348">
            <v>0</v>
          </cell>
          <cell r="Y348">
            <v>0</v>
          </cell>
        </row>
        <row r="349">
          <cell r="C349">
            <v>6452</v>
          </cell>
          <cell r="D349">
            <v>6452</v>
          </cell>
          <cell r="E349">
            <v>6452</v>
          </cell>
          <cell r="F349">
            <v>6452</v>
          </cell>
          <cell r="G349">
            <v>0</v>
          </cell>
          <cell r="H349">
            <v>0</v>
          </cell>
          <cell r="I349">
            <v>0</v>
          </cell>
          <cell r="J349">
            <v>24</v>
          </cell>
          <cell r="N349">
            <v>0</v>
          </cell>
          <cell r="R349">
            <v>0</v>
          </cell>
          <cell r="V349">
            <v>0</v>
          </cell>
          <cell r="X349">
            <v>0</v>
          </cell>
          <cell r="Y349">
            <v>0</v>
          </cell>
        </row>
        <row r="350">
          <cell r="C350">
            <v>6452</v>
          </cell>
          <cell r="D350">
            <v>6452</v>
          </cell>
          <cell r="E350">
            <v>6452</v>
          </cell>
          <cell r="F350">
            <v>6452</v>
          </cell>
          <cell r="G350">
            <v>0</v>
          </cell>
          <cell r="H350">
            <v>0</v>
          </cell>
          <cell r="I350">
            <v>0</v>
          </cell>
          <cell r="J350">
            <v>24</v>
          </cell>
          <cell r="N350">
            <v>0</v>
          </cell>
          <cell r="R350">
            <v>0</v>
          </cell>
          <cell r="V350">
            <v>0</v>
          </cell>
          <cell r="X350">
            <v>0</v>
          </cell>
          <cell r="Y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0</v>
          </cell>
          <cell r="R351">
            <v>0</v>
          </cell>
          <cell r="V351">
            <v>0</v>
          </cell>
          <cell r="X351">
            <v>0</v>
          </cell>
          <cell r="Y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N352">
            <v>0</v>
          </cell>
          <cell r="R352">
            <v>0</v>
          </cell>
          <cell r="V352">
            <v>0</v>
          </cell>
          <cell r="X352">
            <v>0</v>
          </cell>
          <cell r="Y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N353">
            <v>0</v>
          </cell>
          <cell r="R353">
            <v>0</v>
          </cell>
          <cell r="V353">
            <v>0</v>
          </cell>
          <cell r="X353">
            <v>0</v>
          </cell>
          <cell r="Y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N354">
            <v>0</v>
          </cell>
          <cell r="R354">
            <v>0</v>
          </cell>
          <cell r="V354">
            <v>0</v>
          </cell>
          <cell r="X354">
            <v>0</v>
          </cell>
          <cell r="Y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N355">
            <v>0</v>
          </cell>
          <cell r="R355">
            <v>0</v>
          </cell>
          <cell r="V355">
            <v>0</v>
          </cell>
          <cell r="X355">
            <v>0</v>
          </cell>
          <cell r="Y355">
            <v>0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N356">
            <v>0</v>
          </cell>
          <cell r="R356">
            <v>0</v>
          </cell>
          <cell r="V356">
            <v>0</v>
          </cell>
          <cell r="X356">
            <v>0</v>
          </cell>
          <cell r="Y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0</v>
          </cell>
          <cell r="R357">
            <v>0</v>
          </cell>
          <cell r="V357">
            <v>0</v>
          </cell>
          <cell r="X357">
            <v>0</v>
          </cell>
          <cell r="Y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N358">
            <v>0</v>
          </cell>
          <cell r="V358">
            <v>0</v>
          </cell>
          <cell r="X358">
            <v>0</v>
          </cell>
          <cell r="Y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N359">
            <v>0</v>
          </cell>
          <cell r="R359">
            <v>0</v>
          </cell>
          <cell r="V359">
            <v>0</v>
          </cell>
          <cell r="X359">
            <v>0</v>
          </cell>
          <cell r="Y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N360">
            <v>0</v>
          </cell>
          <cell r="R360">
            <v>0</v>
          </cell>
          <cell r="V360">
            <v>0</v>
          </cell>
          <cell r="X360">
            <v>0</v>
          </cell>
          <cell r="Y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N361">
            <v>0</v>
          </cell>
          <cell r="R361">
            <v>0</v>
          </cell>
          <cell r="V361">
            <v>0</v>
          </cell>
          <cell r="X361">
            <v>0</v>
          </cell>
          <cell r="Y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N362">
            <v>0</v>
          </cell>
          <cell r="R362">
            <v>0</v>
          </cell>
          <cell r="V362">
            <v>0</v>
          </cell>
          <cell r="X362">
            <v>0</v>
          </cell>
          <cell r="Y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0</v>
          </cell>
          <cell r="R363">
            <v>0</v>
          </cell>
          <cell r="V363">
            <v>0</v>
          </cell>
          <cell r="X363">
            <v>0</v>
          </cell>
          <cell r="Y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N364">
            <v>0</v>
          </cell>
          <cell r="R364">
            <v>0</v>
          </cell>
          <cell r="V364">
            <v>0</v>
          </cell>
          <cell r="X364">
            <v>0</v>
          </cell>
          <cell r="Y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N365">
            <v>0</v>
          </cell>
          <cell r="R365">
            <v>0</v>
          </cell>
          <cell r="V365">
            <v>0</v>
          </cell>
          <cell r="X365">
            <v>0</v>
          </cell>
          <cell r="Y365">
            <v>0</v>
          </cell>
        </row>
        <row r="366">
          <cell r="C366">
            <v>6452</v>
          </cell>
          <cell r="D366">
            <v>6452</v>
          </cell>
          <cell r="E366">
            <v>6452</v>
          </cell>
          <cell r="F366">
            <v>6452</v>
          </cell>
          <cell r="G366">
            <v>0</v>
          </cell>
          <cell r="H366">
            <v>0</v>
          </cell>
          <cell r="I366">
            <v>0</v>
          </cell>
          <cell r="J366">
            <v>384</v>
          </cell>
          <cell r="N366" t="str">
            <v/>
          </cell>
          <cell r="R366" t="str">
            <v/>
          </cell>
          <cell r="V366" t="str">
            <v/>
          </cell>
        </row>
        <row r="367">
          <cell r="V367" t="str">
            <v/>
          </cell>
        </row>
        <row r="368">
          <cell r="C368">
            <v>749</v>
          </cell>
          <cell r="D368">
            <v>757</v>
          </cell>
          <cell r="E368">
            <v>757</v>
          </cell>
          <cell r="F368">
            <v>768</v>
          </cell>
          <cell r="G368">
            <v>8</v>
          </cell>
          <cell r="H368">
            <v>11</v>
          </cell>
          <cell r="I368">
            <v>19</v>
          </cell>
          <cell r="J368">
            <v>4.6166666666666671</v>
          </cell>
          <cell r="L368">
            <v>0.55763888888888891</v>
          </cell>
          <cell r="M368">
            <v>0.57361111111111118</v>
          </cell>
          <cell r="N368">
            <v>0.38333333333333464</v>
          </cell>
          <cell r="O368" t="str">
            <v>Pin riper arm lepas</v>
          </cell>
          <cell r="R368">
            <v>0</v>
          </cell>
          <cell r="V368">
            <v>0</v>
          </cell>
          <cell r="X368">
            <v>0.38333333333333464</v>
          </cell>
          <cell r="Y368" t="str">
            <v>Pin riper arm lepas</v>
          </cell>
        </row>
        <row r="369">
          <cell r="C369">
            <v>768</v>
          </cell>
          <cell r="D369">
            <v>776.5</v>
          </cell>
          <cell r="E369">
            <v>776.5</v>
          </cell>
          <cell r="F369">
            <v>787</v>
          </cell>
          <cell r="G369">
            <v>8.5</v>
          </cell>
          <cell r="H369">
            <v>10.5</v>
          </cell>
          <cell r="I369">
            <v>19</v>
          </cell>
          <cell r="J369">
            <v>5</v>
          </cell>
          <cell r="N369">
            <v>0</v>
          </cell>
          <cell r="R369">
            <v>0</v>
          </cell>
          <cell r="V369">
            <v>0</v>
          </cell>
          <cell r="X369">
            <v>0</v>
          </cell>
          <cell r="Y369">
            <v>0</v>
          </cell>
        </row>
        <row r="370">
          <cell r="C370">
            <v>787</v>
          </cell>
          <cell r="D370">
            <v>787</v>
          </cell>
          <cell r="E370">
            <v>787</v>
          </cell>
          <cell r="F370">
            <v>787</v>
          </cell>
          <cell r="G370">
            <v>0</v>
          </cell>
          <cell r="H370">
            <v>0</v>
          </cell>
          <cell r="I370">
            <v>0</v>
          </cell>
          <cell r="J370">
            <v>6.4499999999999993</v>
          </cell>
          <cell r="L370">
            <v>0.43541666666666662</v>
          </cell>
          <cell r="M370">
            <v>0.75</v>
          </cell>
          <cell r="N370">
            <v>7.5500000000000007</v>
          </cell>
          <cell r="O370" t="str">
            <v>Riper mau lepas</v>
          </cell>
          <cell r="P370">
            <v>0.29166666666666669</v>
          </cell>
          <cell r="Q370">
            <v>0.70833333333333337</v>
          </cell>
          <cell r="R370">
            <v>10</v>
          </cell>
          <cell r="S370" t="str">
            <v>Riper poin bengkok</v>
          </cell>
          <cell r="V370">
            <v>0</v>
          </cell>
          <cell r="X370">
            <v>17.55</v>
          </cell>
          <cell r="Y370" t="str">
            <v>Riper mau lepas,Riper poin bengkok</v>
          </cell>
        </row>
        <row r="371">
          <cell r="C371">
            <v>787</v>
          </cell>
          <cell r="D371">
            <v>791.2</v>
          </cell>
          <cell r="E371">
            <v>791.2</v>
          </cell>
          <cell r="F371">
            <v>791.5</v>
          </cell>
          <cell r="G371">
            <v>4.2000000000000455</v>
          </cell>
          <cell r="H371">
            <v>0.29999999999995453</v>
          </cell>
          <cell r="I371">
            <v>4.5</v>
          </cell>
          <cell r="J371">
            <v>13.416666666666666</v>
          </cell>
          <cell r="L371">
            <v>0.49652777777777773</v>
          </cell>
          <cell r="M371">
            <v>0.75</v>
          </cell>
          <cell r="N371">
            <v>6.0833333333333339</v>
          </cell>
          <cell r="O371" t="str">
            <v>Unit break down</v>
          </cell>
          <cell r="R371">
            <v>0</v>
          </cell>
          <cell r="V371">
            <v>0</v>
          </cell>
          <cell r="X371">
            <v>6.0833333333333339</v>
          </cell>
          <cell r="Y371" t="str">
            <v>Unit break down</v>
          </cell>
        </row>
        <row r="372">
          <cell r="C372">
            <v>791.5</v>
          </cell>
          <cell r="D372">
            <v>791.5</v>
          </cell>
          <cell r="E372">
            <v>791.5</v>
          </cell>
          <cell r="F372">
            <v>791.5</v>
          </cell>
          <cell r="G372">
            <v>0</v>
          </cell>
          <cell r="H372">
            <v>0</v>
          </cell>
          <cell r="I372">
            <v>0</v>
          </cell>
          <cell r="J372">
            <v>24</v>
          </cell>
          <cell r="N372">
            <v>0</v>
          </cell>
          <cell r="R372">
            <v>0</v>
          </cell>
          <cell r="V372">
            <v>0</v>
          </cell>
          <cell r="X372">
            <v>0</v>
          </cell>
          <cell r="Y372">
            <v>0</v>
          </cell>
        </row>
        <row r="373">
          <cell r="C373">
            <v>791.5</v>
          </cell>
          <cell r="D373">
            <v>791.5</v>
          </cell>
          <cell r="E373">
            <v>791.5</v>
          </cell>
          <cell r="F373">
            <v>791.5</v>
          </cell>
          <cell r="G373">
            <v>0</v>
          </cell>
          <cell r="H373">
            <v>0</v>
          </cell>
          <cell r="I373">
            <v>0</v>
          </cell>
          <cell r="J373">
            <v>24</v>
          </cell>
          <cell r="N373">
            <v>0</v>
          </cell>
          <cell r="R373">
            <v>0</v>
          </cell>
          <cell r="V373">
            <v>0</v>
          </cell>
          <cell r="X373">
            <v>0</v>
          </cell>
          <cell r="Y373">
            <v>0</v>
          </cell>
        </row>
        <row r="374">
          <cell r="C374">
            <v>791.5</v>
          </cell>
          <cell r="D374">
            <v>791.5</v>
          </cell>
          <cell r="E374">
            <v>791.5</v>
          </cell>
          <cell r="F374">
            <v>791.5</v>
          </cell>
          <cell r="G374">
            <v>0</v>
          </cell>
          <cell r="H374">
            <v>0</v>
          </cell>
          <cell r="I374">
            <v>0</v>
          </cell>
          <cell r="J374">
            <v>24</v>
          </cell>
          <cell r="N374">
            <v>0</v>
          </cell>
          <cell r="R374">
            <v>0</v>
          </cell>
          <cell r="V374">
            <v>0</v>
          </cell>
          <cell r="X374">
            <v>0</v>
          </cell>
          <cell r="Y374">
            <v>0</v>
          </cell>
        </row>
        <row r="375">
          <cell r="C375">
            <v>791.5</v>
          </cell>
          <cell r="D375">
            <v>796</v>
          </cell>
          <cell r="E375">
            <v>796</v>
          </cell>
          <cell r="F375">
            <v>796</v>
          </cell>
          <cell r="G375">
            <v>4.5</v>
          </cell>
          <cell r="H375">
            <v>0</v>
          </cell>
          <cell r="I375">
            <v>4.5</v>
          </cell>
          <cell r="J375">
            <v>19.5</v>
          </cell>
          <cell r="N375">
            <v>0</v>
          </cell>
          <cell r="R375">
            <v>0</v>
          </cell>
          <cell r="V375">
            <v>0</v>
          </cell>
          <cell r="X375">
            <v>0</v>
          </cell>
          <cell r="Y375">
            <v>0</v>
          </cell>
        </row>
        <row r="376">
          <cell r="C376">
            <v>796</v>
          </cell>
          <cell r="D376">
            <v>804</v>
          </cell>
          <cell r="E376">
            <v>804</v>
          </cell>
          <cell r="F376">
            <v>804</v>
          </cell>
          <cell r="G376">
            <v>8</v>
          </cell>
          <cell r="H376">
            <v>0</v>
          </cell>
          <cell r="I376">
            <v>8</v>
          </cell>
          <cell r="J376">
            <v>16</v>
          </cell>
          <cell r="N376">
            <v>0</v>
          </cell>
          <cell r="R376">
            <v>0</v>
          </cell>
          <cell r="V376">
            <v>0</v>
          </cell>
          <cell r="X376">
            <v>0</v>
          </cell>
          <cell r="Y376">
            <v>0</v>
          </cell>
        </row>
        <row r="377">
          <cell r="C377">
            <v>804</v>
          </cell>
          <cell r="D377">
            <v>814</v>
          </cell>
          <cell r="E377">
            <v>814</v>
          </cell>
          <cell r="F377">
            <v>822.2</v>
          </cell>
          <cell r="G377">
            <v>10</v>
          </cell>
          <cell r="H377">
            <v>8.2000000000000455</v>
          </cell>
          <cell r="I377">
            <v>18.200000000000045</v>
          </cell>
          <cell r="J377">
            <v>5.5499999999999545</v>
          </cell>
          <cell r="L377">
            <v>0.96527777777777779</v>
          </cell>
          <cell r="M377">
            <v>0.97569444444444453</v>
          </cell>
          <cell r="N377">
            <v>0.25000000000000178</v>
          </cell>
          <cell r="O377" t="str">
            <v>Lampu kerja off</v>
          </cell>
          <cell r="V377">
            <v>0</v>
          </cell>
          <cell r="X377">
            <v>0.25000000000000178</v>
          </cell>
          <cell r="Y377" t="str">
            <v>Lampu kerja off</v>
          </cell>
        </row>
        <row r="378">
          <cell r="C378">
            <v>822.2</v>
          </cell>
          <cell r="D378">
            <v>831</v>
          </cell>
          <cell r="E378">
            <v>831</v>
          </cell>
          <cell r="F378">
            <v>840.5</v>
          </cell>
          <cell r="G378">
            <v>8.7999999999999545</v>
          </cell>
          <cell r="H378">
            <v>9.5</v>
          </cell>
          <cell r="I378">
            <v>18.299999999999955</v>
          </cell>
          <cell r="J378">
            <v>5.7000000000000455</v>
          </cell>
          <cell r="N378">
            <v>0</v>
          </cell>
          <cell r="V378">
            <v>0</v>
          </cell>
          <cell r="X378">
            <v>0</v>
          </cell>
          <cell r="Y378">
            <v>0</v>
          </cell>
        </row>
        <row r="379">
          <cell r="C379">
            <v>840.5</v>
          </cell>
          <cell r="D379">
            <v>850.6</v>
          </cell>
          <cell r="E379">
            <v>850.6</v>
          </cell>
          <cell r="F379">
            <v>860</v>
          </cell>
          <cell r="G379">
            <v>10.100000000000023</v>
          </cell>
          <cell r="H379">
            <v>9.3999999999999773</v>
          </cell>
          <cell r="I379">
            <v>19.5</v>
          </cell>
          <cell r="J379">
            <v>4.5</v>
          </cell>
          <cell r="N379">
            <v>0</v>
          </cell>
          <cell r="V379">
            <v>0</v>
          </cell>
          <cell r="X379">
            <v>0</v>
          </cell>
          <cell r="Y379">
            <v>0</v>
          </cell>
        </row>
        <row r="380">
          <cell r="C380">
            <v>860</v>
          </cell>
          <cell r="D380">
            <v>869</v>
          </cell>
          <cell r="E380">
            <v>869</v>
          </cell>
          <cell r="F380">
            <v>879</v>
          </cell>
          <cell r="G380">
            <v>9</v>
          </cell>
          <cell r="H380">
            <v>10</v>
          </cell>
          <cell r="I380">
            <v>19</v>
          </cell>
          <cell r="J380">
            <v>5</v>
          </cell>
          <cell r="N380">
            <v>0</v>
          </cell>
          <cell r="V380">
            <v>0</v>
          </cell>
          <cell r="X380">
            <v>0</v>
          </cell>
          <cell r="Y380">
            <v>0</v>
          </cell>
        </row>
        <row r="381">
          <cell r="C381">
            <v>879</v>
          </cell>
          <cell r="D381">
            <v>888</v>
          </cell>
          <cell r="E381">
            <v>888</v>
          </cell>
          <cell r="F381">
            <v>888</v>
          </cell>
          <cell r="G381">
            <v>9</v>
          </cell>
          <cell r="H381">
            <v>0</v>
          </cell>
          <cell r="I381">
            <v>9</v>
          </cell>
          <cell r="J381">
            <v>15</v>
          </cell>
          <cell r="N381">
            <v>0</v>
          </cell>
          <cell r="R381">
            <v>0</v>
          </cell>
          <cell r="V381">
            <v>0</v>
          </cell>
          <cell r="X381">
            <v>0</v>
          </cell>
          <cell r="Y381">
            <v>0</v>
          </cell>
        </row>
        <row r="382">
          <cell r="C382">
            <v>888</v>
          </cell>
          <cell r="D382">
            <v>898</v>
          </cell>
          <cell r="E382">
            <v>898</v>
          </cell>
          <cell r="F382">
            <v>909</v>
          </cell>
          <cell r="G382">
            <v>10</v>
          </cell>
          <cell r="H382">
            <v>11</v>
          </cell>
          <cell r="I382">
            <v>21</v>
          </cell>
          <cell r="J382">
            <v>3</v>
          </cell>
          <cell r="N382">
            <v>0</v>
          </cell>
          <cell r="R382">
            <v>0</v>
          </cell>
          <cell r="V382">
            <v>0</v>
          </cell>
          <cell r="X382">
            <v>0</v>
          </cell>
          <cell r="Y382">
            <v>0</v>
          </cell>
        </row>
        <row r="383">
          <cell r="C383">
            <v>909</v>
          </cell>
          <cell r="D383">
            <v>918.5</v>
          </cell>
          <cell r="E383">
            <v>918.5</v>
          </cell>
          <cell r="F383">
            <v>929</v>
          </cell>
          <cell r="G383">
            <v>9.5</v>
          </cell>
          <cell r="H383">
            <v>10.5</v>
          </cell>
          <cell r="I383">
            <v>20</v>
          </cell>
          <cell r="J383">
            <v>4</v>
          </cell>
          <cell r="N383">
            <v>0</v>
          </cell>
          <cell r="R383">
            <v>0</v>
          </cell>
          <cell r="V383">
            <v>0</v>
          </cell>
          <cell r="X383">
            <v>0</v>
          </cell>
          <cell r="Y383">
            <v>0</v>
          </cell>
        </row>
        <row r="384">
          <cell r="C384">
            <v>929</v>
          </cell>
          <cell r="D384">
            <v>936</v>
          </cell>
          <cell r="E384">
            <v>936</v>
          </cell>
          <cell r="F384">
            <v>936</v>
          </cell>
          <cell r="G384">
            <v>7</v>
          </cell>
          <cell r="H384">
            <v>0</v>
          </cell>
          <cell r="I384">
            <v>7</v>
          </cell>
          <cell r="J384">
            <v>17</v>
          </cell>
          <cell r="N384">
            <v>0</v>
          </cell>
          <cell r="R384">
            <v>0</v>
          </cell>
          <cell r="V384">
            <v>0</v>
          </cell>
          <cell r="X384">
            <v>0</v>
          </cell>
          <cell r="Y384">
            <v>0</v>
          </cell>
        </row>
        <row r="385">
          <cell r="C385">
            <v>936</v>
          </cell>
          <cell r="D385">
            <v>938</v>
          </cell>
          <cell r="E385">
            <v>938</v>
          </cell>
          <cell r="F385">
            <v>948</v>
          </cell>
          <cell r="G385">
            <v>2</v>
          </cell>
          <cell r="H385">
            <v>10</v>
          </cell>
          <cell r="I385">
            <v>12</v>
          </cell>
          <cell r="J385">
            <v>12</v>
          </cell>
          <cell r="N385">
            <v>0</v>
          </cell>
          <cell r="R385">
            <v>0</v>
          </cell>
          <cell r="V385">
            <v>0</v>
          </cell>
          <cell r="X385">
            <v>0</v>
          </cell>
          <cell r="Y385">
            <v>0</v>
          </cell>
        </row>
        <row r="386">
          <cell r="C386">
            <v>948</v>
          </cell>
          <cell r="D386">
            <v>948</v>
          </cell>
          <cell r="E386">
            <v>948</v>
          </cell>
          <cell r="F386">
            <v>948</v>
          </cell>
          <cell r="G386">
            <v>0</v>
          </cell>
          <cell r="H386">
            <v>0</v>
          </cell>
          <cell r="I386">
            <v>0</v>
          </cell>
          <cell r="J386">
            <v>24</v>
          </cell>
          <cell r="N386">
            <v>0</v>
          </cell>
          <cell r="R386">
            <v>0</v>
          </cell>
          <cell r="V386">
            <v>0</v>
          </cell>
          <cell r="X386">
            <v>0</v>
          </cell>
          <cell r="Y386">
            <v>0</v>
          </cell>
        </row>
        <row r="387">
          <cell r="C387">
            <v>948</v>
          </cell>
          <cell r="D387">
            <v>948</v>
          </cell>
          <cell r="E387">
            <v>948</v>
          </cell>
          <cell r="F387">
            <v>948</v>
          </cell>
          <cell r="G387">
            <v>0</v>
          </cell>
          <cell r="H387">
            <v>0</v>
          </cell>
          <cell r="I387">
            <v>0</v>
          </cell>
          <cell r="J387">
            <v>24</v>
          </cell>
          <cell r="N387">
            <v>0</v>
          </cell>
          <cell r="R387">
            <v>0</v>
          </cell>
          <cell r="V387">
            <v>0</v>
          </cell>
          <cell r="X387">
            <v>0</v>
          </cell>
          <cell r="Y387">
            <v>0</v>
          </cell>
        </row>
        <row r="388">
          <cell r="C388">
            <v>948</v>
          </cell>
          <cell r="D388">
            <v>948</v>
          </cell>
          <cell r="E388">
            <v>948</v>
          </cell>
          <cell r="F388">
            <v>948</v>
          </cell>
          <cell r="G388">
            <v>0</v>
          </cell>
          <cell r="H388">
            <v>0</v>
          </cell>
          <cell r="I388">
            <v>0</v>
          </cell>
          <cell r="J388">
            <v>24</v>
          </cell>
          <cell r="N388">
            <v>0</v>
          </cell>
          <cell r="R388">
            <v>0</v>
          </cell>
          <cell r="V388">
            <v>0</v>
          </cell>
          <cell r="X388">
            <v>0</v>
          </cell>
          <cell r="Y388">
            <v>0</v>
          </cell>
        </row>
        <row r="389">
          <cell r="C389">
            <v>948</v>
          </cell>
          <cell r="D389">
            <v>948</v>
          </cell>
          <cell r="E389">
            <v>948</v>
          </cell>
          <cell r="F389">
            <v>948</v>
          </cell>
          <cell r="G389">
            <v>0</v>
          </cell>
          <cell r="H389">
            <v>0</v>
          </cell>
          <cell r="I389">
            <v>0</v>
          </cell>
          <cell r="J389">
            <v>24</v>
          </cell>
          <cell r="N389">
            <v>0</v>
          </cell>
          <cell r="R389">
            <v>0</v>
          </cell>
          <cell r="V389">
            <v>0</v>
          </cell>
          <cell r="X389">
            <v>0</v>
          </cell>
          <cell r="Y389">
            <v>0</v>
          </cell>
        </row>
        <row r="390">
          <cell r="C390">
            <v>948</v>
          </cell>
          <cell r="D390">
            <v>948</v>
          </cell>
          <cell r="E390">
            <v>948</v>
          </cell>
          <cell r="F390">
            <v>948</v>
          </cell>
          <cell r="G390">
            <v>0</v>
          </cell>
          <cell r="H390">
            <v>0</v>
          </cell>
          <cell r="I390">
            <v>0</v>
          </cell>
          <cell r="J390">
            <v>24</v>
          </cell>
          <cell r="N390">
            <v>0</v>
          </cell>
          <cell r="R390">
            <v>0</v>
          </cell>
          <cell r="V390">
            <v>0</v>
          </cell>
          <cell r="X390">
            <v>0</v>
          </cell>
          <cell r="Y390">
            <v>0</v>
          </cell>
        </row>
        <row r="391">
          <cell r="C391">
            <v>948</v>
          </cell>
          <cell r="D391">
            <v>955</v>
          </cell>
          <cell r="E391">
            <v>955</v>
          </cell>
          <cell r="F391">
            <v>965.3</v>
          </cell>
          <cell r="G391">
            <v>7</v>
          </cell>
          <cell r="H391">
            <v>10.299999999999955</v>
          </cell>
          <cell r="I391">
            <v>17.299999999999955</v>
          </cell>
          <cell r="J391">
            <v>6.5833333333333783</v>
          </cell>
          <cell r="L391">
            <v>0.83958333333333324</v>
          </cell>
          <cell r="M391">
            <v>0.84444444444444444</v>
          </cell>
          <cell r="N391">
            <v>0.11666666666666892</v>
          </cell>
          <cell r="O391" t="str">
            <v>Perbaikan lampu engine</v>
          </cell>
          <cell r="R391">
            <v>0</v>
          </cell>
          <cell r="V391">
            <v>0</v>
          </cell>
          <cell r="X391">
            <v>0.11666666666666892</v>
          </cell>
          <cell r="Y391" t="str">
            <v>Perbaikan lampu engine</v>
          </cell>
        </row>
        <row r="392">
          <cell r="C392">
            <v>965.3</v>
          </cell>
          <cell r="D392">
            <v>974</v>
          </cell>
          <cell r="E392">
            <v>974</v>
          </cell>
          <cell r="F392">
            <v>984.2</v>
          </cell>
          <cell r="G392">
            <v>8.7000000000000455</v>
          </cell>
          <cell r="H392">
            <v>10.200000000000045</v>
          </cell>
          <cell r="I392">
            <v>18.900000000000091</v>
          </cell>
          <cell r="J392">
            <v>5.0999999999999091</v>
          </cell>
          <cell r="N392">
            <v>0</v>
          </cell>
          <cell r="V392">
            <v>0</v>
          </cell>
          <cell r="X392">
            <v>0</v>
          </cell>
          <cell r="Y392">
            <v>0</v>
          </cell>
        </row>
        <row r="393">
          <cell r="C393">
            <v>984.2</v>
          </cell>
          <cell r="D393">
            <v>994.7</v>
          </cell>
          <cell r="E393">
            <v>994.7</v>
          </cell>
          <cell r="F393">
            <v>1002.5</v>
          </cell>
          <cell r="G393">
            <v>10.5</v>
          </cell>
          <cell r="H393">
            <v>7.7999999999999545</v>
          </cell>
          <cell r="I393">
            <v>18.299999999999955</v>
          </cell>
          <cell r="J393">
            <v>5.7000000000000455</v>
          </cell>
          <cell r="N393">
            <v>0</v>
          </cell>
          <cell r="R393">
            <v>0</v>
          </cell>
          <cell r="V393">
            <v>0</v>
          </cell>
          <cell r="X393">
            <v>0</v>
          </cell>
          <cell r="Y393">
            <v>0</v>
          </cell>
        </row>
        <row r="394">
          <cell r="C394">
            <v>1002.5</v>
          </cell>
          <cell r="D394">
            <v>1003.5</v>
          </cell>
          <cell r="E394">
            <v>1003.5</v>
          </cell>
          <cell r="F394">
            <v>1003.5</v>
          </cell>
          <cell r="G394">
            <v>1</v>
          </cell>
          <cell r="H394">
            <v>0</v>
          </cell>
          <cell r="I394">
            <v>1</v>
          </cell>
          <cell r="J394">
            <v>17.25</v>
          </cell>
          <cell r="L394">
            <v>0.375</v>
          </cell>
          <cell r="M394">
            <v>0.58333333333333337</v>
          </cell>
          <cell r="N394">
            <v>5.0000000000000009</v>
          </cell>
          <cell r="O394" t="str">
            <v>Pemasangan riper</v>
          </cell>
          <cell r="P394">
            <v>0.93402777777777779</v>
          </cell>
          <cell r="Q394">
            <v>0.96527777777777779</v>
          </cell>
          <cell r="R394">
            <v>0.75</v>
          </cell>
          <cell r="S394" t="str">
            <v>Ps 4 ( oil engine )</v>
          </cell>
          <cell r="V394">
            <v>0</v>
          </cell>
          <cell r="X394">
            <v>5.7500000000000009</v>
          </cell>
          <cell r="Y394" t="str">
            <v>Pemasangan riper,Ps 4 ( oil engine )</v>
          </cell>
        </row>
        <row r="395">
          <cell r="C395">
            <v>1003.5</v>
          </cell>
          <cell r="D395">
            <v>1014.5</v>
          </cell>
          <cell r="E395">
            <v>1014.5</v>
          </cell>
          <cell r="F395">
            <v>1024.5999999999999</v>
          </cell>
          <cell r="G395">
            <v>11</v>
          </cell>
          <cell r="H395">
            <v>10.099999999999909</v>
          </cell>
          <cell r="I395">
            <v>21.099999999999909</v>
          </cell>
          <cell r="J395">
            <v>2.9000000000000909</v>
          </cell>
          <cell r="N395">
            <v>0</v>
          </cell>
          <cell r="R395">
            <v>0</v>
          </cell>
          <cell r="V395">
            <v>0</v>
          </cell>
          <cell r="X395">
            <v>0</v>
          </cell>
          <cell r="Y395">
            <v>0</v>
          </cell>
        </row>
        <row r="396">
          <cell r="C396">
            <v>1024.5999999999999</v>
          </cell>
          <cell r="D396">
            <v>1024.5999999999999</v>
          </cell>
          <cell r="E396">
            <v>1024.5999999999999</v>
          </cell>
          <cell r="F396">
            <v>1024.5999999999999</v>
          </cell>
          <cell r="G396">
            <v>0</v>
          </cell>
          <cell r="H396">
            <v>0</v>
          </cell>
          <cell r="I396">
            <v>0</v>
          </cell>
          <cell r="J396">
            <v>24</v>
          </cell>
          <cell r="K396" t="str">
            <v>Standby</v>
          </cell>
          <cell r="N396">
            <v>0</v>
          </cell>
          <cell r="R396">
            <v>0</v>
          </cell>
          <cell r="V396">
            <v>0</v>
          </cell>
          <cell r="X396">
            <v>0</v>
          </cell>
          <cell r="Y396">
            <v>0</v>
          </cell>
        </row>
        <row r="397">
          <cell r="C397">
            <v>1024.5999999999999</v>
          </cell>
          <cell r="D397">
            <v>1024.5999999999999</v>
          </cell>
          <cell r="E397">
            <v>1024.5999999999999</v>
          </cell>
          <cell r="F397">
            <v>1024.5999999999999</v>
          </cell>
          <cell r="G397">
            <v>0</v>
          </cell>
          <cell r="H397">
            <v>0</v>
          </cell>
          <cell r="I397">
            <v>0</v>
          </cell>
          <cell r="J397">
            <v>24</v>
          </cell>
          <cell r="K397" t="str">
            <v>Stanndby</v>
          </cell>
          <cell r="N397">
            <v>0</v>
          </cell>
          <cell r="R397">
            <v>0</v>
          </cell>
          <cell r="V397">
            <v>0</v>
          </cell>
          <cell r="X397">
            <v>0</v>
          </cell>
          <cell r="Y397">
            <v>0</v>
          </cell>
        </row>
        <row r="398">
          <cell r="C398">
            <v>1024.5999999999999</v>
          </cell>
          <cell r="D398">
            <v>1024.5999999999999</v>
          </cell>
          <cell r="E398">
            <v>1024.5999999999999</v>
          </cell>
          <cell r="F398">
            <v>1024.5999999999999</v>
          </cell>
          <cell r="G398">
            <v>0</v>
          </cell>
          <cell r="H398">
            <v>0</v>
          </cell>
          <cell r="I398">
            <v>0</v>
          </cell>
          <cell r="J398">
            <v>24</v>
          </cell>
          <cell r="K398" t="str">
            <v>Standby</v>
          </cell>
          <cell r="N398">
            <v>0</v>
          </cell>
          <cell r="R398">
            <v>0</v>
          </cell>
          <cell r="V398">
            <v>0</v>
          </cell>
          <cell r="X398">
            <v>0</v>
          </cell>
          <cell r="Y398">
            <v>0</v>
          </cell>
        </row>
        <row r="399">
          <cell r="C399">
            <v>749</v>
          </cell>
          <cell r="D399">
            <v>1024.5999999999999</v>
          </cell>
          <cell r="E399">
            <v>757</v>
          </cell>
          <cell r="F399">
            <v>1024.5999999999999</v>
          </cell>
          <cell r="G399">
            <v>146.80000000000007</v>
          </cell>
          <cell r="H399">
            <v>128.79999999999984</v>
          </cell>
          <cell r="I399">
            <v>275.59999999999991</v>
          </cell>
          <cell r="J399">
            <v>438.26666666666677</v>
          </cell>
          <cell r="N399">
            <v>19.38333333333334</v>
          </cell>
          <cell r="R399">
            <v>10.75</v>
          </cell>
          <cell r="V399" t="str">
            <v/>
          </cell>
        </row>
        <row r="400">
          <cell r="V400" t="str">
            <v/>
          </cell>
        </row>
        <row r="401">
          <cell r="C401">
            <v>663</v>
          </cell>
          <cell r="D401">
            <v>671</v>
          </cell>
          <cell r="E401">
            <v>671</v>
          </cell>
          <cell r="F401">
            <v>680</v>
          </cell>
          <cell r="G401">
            <v>8</v>
          </cell>
          <cell r="H401">
            <v>9</v>
          </cell>
          <cell r="I401">
            <v>17</v>
          </cell>
          <cell r="J401">
            <v>7</v>
          </cell>
          <cell r="N401">
            <v>0</v>
          </cell>
          <cell r="R401">
            <v>0</v>
          </cell>
          <cell r="V401">
            <v>0</v>
          </cell>
          <cell r="X401">
            <v>0</v>
          </cell>
          <cell r="Y401">
            <v>0</v>
          </cell>
        </row>
        <row r="402">
          <cell r="C402">
            <v>680</v>
          </cell>
          <cell r="D402">
            <v>680</v>
          </cell>
          <cell r="E402">
            <v>680</v>
          </cell>
          <cell r="F402">
            <v>680</v>
          </cell>
          <cell r="G402">
            <v>0</v>
          </cell>
          <cell r="H402">
            <v>0</v>
          </cell>
          <cell r="I402">
            <v>0</v>
          </cell>
          <cell r="J402">
            <v>24</v>
          </cell>
          <cell r="N402">
            <v>0</v>
          </cell>
          <cell r="R402">
            <v>0</v>
          </cell>
          <cell r="V402">
            <v>0</v>
          </cell>
          <cell r="X402">
            <v>0</v>
          </cell>
          <cell r="Y402">
            <v>0</v>
          </cell>
        </row>
        <row r="403">
          <cell r="C403">
            <v>680</v>
          </cell>
          <cell r="D403">
            <v>680</v>
          </cell>
          <cell r="E403">
            <v>680</v>
          </cell>
          <cell r="F403">
            <v>680</v>
          </cell>
          <cell r="G403">
            <v>0</v>
          </cell>
          <cell r="H403">
            <v>0</v>
          </cell>
          <cell r="I403">
            <v>0</v>
          </cell>
          <cell r="J403">
            <v>24</v>
          </cell>
          <cell r="N403">
            <v>0</v>
          </cell>
          <cell r="R403">
            <v>0</v>
          </cell>
          <cell r="V403">
            <v>0</v>
          </cell>
          <cell r="X403">
            <v>0</v>
          </cell>
          <cell r="Y403">
            <v>0</v>
          </cell>
        </row>
        <row r="404">
          <cell r="C404">
            <v>680</v>
          </cell>
          <cell r="D404">
            <v>680</v>
          </cell>
          <cell r="E404">
            <v>680</v>
          </cell>
          <cell r="F404">
            <v>680</v>
          </cell>
          <cell r="G404">
            <v>0</v>
          </cell>
          <cell r="H404">
            <v>0</v>
          </cell>
          <cell r="I404">
            <v>0</v>
          </cell>
          <cell r="J404">
            <v>24</v>
          </cell>
          <cell r="N404">
            <v>0</v>
          </cell>
          <cell r="R404">
            <v>0</v>
          </cell>
          <cell r="V404">
            <v>0</v>
          </cell>
          <cell r="X404">
            <v>0</v>
          </cell>
          <cell r="Y404">
            <v>0</v>
          </cell>
        </row>
        <row r="405">
          <cell r="C405">
            <v>680</v>
          </cell>
          <cell r="D405">
            <v>680</v>
          </cell>
          <cell r="E405">
            <v>680</v>
          </cell>
          <cell r="F405">
            <v>680</v>
          </cell>
          <cell r="G405">
            <v>0</v>
          </cell>
          <cell r="H405">
            <v>0</v>
          </cell>
          <cell r="I405">
            <v>0</v>
          </cell>
          <cell r="J405">
            <v>24</v>
          </cell>
          <cell r="N405">
            <v>0</v>
          </cell>
          <cell r="R405">
            <v>0</v>
          </cell>
          <cell r="V405">
            <v>0</v>
          </cell>
          <cell r="X405">
            <v>0</v>
          </cell>
          <cell r="Y405">
            <v>0</v>
          </cell>
        </row>
        <row r="406">
          <cell r="C406">
            <v>680</v>
          </cell>
          <cell r="D406">
            <v>680</v>
          </cell>
          <cell r="E406">
            <v>680</v>
          </cell>
          <cell r="F406">
            <v>680</v>
          </cell>
          <cell r="G406">
            <v>0</v>
          </cell>
          <cell r="H406">
            <v>0</v>
          </cell>
          <cell r="I406">
            <v>0</v>
          </cell>
          <cell r="J406">
            <v>24</v>
          </cell>
          <cell r="N406">
            <v>0</v>
          </cell>
          <cell r="R406">
            <v>0</v>
          </cell>
          <cell r="V406">
            <v>0</v>
          </cell>
          <cell r="X406">
            <v>0</v>
          </cell>
          <cell r="Y406">
            <v>0</v>
          </cell>
        </row>
        <row r="407">
          <cell r="C407">
            <v>680</v>
          </cell>
          <cell r="D407">
            <v>680</v>
          </cell>
          <cell r="E407">
            <v>680</v>
          </cell>
          <cell r="F407">
            <v>686</v>
          </cell>
          <cell r="G407">
            <v>0</v>
          </cell>
          <cell r="H407">
            <v>6</v>
          </cell>
          <cell r="I407">
            <v>6</v>
          </cell>
          <cell r="J407">
            <v>18</v>
          </cell>
          <cell r="N407">
            <v>0</v>
          </cell>
          <cell r="R407">
            <v>0</v>
          </cell>
          <cell r="V407">
            <v>0</v>
          </cell>
          <cell r="X407">
            <v>0</v>
          </cell>
          <cell r="Y407">
            <v>0</v>
          </cell>
        </row>
        <row r="408">
          <cell r="C408">
            <v>686</v>
          </cell>
          <cell r="D408">
            <v>689</v>
          </cell>
          <cell r="E408">
            <v>689</v>
          </cell>
          <cell r="F408">
            <v>696</v>
          </cell>
          <cell r="G408">
            <v>3</v>
          </cell>
          <cell r="H408">
            <v>7</v>
          </cell>
          <cell r="I408">
            <v>10</v>
          </cell>
          <cell r="J408">
            <v>14</v>
          </cell>
          <cell r="N408">
            <v>0</v>
          </cell>
          <cell r="R408">
            <v>0</v>
          </cell>
          <cell r="V408">
            <v>0</v>
          </cell>
          <cell r="X408">
            <v>0</v>
          </cell>
          <cell r="Y408">
            <v>0</v>
          </cell>
        </row>
        <row r="409">
          <cell r="C409">
            <v>696</v>
          </cell>
          <cell r="D409">
            <v>702</v>
          </cell>
          <cell r="E409">
            <v>702</v>
          </cell>
          <cell r="F409">
            <v>707.5</v>
          </cell>
          <cell r="G409">
            <v>6</v>
          </cell>
          <cell r="H409">
            <v>5.5</v>
          </cell>
          <cell r="I409">
            <v>11.5</v>
          </cell>
          <cell r="J409">
            <v>12.5</v>
          </cell>
          <cell r="N409">
            <v>0</v>
          </cell>
          <cell r="R409">
            <v>0</v>
          </cell>
          <cell r="V409">
            <v>0</v>
          </cell>
          <cell r="X409">
            <v>0</v>
          </cell>
          <cell r="Y409">
            <v>0</v>
          </cell>
        </row>
        <row r="410">
          <cell r="C410">
            <v>707.5</v>
          </cell>
          <cell r="D410">
            <v>717</v>
          </cell>
          <cell r="E410">
            <v>717</v>
          </cell>
          <cell r="F410">
            <v>722</v>
          </cell>
          <cell r="G410">
            <v>9.5</v>
          </cell>
          <cell r="H410">
            <v>5</v>
          </cell>
          <cell r="I410">
            <v>14.5</v>
          </cell>
          <cell r="J410">
            <v>8.4166666666666288</v>
          </cell>
          <cell r="L410">
            <v>0.97569444444444453</v>
          </cell>
          <cell r="M410">
            <v>2.0833333333333332E-2</v>
          </cell>
          <cell r="N410">
            <v>1.0833333333333712</v>
          </cell>
          <cell r="O410" t="str">
            <v>Oil hydrolick low</v>
          </cell>
          <cell r="R410">
            <v>0</v>
          </cell>
          <cell r="V410">
            <v>0</v>
          </cell>
          <cell r="X410">
            <v>1.0833333333333712</v>
          </cell>
          <cell r="Y410" t="str">
            <v>Oil hydrolick low</v>
          </cell>
        </row>
        <row r="411">
          <cell r="C411">
            <v>722</v>
          </cell>
          <cell r="D411">
            <v>728</v>
          </cell>
          <cell r="E411">
            <v>728</v>
          </cell>
          <cell r="F411">
            <v>739</v>
          </cell>
          <cell r="G411">
            <v>6</v>
          </cell>
          <cell r="H411">
            <v>11</v>
          </cell>
          <cell r="I411">
            <v>17</v>
          </cell>
          <cell r="J411">
            <v>6.75</v>
          </cell>
          <cell r="L411">
            <v>0.8125</v>
          </cell>
          <cell r="M411">
            <v>0.82291666666666663</v>
          </cell>
          <cell r="N411">
            <v>0.24999999999999911</v>
          </cell>
          <cell r="O411" t="str">
            <v>Lampu kerja off</v>
          </cell>
          <cell r="R411">
            <v>0</v>
          </cell>
          <cell r="V411">
            <v>0</v>
          </cell>
          <cell r="X411">
            <v>0.24999999999999911</v>
          </cell>
          <cell r="Y411" t="str">
            <v>Lampu kerja off</v>
          </cell>
        </row>
        <row r="412">
          <cell r="C412">
            <v>739</v>
          </cell>
          <cell r="D412">
            <v>747</v>
          </cell>
          <cell r="E412">
            <v>747</v>
          </cell>
          <cell r="F412">
            <v>752</v>
          </cell>
          <cell r="G412">
            <v>8</v>
          </cell>
          <cell r="H412">
            <v>5</v>
          </cell>
          <cell r="I412">
            <v>13</v>
          </cell>
          <cell r="J412">
            <v>11</v>
          </cell>
          <cell r="N412">
            <v>0</v>
          </cell>
          <cell r="R412">
            <v>0</v>
          </cell>
          <cell r="V412">
            <v>0</v>
          </cell>
          <cell r="X412">
            <v>0</v>
          </cell>
          <cell r="Y412">
            <v>0</v>
          </cell>
        </row>
        <row r="413">
          <cell r="C413">
            <v>752</v>
          </cell>
          <cell r="D413">
            <v>763</v>
          </cell>
          <cell r="E413">
            <v>763</v>
          </cell>
          <cell r="F413">
            <v>763</v>
          </cell>
          <cell r="G413">
            <v>11</v>
          </cell>
          <cell r="H413">
            <v>0</v>
          </cell>
          <cell r="I413">
            <v>11</v>
          </cell>
          <cell r="J413">
            <v>13</v>
          </cell>
          <cell r="N413">
            <v>0</v>
          </cell>
          <cell r="R413">
            <v>0</v>
          </cell>
          <cell r="V413">
            <v>0</v>
          </cell>
          <cell r="X413">
            <v>0</v>
          </cell>
          <cell r="Y413">
            <v>0</v>
          </cell>
        </row>
        <row r="414">
          <cell r="C414">
            <v>763</v>
          </cell>
          <cell r="D414">
            <v>771</v>
          </cell>
          <cell r="E414">
            <v>771</v>
          </cell>
          <cell r="F414">
            <v>772</v>
          </cell>
          <cell r="G414">
            <v>8</v>
          </cell>
          <cell r="H414">
            <v>1</v>
          </cell>
          <cell r="I414">
            <v>9</v>
          </cell>
          <cell r="J414">
            <v>15</v>
          </cell>
          <cell r="N414">
            <v>0</v>
          </cell>
          <cell r="R414">
            <v>0</v>
          </cell>
          <cell r="V414">
            <v>0</v>
          </cell>
          <cell r="X414">
            <v>0</v>
          </cell>
          <cell r="Y414">
            <v>0</v>
          </cell>
        </row>
        <row r="415">
          <cell r="C415">
            <v>772</v>
          </cell>
          <cell r="D415">
            <v>780</v>
          </cell>
          <cell r="E415">
            <v>780</v>
          </cell>
          <cell r="F415">
            <v>780</v>
          </cell>
          <cell r="G415">
            <v>8</v>
          </cell>
          <cell r="H415">
            <v>0</v>
          </cell>
          <cell r="I415">
            <v>8</v>
          </cell>
          <cell r="J415">
            <v>16</v>
          </cell>
          <cell r="N415">
            <v>0</v>
          </cell>
          <cell r="R415">
            <v>0</v>
          </cell>
          <cell r="V415">
            <v>0</v>
          </cell>
          <cell r="X415">
            <v>0</v>
          </cell>
          <cell r="Y415">
            <v>0</v>
          </cell>
        </row>
        <row r="416">
          <cell r="C416">
            <v>780</v>
          </cell>
          <cell r="D416">
            <v>789.1</v>
          </cell>
          <cell r="E416">
            <v>789.1</v>
          </cell>
          <cell r="F416">
            <v>793</v>
          </cell>
          <cell r="G416">
            <v>9.1000000000000227</v>
          </cell>
          <cell r="H416">
            <v>3.8999999999999773</v>
          </cell>
          <cell r="I416">
            <v>13</v>
          </cell>
          <cell r="J416">
            <v>10.500000000000002</v>
          </cell>
          <cell r="L416">
            <v>0.91319444444444453</v>
          </cell>
          <cell r="M416">
            <v>0.93402777777777779</v>
          </cell>
          <cell r="N416">
            <v>0.49999999999999822</v>
          </cell>
          <cell r="O416" t="str">
            <v>Ac off</v>
          </cell>
          <cell r="R416">
            <v>0</v>
          </cell>
          <cell r="V416">
            <v>0</v>
          </cell>
          <cell r="X416">
            <v>0.49999999999999822</v>
          </cell>
          <cell r="Y416" t="str">
            <v>Ac off</v>
          </cell>
        </row>
        <row r="417">
          <cell r="C417">
            <v>793</v>
          </cell>
          <cell r="D417">
            <v>797</v>
          </cell>
          <cell r="E417">
            <v>797</v>
          </cell>
          <cell r="F417">
            <v>805</v>
          </cell>
          <cell r="G417">
            <v>4</v>
          </cell>
          <cell r="H417">
            <v>8</v>
          </cell>
          <cell r="I417">
            <v>12</v>
          </cell>
          <cell r="J417">
            <v>12</v>
          </cell>
          <cell r="N417">
            <v>0</v>
          </cell>
          <cell r="R417">
            <v>0</v>
          </cell>
          <cell r="V417">
            <v>0</v>
          </cell>
          <cell r="X417">
            <v>0</v>
          </cell>
          <cell r="Y417">
            <v>0</v>
          </cell>
        </row>
        <row r="418">
          <cell r="C418">
            <v>805</v>
          </cell>
          <cell r="D418">
            <v>805</v>
          </cell>
          <cell r="E418">
            <v>805</v>
          </cell>
          <cell r="F418">
            <v>805</v>
          </cell>
          <cell r="G418">
            <v>0</v>
          </cell>
          <cell r="H418">
            <v>0</v>
          </cell>
          <cell r="I418">
            <v>0</v>
          </cell>
          <cell r="J418">
            <v>24</v>
          </cell>
          <cell r="N418">
            <v>0</v>
          </cell>
          <cell r="R418">
            <v>0</v>
          </cell>
          <cell r="V418">
            <v>0</v>
          </cell>
          <cell r="X418">
            <v>0</v>
          </cell>
          <cell r="Y418">
            <v>0</v>
          </cell>
        </row>
        <row r="419">
          <cell r="C419">
            <v>805</v>
          </cell>
          <cell r="D419">
            <v>805</v>
          </cell>
          <cell r="E419">
            <v>805</v>
          </cell>
          <cell r="F419">
            <v>815</v>
          </cell>
          <cell r="G419">
            <v>0</v>
          </cell>
          <cell r="H419">
            <v>10</v>
          </cell>
          <cell r="I419">
            <v>10</v>
          </cell>
          <cell r="J419">
            <v>13.916666666666668</v>
          </cell>
          <cell r="L419">
            <v>0.88749999999999996</v>
          </cell>
          <cell r="M419">
            <v>0.89097222222222217</v>
          </cell>
          <cell r="N419">
            <v>8.3333333333333037E-2</v>
          </cell>
          <cell r="O419" t="str">
            <v>Ganti air clener</v>
          </cell>
          <cell r="R419">
            <v>0</v>
          </cell>
          <cell r="V419">
            <v>0</v>
          </cell>
          <cell r="X419">
            <v>8.3333333333333037E-2</v>
          </cell>
          <cell r="Y419" t="str">
            <v>Ganti air clener</v>
          </cell>
        </row>
        <row r="420">
          <cell r="C420">
            <v>815</v>
          </cell>
          <cell r="D420">
            <v>822</v>
          </cell>
          <cell r="E420">
            <v>822</v>
          </cell>
          <cell r="F420">
            <v>832</v>
          </cell>
          <cell r="G420">
            <v>7</v>
          </cell>
          <cell r="H420">
            <v>10</v>
          </cell>
          <cell r="I420">
            <v>17</v>
          </cell>
          <cell r="J420">
            <v>6.4166666666666679</v>
          </cell>
          <cell r="L420">
            <v>0.12152777777777778</v>
          </cell>
          <cell r="M420">
            <v>0.14583333333333334</v>
          </cell>
          <cell r="N420">
            <v>0.58333333333333359</v>
          </cell>
          <cell r="O420" t="str">
            <v>Anjust track lh</v>
          </cell>
          <cell r="R420">
            <v>0</v>
          </cell>
          <cell r="V420">
            <v>0</v>
          </cell>
          <cell r="X420">
            <v>0.58333333333333359</v>
          </cell>
          <cell r="Y420" t="str">
            <v>Anjust track lh</v>
          </cell>
        </row>
        <row r="421">
          <cell r="C421">
            <v>832</v>
          </cell>
          <cell r="D421">
            <v>840</v>
          </cell>
          <cell r="E421">
            <v>840</v>
          </cell>
          <cell r="F421">
            <v>850</v>
          </cell>
          <cell r="G421">
            <v>8</v>
          </cell>
          <cell r="H421">
            <v>10</v>
          </cell>
          <cell r="I421">
            <v>18</v>
          </cell>
          <cell r="J421">
            <v>6</v>
          </cell>
          <cell r="N421">
            <v>0</v>
          </cell>
          <cell r="R421">
            <v>0</v>
          </cell>
          <cell r="V421">
            <v>0</v>
          </cell>
          <cell r="X421">
            <v>0</v>
          </cell>
          <cell r="Y421">
            <v>0</v>
          </cell>
        </row>
        <row r="422">
          <cell r="C422">
            <v>850</v>
          </cell>
          <cell r="D422">
            <v>859.5</v>
          </cell>
          <cell r="E422">
            <v>859.5</v>
          </cell>
          <cell r="F422">
            <v>869</v>
          </cell>
          <cell r="G422">
            <v>9.5</v>
          </cell>
          <cell r="H422">
            <v>9.5</v>
          </cell>
          <cell r="I422">
            <v>19</v>
          </cell>
          <cell r="J422">
            <v>3.75</v>
          </cell>
          <cell r="L422">
            <v>0.30902777777777779</v>
          </cell>
          <cell r="M422">
            <v>0.3611111111111111</v>
          </cell>
          <cell r="N422">
            <v>1.2499999999999996</v>
          </cell>
          <cell r="O422" t="str">
            <v>Oil hydrolick low</v>
          </cell>
          <cell r="R422">
            <v>0</v>
          </cell>
          <cell r="V422">
            <v>0</v>
          </cell>
          <cell r="X422">
            <v>1.2499999999999996</v>
          </cell>
          <cell r="Y422" t="str">
            <v>Oil hydrolick low</v>
          </cell>
        </row>
        <row r="423">
          <cell r="C423">
            <v>869</v>
          </cell>
          <cell r="D423">
            <v>877</v>
          </cell>
          <cell r="E423">
            <v>877</v>
          </cell>
          <cell r="F423">
            <v>886</v>
          </cell>
          <cell r="G423">
            <v>8</v>
          </cell>
          <cell r="H423">
            <v>9</v>
          </cell>
          <cell r="I423">
            <v>17</v>
          </cell>
          <cell r="J423">
            <v>7</v>
          </cell>
          <cell r="N423">
            <v>0</v>
          </cell>
          <cell r="R423">
            <v>0</v>
          </cell>
          <cell r="V423">
            <v>0</v>
          </cell>
          <cell r="X423">
            <v>0</v>
          </cell>
          <cell r="Y423">
            <v>0</v>
          </cell>
        </row>
        <row r="424">
          <cell r="C424">
            <v>886</v>
          </cell>
          <cell r="D424">
            <v>895</v>
          </cell>
          <cell r="E424">
            <v>895</v>
          </cell>
          <cell r="F424">
            <v>906</v>
          </cell>
          <cell r="G424">
            <v>9</v>
          </cell>
          <cell r="H424">
            <v>11</v>
          </cell>
          <cell r="I424">
            <v>20</v>
          </cell>
          <cell r="J424">
            <v>4</v>
          </cell>
          <cell r="N424">
            <v>0</v>
          </cell>
          <cell r="R424">
            <v>0</v>
          </cell>
          <cell r="V424">
            <v>0</v>
          </cell>
          <cell r="X424">
            <v>0</v>
          </cell>
          <cell r="Y424">
            <v>0</v>
          </cell>
        </row>
        <row r="425">
          <cell r="C425">
            <v>906</v>
          </cell>
          <cell r="D425">
            <v>914</v>
          </cell>
          <cell r="E425">
            <v>914</v>
          </cell>
          <cell r="F425">
            <v>925.5</v>
          </cell>
          <cell r="G425">
            <v>8</v>
          </cell>
          <cell r="H425">
            <v>11.5</v>
          </cell>
          <cell r="I425">
            <v>19.5</v>
          </cell>
          <cell r="J425">
            <v>3.0999999999999979</v>
          </cell>
          <cell r="L425">
            <v>0.23958333333333334</v>
          </cell>
          <cell r="M425">
            <v>0.29166666666666669</v>
          </cell>
          <cell r="N425">
            <v>1.2500000000000002</v>
          </cell>
          <cell r="O425" t="str">
            <v>Pin bucket lepas</v>
          </cell>
          <cell r="P425">
            <v>0.79374999999999996</v>
          </cell>
          <cell r="Q425">
            <v>0.8</v>
          </cell>
          <cell r="R425">
            <v>0.15000000000000213</v>
          </cell>
          <cell r="S425" t="str">
            <v>Oil hydrolick low</v>
          </cell>
          <cell r="V425">
            <v>0</v>
          </cell>
          <cell r="X425">
            <v>1.4000000000000024</v>
          </cell>
          <cell r="Y425" t="str">
            <v>Pin bucket lepas,Oil hydrolick low</v>
          </cell>
        </row>
        <row r="426">
          <cell r="C426">
            <v>925.5</v>
          </cell>
          <cell r="D426">
            <v>928</v>
          </cell>
          <cell r="E426">
            <v>928</v>
          </cell>
          <cell r="F426">
            <v>935</v>
          </cell>
          <cell r="G426">
            <v>2.5</v>
          </cell>
          <cell r="H426">
            <v>7</v>
          </cell>
          <cell r="I426">
            <v>9.5</v>
          </cell>
          <cell r="J426">
            <v>14.5</v>
          </cell>
          <cell r="L426">
            <v>0.29166666666666669</v>
          </cell>
          <cell r="M426">
            <v>0.31944444444444448</v>
          </cell>
          <cell r="N426">
            <v>0</v>
          </cell>
          <cell r="O426" t="str">
            <v>Pn bucket lepas</v>
          </cell>
          <cell r="P426">
            <v>0.40277777777777773</v>
          </cell>
          <cell r="Q426">
            <v>0.75</v>
          </cell>
          <cell r="R426">
            <v>0</v>
          </cell>
          <cell r="S426" t="str">
            <v>Pn bucket lepas</v>
          </cell>
          <cell r="T426">
            <v>0.75</v>
          </cell>
          <cell r="U426">
            <v>0.79166666666666663</v>
          </cell>
          <cell r="V426">
            <v>0.99999999999999911</v>
          </cell>
          <cell r="W426" t="str">
            <v>Pin bucket hilang</v>
          </cell>
          <cell r="X426">
            <v>0</v>
          </cell>
          <cell r="Y426">
            <v>0</v>
          </cell>
        </row>
        <row r="427">
          <cell r="C427">
            <v>935</v>
          </cell>
          <cell r="D427">
            <v>944</v>
          </cell>
          <cell r="E427">
            <v>944</v>
          </cell>
          <cell r="F427">
            <v>955</v>
          </cell>
          <cell r="G427">
            <v>9</v>
          </cell>
          <cell r="H427">
            <v>11</v>
          </cell>
          <cell r="I427">
            <v>20</v>
          </cell>
          <cell r="J427">
            <v>3.5833333333333321</v>
          </cell>
          <cell r="L427">
            <v>5.347222222222222E-2</v>
          </cell>
          <cell r="M427">
            <v>7.0833333333333331E-2</v>
          </cell>
          <cell r="N427">
            <v>0.41666666666666669</v>
          </cell>
          <cell r="O427" t="str">
            <v>Perbaikan konector brake</v>
          </cell>
          <cell r="R427">
            <v>0</v>
          </cell>
          <cell r="V427">
            <v>0</v>
          </cell>
          <cell r="X427">
            <v>0.41666666666666669</v>
          </cell>
          <cell r="Y427" t="str">
            <v>Perbaikan konector brake</v>
          </cell>
        </row>
        <row r="428">
          <cell r="C428">
            <v>955</v>
          </cell>
          <cell r="D428">
            <v>960</v>
          </cell>
          <cell r="E428">
            <v>960</v>
          </cell>
          <cell r="F428">
            <v>969.5</v>
          </cell>
          <cell r="G428">
            <v>5</v>
          </cell>
          <cell r="H428">
            <v>9.5</v>
          </cell>
          <cell r="I428">
            <v>14.5</v>
          </cell>
          <cell r="J428">
            <v>9.4</v>
          </cell>
          <cell r="L428">
            <v>0.86250000000000004</v>
          </cell>
          <cell r="M428">
            <v>0.8666666666666667</v>
          </cell>
          <cell r="N428">
            <v>9.9999999999999645E-2</v>
          </cell>
          <cell r="O428" t="str">
            <v>Tambah oil hydrolick</v>
          </cell>
          <cell r="R428">
            <v>0</v>
          </cell>
          <cell r="V428">
            <v>0</v>
          </cell>
          <cell r="X428">
            <v>9.9999999999999645E-2</v>
          </cell>
          <cell r="Y428" t="str">
            <v>Tambah oil hydrolick</v>
          </cell>
        </row>
        <row r="429">
          <cell r="C429">
            <v>969.5</v>
          </cell>
          <cell r="D429">
            <v>969.5</v>
          </cell>
          <cell r="E429">
            <v>969.5</v>
          </cell>
          <cell r="F429">
            <v>969.5</v>
          </cell>
          <cell r="G429">
            <v>0</v>
          </cell>
          <cell r="H429">
            <v>0</v>
          </cell>
          <cell r="I429">
            <v>0</v>
          </cell>
          <cell r="J429">
            <v>24</v>
          </cell>
          <cell r="K429" t="str">
            <v>Standby</v>
          </cell>
          <cell r="N429">
            <v>0</v>
          </cell>
          <cell r="R429">
            <v>0</v>
          </cell>
          <cell r="V429">
            <v>0</v>
          </cell>
          <cell r="X429">
            <v>0</v>
          </cell>
          <cell r="Y429">
            <v>0</v>
          </cell>
        </row>
        <row r="430">
          <cell r="C430">
            <v>969.5</v>
          </cell>
          <cell r="D430">
            <v>969.5</v>
          </cell>
          <cell r="E430">
            <v>969.5</v>
          </cell>
          <cell r="F430">
            <v>969.5</v>
          </cell>
          <cell r="G430">
            <v>0</v>
          </cell>
          <cell r="H430">
            <v>0</v>
          </cell>
          <cell r="I430">
            <v>0</v>
          </cell>
          <cell r="J430">
            <v>24</v>
          </cell>
          <cell r="K430" t="str">
            <v>Standby</v>
          </cell>
          <cell r="N430">
            <v>0</v>
          </cell>
          <cell r="R430">
            <v>0</v>
          </cell>
          <cell r="V430">
            <v>0</v>
          </cell>
          <cell r="X430">
            <v>0</v>
          </cell>
          <cell r="Y430">
            <v>0</v>
          </cell>
        </row>
        <row r="431">
          <cell r="C431">
            <v>969.5</v>
          </cell>
          <cell r="D431">
            <v>969.5</v>
          </cell>
          <cell r="E431">
            <v>969.5</v>
          </cell>
          <cell r="F431">
            <v>969.5</v>
          </cell>
          <cell r="G431">
            <v>0</v>
          </cell>
          <cell r="H431">
            <v>0</v>
          </cell>
          <cell r="I431">
            <v>0</v>
          </cell>
          <cell r="J431">
            <v>24</v>
          </cell>
          <cell r="K431" t="str">
            <v>Standby</v>
          </cell>
          <cell r="N431">
            <v>0</v>
          </cell>
          <cell r="R431">
            <v>0</v>
          </cell>
          <cell r="V431">
            <v>0</v>
          </cell>
          <cell r="X431">
            <v>0</v>
          </cell>
          <cell r="Y431">
            <v>0</v>
          </cell>
        </row>
        <row r="432">
          <cell r="C432">
            <v>663</v>
          </cell>
          <cell r="D432">
            <v>969.5</v>
          </cell>
          <cell r="E432">
            <v>671</v>
          </cell>
          <cell r="F432">
            <v>969.5</v>
          </cell>
          <cell r="G432">
            <v>146.60000000000002</v>
          </cell>
          <cell r="H432">
            <v>159.89999999999998</v>
          </cell>
          <cell r="I432">
            <v>306.5</v>
          </cell>
          <cell r="J432">
            <v>431.83333333333331</v>
          </cell>
          <cell r="N432">
            <v>5.5166666666667012</v>
          </cell>
          <cell r="R432">
            <v>0.15000000000000213</v>
          </cell>
          <cell r="V432">
            <v>0.99999999999999911</v>
          </cell>
        </row>
      </sheetData>
      <sheetData sheetId="1" refreshError="1">
        <row r="4">
          <cell r="B4" t="str">
            <v>KPTJEX023</v>
          </cell>
          <cell r="C4" t="str">
            <v>D_AWL</v>
          </cell>
          <cell r="D4" t="str">
            <v>D_AHL</v>
          </cell>
          <cell r="E4" t="str">
            <v>N_AWL</v>
          </cell>
          <cell r="F4" t="str">
            <v>N_AHL</v>
          </cell>
          <cell r="G4" t="str">
            <v>D_TL</v>
          </cell>
          <cell r="H4" t="str">
            <v>N_TL</v>
          </cell>
          <cell r="I4" t="str">
            <v>DN_TL</v>
          </cell>
          <cell r="J4" t="str">
            <v>STBL</v>
          </cell>
          <cell r="K4" t="str">
            <v>REML</v>
          </cell>
          <cell r="L4" t="str">
            <v>Start1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769</v>
          </cell>
          <cell r="D5">
            <v>769</v>
          </cell>
          <cell r="E5">
            <v>769</v>
          </cell>
          <cell r="F5">
            <v>769</v>
          </cell>
          <cell r="G5">
            <v>0</v>
          </cell>
          <cell r="H5">
            <v>0</v>
          </cell>
          <cell r="I5">
            <v>0</v>
          </cell>
          <cell r="J5">
            <v>24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 t="str">
            <v/>
          </cell>
        </row>
        <row r="6">
          <cell r="C6">
            <v>769</v>
          </cell>
          <cell r="D6">
            <v>769</v>
          </cell>
          <cell r="E6">
            <v>769</v>
          </cell>
          <cell r="F6">
            <v>769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 t="str">
            <v/>
          </cell>
        </row>
        <row r="7">
          <cell r="C7">
            <v>769</v>
          </cell>
          <cell r="D7">
            <v>769</v>
          </cell>
          <cell r="E7">
            <v>769</v>
          </cell>
          <cell r="F7">
            <v>769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 t="str">
            <v/>
          </cell>
        </row>
        <row r="8">
          <cell r="C8">
            <v>769</v>
          </cell>
          <cell r="D8">
            <v>769</v>
          </cell>
          <cell r="E8">
            <v>769</v>
          </cell>
          <cell r="F8">
            <v>769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 t="str">
            <v/>
          </cell>
        </row>
        <row r="9">
          <cell r="C9">
            <v>769</v>
          </cell>
          <cell r="D9">
            <v>769</v>
          </cell>
          <cell r="E9">
            <v>769</v>
          </cell>
          <cell r="F9">
            <v>769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 t="str">
            <v/>
          </cell>
        </row>
        <row r="10">
          <cell r="C10">
            <v>769</v>
          </cell>
          <cell r="D10">
            <v>769</v>
          </cell>
          <cell r="E10">
            <v>769</v>
          </cell>
          <cell r="F10">
            <v>769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 t="str">
            <v/>
          </cell>
        </row>
        <row r="11">
          <cell r="C11">
            <v>769</v>
          </cell>
          <cell r="D11">
            <v>769</v>
          </cell>
          <cell r="E11">
            <v>769</v>
          </cell>
          <cell r="F11">
            <v>769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 t="str">
            <v/>
          </cell>
        </row>
        <row r="12">
          <cell r="C12">
            <v>769</v>
          </cell>
          <cell r="D12">
            <v>769</v>
          </cell>
          <cell r="E12">
            <v>769</v>
          </cell>
          <cell r="F12">
            <v>769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 t="str">
            <v/>
          </cell>
        </row>
        <row r="13">
          <cell r="C13">
            <v>769</v>
          </cell>
          <cell r="D13">
            <v>769</v>
          </cell>
          <cell r="E13">
            <v>769</v>
          </cell>
          <cell r="F13">
            <v>769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 t="str">
            <v/>
          </cell>
        </row>
        <row r="14">
          <cell r="C14">
            <v>769</v>
          </cell>
          <cell r="D14">
            <v>769</v>
          </cell>
          <cell r="E14">
            <v>769</v>
          </cell>
          <cell r="F14">
            <v>777.5</v>
          </cell>
          <cell r="G14">
            <v>0</v>
          </cell>
          <cell r="H14">
            <v>8.5</v>
          </cell>
          <cell r="I14">
            <v>8.5</v>
          </cell>
          <cell r="J14">
            <v>15.5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 t="str">
            <v/>
          </cell>
        </row>
        <row r="15">
          <cell r="C15">
            <v>777.5</v>
          </cell>
          <cell r="D15">
            <v>785</v>
          </cell>
          <cell r="E15">
            <v>785</v>
          </cell>
          <cell r="F15">
            <v>795.5</v>
          </cell>
          <cell r="G15">
            <v>7.5</v>
          </cell>
          <cell r="H15">
            <v>10.5</v>
          </cell>
          <cell r="I15">
            <v>18</v>
          </cell>
          <cell r="J15">
            <v>6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 t="str">
            <v/>
          </cell>
        </row>
        <row r="16">
          <cell r="C16">
            <v>795.5</v>
          </cell>
          <cell r="D16">
            <v>805</v>
          </cell>
          <cell r="E16">
            <v>805</v>
          </cell>
          <cell r="F16">
            <v>814</v>
          </cell>
          <cell r="G16">
            <v>9.5</v>
          </cell>
          <cell r="H16">
            <v>9</v>
          </cell>
          <cell r="I16">
            <v>18.5</v>
          </cell>
          <cell r="J16">
            <v>5.5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 t="str">
            <v/>
          </cell>
        </row>
        <row r="17">
          <cell r="C17">
            <v>814</v>
          </cell>
          <cell r="D17">
            <v>820</v>
          </cell>
          <cell r="E17">
            <v>820</v>
          </cell>
          <cell r="F17">
            <v>828.5</v>
          </cell>
          <cell r="G17">
            <v>6</v>
          </cell>
          <cell r="H17">
            <v>8.5</v>
          </cell>
          <cell r="I17">
            <v>14.5</v>
          </cell>
          <cell r="J17">
            <v>9.5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 t="str">
            <v/>
          </cell>
        </row>
        <row r="18">
          <cell r="C18">
            <v>828.5</v>
          </cell>
          <cell r="D18">
            <v>838.5</v>
          </cell>
          <cell r="E18">
            <v>838.5</v>
          </cell>
          <cell r="F18">
            <v>843</v>
          </cell>
          <cell r="G18">
            <v>10</v>
          </cell>
          <cell r="H18">
            <v>4.5</v>
          </cell>
          <cell r="I18">
            <v>14.5</v>
          </cell>
          <cell r="J18">
            <v>9.5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 t="str">
            <v/>
          </cell>
        </row>
        <row r="19">
          <cell r="C19">
            <v>843</v>
          </cell>
          <cell r="D19">
            <v>851.5</v>
          </cell>
          <cell r="E19">
            <v>851.5</v>
          </cell>
          <cell r="F19">
            <v>860</v>
          </cell>
          <cell r="G19">
            <v>8.5</v>
          </cell>
          <cell r="H19">
            <v>8.5</v>
          </cell>
          <cell r="I19">
            <v>17</v>
          </cell>
          <cell r="J19">
            <v>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 t="str">
            <v/>
          </cell>
        </row>
        <row r="20">
          <cell r="C20">
            <v>860</v>
          </cell>
          <cell r="D20">
            <v>869.5</v>
          </cell>
          <cell r="E20">
            <v>869.5</v>
          </cell>
          <cell r="F20">
            <v>875</v>
          </cell>
          <cell r="G20">
            <v>9.5</v>
          </cell>
          <cell r="H20">
            <v>5.5</v>
          </cell>
          <cell r="I20">
            <v>15</v>
          </cell>
          <cell r="J20">
            <v>9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 t="str">
            <v/>
          </cell>
        </row>
        <row r="21">
          <cell r="C21">
            <v>875</v>
          </cell>
          <cell r="D21">
            <v>885</v>
          </cell>
          <cell r="E21">
            <v>885</v>
          </cell>
          <cell r="F21">
            <v>893</v>
          </cell>
          <cell r="G21">
            <v>10</v>
          </cell>
          <cell r="H21">
            <v>8</v>
          </cell>
          <cell r="I21">
            <v>18</v>
          </cell>
          <cell r="J21">
            <v>6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 t="str">
            <v/>
          </cell>
        </row>
        <row r="22">
          <cell r="C22">
            <v>893</v>
          </cell>
          <cell r="D22">
            <v>900.5</v>
          </cell>
          <cell r="E22">
            <v>900.5</v>
          </cell>
          <cell r="F22">
            <v>910.5</v>
          </cell>
          <cell r="G22">
            <v>7.5</v>
          </cell>
          <cell r="H22">
            <v>10</v>
          </cell>
          <cell r="I22">
            <v>17.5</v>
          </cell>
          <cell r="J22">
            <v>6.3333333333333357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0.16666666666666607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0.16666666666666607</v>
          </cell>
          <cell r="Y22" t="str">
            <v>Oil hydrolick low</v>
          </cell>
        </row>
        <row r="23">
          <cell r="C23">
            <v>910.5</v>
          </cell>
          <cell r="D23">
            <v>918.5</v>
          </cell>
          <cell r="E23">
            <v>918.5</v>
          </cell>
          <cell r="F23">
            <v>928.5</v>
          </cell>
          <cell r="G23">
            <v>8</v>
          </cell>
          <cell r="H23">
            <v>10</v>
          </cell>
          <cell r="I23">
            <v>18</v>
          </cell>
          <cell r="J23">
            <v>6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 t="str">
            <v/>
          </cell>
        </row>
        <row r="24">
          <cell r="C24">
            <v>928.5</v>
          </cell>
          <cell r="D24">
            <v>937</v>
          </cell>
          <cell r="E24">
            <v>937</v>
          </cell>
          <cell r="F24">
            <v>947.5</v>
          </cell>
          <cell r="G24">
            <v>8.5</v>
          </cell>
          <cell r="H24">
            <v>10.5</v>
          </cell>
          <cell r="I24">
            <v>19</v>
          </cell>
          <cell r="J24">
            <v>5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 t="str">
            <v/>
          </cell>
        </row>
        <row r="25">
          <cell r="C25">
            <v>947.5</v>
          </cell>
          <cell r="D25">
            <v>956</v>
          </cell>
          <cell r="E25">
            <v>956</v>
          </cell>
          <cell r="F25">
            <v>956</v>
          </cell>
          <cell r="G25">
            <v>8.5</v>
          </cell>
          <cell r="H25">
            <v>0</v>
          </cell>
          <cell r="I25">
            <v>8.5</v>
          </cell>
          <cell r="J25">
            <v>15.5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 t="str">
            <v/>
          </cell>
        </row>
        <row r="26">
          <cell r="C26">
            <v>956</v>
          </cell>
          <cell r="D26">
            <v>965</v>
          </cell>
          <cell r="E26">
            <v>965</v>
          </cell>
          <cell r="F26">
            <v>975.5</v>
          </cell>
          <cell r="G26">
            <v>9</v>
          </cell>
          <cell r="H26">
            <v>10.5</v>
          </cell>
          <cell r="I26">
            <v>19.5</v>
          </cell>
          <cell r="J26">
            <v>4.5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 t="str">
            <v/>
          </cell>
        </row>
        <row r="27">
          <cell r="C27">
            <v>975.5</v>
          </cell>
          <cell r="D27">
            <v>984.5</v>
          </cell>
          <cell r="E27">
            <v>984.5</v>
          </cell>
          <cell r="F27">
            <v>994.5</v>
          </cell>
          <cell r="G27">
            <v>9</v>
          </cell>
          <cell r="H27">
            <v>10</v>
          </cell>
          <cell r="I27">
            <v>19</v>
          </cell>
          <cell r="J27">
            <v>5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 t="str">
            <v/>
          </cell>
        </row>
        <row r="28">
          <cell r="C28">
            <v>994.5</v>
          </cell>
          <cell r="D28">
            <v>1003</v>
          </cell>
          <cell r="E28">
            <v>1003</v>
          </cell>
          <cell r="F28">
            <v>1011</v>
          </cell>
          <cell r="G28">
            <v>8.5</v>
          </cell>
          <cell r="H28">
            <v>8</v>
          </cell>
          <cell r="I28">
            <v>16.5</v>
          </cell>
          <cell r="J28">
            <v>7.5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 t="str">
            <v/>
          </cell>
        </row>
        <row r="29">
          <cell r="C29">
            <v>1011</v>
          </cell>
          <cell r="D29">
            <v>1011</v>
          </cell>
          <cell r="E29">
            <v>1011</v>
          </cell>
          <cell r="F29">
            <v>1020.5</v>
          </cell>
          <cell r="G29">
            <v>0</v>
          </cell>
          <cell r="H29">
            <v>9.5</v>
          </cell>
          <cell r="I29">
            <v>9.5</v>
          </cell>
          <cell r="J29">
            <v>14.5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 t="str">
            <v/>
          </cell>
        </row>
        <row r="30">
          <cell r="C30">
            <v>1020.5</v>
          </cell>
          <cell r="D30">
            <v>1029.5</v>
          </cell>
          <cell r="E30">
            <v>1029.5</v>
          </cell>
          <cell r="F30">
            <v>1040</v>
          </cell>
          <cell r="G30">
            <v>9</v>
          </cell>
          <cell r="H30">
            <v>10.5</v>
          </cell>
          <cell r="I30">
            <v>19.5</v>
          </cell>
          <cell r="J30">
            <v>4.5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 t="str">
            <v/>
          </cell>
        </row>
        <row r="31">
          <cell r="C31">
            <v>1040</v>
          </cell>
          <cell r="D31">
            <v>1048.5</v>
          </cell>
          <cell r="E31">
            <v>1048.5</v>
          </cell>
          <cell r="F31">
            <v>1058</v>
          </cell>
          <cell r="G31">
            <v>8.5</v>
          </cell>
          <cell r="H31">
            <v>9.5</v>
          </cell>
          <cell r="I31">
            <v>18</v>
          </cell>
          <cell r="J31">
            <v>6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 t="str">
            <v/>
          </cell>
        </row>
        <row r="32">
          <cell r="C32">
            <v>1058</v>
          </cell>
          <cell r="D32">
            <v>1068</v>
          </cell>
          <cell r="E32">
            <v>1068</v>
          </cell>
          <cell r="F32">
            <v>1076.5</v>
          </cell>
          <cell r="G32">
            <v>10</v>
          </cell>
          <cell r="H32">
            <v>8.5</v>
          </cell>
          <cell r="I32">
            <v>18.5</v>
          </cell>
          <cell r="J32">
            <v>5.5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 t="str">
            <v/>
          </cell>
        </row>
        <row r="33">
          <cell r="C33">
            <v>1076.5</v>
          </cell>
          <cell r="D33">
            <v>1076.5</v>
          </cell>
          <cell r="E33">
            <v>1076.5</v>
          </cell>
          <cell r="F33">
            <v>1076.5</v>
          </cell>
          <cell r="G33">
            <v>0</v>
          </cell>
          <cell r="H33">
            <v>0</v>
          </cell>
          <cell r="I33">
            <v>0</v>
          </cell>
          <cell r="J33">
            <v>24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</v>
          </cell>
          <cell r="O33" t="str">
            <v>Perbaikan Ac</v>
          </cell>
          <cell r="R33">
            <v>0</v>
          </cell>
          <cell r="V33">
            <v>0</v>
          </cell>
          <cell r="X33">
            <v>0</v>
          </cell>
          <cell r="Y33" t="str">
            <v/>
          </cell>
        </row>
        <row r="34">
          <cell r="C34">
            <v>1076.5</v>
          </cell>
          <cell r="D34">
            <v>1076.5</v>
          </cell>
          <cell r="E34">
            <v>1076.5</v>
          </cell>
          <cell r="F34">
            <v>1076.5</v>
          </cell>
          <cell r="G34">
            <v>0</v>
          </cell>
          <cell r="H34">
            <v>0</v>
          </cell>
          <cell r="I34">
            <v>0</v>
          </cell>
          <cell r="J34">
            <v>24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 t="str">
            <v/>
          </cell>
        </row>
        <row r="35">
          <cell r="C35">
            <v>1076.5</v>
          </cell>
          <cell r="D35">
            <v>1076.5</v>
          </cell>
          <cell r="E35">
            <v>1076.5</v>
          </cell>
          <cell r="F35">
            <v>1076.5</v>
          </cell>
          <cell r="G35">
            <v>0</v>
          </cell>
          <cell r="H35">
            <v>0</v>
          </cell>
          <cell r="I35">
            <v>0</v>
          </cell>
          <cell r="J35">
            <v>24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 t="str">
            <v/>
          </cell>
        </row>
        <row r="36">
          <cell r="C36">
            <v>769</v>
          </cell>
          <cell r="D36">
            <v>1076.5</v>
          </cell>
          <cell r="E36">
            <v>769</v>
          </cell>
          <cell r="F36">
            <v>1076.5</v>
          </cell>
          <cell r="G36">
            <v>147.5</v>
          </cell>
          <cell r="H36">
            <v>160</v>
          </cell>
          <cell r="I36">
            <v>307.5</v>
          </cell>
          <cell r="J36">
            <v>436.33333333333331</v>
          </cell>
          <cell r="N36">
            <v>0.16666666666666607</v>
          </cell>
          <cell r="R36" t="str">
            <v/>
          </cell>
          <cell r="V36" t="str">
            <v/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8</v>
          </cell>
          <cell r="H38">
            <v>10</v>
          </cell>
          <cell r="I38">
            <v>18</v>
          </cell>
          <cell r="J38">
            <v>6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7.5</v>
          </cell>
          <cell r="H39">
            <v>7</v>
          </cell>
          <cell r="I39">
            <v>14.5</v>
          </cell>
          <cell r="J39">
            <v>9.5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 t="str">
            <v/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4</v>
          </cell>
          <cell r="H40">
            <v>0</v>
          </cell>
          <cell r="I40">
            <v>4</v>
          </cell>
          <cell r="J40">
            <v>20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 t="str">
            <v/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10</v>
          </cell>
          <cell r="H41">
            <v>0</v>
          </cell>
          <cell r="I41">
            <v>10</v>
          </cell>
          <cell r="J41">
            <v>14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 t="str">
            <v/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7</v>
          </cell>
          <cell r="H42">
            <v>0</v>
          </cell>
          <cell r="I42">
            <v>7</v>
          </cell>
          <cell r="J42">
            <v>17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24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 t="str">
            <v/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8</v>
          </cell>
          <cell r="I44">
            <v>8</v>
          </cell>
          <cell r="J44">
            <v>16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 t="str">
            <v/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9</v>
          </cell>
          <cell r="H45">
            <v>8</v>
          </cell>
          <cell r="I45">
            <v>17</v>
          </cell>
          <cell r="J45">
            <v>6.9166666666666679</v>
          </cell>
          <cell r="L45">
            <v>0.8125</v>
          </cell>
          <cell r="M45">
            <v>0.81597222222222221</v>
          </cell>
          <cell r="N45">
            <v>8.3333333333333037E-2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8.3333333333333037E-2</v>
          </cell>
          <cell r="Y45" t="str">
            <v>Air filter tersumbat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8</v>
          </cell>
          <cell r="H46">
            <v>11</v>
          </cell>
          <cell r="I46">
            <v>19</v>
          </cell>
          <cell r="J46">
            <v>5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 t="str">
            <v/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9.5</v>
          </cell>
          <cell r="H47">
            <v>6.5</v>
          </cell>
          <cell r="I47">
            <v>16</v>
          </cell>
          <cell r="J47">
            <v>8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9</v>
          </cell>
          <cell r="H48">
            <v>8.5</v>
          </cell>
          <cell r="I48">
            <v>17.5</v>
          </cell>
          <cell r="J48">
            <v>6.5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 t="str">
            <v/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9.5</v>
          </cell>
          <cell r="H49">
            <v>9</v>
          </cell>
          <cell r="I49">
            <v>18.5</v>
          </cell>
          <cell r="J49">
            <v>5.5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 t="str">
            <v/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4</v>
          </cell>
          <cell r="H50">
            <v>10</v>
          </cell>
          <cell r="I50">
            <v>14</v>
          </cell>
          <cell r="J50">
            <v>10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 t="str">
            <v/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9.5</v>
          </cell>
          <cell r="H51">
            <v>3.5</v>
          </cell>
          <cell r="I51">
            <v>13</v>
          </cell>
          <cell r="J51">
            <v>11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 t="str">
            <v/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8.5</v>
          </cell>
          <cell r="H52">
            <v>9.5</v>
          </cell>
          <cell r="I52">
            <v>18</v>
          </cell>
          <cell r="J52">
            <v>6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 t="str">
            <v/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9</v>
          </cell>
          <cell r="H53">
            <v>0</v>
          </cell>
          <cell r="I53">
            <v>9</v>
          </cell>
          <cell r="J53">
            <v>15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 t="str">
            <v/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11</v>
          </cell>
          <cell r="H54">
            <v>0</v>
          </cell>
          <cell r="I54">
            <v>11</v>
          </cell>
          <cell r="J54">
            <v>13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 t="str">
            <v/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9</v>
          </cell>
          <cell r="H55">
            <v>0</v>
          </cell>
          <cell r="I55">
            <v>9</v>
          </cell>
          <cell r="J55">
            <v>15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 t="str">
            <v/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7</v>
          </cell>
          <cell r="H56">
            <v>2</v>
          </cell>
          <cell r="I56">
            <v>9</v>
          </cell>
          <cell r="J56">
            <v>15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 t="str">
            <v/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8</v>
          </cell>
          <cell r="H57">
            <v>10.900000000000091</v>
          </cell>
          <cell r="I57">
            <v>18.900000000000091</v>
          </cell>
          <cell r="J57">
            <v>3.7666666666665733</v>
          </cell>
          <cell r="L57">
            <v>0.44444444444444442</v>
          </cell>
          <cell r="M57">
            <v>0.5</v>
          </cell>
          <cell r="N57">
            <v>1.3333333333333339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1.3333333333333339</v>
          </cell>
          <cell r="Y57" t="str">
            <v>Panel oil engine nyala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8.0999999999999091</v>
          </cell>
          <cell r="H58">
            <v>0</v>
          </cell>
          <cell r="I58">
            <v>8.0999999999999091</v>
          </cell>
          <cell r="J58">
            <v>15.900000000000091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6</v>
          </cell>
          <cell r="H59">
            <v>0</v>
          </cell>
          <cell r="I59">
            <v>6</v>
          </cell>
          <cell r="J59">
            <v>1.0833333333333357</v>
          </cell>
          <cell r="L59">
            <v>0.58680555555555558</v>
          </cell>
          <cell r="M59">
            <v>0.75</v>
          </cell>
          <cell r="N59">
            <v>3.9166666666666661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13</v>
          </cell>
          <cell r="S59" t="str">
            <v>Cylinder arm bocor</v>
          </cell>
          <cell r="V59">
            <v>0</v>
          </cell>
          <cell r="X59">
            <v>16.916666666666664</v>
          </cell>
          <cell r="Y59" t="str">
            <v>Cylinder arm bocor,Cylinder arm bocor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11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13</v>
          </cell>
          <cell r="S60" t="str">
            <v>Cylinder arm bocor</v>
          </cell>
          <cell r="V60">
            <v>0</v>
          </cell>
          <cell r="X60">
            <v>24</v>
          </cell>
          <cell r="Y60" t="str">
            <v>Cylinder arm bocor,Cylinder arm bocor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10.299999999999955</v>
          </cell>
          <cell r="I61">
            <v>10.299999999999955</v>
          </cell>
          <cell r="J61">
            <v>4.2833333333333812</v>
          </cell>
          <cell r="L61">
            <v>0.29166666666666669</v>
          </cell>
          <cell r="M61">
            <v>0.68402777777777779</v>
          </cell>
          <cell r="N61">
            <v>9.4166666666666661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9.4166666666666661</v>
          </cell>
          <cell r="Y61" t="str">
            <v>Cylinder arm bocor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8.7000000000000455</v>
          </cell>
          <cell r="H62">
            <v>10</v>
          </cell>
          <cell r="I62">
            <v>18.700000000000045</v>
          </cell>
          <cell r="J62">
            <v>5.2999999999999545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 t="str">
            <v/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9</v>
          </cell>
          <cell r="H63">
            <v>10</v>
          </cell>
          <cell r="I63">
            <v>19</v>
          </cell>
          <cell r="J63">
            <v>4.5833333333333357</v>
          </cell>
          <cell r="L63">
            <v>0.33333333333333331</v>
          </cell>
          <cell r="M63">
            <v>0.34722222222222227</v>
          </cell>
          <cell r="N63">
            <v>0.33333333333333481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8.3333333333330373E-2</v>
          </cell>
          <cell r="S63" t="str">
            <v>Lock pin bucket patah</v>
          </cell>
          <cell r="V63">
            <v>0</v>
          </cell>
          <cell r="X63">
            <v>0.41666666666666519</v>
          </cell>
          <cell r="Y63" t="str">
            <v>Back pres error,Lock pin bucket patah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8</v>
          </cell>
          <cell r="H64">
            <v>10</v>
          </cell>
          <cell r="I64">
            <v>18</v>
          </cell>
          <cell r="J64">
            <v>6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 t="str">
            <v/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9</v>
          </cell>
          <cell r="H65">
            <v>9</v>
          </cell>
          <cell r="I65">
            <v>18</v>
          </cell>
          <cell r="J65">
            <v>6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 t="str">
            <v/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24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 t="str">
            <v/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24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 t="str">
            <v/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24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 t="str">
            <v/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1126</v>
          </cell>
          <cell r="G69">
            <v>196.29999999999995</v>
          </cell>
          <cell r="H69">
            <v>153.20000000000005</v>
          </cell>
          <cell r="I69">
            <v>349.5</v>
          </cell>
          <cell r="J69">
            <v>342.33333333333337</v>
          </cell>
          <cell r="N69">
            <v>26.083333333333336</v>
          </cell>
          <cell r="R69">
            <v>26.083333333333329</v>
          </cell>
          <cell r="V69" t="str">
            <v/>
          </cell>
        </row>
        <row r="70">
          <cell r="V70" t="str">
            <v/>
          </cell>
        </row>
        <row r="71">
          <cell r="C71">
            <v>756.2</v>
          </cell>
          <cell r="D71">
            <v>763</v>
          </cell>
          <cell r="E71">
            <v>763</v>
          </cell>
          <cell r="F71">
            <v>772</v>
          </cell>
          <cell r="G71">
            <v>6.7999999999999545</v>
          </cell>
          <cell r="H71">
            <v>9</v>
          </cell>
          <cell r="I71">
            <v>15.799999999999955</v>
          </cell>
          <cell r="J71">
            <v>8.2000000000000455</v>
          </cell>
          <cell r="L71">
            <v>0.29166666666666669</v>
          </cell>
          <cell r="M71">
            <v>0.75</v>
          </cell>
          <cell r="N71">
            <v>0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772</v>
          </cell>
          <cell r="D72">
            <v>779</v>
          </cell>
          <cell r="E72">
            <v>779</v>
          </cell>
          <cell r="F72">
            <v>781</v>
          </cell>
          <cell r="G72">
            <v>7</v>
          </cell>
          <cell r="H72">
            <v>2</v>
          </cell>
          <cell r="I72">
            <v>9</v>
          </cell>
          <cell r="J72">
            <v>15</v>
          </cell>
          <cell r="L72">
            <v>0.29166666666666669</v>
          </cell>
          <cell r="M72">
            <v>0.75</v>
          </cell>
          <cell r="N72">
            <v>0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0</v>
          </cell>
          <cell r="S72" t="str">
            <v>Kabin bocor</v>
          </cell>
          <cell r="V72">
            <v>0</v>
          </cell>
          <cell r="X72">
            <v>0</v>
          </cell>
          <cell r="Y72" t="str">
            <v/>
          </cell>
        </row>
        <row r="73">
          <cell r="C73">
            <v>781</v>
          </cell>
          <cell r="D73">
            <v>788.6</v>
          </cell>
          <cell r="E73">
            <v>788.6</v>
          </cell>
          <cell r="F73">
            <v>796</v>
          </cell>
          <cell r="G73">
            <v>7.6000000000000227</v>
          </cell>
          <cell r="H73">
            <v>7.3999999999999773</v>
          </cell>
          <cell r="I73">
            <v>15</v>
          </cell>
          <cell r="J73">
            <v>9</v>
          </cell>
          <cell r="L73">
            <v>0.29166666666666669</v>
          </cell>
          <cell r="M73">
            <v>0.75</v>
          </cell>
          <cell r="N73">
            <v>0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0</v>
          </cell>
          <cell r="S73" t="str">
            <v>Kabin bocor</v>
          </cell>
          <cell r="V73">
            <v>0</v>
          </cell>
          <cell r="X73">
            <v>0</v>
          </cell>
          <cell r="Y73" t="str">
            <v/>
          </cell>
        </row>
        <row r="74">
          <cell r="C74">
            <v>796</v>
          </cell>
          <cell r="D74">
            <v>802.5</v>
          </cell>
          <cell r="E74">
            <v>802.5</v>
          </cell>
          <cell r="F74">
            <v>811</v>
          </cell>
          <cell r="G74">
            <v>6.5</v>
          </cell>
          <cell r="H74">
            <v>8.5</v>
          </cell>
          <cell r="I74">
            <v>15</v>
          </cell>
          <cell r="J74">
            <v>9</v>
          </cell>
          <cell r="L74">
            <v>0.29166666666666669</v>
          </cell>
          <cell r="M74">
            <v>0.75</v>
          </cell>
          <cell r="N74">
            <v>0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0</v>
          </cell>
          <cell r="S74" t="str">
            <v>Kabin bocor</v>
          </cell>
          <cell r="V74">
            <v>0</v>
          </cell>
          <cell r="X74">
            <v>0</v>
          </cell>
          <cell r="Y74" t="str">
            <v/>
          </cell>
        </row>
        <row r="75">
          <cell r="C75">
            <v>811</v>
          </cell>
          <cell r="D75">
            <v>811</v>
          </cell>
          <cell r="E75">
            <v>811</v>
          </cell>
          <cell r="F75">
            <v>811</v>
          </cell>
          <cell r="G75">
            <v>0</v>
          </cell>
          <cell r="H75">
            <v>0</v>
          </cell>
          <cell r="I75">
            <v>0</v>
          </cell>
          <cell r="J75">
            <v>24</v>
          </cell>
          <cell r="L75">
            <v>0.29166666666666669</v>
          </cell>
          <cell r="M75">
            <v>0.75</v>
          </cell>
          <cell r="N75">
            <v>0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0</v>
          </cell>
          <cell r="S75" t="str">
            <v>Kabin bocor</v>
          </cell>
          <cell r="V75">
            <v>0</v>
          </cell>
          <cell r="X75">
            <v>0</v>
          </cell>
          <cell r="Y75" t="str">
            <v/>
          </cell>
        </row>
        <row r="76">
          <cell r="C76">
            <v>811</v>
          </cell>
          <cell r="D76">
            <v>811</v>
          </cell>
          <cell r="E76">
            <v>811</v>
          </cell>
          <cell r="F76">
            <v>811</v>
          </cell>
          <cell r="G76">
            <v>0</v>
          </cell>
          <cell r="H76">
            <v>0</v>
          </cell>
          <cell r="I76">
            <v>0</v>
          </cell>
          <cell r="J76">
            <v>24</v>
          </cell>
          <cell r="L76">
            <v>0.29166666666666669</v>
          </cell>
          <cell r="M76">
            <v>0.75</v>
          </cell>
          <cell r="N76">
            <v>0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0</v>
          </cell>
          <cell r="S76" t="str">
            <v>Kabin bocor</v>
          </cell>
          <cell r="V76">
            <v>0</v>
          </cell>
          <cell r="X76">
            <v>0</v>
          </cell>
          <cell r="Y76" t="str">
            <v/>
          </cell>
        </row>
        <row r="77">
          <cell r="C77">
            <v>811</v>
          </cell>
          <cell r="D77">
            <v>811</v>
          </cell>
          <cell r="E77">
            <v>811</v>
          </cell>
          <cell r="F77">
            <v>811</v>
          </cell>
          <cell r="G77">
            <v>0</v>
          </cell>
          <cell r="H77">
            <v>0</v>
          </cell>
          <cell r="I77">
            <v>0</v>
          </cell>
          <cell r="J77">
            <v>24</v>
          </cell>
          <cell r="L77">
            <v>0.29166666666666669</v>
          </cell>
          <cell r="M77">
            <v>0.75</v>
          </cell>
          <cell r="N77">
            <v>0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0</v>
          </cell>
          <cell r="S77" t="str">
            <v>Kabin bocor</v>
          </cell>
          <cell r="V77">
            <v>0</v>
          </cell>
          <cell r="X77">
            <v>0</v>
          </cell>
          <cell r="Y77" t="str">
            <v/>
          </cell>
        </row>
        <row r="78">
          <cell r="C78">
            <v>811</v>
          </cell>
          <cell r="D78">
            <v>820</v>
          </cell>
          <cell r="E78">
            <v>820</v>
          </cell>
          <cell r="F78">
            <v>827</v>
          </cell>
          <cell r="G78">
            <v>9</v>
          </cell>
          <cell r="H78">
            <v>7</v>
          </cell>
          <cell r="I78">
            <v>16</v>
          </cell>
          <cell r="J78">
            <v>8</v>
          </cell>
          <cell r="L78">
            <v>0.29166666666666669</v>
          </cell>
          <cell r="M78">
            <v>0.75</v>
          </cell>
          <cell r="N78">
            <v>0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0</v>
          </cell>
          <cell r="S78" t="str">
            <v>Kabin bocor</v>
          </cell>
          <cell r="V78">
            <v>0</v>
          </cell>
          <cell r="X78">
            <v>0</v>
          </cell>
          <cell r="Y78" t="str">
            <v/>
          </cell>
        </row>
        <row r="79">
          <cell r="C79">
            <v>827</v>
          </cell>
          <cell r="D79">
            <v>835</v>
          </cell>
          <cell r="E79">
            <v>835</v>
          </cell>
          <cell r="F79">
            <v>835</v>
          </cell>
          <cell r="G79">
            <v>8</v>
          </cell>
          <cell r="H79">
            <v>0</v>
          </cell>
          <cell r="I79">
            <v>8</v>
          </cell>
          <cell r="J79">
            <v>16</v>
          </cell>
          <cell r="L79">
            <v>0.29166666666666669</v>
          </cell>
          <cell r="M79">
            <v>0.75</v>
          </cell>
          <cell r="N79">
            <v>0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0</v>
          </cell>
          <cell r="S79" t="str">
            <v>Kabin bocor</v>
          </cell>
          <cell r="V79">
            <v>0</v>
          </cell>
          <cell r="X79">
            <v>0</v>
          </cell>
          <cell r="Y79" t="str">
            <v/>
          </cell>
        </row>
        <row r="80">
          <cell r="C80">
            <v>835</v>
          </cell>
          <cell r="D80">
            <v>843</v>
          </cell>
          <cell r="E80">
            <v>843</v>
          </cell>
          <cell r="F80">
            <v>850.5</v>
          </cell>
          <cell r="G80">
            <v>8</v>
          </cell>
          <cell r="H80">
            <v>7.5</v>
          </cell>
          <cell r="I80">
            <v>15.5</v>
          </cell>
          <cell r="J80">
            <v>8.5</v>
          </cell>
          <cell r="L80">
            <v>0.29166666666666669</v>
          </cell>
          <cell r="M80">
            <v>0.36458333333333331</v>
          </cell>
          <cell r="N80">
            <v>0</v>
          </cell>
          <cell r="O80" t="str">
            <v>Kabin bocor</v>
          </cell>
          <cell r="R80">
            <v>0</v>
          </cell>
          <cell r="V80">
            <v>0</v>
          </cell>
          <cell r="X80">
            <v>0</v>
          </cell>
          <cell r="Y80" t="str">
            <v/>
          </cell>
        </row>
        <row r="81">
          <cell r="C81">
            <v>850.5</v>
          </cell>
          <cell r="D81">
            <v>850.5</v>
          </cell>
          <cell r="E81">
            <v>850.5</v>
          </cell>
          <cell r="F81">
            <v>850.5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/>
          </cell>
        </row>
        <row r="82">
          <cell r="C82">
            <v>850.5</v>
          </cell>
          <cell r="D82">
            <v>850.5</v>
          </cell>
          <cell r="E82">
            <v>850.5</v>
          </cell>
          <cell r="F82">
            <v>853</v>
          </cell>
          <cell r="G82">
            <v>0</v>
          </cell>
          <cell r="H82">
            <v>2.5</v>
          </cell>
          <cell r="I82">
            <v>2.5</v>
          </cell>
          <cell r="J82">
            <v>21.5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/>
          </cell>
        </row>
        <row r="83">
          <cell r="C83">
            <v>853</v>
          </cell>
          <cell r="D83">
            <v>856</v>
          </cell>
          <cell r="E83">
            <v>856</v>
          </cell>
          <cell r="F83">
            <v>856</v>
          </cell>
          <cell r="G83">
            <v>3</v>
          </cell>
          <cell r="H83">
            <v>0</v>
          </cell>
          <cell r="I83">
            <v>3</v>
          </cell>
          <cell r="J83">
            <v>21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/>
          </cell>
        </row>
        <row r="84">
          <cell r="C84">
            <v>856</v>
          </cell>
          <cell r="D84">
            <v>858</v>
          </cell>
          <cell r="E84">
            <v>858</v>
          </cell>
          <cell r="F84">
            <v>858</v>
          </cell>
          <cell r="G84">
            <v>2</v>
          </cell>
          <cell r="H84">
            <v>0</v>
          </cell>
          <cell r="I84">
            <v>2</v>
          </cell>
          <cell r="J84">
            <v>22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/>
          </cell>
        </row>
        <row r="85">
          <cell r="C85">
            <v>858</v>
          </cell>
          <cell r="D85">
            <v>858</v>
          </cell>
          <cell r="E85">
            <v>858</v>
          </cell>
          <cell r="F85">
            <v>858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Pin bucket lepas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858</v>
          </cell>
          <cell r="D86">
            <v>858</v>
          </cell>
          <cell r="E86">
            <v>858</v>
          </cell>
          <cell r="F86">
            <v>858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/>
          </cell>
        </row>
        <row r="87">
          <cell r="C87">
            <v>858</v>
          </cell>
          <cell r="D87">
            <v>858</v>
          </cell>
          <cell r="E87">
            <v>858</v>
          </cell>
          <cell r="F87">
            <v>858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/>
          </cell>
        </row>
        <row r="88">
          <cell r="C88">
            <v>858</v>
          </cell>
          <cell r="D88">
            <v>858</v>
          </cell>
          <cell r="E88">
            <v>858</v>
          </cell>
          <cell r="F88">
            <v>858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/>
          </cell>
        </row>
        <row r="89">
          <cell r="C89">
            <v>858</v>
          </cell>
          <cell r="D89">
            <v>858</v>
          </cell>
          <cell r="E89">
            <v>858</v>
          </cell>
          <cell r="F89">
            <v>858</v>
          </cell>
          <cell r="G89">
            <v>0</v>
          </cell>
          <cell r="H89">
            <v>0</v>
          </cell>
          <cell r="I89">
            <v>0</v>
          </cell>
          <cell r="J89">
            <v>24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 t="str">
            <v/>
          </cell>
        </row>
        <row r="90">
          <cell r="C90">
            <v>858</v>
          </cell>
          <cell r="D90">
            <v>858</v>
          </cell>
          <cell r="E90">
            <v>858</v>
          </cell>
          <cell r="F90">
            <v>858</v>
          </cell>
          <cell r="G90">
            <v>0</v>
          </cell>
          <cell r="H90">
            <v>0</v>
          </cell>
          <cell r="I90">
            <v>0</v>
          </cell>
          <cell r="J90">
            <v>24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 t="str">
            <v/>
          </cell>
        </row>
        <row r="91">
          <cell r="C91">
            <v>858</v>
          </cell>
          <cell r="D91">
            <v>858</v>
          </cell>
          <cell r="E91">
            <v>858</v>
          </cell>
          <cell r="F91">
            <v>869.5</v>
          </cell>
          <cell r="G91">
            <v>0</v>
          </cell>
          <cell r="H91">
            <v>11.5</v>
          </cell>
          <cell r="I91">
            <v>11.5</v>
          </cell>
          <cell r="J91">
            <v>12.5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 t="str">
            <v/>
          </cell>
        </row>
        <row r="92">
          <cell r="C92">
            <v>869.5</v>
          </cell>
          <cell r="D92">
            <v>879</v>
          </cell>
          <cell r="E92">
            <v>879</v>
          </cell>
          <cell r="F92">
            <v>890</v>
          </cell>
          <cell r="G92">
            <v>9.5</v>
          </cell>
          <cell r="H92">
            <v>11</v>
          </cell>
          <cell r="I92">
            <v>20.5</v>
          </cell>
          <cell r="J92">
            <v>3.5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 t="str">
            <v/>
          </cell>
        </row>
        <row r="93">
          <cell r="C93">
            <v>890</v>
          </cell>
          <cell r="D93">
            <v>898</v>
          </cell>
          <cell r="E93">
            <v>898</v>
          </cell>
          <cell r="F93">
            <v>908.5</v>
          </cell>
          <cell r="G93">
            <v>8</v>
          </cell>
          <cell r="H93">
            <v>10.5</v>
          </cell>
          <cell r="I93">
            <v>18.5</v>
          </cell>
          <cell r="J93">
            <v>5.5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 t="str">
            <v/>
          </cell>
        </row>
        <row r="94">
          <cell r="C94">
            <v>908.5</v>
          </cell>
          <cell r="D94">
            <v>917.5</v>
          </cell>
          <cell r="E94">
            <v>917.5</v>
          </cell>
          <cell r="F94">
            <v>927</v>
          </cell>
          <cell r="G94">
            <v>9</v>
          </cell>
          <cell r="H94">
            <v>9.5</v>
          </cell>
          <cell r="I94">
            <v>18.5</v>
          </cell>
          <cell r="J94">
            <v>5.5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 t="str">
            <v/>
          </cell>
        </row>
        <row r="95">
          <cell r="C95">
            <v>927</v>
          </cell>
          <cell r="D95">
            <v>927</v>
          </cell>
          <cell r="E95">
            <v>927</v>
          </cell>
          <cell r="F95">
            <v>931.8</v>
          </cell>
          <cell r="G95">
            <v>0</v>
          </cell>
          <cell r="H95">
            <v>4.7999999999999545</v>
          </cell>
          <cell r="I95">
            <v>4.7999999999999545</v>
          </cell>
          <cell r="J95">
            <v>19.200000000000045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 t="str">
            <v/>
          </cell>
        </row>
        <row r="96">
          <cell r="C96">
            <v>931.8</v>
          </cell>
          <cell r="D96">
            <v>940.5</v>
          </cell>
          <cell r="E96">
            <v>940.5</v>
          </cell>
          <cell r="F96">
            <v>940.5</v>
          </cell>
          <cell r="G96">
            <v>8.7000000000000455</v>
          </cell>
          <cell r="H96">
            <v>0</v>
          </cell>
          <cell r="I96">
            <v>8.7000000000000455</v>
          </cell>
          <cell r="J96">
            <v>14.799999999999955</v>
          </cell>
          <cell r="L96">
            <v>0.3125</v>
          </cell>
          <cell r="M96">
            <v>0.33333333333333331</v>
          </cell>
          <cell r="N96">
            <v>0.49999999999999956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0.49999999999999956</v>
          </cell>
          <cell r="Y96" t="str">
            <v>Air clener tersumbat</v>
          </cell>
        </row>
        <row r="97">
          <cell r="C97">
            <v>940.5</v>
          </cell>
          <cell r="D97">
            <v>948.5</v>
          </cell>
          <cell r="E97">
            <v>948.5</v>
          </cell>
          <cell r="F97">
            <v>954</v>
          </cell>
          <cell r="G97">
            <v>8</v>
          </cell>
          <cell r="H97">
            <v>5.5</v>
          </cell>
          <cell r="I97">
            <v>13.5</v>
          </cell>
          <cell r="J97">
            <v>10.5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 t="str">
            <v/>
          </cell>
        </row>
        <row r="98">
          <cell r="C98">
            <v>954</v>
          </cell>
          <cell r="D98">
            <v>964</v>
          </cell>
          <cell r="E98">
            <v>964</v>
          </cell>
          <cell r="F98">
            <v>964</v>
          </cell>
          <cell r="G98">
            <v>10</v>
          </cell>
          <cell r="H98">
            <v>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964</v>
          </cell>
          <cell r="D99">
            <v>964</v>
          </cell>
          <cell r="E99">
            <v>964</v>
          </cell>
          <cell r="F99">
            <v>974</v>
          </cell>
          <cell r="G99">
            <v>0</v>
          </cell>
          <cell r="H99">
            <v>10</v>
          </cell>
          <cell r="I99">
            <v>10</v>
          </cell>
          <cell r="J99">
            <v>14</v>
          </cell>
          <cell r="K99" t="str">
            <v>Day shift standby</v>
          </cell>
          <cell r="L99">
            <v>0.84375</v>
          </cell>
          <cell r="M99">
            <v>0.8618055555555556</v>
          </cell>
          <cell r="N99">
            <v>0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</v>
          </cell>
          <cell r="Y99" t="str">
            <v/>
          </cell>
        </row>
        <row r="100">
          <cell r="C100">
            <v>974</v>
          </cell>
          <cell r="D100">
            <v>974</v>
          </cell>
          <cell r="E100">
            <v>974</v>
          </cell>
          <cell r="F100">
            <v>974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 t="str">
            <v/>
          </cell>
        </row>
        <row r="101">
          <cell r="C101">
            <v>974</v>
          </cell>
          <cell r="D101">
            <v>974</v>
          </cell>
          <cell r="E101">
            <v>974</v>
          </cell>
          <cell r="F101">
            <v>974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 t="str">
            <v/>
          </cell>
        </row>
        <row r="102">
          <cell r="C102">
            <v>756.2</v>
          </cell>
          <cell r="D102">
            <v>974</v>
          </cell>
          <cell r="E102">
            <v>763</v>
          </cell>
          <cell r="F102">
            <v>974</v>
          </cell>
          <cell r="G102">
            <v>111.10000000000002</v>
          </cell>
          <cell r="H102">
            <v>106.69999999999993</v>
          </cell>
          <cell r="I102">
            <v>217.79999999999995</v>
          </cell>
          <cell r="J102">
            <v>525.70000000000005</v>
          </cell>
          <cell r="N102">
            <v>0.49999999999999956</v>
          </cell>
          <cell r="R102" t="str">
            <v/>
          </cell>
          <cell r="V102" t="str">
            <v/>
          </cell>
          <cell r="X102">
            <v>218.18333333333334</v>
          </cell>
        </row>
        <row r="103">
          <cell r="V103" t="str">
            <v/>
          </cell>
        </row>
        <row r="104">
          <cell r="C104">
            <v>546</v>
          </cell>
          <cell r="D104">
            <v>546</v>
          </cell>
          <cell r="E104">
            <v>546</v>
          </cell>
          <cell r="F104">
            <v>546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 t="str">
            <v/>
          </cell>
        </row>
        <row r="105">
          <cell r="C105">
            <v>546</v>
          </cell>
          <cell r="D105">
            <v>549</v>
          </cell>
          <cell r="E105">
            <v>549</v>
          </cell>
          <cell r="F105">
            <v>549</v>
          </cell>
          <cell r="G105">
            <v>3</v>
          </cell>
          <cell r="H105">
            <v>0</v>
          </cell>
          <cell r="I105">
            <v>3</v>
          </cell>
          <cell r="J105">
            <v>21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 t="str">
            <v/>
          </cell>
        </row>
        <row r="106">
          <cell r="C106">
            <v>549</v>
          </cell>
          <cell r="D106">
            <v>557</v>
          </cell>
          <cell r="E106">
            <v>557</v>
          </cell>
          <cell r="F106">
            <v>559</v>
          </cell>
          <cell r="G106">
            <v>8</v>
          </cell>
          <cell r="H106">
            <v>2</v>
          </cell>
          <cell r="I106">
            <v>10</v>
          </cell>
          <cell r="J106">
            <v>14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 t="str">
            <v/>
          </cell>
        </row>
        <row r="107">
          <cell r="C107">
            <v>559</v>
          </cell>
          <cell r="D107">
            <v>563</v>
          </cell>
          <cell r="E107">
            <v>563</v>
          </cell>
          <cell r="F107">
            <v>563</v>
          </cell>
          <cell r="G107">
            <v>4</v>
          </cell>
          <cell r="H107">
            <v>0</v>
          </cell>
          <cell r="I107">
            <v>4</v>
          </cell>
          <cell r="J107">
            <v>18.75</v>
          </cell>
          <cell r="L107">
            <v>0.36458333333333331</v>
          </cell>
          <cell r="M107">
            <v>0.41666666666666669</v>
          </cell>
          <cell r="N107">
            <v>1.2500000000000009</v>
          </cell>
          <cell r="O107" t="str">
            <v>Ac hot</v>
          </cell>
          <cell r="R107">
            <v>0</v>
          </cell>
          <cell r="V107">
            <v>0</v>
          </cell>
          <cell r="X107">
            <v>1.2500000000000009</v>
          </cell>
          <cell r="Y107" t="str">
            <v>Ac hot</v>
          </cell>
        </row>
        <row r="108">
          <cell r="C108">
            <v>563</v>
          </cell>
          <cell r="D108">
            <v>563</v>
          </cell>
          <cell r="E108">
            <v>563</v>
          </cell>
          <cell r="F108">
            <v>563</v>
          </cell>
          <cell r="G108">
            <v>0</v>
          </cell>
          <cell r="H108">
            <v>0</v>
          </cell>
          <cell r="I108">
            <v>0</v>
          </cell>
          <cell r="J108">
            <v>24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 t="str">
            <v/>
          </cell>
        </row>
        <row r="109">
          <cell r="C109">
            <v>563</v>
          </cell>
          <cell r="D109">
            <v>563</v>
          </cell>
          <cell r="E109">
            <v>563</v>
          </cell>
          <cell r="F109">
            <v>563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 t="str">
            <v/>
          </cell>
        </row>
        <row r="110">
          <cell r="C110">
            <v>563</v>
          </cell>
          <cell r="D110">
            <v>563</v>
          </cell>
          <cell r="E110">
            <v>563</v>
          </cell>
          <cell r="F110">
            <v>563</v>
          </cell>
          <cell r="G110">
            <v>0</v>
          </cell>
          <cell r="H110">
            <v>0</v>
          </cell>
          <cell r="I110">
            <v>0</v>
          </cell>
          <cell r="J110">
            <v>24</v>
          </cell>
          <cell r="L110">
            <v>0.85416666666666663</v>
          </cell>
          <cell r="M110">
            <v>0.90625</v>
          </cell>
          <cell r="N110">
            <v>0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0</v>
          </cell>
          <cell r="Y110" t="str">
            <v/>
          </cell>
        </row>
        <row r="111">
          <cell r="C111">
            <v>563</v>
          </cell>
          <cell r="D111">
            <v>566</v>
          </cell>
          <cell r="E111">
            <v>566</v>
          </cell>
          <cell r="F111">
            <v>566</v>
          </cell>
          <cell r="G111">
            <v>3</v>
          </cell>
          <cell r="H111">
            <v>0</v>
          </cell>
          <cell r="I111">
            <v>3</v>
          </cell>
          <cell r="J111">
            <v>21</v>
          </cell>
          <cell r="L111">
            <v>0.84722222222222221</v>
          </cell>
          <cell r="M111">
            <v>0.85416666666666663</v>
          </cell>
          <cell r="N111">
            <v>0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</v>
          </cell>
          <cell r="Y111" t="str">
            <v/>
          </cell>
        </row>
        <row r="112">
          <cell r="C112">
            <v>566</v>
          </cell>
          <cell r="D112">
            <v>567</v>
          </cell>
          <cell r="E112">
            <v>567</v>
          </cell>
          <cell r="F112">
            <v>569</v>
          </cell>
          <cell r="G112">
            <v>1</v>
          </cell>
          <cell r="H112">
            <v>2</v>
          </cell>
          <cell r="I112">
            <v>3</v>
          </cell>
          <cell r="J112">
            <v>21</v>
          </cell>
          <cell r="L112">
            <v>0.86458333333333337</v>
          </cell>
          <cell r="M112">
            <v>0.86805555555555547</v>
          </cell>
          <cell r="N112">
            <v>0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0</v>
          </cell>
          <cell r="Y112" t="str">
            <v/>
          </cell>
        </row>
        <row r="113">
          <cell r="C113">
            <v>569</v>
          </cell>
          <cell r="D113">
            <v>576</v>
          </cell>
          <cell r="E113">
            <v>576</v>
          </cell>
          <cell r="F113">
            <v>579</v>
          </cell>
          <cell r="G113">
            <v>7</v>
          </cell>
          <cell r="H113">
            <v>3</v>
          </cell>
          <cell r="I113">
            <v>10</v>
          </cell>
          <cell r="J113">
            <v>13.16666666666667</v>
          </cell>
          <cell r="L113">
            <v>0.89583333333333337</v>
          </cell>
          <cell r="M113">
            <v>0.93055555555555547</v>
          </cell>
          <cell r="N113">
            <v>0.83333333333333037</v>
          </cell>
          <cell r="O113" t="str">
            <v>Ac hot</v>
          </cell>
          <cell r="R113">
            <v>0</v>
          </cell>
          <cell r="V113">
            <v>0</v>
          </cell>
          <cell r="X113">
            <v>0.83333333333333037</v>
          </cell>
          <cell r="Y113" t="str">
            <v>Ac hot</v>
          </cell>
        </row>
        <row r="114">
          <cell r="C114">
            <v>579</v>
          </cell>
          <cell r="D114">
            <v>584</v>
          </cell>
          <cell r="E114">
            <v>584</v>
          </cell>
          <cell r="F114">
            <v>590</v>
          </cell>
          <cell r="G114">
            <v>5</v>
          </cell>
          <cell r="H114">
            <v>6</v>
          </cell>
          <cell r="I114">
            <v>11</v>
          </cell>
          <cell r="J114">
            <v>12</v>
          </cell>
          <cell r="L114">
            <v>0.81597222222222221</v>
          </cell>
          <cell r="M114">
            <v>0.84722222222222221</v>
          </cell>
          <cell r="N114">
            <v>0.75</v>
          </cell>
          <cell r="O114" t="str">
            <v>Ps04</v>
          </cell>
          <cell r="P114">
            <v>0.45833333333333331</v>
          </cell>
          <cell r="Q114">
            <v>0.46875</v>
          </cell>
          <cell r="R114">
            <v>0.25000000000000044</v>
          </cell>
          <cell r="S114" t="str">
            <v>Ac hot</v>
          </cell>
          <cell r="V114">
            <v>0</v>
          </cell>
          <cell r="X114">
            <v>1.0000000000000004</v>
          </cell>
          <cell r="Y114" t="str">
            <v>Ps04,Ac hot</v>
          </cell>
        </row>
        <row r="115">
          <cell r="C115">
            <v>590</v>
          </cell>
          <cell r="D115">
            <v>598</v>
          </cell>
          <cell r="E115">
            <v>598</v>
          </cell>
          <cell r="F115">
            <v>603</v>
          </cell>
          <cell r="G115">
            <v>8</v>
          </cell>
          <cell r="H115">
            <v>5</v>
          </cell>
          <cell r="I115">
            <v>13</v>
          </cell>
          <cell r="J115">
            <v>11</v>
          </cell>
          <cell r="L115">
            <v>0.30208333333333331</v>
          </cell>
          <cell r="M115">
            <v>0.3125</v>
          </cell>
          <cell r="N115">
            <v>0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</v>
          </cell>
          <cell r="Y115" t="str">
            <v/>
          </cell>
        </row>
        <row r="116">
          <cell r="C116">
            <v>603</v>
          </cell>
          <cell r="D116">
            <v>603</v>
          </cell>
          <cell r="E116">
            <v>603</v>
          </cell>
          <cell r="F116">
            <v>603</v>
          </cell>
          <cell r="G116">
            <v>0</v>
          </cell>
          <cell r="H116">
            <v>0</v>
          </cell>
          <cell r="I116">
            <v>0</v>
          </cell>
          <cell r="J116">
            <v>24</v>
          </cell>
          <cell r="L116">
            <v>0.77430555555555547</v>
          </cell>
          <cell r="M116">
            <v>0.88541666666666663</v>
          </cell>
          <cell r="N116">
            <v>0</v>
          </cell>
          <cell r="O116" t="str">
            <v>Cant start</v>
          </cell>
          <cell r="R116">
            <v>0</v>
          </cell>
          <cell r="V116">
            <v>0</v>
          </cell>
          <cell r="X116">
            <v>0</v>
          </cell>
          <cell r="Y116" t="str">
            <v/>
          </cell>
        </row>
        <row r="117">
          <cell r="C117">
            <v>603</v>
          </cell>
          <cell r="D117">
            <v>609</v>
          </cell>
          <cell r="E117">
            <v>609</v>
          </cell>
          <cell r="F117">
            <v>609</v>
          </cell>
          <cell r="G117">
            <v>6</v>
          </cell>
          <cell r="H117">
            <v>0</v>
          </cell>
          <cell r="I117">
            <v>6</v>
          </cell>
          <cell r="J117">
            <v>18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 t="str">
            <v/>
          </cell>
        </row>
        <row r="118">
          <cell r="C118">
            <v>609</v>
          </cell>
          <cell r="D118">
            <v>614</v>
          </cell>
          <cell r="E118">
            <v>614</v>
          </cell>
          <cell r="F118">
            <v>614</v>
          </cell>
          <cell r="G118">
            <v>5</v>
          </cell>
          <cell r="H118">
            <v>0</v>
          </cell>
          <cell r="I118">
            <v>5</v>
          </cell>
          <cell r="J118">
            <v>17.583333333333336</v>
          </cell>
          <cell r="L118">
            <v>0.375</v>
          </cell>
          <cell r="M118">
            <v>0.43402777777777773</v>
          </cell>
          <cell r="N118">
            <v>1.4166666666666656</v>
          </cell>
          <cell r="O118" t="str">
            <v>Cant start</v>
          </cell>
          <cell r="R118">
            <v>0</v>
          </cell>
          <cell r="V118">
            <v>0</v>
          </cell>
          <cell r="X118">
            <v>1.4166666666666656</v>
          </cell>
          <cell r="Y118" t="str">
            <v>Cant start</v>
          </cell>
        </row>
        <row r="119">
          <cell r="C119">
            <v>614</v>
          </cell>
          <cell r="D119">
            <v>618</v>
          </cell>
          <cell r="E119">
            <v>618</v>
          </cell>
          <cell r="F119">
            <v>618</v>
          </cell>
          <cell r="G119">
            <v>4</v>
          </cell>
          <cell r="H119">
            <v>0</v>
          </cell>
          <cell r="I119">
            <v>4</v>
          </cell>
          <cell r="J119">
            <v>20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/>
          </cell>
        </row>
        <row r="120">
          <cell r="C120">
            <v>618</v>
          </cell>
          <cell r="D120">
            <v>624</v>
          </cell>
          <cell r="E120">
            <v>624</v>
          </cell>
          <cell r="F120">
            <v>630</v>
          </cell>
          <cell r="G120">
            <v>6</v>
          </cell>
          <cell r="H120">
            <v>6</v>
          </cell>
          <cell r="I120">
            <v>12</v>
          </cell>
          <cell r="J120">
            <v>8.5</v>
          </cell>
          <cell r="L120">
            <v>0.14583333333333334</v>
          </cell>
          <cell r="M120">
            <v>0.29166666666666669</v>
          </cell>
          <cell r="N120">
            <v>3.5</v>
          </cell>
          <cell r="O120" t="str">
            <v>Cant start</v>
          </cell>
          <cell r="R120">
            <v>0</v>
          </cell>
          <cell r="V120">
            <v>0</v>
          </cell>
          <cell r="X120">
            <v>3.5</v>
          </cell>
          <cell r="Y120" t="str">
            <v>Cant start</v>
          </cell>
        </row>
        <row r="121">
          <cell r="C121">
            <v>630</v>
          </cell>
          <cell r="D121">
            <v>630</v>
          </cell>
          <cell r="E121">
            <v>630</v>
          </cell>
          <cell r="F121">
            <v>633</v>
          </cell>
          <cell r="G121">
            <v>0</v>
          </cell>
          <cell r="H121">
            <v>3</v>
          </cell>
          <cell r="I121">
            <v>3</v>
          </cell>
          <cell r="J121">
            <v>20</v>
          </cell>
          <cell r="L121">
            <v>0.29166666666666669</v>
          </cell>
          <cell r="M121">
            <v>0.33333333333333331</v>
          </cell>
          <cell r="N121">
            <v>0.99999999999999911</v>
          </cell>
          <cell r="O121" t="str">
            <v>engine cant start</v>
          </cell>
          <cell r="R121">
            <v>0</v>
          </cell>
          <cell r="V121">
            <v>0</v>
          </cell>
          <cell r="X121">
            <v>0.99999999999999911</v>
          </cell>
          <cell r="Y121" t="str">
            <v>engine cant start</v>
          </cell>
        </row>
        <row r="122">
          <cell r="C122">
            <v>633</v>
          </cell>
          <cell r="D122">
            <v>639</v>
          </cell>
          <cell r="E122">
            <v>639</v>
          </cell>
          <cell r="F122">
            <v>643</v>
          </cell>
          <cell r="G122">
            <v>6</v>
          </cell>
          <cell r="H122">
            <v>4</v>
          </cell>
          <cell r="I122">
            <v>10</v>
          </cell>
          <cell r="J122">
            <v>12.649999999999999</v>
          </cell>
          <cell r="L122">
            <v>0.39166666666666666</v>
          </cell>
          <cell r="M122">
            <v>0.44097222222222227</v>
          </cell>
          <cell r="N122">
            <v>1.1833333333333345</v>
          </cell>
          <cell r="O122" t="str">
            <v>Ac off</v>
          </cell>
          <cell r="P122">
            <v>0.31944444444444448</v>
          </cell>
          <cell r="Q122">
            <v>0.3263888888888889</v>
          </cell>
          <cell r="R122">
            <v>0.16666666666666607</v>
          </cell>
          <cell r="S122" t="str">
            <v>Ac off</v>
          </cell>
          <cell r="V122">
            <v>0</v>
          </cell>
          <cell r="X122">
            <v>1.3500000000000005</v>
          </cell>
          <cell r="Y122" t="str">
            <v>Ac off,Ac off</v>
          </cell>
        </row>
        <row r="123">
          <cell r="C123">
            <v>643</v>
          </cell>
          <cell r="D123">
            <v>650</v>
          </cell>
          <cell r="E123">
            <v>650</v>
          </cell>
          <cell r="F123">
            <v>652.5</v>
          </cell>
          <cell r="G123">
            <v>7</v>
          </cell>
          <cell r="H123">
            <v>2.5</v>
          </cell>
          <cell r="I123">
            <v>9.5</v>
          </cell>
          <cell r="J123">
            <v>14.5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/>
          </cell>
        </row>
        <row r="124">
          <cell r="C124">
            <v>652.5</v>
          </cell>
          <cell r="D124">
            <v>653.6</v>
          </cell>
          <cell r="E124">
            <v>653.6</v>
          </cell>
          <cell r="F124">
            <v>655</v>
          </cell>
          <cell r="G124">
            <v>1.1000000000000227</v>
          </cell>
          <cell r="H124">
            <v>1.3999999999999773</v>
          </cell>
          <cell r="I124">
            <v>2.5</v>
          </cell>
          <cell r="J124">
            <v>21.5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 t="str">
            <v/>
          </cell>
        </row>
        <row r="125">
          <cell r="C125">
            <v>655</v>
          </cell>
          <cell r="D125">
            <v>663</v>
          </cell>
          <cell r="E125">
            <v>663</v>
          </cell>
          <cell r="F125">
            <v>669</v>
          </cell>
          <cell r="G125">
            <v>8</v>
          </cell>
          <cell r="H125">
            <v>6</v>
          </cell>
          <cell r="I125">
            <v>14</v>
          </cell>
          <cell r="J125">
            <v>10</v>
          </cell>
          <cell r="L125">
            <v>0.81597222222222221</v>
          </cell>
          <cell r="M125">
            <v>0.82291666666666663</v>
          </cell>
          <cell r="N125">
            <v>0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</v>
          </cell>
          <cell r="Y125" t="str">
            <v/>
          </cell>
        </row>
        <row r="126">
          <cell r="C126">
            <v>669</v>
          </cell>
          <cell r="D126">
            <v>669</v>
          </cell>
          <cell r="E126">
            <v>669</v>
          </cell>
          <cell r="F126">
            <v>669</v>
          </cell>
          <cell r="G126">
            <v>0</v>
          </cell>
          <cell r="H126">
            <v>0</v>
          </cell>
          <cell r="I126">
            <v>0</v>
          </cell>
          <cell r="J126">
            <v>24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 t="str">
            <v/>
          </cell>
        </row>
        <row r="127">
          <cell r="C127">
            <v>669</v>
          </cell>
          <cell r="D127">
            <v>674</v>
          </cell>
          <cell r="E127">
            <v>674</v>
          </cell>
          <cell r="F127">
            <v>677</v>
          </cell>
          <cell r="G127">
            <v>5</v>
          </cell>
          <cell r="H127">
            <v>3</v>
          </cell>
          <cell r="I127">
            <v>8</v>
          </cell>
          <cell r="J127">
            <v>16</v>
          </cell>
          <cell r="L127">
            <v>0.35347222222222219</v>
          </cell>
          <cell r="M127">
            <v>0.3611111111111111</v>
          </cell>
          <cell r="N127">
            <v>0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</v>
          </cell>
          <cell r="S127" t="str">
            <v>Low power</v>
          </cell>
          <cell r="V127">
            <v>0</v>
          </cell>
          <cell r="X127">
            <v>0</v>
          </cell>
          <cell r="Y127" t="str">
            <v/>
          </cell>
        </row>
        <row r="128">
          <cell r="C128">
            <v>677</v>
          </cell>
          <cell r="D128">
            <v>683</v>
          </cell>
          <cell r="E128">
            <v>683</v>
          </cell>
          <cell r="F128">
            <v>684</v>
          </cell>
          <cell r="G128">
            <v>6</v>
          </cell>
          <cell r="H128">
            <v>1</v>
          </cell>
          <cell r="I128">
            <v>7</v>
          </cell>
          <cell r="J128">
            <v>17</v>
          </cell>
          <cell r="L128">
            <v>0.76736111111111116</v>
          </cell>
          <cell r="M128">
            <v>0.77430555555555547</v>
          </cell>
          <cell r="N128">
            <v>0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</v>
          </cell>
          <cell r="Y128" t="str">
            <v/>
          </cell>
        </row>
        <row r="129">
          <cell r="C129">
            <v>684</v>
          </cell>
          <cell r="D129">
            <v>684</v>
          </cell>
          <cell r="E129">
            <v>684</v>
          </cell>
          <cell r="F129">
            <v>691</v>
          </cell>
          <cell r="G129">
            <v>0</v>
          </cell>
          <cell r="H129">
            <v>7</v>
          </cell>
          <cell r="I129">
            <v>7</v>
          </cell>
          <cell r="J129">
            <v>17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 t="str">
            <v/>
          </cell>
        </row>
        <row r="130">
          <cell r="C130">
            <v>691</v>
          </cell>
          <cell r="D130">
            <v>697</v>
          </cell>
          <cell r="E130">
            <v>697</v>
          </cell>
          <cell r="F130">
            <v>702</v>
          </cell>
          <cell r="G130">
            <v>6</v>
          </cell>
          <cell r="H130">
            <v>5</v>
          </cell>
          <cell r="I130">
            <v>11</v>
          </cell>
          <cell r="J130">
            <v>13</v>
          </cell>
          <cell r="L130">
            <v>0.8125</v>
          </cell>
          <cell r="M130">
            <v>0.81597222222222221</v>
          </cell>
          <cell r="N130">
            <v>0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0</v>
          </cell>
          <cell r="Y130" t="str">
            <v/>
          </cell>
        </row>
        <row r="131">
          <cell r="C131">
            <v>702</v>
          </cell>
          <cell r="D131">
            <v>708</v>
          </cell>
          <cell r="E131">
            <v>708</v>
          </cell>
          <cell r="F131">
            <v>708</v>
          </cell>
          <cell r="G131">
            <v>6</v>
          </cell>
          <cell r="H131">
            <v>0</v>
          </cell>
          <cell r="I131">
            <v>6</v>
          </cell>
          <cell r="J131">
            <v>18</v>
          </cell>
          <cell r="L131">
            <v>8.3333333333333329E-2</v>
          </cell>
          <cell r="M131">
            <v>9.8611111111111108E-2</v>
          </cell>
          <cell r="N131">
            <v>0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</v>
          </cell>
          <cell r="Y131" t="str">
            <v/>
          </cell>
        </row>
        <row r="132">
          <cell r="C132">
            <v>708</v>
          </cell>
          <cell r="D132">
            <v>708</v>
          </cell>
          <cell r="E132">
            <v>708</v>
          </cell>
          <cell r="F132">
            <v>708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 t="str">
            <v/>
          </cell>
        </row>
        <row r="133">
          <cell r="C133">
            <v>708</v>
          </cell>
          <cell r="D133">
            <v>708</v>
          </cell>
          <cell r="E133">
            <v>708</v>
          </cell>
          <cell r="F133">
            <v>708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 t="str">
            <v/>
          </cell>
        </row>
        <row r="134">
          <cell r="C134">
            <v>708</v>
          </cell>
          <cell r="D134">
            <v>708</v>
          </cell>
          <cell r="E134">
            <v>708</v>
          </cell>
          <cell r="F134">
            <v>708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 t="str">
            <v/>
          </cell>
        </row>
        <row r="135">
          <cell r="C135">
            <v>546</v>
          </cell>
          <cell r="D135">
            <v>708</v>
          </cell>
          <cell r="E135">
            <v>546</v>
          </cell>
          <cell r="F135">
            <v>708</v>
          </cell>
          <cell r="G135">
            <v>105.10000000000002</v>
          </cell>
          <cell r="H135">
            <v>56.899999999999977</v>
          </cell>
          <cell r="I135">
            <v>162</v>
          </cell>
          <cell r="J135">
            <v>571.64999999999986</v>
          </cell>
          <cell r="N135">
            <v>9.93333333333333</v>
          </cell>
          <cell r="R135">
            <v>0.41666666666666652</v>
          </cell>
          <cell r="V135" t="str">
            <v/>
          </cell>
          <cell r="X135">
            <v>6.43333333333333</v>
          </cell>
        </row>
        <row r="136">
          <cell r="N136">
            <v>0</v>
          </cell>
          <cell r="V136" t="str">
            <v/>
          </cell>
        </row>
        <row r="137">
          <cell r="C137">
            <v>531</v>
          </cell>
          <cell r="D137">
            <v>535</v>
          </cell>
          <cell r="E137">
            <v>535</v>
          </cell>
          <cell r="F137">
            <v>538.20000000000005</v>
          </cell>
          <cell r="G137">
            <v>4</v>
          </cell>
          <cell r="H137">
            <v>3.2000000000000455</v>
          </cell>
          <cell r="I137">
            <v>7.2000000000000455</v>
          </cell>
          <cell r="J137">
            <v>16.799999999999955</v>
          </cell>
          <cell r="L137">
            <v>0.29166666666666669</v>
          </cell>
          <cell r="M137">
            <v>0.75</v>
          </cell>
          <cell r="N137">
            <v>0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0</v>
          </cell>
          <cell r="S137" t="str">
            <v>Track lh lepas</v>
          </cell>
          <cell r="V137">
            <v>0</v>
          </cell>
          <cell r="X137">
            <v>0</v>
          </cell>
          <cell r="Y137" t="str">
            <v/>
          </cell>
        </row>
        <row r="138">
          <cell r="C138">
            <v>538.20000000000005</v>
          </cell>
          <cell r="D138">
            <v>543.9</v>
          </cell>
          <cell r="E138">
            <v>543.9</v>
          </cell>
          <cell r="F138">
            <v>548.5</v>
          </cell>
          <cell r="G138">
            <v>5.6999999999999318</v>
          </cell>
          <cell r="H138">
            <v>4.6000000000000227</v>
          </cell>
          <cell r="I138">
            <v>10.299999999999955</v>
          </cell>
          <cell r="J138">
            <v>12.700000000000045</v>
          </cell>
          <cell r="L138">
            <v>0.375</v>
          </cell>
          <cell r="M138">
            <v>0.41666666666666669</v>
          </cell>
          <cell r="N138">
            <v>1.0000000000000004</v>
          </cell>
          <cell r="O138" t="str">
            <v>Ac hot</v>
          </cell>
          <cell r="R138">
            <v>0</v>
          </cell>
          <cell r="V138">
            <v>0</v>
          </cell>
          <cell r="X138">
            <v>1.0000000000000004</v>
          </cell>
          <cell r="Y138" t="str">
            <v>Ac hot</v>
          </cell>
        </row>
        <row r="139">
          <cell r="C139">
            <v>548.5</v>
          </cell>
          <cell r="D139">
            <v>550</v>
          </cell>
          <cell r="E139">
            <v>550</v>
          </cell>
          <cell r="F139">
            <v>550</v>
          </cell>
          <cell r="G139">
            <v>1.5</v>
          </cell>
          <cell r="H139">
            <v>0</v>
          </cell>
          <cell r="I139">
            <v>1.5</v>
          </cell>
          <cell r="J139">
            <v>20.333333333333336</v>
          </cell>
          <cell r="L139">
            <v>0.40625</v>
          </cell>
          <cell r="M139">
            <v>0.49652777777777773</v>
          </cell>
          <cell r="N139">
            <v>2.1666666666666656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2.1666666666666656</v>
          </cell>
          <cell r="Y139" t="str">
            <v>Ac hot</v>
          </cell>
        </row>
        <row r="140">
          <cell r="C140">
            <v>550</v>
          </cell>
          <cell r="D140">
            <v>558</v>
          </cell>
          <cell r="E140">
            <v>558</v>
          </cell>
          <cell r="F140">
            <v>559.5</v>
          </cell>
          <cell r="G140">
            <v>8</v>
          </cell>
          <cell r="H140">
            <v>1.5</v>
          </cell>
          <cell r="I140">
            <v>9.5</v>
          </cell>
          <cell r="J140">
            <v>14.5</v>
          </cell>
          <cell r="L140">
            <v>0.78125</v>
          </cell>
          <cell r="M140">
            <v>0.1076388888888889</v>
          </cell>
          <cell r="N140">
            <v>0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0</v>
          </cell>
          <cell r="Y140" t="str">
            <v/>
          </cell>
        </row>
        <row r="141">
          <cell r="C141">
            <v>559.5</v>
          </cell>
          <cell r="D141">
            <v>559.5</v>
          </cell>
          <cell r="E141">
            <v>559.5</v>
          </cell>
          <cell r="F141">
            <v>559.5</v>
          </cell>
          <cell r="G141">
            <v>0</v>
          </cell>
          <cell r="H141">
            <v>0</v>
          </cell>
          <cell r="I141">
            <v>0</v>
          </cell>
          <cell r="J141">
            <v>24</v>
          </cell>
          <cell r="L141">
            <v>0.79166666666666663</v>
          </cell>
          <cell r="M141">
            <v>0.79513888888888884</v>
          </cell>
          <cell r="N141">
            <v>0</v>
          </cell>
          <cell r="O141" t="str">
            <v>Cant start</v>
          </cell>
          <cell r="R141">
            <v>0</v>
          </cell>
          <cell r="V141">
            <v>0</v>
          </cell>
          <cell r="X141">
            <v>0</v>
          </cell>
          <cell r="Y141" t="str">
            <v/>
          </cell>
        </row>
        <row r="142">
          <cell r="C142">
            <v>559.5</v>
          </cell>
          <cell r="D142">
            <v>559.5</v>
          </cell>
          <cell r="E142">
            <v>559.5</v>
          </cell>
          <cell r="F142">
            <v>559.5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 t="str">
            <v/>
          </cell>
        </row>
        <row r="143">
          <cell r="C143">
            <v>559.5</v>
          </cell>
          <cell r="D143">
            <v>559.5</v>
          </cell>
          <cell r="E143">
            <v>559.5</v>
          </cell>
          <cell r="F143">
            <v>559.5</v>
          </cell>
          <cell r="G143">
            <v>0</v>
          </cell>
          <cell r="H143">
            <v>0</v>
          </cell>
          <cell r="I143">
            <v>0</v>
          </cell>
          <cell r="J143">
            <v>24</v>
          </cell>
          <cell r="L143">
            <v>0.22222222222222221</v>
          </cell>
          <cell r="M143">
            <v>0.22916666666666666</v>
          </cell>
          <cell r="N143">
            <v>0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</v>
          </cell>
          <cell r="Y143" t="str">
            <v/>
          </cell>
        </row>
        <row r="144">
          <cell r="C144">
            <v>559.5</v>
          </cell>
          <cell r="D144">
            <v>567.29999999999995</v>
          </cell>
          <cell r="E144">
            <v>567.29999999999995</v>
          </cell>
          <cell r="F144">
            <v>570.79999999999995</v>
          </cell>
          <cell r="G144">
            <v>7.7999999999999545</v>
          </cell>
          <cell r="H144">
            <v>3.5</v>
          </cell>
          <cell r="I144">
            <v>11.299999999999955</v>
          </cell>
          <cell r="J144">
            <v>12.700000000000045</v>
          </cell>
          <cell r="L144">
            <v>0.29166666666666669</v>
          </cell>
          <cell r="M144">
            <v>0.375</v>
          </cell>
          <cell r="N144">
            <v>0</v>
          </cell>
          <cell r="O144" t="str">
            <v>Hose pecah</v>
          </cell>
          <cell r="R144">
            <v>0</v>
          </cell>
          <cell r="V144">
            <v>0</v>
          </cell>
          <cell r="X144">
            <v>0</v>
          </cell>
          <cell r="Y144" t="str">
            <v/>
          </cell>
        </row>
        <row r="145">
          <cell r="C145">
            <v>570.79999999999995</v>
          </cell>
          <cell r="D145">
            <v>570.79999999999995</v>
          </cell>
          <cell r="E145">
            <v>570.79999999999995</v>
          </cell>
          <cell r="F145">
            <v>573</v>
          </cell>
          <cell r="G145">
            <v>0</v>
          </cell>
          <cell r="H145">
            <v>2.2000000000000455</v>
          </cell>
          <cell r="I145">
            <v>2.2000000000000455</v>
          </cell>
          <cell r="J145">
            <v>18.299999999999955</v>
          </cell>
          <cell r="L145">
            <v>0.14583333333333334</v>
          </cell>
          <cell r="M145">
            <v>0.29166666666666669</v>
          </cell>
          <cell r="N145">
            <v>3.5</v>
          </cell>
          <cell r="O145" t="str">
            <v>Cant start</v>
          </cell>
          <cell r="R145">
            <v>0</v>
          </cell>
          <cell r="V145">
            <v>0</v>
          </cell>
          <cell r="X145">
            <v>3.5</v>
          </cell>
          <cell r="Y145" t="str">
            <v>Cant start</v>
          </cell>
        </row>
        <row r="146">
          <cell r="C146">
            <v>573</v>
          </cell>
          <cell r="D146">
            <v>581</v>
          </cell>
          <cell r="E146">
            <v>581</v>
          </cell>
          <cell r="F146">
            <v>585.29999999999995</v>
          </cell>
          <cell r="G146">
            <v>8</v>
          </cell>
          <cell r="H146">
            <v>4.2999999999999545</v>
          </cell>
          <cell r="I146">
            <v>12.299999999999955</v>
          </cell>
          <cell r="J146">
            <v>9.5333333333333794</v>
          </cell>
          <cell r="L146">
            <v>0.29166666666666669</v>
          </cell>
          <cell r="M146">
            <v>0.34375</v>
          </cell>
          <cell r="N146">
            <v>1.2499999999999996</v>
          </cell>
          <cell r="O146" t="str">
            <v>Cant start</v>
          </cell>
          <cell r="P146">
            <v>0.55208333333333337</v>
          </cell>
          <cell r="Q146">
            <v>0.5625</v>
          </cell>
          <cell r="R146">
            <v>0.24999999999999911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0.66666666666666696</v>
          </cell>
          <cell r="W146" t="str">
            <v>Cant start</v>
          </cell>
          <cell r="X146">
            <v>2.1666666666666656</v>
          </cell>
          <cell r="Y146" t="str">
            <v>Cant start,Cant start</v>
          </cell>
        </row>
        <row r="147">
          <cell r="C147">
            <v>585.29999999999995</v>
          </cell>
          <cell r="D147">
            <v>592</v>
          </cell>
          <cell r="E147">
            <v>592</v>
          </cell>
          <cell r="F147">
            <v>598.1</v>
          </cell>
          <cell r="G147">
            <v>6.7000000000000455</v>
          </cell>
          <cell r="H147">
            <v>6.1000000000000227</v>
          </cell>
          <cell r="I147">
            <v>12.800000000000068</v>
          </cell>
          <cell r="J147">
            <v>11.199999999999932</v>
          </cell>
          <cell r="L147">
            <v>0.35972222222222222</v>
          </cell>
          <cell r="M147">
            <v>0.38611111111111113</v>
          </cell>
          <cell r="N147">
            <v>0</v>
          </cell>
          <cell r="O147" t="str">
            <v>Low power</v>
          </cell>
          <cell r="R147">
            <v>0</v>
          </cell>
          <cell r="V147">
            <v>0</v>
          </cell>
          <cell r="X147">
            <v>0</v>
          </cell>
          <cell r="Y147" t="str">
            <v/>
          </cell>
        </row>
        <row r="148">
          <cell r="C148">
            <v>598.1</v>
          </cell>
          <cell r="D148">
            <v>606.29999999999995</v>
          </cell>
          <cell r="E148">
            <v>606.29999999999995</v>
          </cell>
          <cell r="F148">
            <v>610.79999999999995</v>
          </cell>
          <cell r="G148">
            <v>8.1999999999999318</v>
          </cell>
          <cell r="H148">
            <v>4.5</v>
          </cell>
          <cell r="I148">
            <v>12.699999999999932</v>
          </cell>
          <cell r="J148">
            <v>11.300000000000068</v>
          </cell>
          <cell r="L148">
            <v>7.9861111111111105E-2</v>
          </cell>
          <cell r="M148">
            <v>0.29166666666666669</v>
          </cell>
          <cell r="N148">
            <v>0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0</v>
          </cell>
          <cell r="Y148" t="str">
            <v/>
          </cell>
        </row>
        <row r="149">
          <cell r="C149">
            <v>610.79999999999995</v>
          </cell>
          <cell r="D149">
            <v>610.79999999999995</v>
          </cell>
          <cell r="E149">
            <v>610.79999999999995</v>
          </cell>
          <cell r="F149">
            <v>610.79999999999995</v>
          </cell>
          <cell r="G149">
            <v>0</v>
          </cell>
          <cell r="H149">
            <v>0</v>
          </cell>
          <cell r="I149">
            <v>0</v>
          </cell>
          <cell r="J149">
            <v>24</v>
          </cell>
          <cell r="L149">
            <v>0.29166666666666669</v>
          </cell>
          <cell r="M149">
            <v>0.625</v>
          </cell>
          <cell r="N149">
            <v>0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0</v>
          </cell>
          <cell r="Y149" t="str">
            <v/>
          </cell>
        </row>
        <row r="150">
          <cell r="C150">
            <v>610.79999999999995</v>
          </cell>
          <cell r="D150">
            <v>616.20000000000005</v>
          </cell>
          <cell r="E150">
            <v>616.20000000000005</v>
          </cell>
          <cell r="F150">
            <v>616.20000000000005</v>
          </cell>
          <cell r="G150">
            <v>5.4000000000000909</v>
          </cell>
          <cell r="H150">
            <v>0</v>
          </cell>
          <cell r="I150">
            <v>5.4000000000000909</v>
          </cell>
          <cell r="J150">
            <v>18.599999999999909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 t="str">
            <v/>
          </cell>
        </row>
        <row r="151">
          <cell r="C151">
            <v>616.20000000000005</v>
          </cell>
          <cell r="D151">
            <v>622.6</v>
          </cell>
          <cell r="E151">
            <v>622.6</v>
          </cell>
          <cell r="F151">
            <v>628.1</v>
          </cell>
          <cell r="G151">
            <v>6.3999999999999773</v>
          </cell>
          <cell r="H151">
            <v>5.5</v>
          </cell>
          <cell r="I151">
            <v>11.899999999999977</v>
          </cell>
          <cell r="J151">
            <v>12.100000000000023</v>
          </cell>
          <cell r="L151">
            <v>0.12291666666666667</v>
          </cell>
          <cell r="M151">
            <v>0.13402777777777777</v>
          </cell>
          <cell r="N151">
            <v>0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</v>
          </cell>
          <cell r="Y151" t="str">
            <v/>
          </cell>
        </row>
        <row r="152">
          <cell r="C152">
            <v>628.1</v>
          </cell>
          <cell r="D152">
            <v>635.29999999999995</v>
          </cell>
          <cell r="E152">
            <v>635.29999999999995</v>
          </cell>
          <cell r="F152">
            <v>639.6</v>
          </cell>
          <cell r="G152">
            <v>7.1999999999999318</v>
          </cell>
          <cell r="H152">
            <v>4.3000000000000682</v>
          </cell>
          <cell r="I152">
            <v>11.5</v>
          </cell>
          <cell r="J152">
            <v>12.5</v>
          </cell>
          <cell r="L152">
            <v>0.84375</v>
          </cell>
          <cell r="M152">
            <v>0.89583333333333337</v>
          </cell>
          <cell r="N152">
            <v>0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</v>
          </cell>
          <cell r="S152" t="str">
            <v>Perbaikan kabel</v>
          </cell>
          <cell r="V152">
            <v>0</v>
          </cell>
          <cell r="X152">
            <v>0</v>
          </cell>
          <cell r="Y152" t="str">
            <v/>
          </cell>
        </row>
        <row r="153">
          <cell r="C153">
            <v>639.6</v>
          </cell>
          <cell r="D153">
            <v>648</v>
          </cell>
          <cell r="E153">
            <v>648</v>
          </cell>
          <cell r="F153">
            <v>655.9</v>
          </cell>
          <cell r="G153">
            <v>8.3999999999999773</v>
          </cell>
          <cell r="H153">
            <v>7.8999999999999773</v>
          </cell>
          <cell r="I153">
            <v>16.299999999999955</v>
          </cell>
          <cell r="J153">
            <v>7.4500000000000455</v>
          </cell>
          <cell r="L153">
            <v>0.3576388888888889</v>
          </cell>
          <cell r="M153">
            <v>0.36805555555555558</v>
          </cell>
          <cell r="N153">
            <v>0.25000000000000044</v>
          </cell>
          <cell r="O153" t="str">
            <v>Lampu panel kerja nyala terus</v>
          </cell>
          <cell r="P153">
            <v>0.82986111111111116</v>
          </cell>
          <cell r="Q153">
            <v>0.86805555555555547</v>
          </cell>
          <cell r="R153">
            <v>0</v>
          </cell>
          <cell r="S153" t="str">
            <v>Lampu kerja off</v>
          </cell>
          <cell r="V153">
            <v>0</v>
          </cell>
          <cell r="X153">
            <v>0.25000000000000044</v>
          </cell>
          <cell r="Y153" t="str">
            <v>Lampu panel kerja nyala terus</v>
          </cell>
        </row>
        <row r="154">
          <cell r="C154">
            <v>655.9</v>
          </cell>
          <cell r="D154">
            <v>655.9</v>
          </cell>
          <cell r="E154">
            <v>655.9</v>
          </cell>
          <cell r="F154">
            <v>662.1</v>
          </cell>
          <cell r="G154">
            <v>0</v>
          </cell>
          <cell r="H154">
            <v>6.2000000000000455</v>
          </cell>
          <cell r="I154">
            <v>6.2000000000000455</v>
          </cell>
          <cell r="J154">
            <v>17.799999999999955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 t="str">
            <v/>
          </cell>
        </row>
        <row r="155">
          <cell r="C155">
            <v>662.1</v>
          </cell>
          <cell r="D155">
            <v>670.7</v>
          </cell>
          <cell r="E155">
            <v>670.7</v>
          </cell>
          <cell r="F155">
            <v>674</v>
          </cell>
          <cell r="G155">
            <v>8.6000000000000227</v>
          </cell>
          <cell r="H155">
            <v>3.2999999999999545</v>
          </cell>
          <cell r="I155">
            <v>11.899999999999977</v>
          </cell>
          <cell r="J155">
            <v>12.100000000000023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 t="str">
            <v/>
          </cell>
        </row>
        <row r="156">
          <cell r="C156">
            <v>674</v>
          </cell>
          <cell r="D156">
            <v>682</v>
          </cell>
          <cell r="E156">
            <v>682</v>
          </cell>
          <cell r="F156">
            <v>684.8</v>
          </cell>
          <cell r="G156">
            <v>8</v>
          </cell>
          <cell r="H156">
            <v>2.7999999999999545</v>
          </cell>
          <cell r="I156">
            <v>10.799999999999955</v>
          </cell>
          <cell r="J156">
            <v>13.200000000000045</v>
          </cell>
          <cell r="L156">
            <v>0.31597222222222221</v>
          </cell>
          <cell r="M156">
            <v>0.75</v>
          </cell>
          <cell r="N156">
            <v>0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0</v>
          </cell>
          <cell r="S156" t="str">
            <v>Kebocoran oil hydrolick</v>
          </cell>
          <cell r="V156">
            <v>0</v>
          </cell>
          <cell r="X156">
            <v>0</v>
          </cell>
          <cell r="Y156" t="str">
            <v/>
          </cell>
        </row>
        <row r="157">
          <cell r="C157">
            <v>684.8</v>
          </cell>
          <cell r="D157">
            <v>687</v>
          </cell>
          <cell r="E157">
            <v>687</v>
          </cell>
          <cell r="F157">
            <v>691</v>
          </cell>
          <cell r="G157">
            <v>2.2000000000000455</v>
          </cell>
          <cell r="H157">
            <v>4</v>
          </cell>
          <cell r="I157">
            <v>6.2000000000000455</v>
          </cell>
          <cell r="J157">
            <v>17.799999999999955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 t="str">
            <v/>
          </cell>
        </row>
        <row r="158">
          <cell r="C158">
            <v>691</v>
          </cell>
          <cell r="D158">
            <v>700.5</v>
          </cell>
          <cell r="E158">
            <v>700.5</v>
          </cell>
          <cell r="F158">
            <v>706.9</v>
          </cell>
          <cell r="G158">
            <v>9.5</v>
          </cell>
          <cell r="H158">
            <v>6.3999999999999773</v>
          </cell>
          <cell r="I158">
            <v>15.899999999999977</v>
          </cell>
          <cell r="J158">
            <v>8.1000000000000227</v>
          </cell>
          <cell r="L158">
            <v>0.36805555555555558</v>
          </cell>
          <cell r="M158">
            <v>0.38194444444444442</v>
          </cell>
          <cell r="N158">
            <v>0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</v>
          </cell>
          <cell r="Y158" t="str">
            <v/>
          </cell>
        </row>
        <row r="159">
          <cell r="C159">
            <v>706.9</v>
          </cell>
          <cell r="D159">
            <v>714.2</v>
          </cell>
          <cell r="E159">
            <v>714.2</v>
          </cell>
          <cell r="F159">
            <v>714.2</v>
          </cell>
          <cell r="G159">
            <v>7.3000000000000682</v>
          </cell>
          <cell r="H159">
            <v>0</v>
          </cell>
          <cell r="I159">
            <v>7.3000000000000682</v>
          </cell>
          <cell r="J159">
            <v>15.8666666666666</v>
          </cell>
          <cell r="L159">
            <v>0.29166666666666669</v>
          </cell>
          <cell r="M159">
            <v>0.3263888888888889</v>
          </cell>
          <cell r="N159">
            <v>0.83333333333333304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0.83333333333333304</v>
          </cell>
          <cell r="Y159" t="str">
            <v>Lampu kerja off</v>
          </cell>
        </row>
        <row r="160">
          <cell r="C160">
            <v>714.2</v>
          </cell>
          <cell r="D160">
            <v>714.2</v>
          </cell>
          <cell r="E160">
            <v>714.2</v>
          </cell>
          <cell r="F160">
            <v>719.1</v>
          </cell>
          <cell r="G160">
            <v>0</v>
          </cell>
          <cell r="H160">
            <v>4.8999999999999773</v>
          </cell>
          <cell r="I160">
            <v>4.8999999999999773</v>
          </cell>
          <cell r="J160">
            <v>19.100000000000023</v>
          </cell>
          <cell r="L160">
            <v>0.5</v>
          </cell>
          <cell r="M160">
            <v>0.55902777777777779</v>
          </cell>
          <cell r="N160">
            <v>0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0</v>
          </cell>
          <cell r="Y160" t="str">
            <v/>
          </cell>
        </row>
        <row r="161">
          <cell r="C161">
            <v>719.1</v>
          </cell>
          <cell r="D161">
            <v>727.6</v>
          </cell>
          <cell r="E161">
            <v>727.6</v>
          </cell>
          <cell r="F161">
            <v>731.9</v>
          </cell>
          <cell r="G161">
            <v>8.5</v>
          </cell>
          <cell r="H161">
            <v>4.2999999999999545</v>
          </cell>
          <cell r="I161">
            <v>12.799999999999955</v>
          </cell>
          <cell r="J161">
            <v>11.200000000000045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 t="str">
            <v/>
          </cell>
        </row>
        <row r="162">
          <cell r="C162">
            <v>731.9</v>
          </cell>
          <cell r="D162">
            <v>740.5</v>
          </cell>
          <cell r="E162">
            <v>740.5</v>
          </cell>
          <cell r="F162">
            <v>743.6</v>
          </cell>
          <cell r="G162">
            <v>8.6000000000000227</v>
          </cell>
          <cell r="H162">
            <v>3.1000000000000227</v>
          </cell>
          <cell r="I162">
            <v>11.700000000000045</v>
          </cell>
          <cell r="J162">
            <v>12.299999999999955</v>
          </cell>
          <cell r="L162">
            <v>0.47916666666666669</v>
          </cell>
          <cell r="M162">
            <v>0.50902777777777775</v>
          </cell>
          <cell r="N162">
            <v>0</v>
          </cell>
          <cell r="O162" t="str">
            <v>Ac hot</v>
          </cell>
          <cell r="R162">
            <v>0</v>
          </cell>
          <cell r="V162">
            <v>0</v>
          </cell>
          <cell r="X162">
            <v>0</v>
          </cell>
          <cell r="Y162" t="str">
            <v/>
          </cell>
        </row>
        <row r="163">
          <cell r="C163">
            <v>743.6</v>
          </cell>
          <cell r="D163">
            <v>749.7</v>
          </cell>
          <cell r="E163">
            <v>749.7</v>
          </cell>
          <cell r="F163">
            <v>756.2</v>
          </cell>
          <cell r="G163">
            <v>6.1000000000000227</v>
          </cell>
          <cell r="H163">
            <v>6.5</v>
          </cell>
          <cell r="I163">
            <v>12.600000000000023</v>
          </cell>
          <cell r="J163">
            <v>11.399999999999977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 t="str">
            <v/>
          </cell>
        </row>
        <row r="164">
          <cell r="C164">
            <v>756.2</v>
          </cell>
          <cell r="D164">
            <v>762.1</v>
          </cell>
          <cell r="E164">
            <v>762.1</v>
          </cell>
          <cell r="F164">
            <v>762.1</v>
          </cell>
          <cell r="G164">
            <v>5.8999999999999773</v>
          </cell>
          <cell r="H164">
            <v>0</v>
          </cell>
          <cell r="I164">
            <v>5.8999999999999773</v>
          </cell>
          <cell r="J164">
            <v>18.100000000000023</v>
          </cell>
          <cell r="L164">
            <v>0.77777777777777779</v>
          </cell>
          <cell r="M164">
            <v>0.81944444444444453</v>
          </cell>
          <cell r="N164">
            <v>0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0</v>
          </cell>
          <cell r="Y164" t="str">
            <v/>
          </cell>
        </row>
        <row r="165">
          <cell r="C165">
            <v>762.1</v>
          </cell>
          <cell r="D165">
            <v>762.1</v>
          </cell>
          <cell r="E165">
            <v>762.1</v>
          </cell>
          <cell r="F165">
            <v>762.1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 t="str">
            <v/>
          </cell>
        </row>
        <row r="166">
          <cell r="C166">
            <v>762.1</v>
          </cell>
          <cell r="D166">
            <v>762.1</v>
          </cell>
          <cell r="E166">
            <v>762.1</v>
          </cell>
          <cell r="F166">
            <v>762.1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 t="str">
            <v/>
          </cell>
        </row>
        <row r="167">
          <cell r="C167">
            <v>762.1</v>
          </cell>
          <cell r="D167">
            <v>762.1</v>
          </cell>
          <cell r="E167">
            <v>762.1</v>
          </cell>
          <cell r="F167">
            <v>762.1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 t="str">
            <v/>
          </cell>
        </row>
        <row r="168">
          <cell r="C168">
            <v>531</v>
          </cell>
          <cell r="D168">
            <v>762.1</v>
          </cell>
          <cell r="E168">
            <v>535</v>
          </cell>
          <cell r="F168">
            <v>762.1</v>
          </cell>
          <cell r="G168">
            <v>142</v>
          </cell>
          <cell r="H168">
            <v>89.100000000000023</v>
          </cell>
          <cell r="I168">
            <v>231.10000000000002</v>
          </cell>
          <cell r="J168">
            <v>502.98333333333335</v>
          </cell>
          <cell r="N168">
            <v>9</v>
          </cell>
          <cell r="R168">
            <v>0.24999999999999911</v>
          </cell>
          <cell r="V168">
            <v>0.66666666666666696</v>
          </cell>
          <cell r="X168">
            <v>81.53333333333336</v>
          </cell>
        </row>
      </sheetData>
      <sheetData sheetId="2" refreshError="1">
        <row r="4">
          <cell r="B4" t="str">
            <v>KPTJEX023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3.5</v>
          </cell>
          <cell r="AE4">
            <v>0</v>
          </cell>
          <cell r="AF4">
            <v>3.5</v>
          </cell>
          <cell r="AG4">
            <v>0</v>
          </cell>
          <cell r="AH4">
            <v>0</v>
          </cell>
          <cell r="AI4">
            <v>0</v>
          </cell>
          <cell r="AJ4">
            <v>6.5</v>
          </cell>
          <cell r="AK4">
            <v>5</v>
          </cell>
          <cell r="AL4">
            <v>11.5</v>
          </cell>
          <cell r="AM4">
            <v>1</v>
          </cell>
          <cell r="AN4">
            <v>0</v>
          </cell>
          <cell r="AO4">
            <v>1</v>
          </cell>
          <cell r="AP4">
            <v>4</v>
          </cell>
          <cell r="AQ4">
            <v>2.5</v>
          </cell>
          <cell r="AR4">
            <v>6.5</v>
          </cell>
          <cell r="AS4">
            <v>0</v>
          </cell>
          <cell r="AT4">
            <v>3.5</v>
          </cell>
          <cell r="AU4">
            <v>3.5</v>
          </cell>
          <cell r="AV4">
            <v>2.5</v>
          </cell>
          <cell r="AW4">
            <v>0</v>
          </cell>
          <cell r="AX4">
            <v>2.5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6.5</v>
          </cell>
          <cell r="BF4">
            <v>0</v>
          </cell>
          <cell r="BG4">
            <v>6.5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3</v>
          </cell>
          <cell r="BP4">
            <v>3</v>
          </cell>
          <cell r="BQ4">
            <v>3</v>
          </cell>
          <cell r="BR4">
            <v>0</v>
          </cell>
          <cell r="BS4">
            <v>3</v>
          </cell>
          <cell r="BT4">
            <v>7</v>
          </cell>
          <cell r="BU4">
            <v>10</v>
          </cell>
          <cell r="BV4">
            <v>17</v>
          </cell>
          <cell r="BW4">
            <v>6</v>
          </cell>
          <cell r="BX4">
            <v>0</v>
          </cell>
          <cell r="BY4">
            <v>6</v>
          </cell>
          <cell r="BZ4">
            <v>7</v>
          </cell>
          <cell r="CA4">
            <v>0</v>
          </cell>
          <cell r="CB4">
            <v>7</v>
          </cell>
          <cell r="CC4">
            <v>10</v>
          </cell>
          <cell r="CD4">
            <v>0</v>
          </cell>
          <cell r="CE4">
            <v>10</v>
          </cell>
          <cell r="CF4">
            <v>9</v>
          </cell>
          <cell r="CG4">
            <v>0</v>
          </cell>
          <cell r="CH4">
            <v>9</v>
          </cell>
          <cell r="CI4">
            <v>1.8000000000000114</v>
          </cell>
          <cell r="CJ4">
            <v>0</v>
          </cell>
          <cell r="CK4">
            <v>1.8000000000000114</v>
          </cell>
          <cell r="CL4">
            <v>7.1999999999999886</v>
          </cell>
          <cell r="CM4">
            <v>0</v>
          </cell>
          <cell r="CN4">
            <v>7.1999999999999886</v>
          </cell>
          <cell r="CO4">
            <v>5.5</v>
          </cell>
          <cell r="CP4">
            <v>0</v>
          </cell>
          <cell r="CQ4">
            <v>5.5</v>
          </cell>
          <cell r="CR4">
            <v>81.5</v>
          </cell>
          <cell r="CS4">
            <v>24</v>
          </cell>
          <cell r="CT4">
            <v>105.5</v>
          </cell>
          <cell r="ED4" t="str">
            <v>KPTJEX023</v>
          </cell>
          <cell r="EE4">
            <v>1</v>
          </cell>
          <cell r="EF4">
            <v>1</v>
          </cell>
          <cell r="EG4">
            <v>1</v>
          </cell>
          <cell r="EH4">
            <v>1</v>
          </cell>
          <cell r="EI4">
            <v>1</v>
          </cell>
          <cell r="EJ4">
            <v>1</v>
          </cell>
          <cell r="EK4">
            <v>1</v>
          </cell>
          <cell r="EL4">
            <v>1</v>
          </cell>
          <cell r="EM4">
            <v>1</v>
          </cell>
          <cell r="EN4">
            <v>4.5</v>
          </cell>
          <cell r="EO4">
            <v>4.5</v>
          </cell>
          <cell r="EP4">
            <v>16</v>
          </cell>
          <cell r="EQ4">
            <v>17</v>
          </cell>
          <cell r="ER4">
            <v>23.5</v>
          </cell>
          <cell r="ES4">
            <v>27</v>
          </cell>
          <cell r="ET4">
            <v>29.5</v>
          </cell>
          <cell r="EU4">
            <v>29.5</v>
          </cell>
          <cell r="EV4">
            <v>29.5</v>
          </cell>
          <cell r="EW4">
            <v>36</v>
          </cell>
          <cell r="EX4">
            <v>36</v>
          </cell>
          <cell r="EY4">
            <v>36</v>
          </cell>
          <cell r="EZ4">
            <v>39</v>
          </cell>
          <cell r="FA4">
            <v>42</v>
          </cell>
          <cell r="FB4">
            <v>59</v>
          </cell>
          <cell r="FC4">
            <v>65</v>
          </cell>
          <cell r="FD4">
            <v>72</v>
          </cell>
          <cell r="FE4">
            <v>82</v>
          </cell>
          <cell r="FF4">
            <v>91</v>
          </cell>
          <cell r="FG4">
            <v>92.800000000000011</v>
          </cell>
          <cell r="FH4">
            <v>100</v>
          </cell>
          <cell r="FI4">
            <v>105.5</v>
          </cell>
          <cell r="FJ4">
            <v>1046.3</v>
          </cell>
        </row>
        <row r="5">
          <cell r="B5" t="str">
            <v>KPTJEX003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ED5" t="str">
            <v>KPTJEX003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</row>
        <row r="6">
          <cell r="B6" t="str">
            <v>KPTJDZ004</v>
          </cell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  <cell r="CR6">
            <v>0</v>
          </cell>
          <cell r="CS6">
            <v>0</v>
          </cell>
          <cell r="CT6">
            <v>0</v>
          </cell>
          <cell r="ED6" t="str">
            <v>KPTJDZ004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</row>
        <row r="7">
          <cell r="B7" t="str">
            <v>KPTJDZ005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10</v>
          </cell>
          <cell r="BF7">
            <v>8</v>
          </cell>
          <cell r="BG7">
            <v>18</v>
          </cell>
          <cell r="BH7">
            <v>2</v>
          </cell>
          <cell r="BI7">
            <v>0</v>
          </cell>
          <cell r="BJ7">
            <v>2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7</v>
          </cell>
          <cell r="BX7">
            <v>10</v>
          </cell>
          <cell r="BY7">
            <v>17</v>
          </cell>
          <cell r="BZ7">
            <v>9</v>
          </cell>
          <cell r="CA7">
            <v>0</v>
          </cell>
          <cell r="CB7">
            <v>9</v>
          </cell>
          <cell r="CC7">
            <v>9</v>
          </cell>
          <cell r="CD7">
            <v>0</v>
          </cell>
          <cell r="CE7">
            <v>9</v>
          </cell>
          <cell r="CF7">
            <v>0</v>
          </cell>
          <cell r="CG7">
            <v>10</v>
          </cell>
          <cell r="CH7">
            <v>10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37</v>
          </cell>
          <cell r="CS7">
            <v>28</v>
          </cell>
          <cell r="CT7">
            <v>65</v>
          </cell>
          <cell r="ED7" t="str">
            <v>KPTJDZ005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18</v>
          </cell>
          <cell r="EX7">
            <v>20</v>
          </cell>
          <cell r="EY7">
            <v>20</v>
          </cell>
          <cell r="EZ7">
            <v>20</v>
          </cell>
          <cell r="FA7">
            <v>20</v>
          </cell>
          <cell r="FB7">
            <v>20</v>
          </cell>
          <cell r="FC7">
            <v>37</v>
          </cell>
          <cell r="FD7">
            <v>46</v>
          </cell>
          <cell r="FE7">
            <v>55</v>
          </cell>
          <cell r="FF7">
            <v>65</v>
          </cell>
          <cell r="FG7">
            <v>65</v>
          </cell>
          <cell r="FH7">
            <v>65</v>
          </cell>
          <cell r="FI7">
            <v>65</v>
          </cell>
          <cell r="FJ7">
            <v>516</v>
          </cell>
        </row>
        <row r="8">
          <cell r="B8" t="str">
            <v>KPTJCP006</v>
          </cell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  <cell r="CR8">
            <v>0</v>
          </cell>
          <cell r="CS8">
            <v>0</v>
          </cell>
          <cell r="CT8">
            <v>0</v>
          </cell>
          <cell r="ED8" t="str">
            <v>KPTJCP006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B9" t="str">
            <v>KPTJEX007</v>
          </cell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  <cell r="CR9">
            <v>0</v>
          </cell>
          <cell r="CS9">
            <v>0</v>
          </cell>
          <cell r="CT9">
            <v>0</v>
          </cell>
          <cell r="ED9" t="str">
            <v>KPTJEX007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</row>
        <row r="10">
          <cell r="B10" t="str">
            <v>KPTJDZ008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6</v>
          </cell>
          <cell r="J10">
            <v>7.5</v>
          </cell>
          <cell r="K10">
            <v>13.5</v>
          </cell>
          <cell r="L10">
            <v>8.5</v>
          </cell>
          <cell r="M10">
            <v>9</v>
          </cell>
          <cell r="N10">
            <v>17.5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10.5</v>
          </cell>
          <cell r="W10">
            <v>10.5</v>
          </cell>
          <cell r="X10">
            <v>8.5</v>
          </cell>
          <cell r="Y10">
            <v>5</v>
          </cell>
          <cell r="Z10">
            <v>13.5</v>
          </cell>
          <cell r="AA10">
            <v>9</v>
          </cell>
          <cell r="AB10">
            <v>10</v>
          </cell>
          <cell r="AC10">
            <v>19</v>
          </cell>
          <cell r="AD10">
            <v>9</v>
          </cell>
          <cell r="AE10">
            <v>8</v>
          </cell>
          <cell r="AF10">
            <v>17</v>
          </cell>
          <cell r="AG10">
            <v>8.5</v>
          </cell>
          <cell r="AH10">
            <v>9.5</v>
          </cell>
          <cell r="AI10">
            <v>18</v>
          </cell>
          <cell r="AJ10">
            <v>9</v>
          </cell>
          <cell r="AK10">
            <v>9.5</v>
          </cell>
          <cell r="AL10">
            <v>18.5</v>
          </cell>
          <cell r="AM10">
            <v>8.5</v>
          </cell>
          <cell r="AN10">
            <v>0</v>
          </cell>
          <cell r="AO10">
            <v>8.5</v>
          </cell>
          <cell r="AP10">
            <v>9.5</v>
          </cell>
          <cell r="AQ10">
            <v>5.5</v>
          </cell>
          <cell r="AR10">
            <v>15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12</v>
          </cell>
          <cell r="BM10">
            <v>12</v>
          </cell>
          <cell r="BN10">
            <v>9</v>
          </cell>
          <cell r="BO10">
            <v>10.5</v>
          </cell>
          <cell r="BP10">
            <v>19.5</v>
          </cell>
          <cell r="BQ10">
            <v>8.5</v>
          </cell>
          <cell r="BR10">
            <v>8</v>
          </cell>
          <cell r="BS10">
            <v>16.5</v>
          </cell>
          <cell r="BT10">
            <v>8</v>
          </cell>
          <cell r="BU10">
            <v>11</v>
          </cell>
          <cell r="BV10">
            <v>19</v>
          </cell>
          <cell r="BW10">
            <v>9</v>
          </cell>
          <cell r="BX10">
            <v>0</v>
          </cell>
          <cell r="BY10">
            <v>9</v>
          </cell>
          <cell r="BZ10">
            <v>7</v>
          </cell>
          <cell r="CA10">
            <v>11</v>
          </cell>
          <cell r="CB10">
            <v>18</v>
          </cell>
          <cell r="CC10">
            <v>9</v>
          </cell>
          <cell r="CD10">
            <v>10.5</v>
          </cell>
          <cell r="CE10">
            <v>19.5</v>
          </cell>
          <cell r="CF10">
            <v>9.5</v>
          </cell>
          <cell r="CG10">
            <v>9</v>
          </cell>
          <cell r="CH10">
            <v>18.5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138.89999999999964</v>
          </cell>
          <cell r="CS10">
            <v>147.10000000000036</v>
          </cell>
          <cell r="CT10">
            <v>286</v>
          </cell>
          <cell r="ED10" t="str">
            <v>KPTJDZ008</v>
          </cell>
          <cell r="EE10">
            <v>0</v>
          </cell>
          <cell r="EF10">
            <v>0</v>
          </cell>
          <cell r="EG10">
            <v>13.5</v>
          </cell>
          <cell r="EH10">
            <v>31</v>
          </cell>
          <cell r="EI10">
            <v>34</v>
          </cell>
          <cell r="EJ10">
            <v>34</v>
          </cell>
          <cell r="EK10">
            <v>44.5</v>
          </cell>
          <cell r="EL10">
            <v>58</v>
          </cell>
          <cell r="EM10">
            <v>77</v>
          </cell>
          <cell r="EN10">
            <v>94</v>
          </cell>
          <cell r="EO10">
            <v>112</v>
          </cell>
          <cell r="EP10">
            <v>130.5</v>
          </cell>
          <cell r="EQ10">
            <v>139</v>
          </cell>
          <cell r="ER10">
            <v>154</v>
          </cell>
          <cell r="ES10">
            <v>154</v>
          </cell>
          <cell r="ET10">
            <v>154</v>
          </cell>
          <cell r="EU10">
            <v>154</v>
          </cell>
          <cell r="EV10">
            <v>154</v>
          </cell>
          <cell r="EW10">
            <v>154</v>
          </cell>
          <cell r="EX10">
            <v>154</v>
          </cell>
          <cell r="EY10">
            <v>166</v>
          </cell>
          <cell r="EZ10">
            <v>185.5</v>
          </cell>
          <cell r="FA10">
            <v>202</v>
          </cell>
          <cell r="FB10">
            <v>221</v>
          </cell>
          <cell r="FC10">
            <v>230</v>
          </cell>
          <cell r="FD10">
            <v>248</v>
          </cell>
          <cell r="FE10">
            <v>267.5</v>
          </cell>
          <cell r="FF10">
            <v>286</v>
          </cell>
          <cell r="FG10">
            <v>286</v>
          </cell>
          <cell r="FH10">
            <v>286</v>
          </cell>
          <cell r="FI10">
            <v>286</v>
          </cell>
          <cell r="FJ10">
            <v>4509.5</v>
          </cell>
        </row>
        <row r="11">
          <cell r="B11" t="str">
            <v>KPTJEX009</v>
          </cell>
          <cell r="C11">
            <v>0</v>
          </cell>
          <cell r="D11">
            <v>0</v>
          </cell>
          <cell r="E11">
            <v>0</v>
          </cell>
          <cell r="F11">
            <v>8.2999999999992724</v>
          </cell>
          <cell r="G11">
            <v>10</v>
          </cell>
          <cell r="H11">
            <v>18.299999999999272</v>
          </cell>
          <cell r="I11">
            <v>9</v>
          </cell>
          <cell r="J11">
            <v>7</v>
          </cell>
          <cell r="K11">
            <v>16</v>
          </cell>
          <cell r="L11">
            <v>6</v>
          </cell>
          <cell r="M11">
            <v>5</v>
          </cell>
          <cell r="N11">
            <v>11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5</v>
          </cell>
          <cell r="W11">
            <v>5</v>
          </cell>
          <cell r="X11">
            <v>7</v>
          </cell>
          <cell r="Y11">
            <v>7</v>
          </cell>
          <cell r="Z11">
            <v>14</v>
          </cell>
          <cell r="AA11">
            <v>9</v>
          </cell>
          <cell r="AB11">
            <v>7</v>
          </cell>
          <cell r="AC11">
            <v>16</v>
          </cell>
          <cell r="AD11">
            <v>5</v>
          </cell>
          <cell r="AE11">
            <v>8</v>
          </cell>
          <cell r="AF11">
            <v>13</v>
          </cell>
          <cell r="AG11">
            <v>4.5</v>
          </cell>
          <cell r="AH11">
            <v>10.700000000000728</v>
          </cell>
          <cell r="AI11">
            <v>15.200000000000728</v>
          </cell>
          <cell r="AJ11">
            <v>8.7999999999992724</v>
          </cell>
          <cell r="AK11">
            <v>7.2999999999992724</v>
          </cell>
          <cell r="AL11">
            <v>16.099999999998545</v>
          </cell>
          <cell r="AM11">
            <v>0</v>
          </cell>
          <cell r="AN11">
            <v>10.700000000000728</v>
          </cell>
          <cell r="AO11">
            <v>10.700000000000728</v>
          </cell>
          <cell r="AP11">
            <v>8</v>
          </cell>
          <cell r="AQ11">
            <v>9.5</v>
          </cell>
          <cell r="AR11">
            <v>17.5</v>
          </cell>
          <cell r="AS11">
            <v>8.5</v>
          </cell>
          <cell r="AT11">
            <v>9</v>
          </cell>
          <cell r="AU11">
            <v>17.5</v>
          </cell>
          <cell r="AV11">
            <v>8.7999999999992724</v>
          </cell>
          <cell r="AW11">
            <v>8.2000000000007276</v>
          </cell>
          <cell r="AX11">
            <v>17</v>
          </cell>
          <cell r="AY11">
            <v>9</v>
          </cell>
          <cell r="AZ11">
            <v>9.7999999999992724</v>
          </cell>
          <cell r="BA11">
            <v>18.799999999999272</v>
          </cell>
          <cell r="BB11">
            <v>6.2000000000007276</v>
          </cell>
          <cell r="BC11">
            <v>10</v>
          </cell>
          <cell r="BD11">
            <v>16.200000000000728</v>
          </cell>
          <cell r="BE11">
            <v>10</v>
          </cell>
          <cell r="BF11">
            <v>11.5</v>
          </cell>
          <cell r="BG11">
            <v>21.5</v>
          </cell>
          <cell r="BH11">
            <v>0</v>
          </cell>
          <cell r="BI11">
            <v>9</v>
          </cell>
          <cell r="BJ11">
            <v>9</v>
          </cell>
          <cell r="BK11">
            <v>8.5</v>
          </cell>
          <cell r="BL11">
            <v>9</v>
          </cell>
          <cell r="BM11">
            <v>17.5</v>
          </cell>
          <cell r="BN11">
            <v>4.5</v>
          </cell>
          <cell r="BO11">
            <v>8</v>
          </cell>
          <cell r="BP11">
            <v>12.5</v>
          </cell>
          <cell r="BQ11">
            <v>8.5</v>
          </cell>
          <cell r="BR11">
            <v>5.5</v>
          </cell>
          <cell r="BS11">
            <v>14</v>
          </cell>
          <cell r="BT11">
            <v>6.5</v>
          </cell>
          <cell r="BU11">
            <v>5</v>
          </cell>
          <cell r="BV11">
            <v>11.5</v>
          </cell>
          <cell r="BW11">
            <v>4.7999999999992724</v>
          </cell>
          <cell r="BX11">
            <v>11.200000000000728</v>
          </cell>
          <cell r="BY11">
            <v>16</v>
          </cell>
          <cell r="BZ11">
            <v>9.5</v>
          </cell>
          <cell r="CA11">
            <v>11.299999999999272</v>
          </cell>
          <cell r="CB11">
            <v>20.799999999999272</v>
          </cell>
          <cell r="CC11">
            <v>9.7000000000007276</v>
          </cell>
          <cell r="CD11">
            <v>11.5</v>
          </cell>
          <cell r="CE11">
            <v>21.200000000000728</v>
          </cell>
          <cell r="CF11">
            <v>6.2000000000007276</v>
          </cell>
          <cell r="CG11">
            <v>11.399999999999636</v>
          </cell>
          <cell r="CH11">
            <v>17.600000000000364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177.29999999999927</v>
          </cell>
          <cell r="CS11">
            <v>223.60000000000036</v>
          </cell>
          <cell r="CT11">
            <v>400.89999999999964</v>
          </cell>
          <cell r="ED11" t="str">
            <v>KPTJEX009</v>
          </cell>
          <cell r="EE11">
            <v>0</v>
          </cell>
          <cell r="EF11">
            <v>18.299999999999272</v>
          </cell>
          <cell r="EG11">
            <v>34.299999999999272</v>
          </cell>
          <cell r="EH11">
            <v>45.299999999999272</v>
          </cell>
          <cell r="EI11">
            <v>62.299999999999272</v>
          </cell>
          <cell r="EJ11">
            <v>62.299999999999272</v>
          </cell>
          <cell r="EK11">
            <v>67.299999999999272</v>
          </cell>
          <cell r="EL11">
            <v>81.299999999999272</v>
          </cell>
          <cell r="EM11">
            <v>97.299999999999272</v>
          </cell>
          <cell r="EN11">
            <v>110.29999999999927</v>
          </cell>
          <cell r="EO11">
            <v>125.5</v>
          </cell>
          <cell r="EP11">
            <v>141.59999999999854</v>
          </cell>
          <cell r="EQ11">
            <v>152.29999999999927</v>
          </cell>
          <cell r="ER11">
            <v>169.79999999999927</v>
          </cell>
          <cell r="ES11">
            <v>187.29999999999927</v>
          </cell>
          <cell r="ET11">
            <v>204.29999999999927</v>
          </cell>
          <cell r="EU11">
            <v>223.09999999999854</v>
          </cell>
          <cell r="EV11">
            <v>239.29999999999927</v>
          </cell>
          <cell r="EW11">
            <v>260.79999999999927</v>
          </cell>
          <cell r="EX11">
            <v>269.79999999999927</v>
          </cell>
          <cell r="EY11">
            <v>287.29999999999927</v>
          </cell>
          <cell r="EZ11">
            <v>299.79999999999927</v>
          </cell>
          <cell r="FA11">
            <v>313.79999999999927</v>
          </cell>
          <cell r="FB11">
            <v>325.29999999999927</v>
          </cell>
          <cell r="FC11">
            <v>341.29999999999927</v>
          </cell>
          <cell r="FD11">
            <v>362.09999999999854</v>
          </cell>
          <cell r="FE11">
            <v>383.29999999999927</v>
          </cell>
          <cell r="FF11">
            <v>400.89999999999964</v>
          </cell>
          <cell r="FG11">
            <v>400.89999999999964</v>
          </cell>
          <cell r="FH11">
            <v>400.89999999999964</v>
          </cell>
          <cell r="FI11">
            <v>400.89999999999964</v>
          </cell>
          <cell r="FJ11">
            <v>6468.9999999999782</v>
          </cell>
        </row>
        <row r="12">
          <cell r="B12" t="str">
            <v>KPTJEX010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ED12" t="str">
            <v>KPTJEX010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B13" t="str">
            <v>KPTJDZ011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9.5</v>
          </cell>
          <cell r="N13">
            <v>9.5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11</v>
          </cell>
          <cell r="W13">
            <v>11</v>
          </cell>
          <cell r="X13">
            <v>9</v>
          </cell>
          <cell r="Y13">
            <v>5.8000000000001819</v>
          </cell>
          <cell r="Z13">
            <v>14.800000000000182</v>
          </cell>
          <cell r="AA13">
            <v>7.1999999999998181</v>
          </cell>
          <cell r="AB13">
            <v>10</v>
          </cell>
          <cell r="AC13">
            <v>17.199999999999818</v>
          </cell>
          <cell r="AD13">
            <v>7</v>
          </cell>
          <cell r="AE13">
            <v>0</v>
          </cell>
          <cell r="AF13">
            <v>7</v>
          </cell>
          <cell r="AG13">
            <v>9.5</v>
          </cell>
          <cell r="AH13">
            <v>0</v>
          </cell>
          <cell r="AI13">
            <v>9.5</v>
          </cell>
          <cell r="AJ13">
            <v>4</v>
          </cell>
          <cell r="AK13">
            <v>5.5</v>
          </cell>
          <cell r="AL13">
            <v>9.5</v>
          </cell>
          <cell r="AM13">
            <v>0</v>
          </cell>
          <cell r="AN13">
            <v>4.6999999999998181</v>
          </cell>
          <cell r="AO13">
            <v>4.6999999999998181</v>
          </cell>
          <cell r="AP13">
            <v>6.5</v>
          </cell>
          <cell r="AQ13">
            <v>0</v>
          </cell>
          <cell r="AR13">
            <v>6.5</v>
          </cell>
          <cell r="AS13">
            <v>9</v>
          </cell>
          <cell r="AT13">
            <v>4.3000000000001819</v>
          </cell>
          <cell r="AU13">
            <v>13.300000000000182</v>
          </cell>
          <cell r="AV13">
            <v>8.5</v>
          </cell>
          <cell r="AW13">
            <v>8</v>
          </cell>
          <cell r="AX13">
            <v>16.5</v>
          </cell>
          <cell r="AY13">
            <v>8</v>
          </cell>
          <cell r="AZ13">
            <v>10</v>
          </cell>
          <cell r="BA13">
            <v>18</v>
          </cell>
          <cell r="BB13">
            <v>4</v>
          </cell>
          <cell r="BC13">
            <v>0</v>
          </cell>
          <cell r="BD13">
            <v>4</v>
          </cell>
          <cell r="BE13">
            <v>0</v>
          </cell>
          <cell r="BF13">
            <v>11</v>
          </cell>
          <cell r="BG13">
            <v>11</v>
          </cell>
          <cell r="BH13">
            <v>9</v>
          </cell>
          <cell r="BI13">
            <v>10</v>
          </cell>
          <cell r="BJ13">
            <v>19</v>
          </cell>
          <cell r="BK13">
            <v>4</v>
          </cell>
          <cell r="BL13">
            <v>0</v>
          </cell>
          <cell r="BM13">
            <v>4</v>
          </cell>
          <cell r="BN13">
            <v>8</v>
          </cell>
          <cell r="BO13">
            <v>11</v>
          </cell>
          <cell r="BP13">
            <v>19</v>
          </cell>
          <cell r="BQ13">
            <v>1</v>
          </cell>
          <cell r="BR13">
            <v>0</v>
          </cell>
          <cell r="BS13">
            <v>1</v>
          </cell>
          <cell r="BT13">
            <v>9</v>
          </cell>
          <cell r="BU13">
            <v>10</v>
          </cell>
          <cell r="BV13">
            <v>19</v>
          </cell>
          <cell r="BW13">
            <v>8</v>
          </cell>
          <cell r="BX13">
            <v>12</v>
          </cell>
          <cell r="BY13">
            <v>20</v>
          </cell>
          <cell r="BZ13">
            <v>8</v>
          </cell>
          <cell r="CA13">
            <v>0</v>
          </cell>
          <cell r="CB13">
            <v>8</v>
          </cell>
          <cell r="CC13">
            <v>6</v>
          </cell>
          <cell r="CD13">
            <v>11</v>
          </cell>
          <cell r="CE13">
            <v>17</v>
          </cell>
          <cell r="CF13">
            <v>7</v>
          </cell>
          <cell r="CG13">
            <v>0</v>
          </cell>
          <cell r="CH13">
            <v>7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132.69999999999982</v>
          </cell>
          <cell r="CS13">
            <v>134.30000000000018</v>
          </cell>
          <cell r="CT13">
            <v>267</v>
          </cell>
          <cell r="ED13" t="str">
            <v>KPTJDZ011</v>
          </cell>
          <cell r="EE13">
            <v>0</v>
          </cell>
          <cell r="EF13">
            <v>0</v>
          </cell>
          <cell r="EG13">
            <v>0</v>
          </cell>
          <cell r="EH13">
            <v>9.5</v>
          </cell>
          <cell r="EI13">
            <v>10</v>
          </cell>
          <cell r="EJ13">
            <v>10</v>
          </cell>
          <cell r="EK13">
            <v>21</v>
          </cell>
          <cell r="EL13">
            <v>35.800000000000182</v>
          </cell>
          <cell r="EM13">
            <v>53</v>
          </cell>
          <cell r="EN13">
            <v>60</v>
          </cell>
          <cell r="EO13">
            <v>69.5</v>
          </cell>
          <cell r="EP13">
            <v>79</v>
          </cell>
          <cell r="EQ13">
            <v>83.699999999999818</v>
          </cell>
          <cell r="ER13">
            <v>90.199999999999818</v>
          </cell>
          <cell r="ES13">
            <v>103.5</v>
          </cell>
          <cell r="ET13">
            <v>120</v>
          </cell>
          <cell r="EU13">
            <v>138</v>
          </cell>
          <cell r="EV13">
            <v>142</v>
          </cell>
          <cell r="EW13">
            <v>153</v>
          </cell>
          <cell r="EX13">
            <v>172</v>
          </cell>
          <cell r="EY13">
            <v>176</v>
          </cell>
          <cell r="EZ13">
            <v>195</v>
          </cell>
          <cell r="FA13">
            <v>196</v>
          </cell>
          <cell r="FB13">
            <v>215</v>
          </cell>
          <cell r="FC13">
            <v>235</v>
          </cell>
          <cell r="FD13">
            <v>243</v>
          </cell>
          <cell r="FE13">
            <v>260</v>
          </cell>
          <cell r="FF13">
            <v>267</v>
          </cell>
          <cell r="FG13">
            <v>267</v>
          </cell>
          <cell r="FH13">
            <v>267</v>
          </cell>
          <cell r="FI13">
            <v>267</v>
          </cell>
          <cell r="FJ13">
            <v>3938.2</v>
          </cell>
        </row>
        <row r="14">
          <cell r="B14" t="str">
            <v>KPTJDZ012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7</v>
          </cell>
          <cell r="Y14">
            <v>0</v>
          </cell>
          <cell r="Z14">
            <v>7</v>
          </cell>
          <cell r="AA14">
            <v>1</v>
          </cell>
          <cell r="AB14">
            <v>0</v>
          </cell>
          <cell r="AC14">
            <v>1</v>
          </cell>
          <cell r="AD14">
            <v>9</v>
          </cell>
          <cell r="AE14">
            <v>9.5</v>
          </cell>
          <cell r="AF14">
            <v>18.5</v>
          </cell>
          <cell r="AG14">
            <v>7.5</v>
          </cell>
          <cell r="AH14">
            <v>11</v>
          </cell>
          <cell r="AI14">
            <v>18.5</v>
          </cell>
          <cell r="AJ14">
            <v>10</v>
          </cell>
          <cell r="AK14">
            <v>9</v>
          </cell>
          <cell r="AL14">
            <v>19</v>
          </cell>
          <cell r="AM14">
            <v>8.5</v>
          </cell>
          <cell r="AN14">
            <v>10.5</v>
          </cell>
          <cell r="AO14">
            <v>19</v>
          </cell>
          <cell r="AP14">
            <v>8.7999999999992724</v>
          </cell>
          <cell r="AQ14">
            <v>2.2000000000007276</v>
          </cell>
          <cell r="AR14">
            <v>11</v>
          </cell>
          <cell r="AS14">
            <v>6.5</v>
          </cell>
          <cell r="AT14">
            <v>8.5</v>
          </cell>
          <cell r="AU14">
            <v>15</v>
          </cell>
          <cell r="AV14">
            <v>10</v>
          </cell>
          <cell r="AW14">
            <v>8.5</v>
          </cell>
          <cell r="AX14">
            <v>18.5</v>
          </cell>
          <cell r="AY14">
            <v>9</v>
          </cell>
          <cell r="AZ14">
            <v>0</v>
          </cell>
          <cell r="BA14">
            <v>9</v>
          </cell>
          <cell r="BB14">
            <v>4.5</v>
          </cell>
          <cell r="BC14">
            <v>9.1000000000003638</v>
          </cell>
          <cell r="BD14">
            <v>13.600000000000364</v>
          </cell>
          <cell r="BE14">
            <v>9.6000000000003638</v>
          </cell>
          <cell r="BF14">
            <v>5.2999999999992724</v>
          </cell>
          <cell r="BG14">
            <v>14.899999999999636</v>
          </cell>
          <cell r="BH14">
            <v>3</v>
          </cell>
          <cell r="BI14">
            <v>0</v>
          </cell>
          <cell r="BJ14">
            <v>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9</v>
          </cell>
          <cell r="BR14">
            <v>9.3999999999996362</v>
          </cell>
          <cell r="BS14">
            <v>18.399999999999636</v>
          </cell>
          <cell r="BT14">
            <v>6.6000000000003638</v>
          </cell>
          <cell r="BU14">
            <v>0</v>
          </cell>
          <cell r="BV14">
            <v>6.6000000000003638</v>
          </cell>
          <cell r="BW14">
            <v>10</v>
          </cell>
          <cell r="BX14">
            <v>10.5</v>
          </cell>
          <cell r="BY14">
            <v>20.5</v>
          </cell>
          <cell r="BZ14">
            <v>9.5</v>
          </cell>
          <cell r="CA14">
            <v>11</v>
          </cell>
          <cell r="CB14">
            <v>20.5</v>
          </cell>
          <cell r="CC14">
            <v>10</v>
          </cell>
          <cell r="CD14">
            <v>10</v>
          </cell>
          <cell r="CE14">
            <v>20</v>
          </cell>
          <cell r="CF14">
            <v>9</v>
          </cell>
          <cell r="CG14">
            <v>2.5</v>
          </cell>
          <cell r="CH14">
            <v>11.5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148.5</v>
          </cell>
          <cell r="CS14">
            <v>119.5</v>
          </cell>
          <cell r="CT14">
            <v>268</v>
          </cell>
          <cell r="ED14" t="str">
            <v>KPTJDZ012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2.5</v>
          </cell>
          <cell r="EJ14">
            <v>2.5</v>
          </cell>
          <cell r="EK14">
            <v>2.5</v>
          </cell>
          <cell r="EL14">
            <v>9.5</v>
          </cell>
          <cell r="EM14">
            <v>10.5</v>
          </cell>
          <cell r="EN14">
            <v>29</v>
          </cell>
          <cell r="EO14">
            <v>47.5</v>
          </cell>
          <cell r="EP14">
            <v>66.5</v>
          </cell>
          <cell r="EQ14">
            <v>85.5</v>
          </cell>
          <cell r="ER14">
            <v>96.5</v>
          </cell>
          <cell r="ES14">
            <v>111.5</v>
          </cell>
          <cell r="ET14">
            <v>130</v>
          </cell>
          <cell r="EU14">
            <v>139</v>
          </cell>
          <cell r="EV14">
            <v>152.60000000000036</v>
          </cell>
          <cell r="EW14">
            <v>167.5</v>
          </cell>
          <cell r="EX14">
            <v>170.5</v>
          </cell>
          <cell r="EY14">
            <v>170.5</v>
          </cell>
          <cell r="EZ14">
            <v>170.5</v>
          </cell>
          <cell r="FA14">
            <v>188.89999999999964</v>
          </cell>
          <cell r="FB14">
            <v>195.5</v>
          </cell>
          <cell r="FC14">
            <v>216</v>
          </cell>
          <cell r="FD14">
            <v>236.5</v>
          </cell>
          <cell r="FE14">
            <v>256.5</v>
          </cell>
          <cell r="FF14">
            <v>268</v>
          </cell>
          <cell r="FG14">
            <v>268</v>
          </cell>
          <cell r="FH14">
            <v>268</v>
          </cell>
          <cell r="FI14">
            <v>268</v>
          </cell>
          <cell r="FJ14">
            <v>3730</v>
          </cell>
        </row>
        <row r="15">
          <cell r="B15" t="str">
            <v>KPTJDZ022</v>
          </cell>
          <cell r="C15">
            <v>8.5</v>
          </cell>
          <cell r="D15">
            <v>4</v>
          </cell>
          <cell r="E15">
            <v>12.5</v>
          </cell>
          <cell r="F15">
            <v>8.5</v>
          </cell>
          <cell r="G15">
            <v>10.5</v>
          </cell>
          <cell r="H15">
            <v>19</v>
          </cell>
          <cell r="I15">
            <v>7</v>
          </cell>
          <cell r="J15">
            <v>10.5</v>
          </cell>
          <cell r="K15">
            <v>17.5</v>
          </cell>
          <cell r="L15">
            <v>7.5</v>
          </cell>
          <cell r="M15">
            <v>11</v>
          </cell>
          <cell r="N15">
            <v>18.5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10</v>
          </cell>
          <cell r="W15">
            <v>10</v>
          </cell>
          <cell r="X15">
            <v>8</v>
          </cell>
          <cell r="Y15">
            <v>4</v>
          </cell>
          <cell r="Z15">
            <v>12</v>
          </cell>
          <cell r="AA15">
            <v>0</v>
          </cell>
          <cell r="AB15">
            <v>11</v>
          </cell>
          <cell r="AC15">
            <v>11</v>
          </cell>
          <cell r="AD15">
            <v>8.1999999999999886</v>
          </cell>
          <cell r="AE15">
            <v>11.300000000000011</v>
          </cell>
          <cell r="AF15">
            <v>19.5</v>
          </cell>
          <cell r="AG15">
            <v>3.5</v>
          </cell>
          <cell r="AH15">
            <v>9.8000000000000114</v>
          </cell>
          <cell r="AI15">
            <v>13.300000000000011</v>
          </cell>
          <cell r="AJ15">
            <v>9.1999999999999886</v>
          </cell>
          <cell r="AK15">
            <v>3.6999999999999886</v>
          </cell>
          <cell r="AL15">
            <v>12.899999999999977</v>
          </cell>
          <cell r="AM15">
            <v>0</v>
          </cell>
          <cell r="AN15">
            <v>9.3000000000000114</v>
          </cell>
          <cell r="AO15">
            <v>9.3000000000000114</v>
          </cell>
          <cell r="AP15">
            <v>9</v>
          </cell>
          <cell r="AQ15">
            <v>7</v>
          </cell>
          <cell r="AR15">
            <v>16</v>
          </cell>
          <cell r="AS15">
            <v>8.5</v>
          </cell>
          <cell r="AT15">
            <v>9.5</v>
          </cell>
          <cell r="AU15">
            <v>18</v>
          </cell>
          <cell r="AV15">
            <v>10.5</v>
          </cell>
          <cell r="AW15">
            <v>6.5</v>
          </cell>
          <cell r="AX15">
            <v>17</v>
          </cell>
          <cell r="AY15">
            <v>9.5</v>
          </cell>
          <cell r="AZ15">
            <v>7</v>
          </cell>
          <cell r="BA15">
            <v>16.5</v>
          </cell>
          <cell r="BB15">
            <v>0</v>
          </cell>
          <cell r="BC15">
            <v>0</v>
          </cell>
          <cell r="BD15">
            <v>0</v>
          </cell>
          <cell r="BE15">
            <v>6</v>
          </cell>
          <cell r="BF15">
            <v>1.5</v>
          </cell>
          <cell r="BG15">
            <v>7.5</v>
          </cell>
          <cell r="BH15">
            <v>0</v>
          </cell>
          <cell r="BI15">
            <v>3</v>
          </cell>
          <cell r="BJ15">
            <v>3</v>
          </cell>
          <cell r="BK15">
            <v>0</v>
          </cell>
          <cell r="BL15">
            <v>0</v>
          </cell>
          <cell r="BM15">
            <v>0</v>
          </cell>
          <cell r="BN15">
            <v>10</v>
          </cell>
          <cell r="BO15">
            <v>0</v>
          </cell>
          <cell r="BP15">
            <v>10</v>
          </cell>
          <cell r="BQ15">
            <v>9.5</v>
          </cell>
          <cell r="BR15">
            <v>1</v>
          </cell>
          <cell r="BS15">
            <v>10.5</v>
          </cell>
          <cell r="BT15">
            <v>3.5</v>
          </cell>
          <cell r="BU15">
            <v>0</v>
          </cell>
          <cell r="BV15">
            <v>3.5</v>
          </cell>
          <cell r="BW15">
            <v>4.5</v>
          </cell>
          <cell r="BX15">
            <v>0</v>
          </cell>
          <cell r="BY15">
            <v>4.5</v>
          </cell>
          <cell r="BZ15">
            <v>8.5</v>
          </cell>
          <cell r="CA15">
            <v>10</v>
          </cell>
          <cell r="CB15">
            <v>18.5</v>
          </cell>
          <cell r="CC15">
            <v>6</v>
          </cell>
          <cell r="CD15">
            <v>0</v>
          </cell>
          <cell r="CE15">
            <v>6</v>
          </cell>
          <cell r="CF15">
            <v>7</v>
          </cell>
          <cell r="CG15">
            <v>0</v>
          </cell>
          <cell r="CH15">
            <v>7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160.89999999999998</v>
          </cell>
          <cell r="CS15">
            <v>143.60000000000002</v>
          </cell>
          <cell r="CT15">
            <v>304.5</v>
          </cell>
          <cell r="ED15" t="str">
            <v>KPTJDZ022</v>
          </cell>
          <cell r="EE15">
            <v>12.5</v>
          </cell>
          <cell r="EF15">
            <v>31.5</v>
          </cell>
          <cell r="EG15">
            <v>49</v>
          </cell>
          <cell r="EH15">
            <v>67.5</v>
          </cell>
          <cell r="EI15">
            <v>78.5</v>
          </cell>
          <cell r="EJ15">
            <v>78.5</v>
          </cell>
          <cell r="EK15">
            <v>88.5</v>
          </cell>
          <cell r="EL15">
            <v>100.5</v>
          </cell>
          <cell r="EM15">
            <v>111.5</v>
          </cell>
          <cell r="EN15">
            <v>131</v>
          </cell>
          <cell r="EO15">
            <v>144.30000000000001</v>
          </cell>
          <cell r="EP15">
            <v>157.19999999999999</v>
          </cell>
          <cell r="EQ15">
            <v>166.5</v>
          </cell>
          <cell r="ER15">
            <v>182.5</v>
          </cell>
          <cell r="ES15">
            <v>200.5</v>
          </cell>
          <cell r="ET15">
            <v>217.5</v>
          </cell>
          <cell r="EU15">
            <v>234</v>
          </cell>
          <cell r="EV15">
            <v>234</v>
          </cell>
          <cell r="EW15">
            <v>241.5</v>
          </cell>
          <cell r="EX15">
            <v>244.5</v>
          </cell>
          <cell r="EY15">
            <v>244.5</v>
          </cell>
          <cell r="EZ15">
            <v>254.5</v>
          </cell>
          <cell r="FA15">
            <v>265</v>
          </cell>
          <cell r="FB15">
            <v>268.5</v>
          </cell>
          <cell r="FC15">
            <v>273</v>
          </cell>
          <cell r="FD15">
            <v>291.5</v>
          </cell>
          <cell r="FE15">
            <v>297.5</v>
          </cell>
          <cell r="FF15">
            <v>304.5</v>
          </cell>
          <cell r="FG15">
            <v>304.5</v>
          </cell>
          <cell r="FH15">
            <v>304.5</v>
          </cell>
          <cell r="FI15">
            <v>304.5</v>
          </cell>
          <cell r="FJ15">
            <v>5884</v>
          </cell>
        </row>
        <row r="16">
          <cell r="B16" t="str">
            <v>KPTJDZ015</v>
          </cell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  <cell r="CR16">
            <v>0</v>
          </cell>
          <cell r="CS16">
            <v>0</v>
          </cell>
          <cell r="CT16">
            <v>0</v>
          </cell>
          <cell r="ED16" t="str">
            <v>KPTJDZ015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B17" t="str">
            <v>KPTJDZ016</v>
          </cell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  <cell r="CR17">
            <v>0</v>
          </cell>
          <cell r="CS17">
            <v>0</v>
          </cell>
          <cell r="CT17">
            <v>0</v>
          </cell>
          <cell r="ED17" t="str">
            <v>KPTJDZ016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8">
          <cell r="B18" t="str">
            <v>KPTJDZ017</v>
          </cell>
          <cell r="C18">
            <v>8</v>
          </cell>
          <cell r="D18">
            <v>10</v>
          </cell>
          <cell r="E18">
            <v>18</v>
          </cell>
          <cell r="F18">
            <v>10</v>
          </cell>
          <cell r="G18">
            <v>9.5</v>
          </cell>
          <cell r="H18">
            <v>19.5</v>
          </cell>
          <cell r="I18">
            <v>6.7000000000000455</v>
          </cell>
          <cell r="J18">
            <v>10.799999999999955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16.400000000000091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11.5</v>
          </cell>
          <cell r="W18">
            <v>11.5</v>
          </cell>
          <cell r="X18">
            <v>9</v>
          </cell>
          <cell r="Y18">
            <v>5</v>
          </cell>
          <cell r="Z18">
            <v>14</v>
          </cell>
          <cell r="AA18">
            <v>4</v>
          </cell>
          <cell r="AB18">
            <v>0</v>
          </cell>
          <cell r="AC18">
            <v>4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9.5</v>
          </cell>
          <cell r="AO18">
            <v>9.5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3.5</v>
          </cell>
          <cell r="AW18">
            <v>0</v>
          </cell>
          <cell r="AX18">
            <v>3.5</v>
          </cell>
          <cell r="AY18">
            <v>0</v>
          </cell>
          <cell r="AZ18">
            <v>0</v>
          </cell>
          <cell r="BA18">
            <v>0</v>
          </cell>
          <cell r="BB18">
            <v>1</v>
          </cell>
          <cell r="BC18">
            <v>0</v>
          </cell>
          <cell r="BD18">
            <v>1</v>
          </cell>
          <cell r="BE18">
            <v>10</v>
          </cell>
          <cell r="BF18">
            <v>10</v>
          </cell>
          <cell r="BG18">
            <v>20</v>
          </cell>
          <cell r="BH18">
            <v>10</v>
          </cell>
          <cell r="BI18">
            <v>10</v>
          </cell>
          <cell r="BJ18">
            <v>20</v>
          </cell>
          <cell r="BK18">
            <v>6.5</v>
          </cell>
          <cell r="BL18">
            <v>8.5</v>
          </cell>
          <cell r="BM18">
            <v>15</v>
          </cell>
          <cell r="BN18">
            <v>8</v>
          </cell>
          <cell r="BO18">
            <v>11</v>
          </cell>
          <cell r="BP18">
            <v>19</v>
          </cell>
          <cell r="BQ18">
            <v>9</v>
          </cell>
          <cell r="BR18">
            <v>8.5</v>
          </cell>
          <cell r="BS18">
            <v>17.5</v>
          </cell>
          <cell r="BT18">
            <v>8.5</v>
          </cell>
          <cell r="BU18">
            <v>10.5</v>
          </cell>
          <cell r="BV18">
            <v>19</v>
          </cell>
          <cell r="BW18">
            <v>10.200000000000045</v>
          </cell>
          <cell r="BX18">
            <v>8.2999999999999545</v>
          </cell>
          <cell r="BY18">
            <v>18.5</v>
          </cell>
          <cell r="BZ18">
            <v>9.5</v>
          </cell>
          <cell r="CA18">
            <v>10.5</v>
          </cell>
          <cell r="CB18">
            <v>20</v>
          </cell>
          <cell r="CC18">
            <v>9</v>
          </cell>
          <cell r="CD18">
            <v>0</v>
          </cell>
          <cell r="CE18">
            <v>9</v>
          </cell>
          <cell r="CF18">
            <v>10.200000000000045</v>
          </cell>
          <cell r="CG18">
            <v>7.7999999999999545</v>
          </cell>
          <cell r="CH18">
            <v>18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143.79999999999995</v>
          </cell>
          <cell r="CS18">
            <v>150.20000000000005</v>
          </cell>
          <cell r="CT18">
            <v>294</v>
          </cell>
          <cell r="ED18" t="str">
            <v>KPTJDZ017</v>
          </cell>
          <cell r="EE18">
            <v>18</v>
          </cell>
          <cell r="EF18">
            <v>37.5</v>
          </cell>
          <cell r="EG18">
            <v>55</v>
          </cell>
          <cell r="EH18">
            <v>71.400000000000091</v>
          </cell>
          <cell r="EI18">
            <v>74.5</v>
          </cell>
          <cell r="EJ18">
            <v>74.5</v>
          </cell>
          <cell r="EK18">
            <v>86</v>
          </cell>
          <cell r="EL18">
            <v>100</v>
          </cell>
          <cell r="EM18">
            <v>104</v>
          </cell>
          <cell r="EN18">
            <v>104</v>
          </cell>
          <cell r="EO18">
            <v>104</v>
          </cell>
          <cell r="EP18">
            <v>104</v>
          </cell>
          <cell r="EQ18">
            <v>113.5</v>
          </cell>
          <cell r="ER18">
            <v>113.5</v>
          </cell>
          <cell r="ES18">
            <v>113.5</v>
          </cell>
          <cell r="ET18">
            <v>117</v>
          </cell>
          <cell r="EU18">
            <v>117</v>
          </cell>
          <cell r="EV18">
            <v>118</v>
          </cell>
          <cell r="EW18">
            <v>138</v>
          </cell>
          <cell r="EX18">
            <v>158</v>
          </cell>
          <cell r="EY18">
            <v>173</v>
          </cell>
          <cell r="EZ18">
            <v>192</v>
          </cell>
          <cell r="FA18">
            <v>209.5</v>
          </cell>
          <cell r="FB18">
            <v>228.5</v>
          </cell>
          <cell r="FC18">
            <v>247</v>
          </cell>
          <cell r="FD18">
            <v>267</v>
          </cell>
          <cell r="FE18">
            <v>276</v>
          </cell>
          <cell r="FF18">
            <v>294</v>
          </cell>
          <cell r="FG18">
            <v>294</v>
          </cell>
          <cell r="FH18">
            <v>294</v>
          </cell>
          <cell r="FI18">
            <v>294</v>
          </cell>
          <cell r="FJ18">
            <v>4690.3999999999996</v>
          </cell>
        </row>
        <row r="19">
          <cell r="B19" t="str">
            <v>KPTJEX018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ED19" t="str">
            <v>KPTJEX018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B20" t="str">
            <v>KPTJCP019</v>
          </cell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  <cell r="CR20">
            <v>0</v>
          </cell>
          <cell r="CS20">
            <v>0</v>
          </cell>
          <cell r="CT20">
            <v>0</v>
          </cell>
          <cell r="ED20" t="str">
            <v>KPTJCP019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B21" t="str">
            <v>KPTJDZ020</v>
          </cell>
          <cell r="C21">
            <v>8</v>
          </cell>
          <cell r="D21">
            <v>11</v>
          </cell>
          <cell r="E21">
            <v>19</v>
          </cell>
          <cell r="F21">
            <v>8.5</v>
          </cell>
          <cell r="G21">
            <v>10.5</v>
          </cell>
          <cell r="H21">
            <v>19</v>
          </cell>
          <cell r="I21">
            <v>0</v>
          </cell>
          <cell r="J21">
            <v>0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4.5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4.5</v>
          </cell>
          <cell r="Y21">
            <v>0</v>
          </cell>
          <cell r="Z21">
            <v>4.5</v>
          </cell>
          <cell r="AA21">
            <v>8</v>
          </cell>
          <cell r="AB21">
            <v>0</v>
          </cell>
          <cell r="AC21">
            <v>8</v>
          </cell>
          <cell r="AD21">
            <v>10</v>
          </cell>
          <cell r="AE21">
            <v>8.2000000000000455</v>
          </cell>
          <cell r="AF21">
            <v>18.200000000000045</v>
          </cell>
          <cell r="AG21">
            <v>8.7999999999999545</v>
          </cell>
          <cell r="AH21">
            <v>9.5</v>
          </cell>
          <cell r="AI21">
            <v>18.299999999999955</v>
          </cell>
          <cell r="AJ21">
            <v>10.100000000000023</v>
          </cell>
          <cell r="AK21">
            <v>9.3999999999999773</v>
          </cell>
          <cell r="AL21">
            <v>19.5</v>
          </cell>
          <cell r="AM21">
            <v>9</v>
          </cell>
          <cell r="AN21">
            <v>10</v>
          </cell>
          <cell r="AO21">
            <v>19</v>
          </cell>
          <cell r="AP21">
            <v>9</v>
          </cell>
          <cell r="AQ21">
            <v>0</v>
          </cell>
          <cell r="AR21">
            <v>9</v>
          </cell>
          <cell r="AS21">
            <v>10</v>
          </cell>
          <cell r="AT21">
            <v>11</v>
          </cell>
          <cell r="AU21">
            <v>21</v>
          </cell>
          <cell r="AV21">
            <v>9.5</v>
          </cell>
          <cell r="AW21">
            <v>10.5</v>
          </cell>
          <cell r="AX21">
            <v>20</v>
          </cell>
          <cell r="AY21">
            <v>7</v>
          </cell>
          <cell r="AZ21">
            <v>0</v>
          </cell>
          <cell r="BA21">
            <v>7</v>
          </cell>
          <cell r="BB21">
            <v>2</v>
          </cell>
          <cell r="BC21">
            <v>10</v>
          </cell>
          <cell r="BD21">
            <v>12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7</v>
          </cell>
          <cell r="BU21">
            <v>10.299999999999955</v>
          </cell>
          <cell r="BV21">
            <v>17.299999999999955</v>
          </cell>
          <cell r="BW21">
            <v>8.7000000000000455</v>
          </cell>
          <cell r="BX21">
            <v>10.200000000000045</v>
          </cell>
          <cell r="BY21">
            <v>18.900000000000091</v>
          </cell>
          <cell r="BZ21">
            <v>10.5</v>
          </cell>
          <cell r="CA21">
            <v>7.7999999999999545</v>
          </cell>
          <cell r="CB21">
            <v>18.299999999999955</v>
          </cell>
          <cell r="CC21">
            <v>1</v>
          </cell>
          <cell r="CD21">
            <v>0</v>
          </cell>
          <cell r="CE21">
            <v>1</v>
          </cell>
          <cell r="CF21">
            <v>11</v>
          </cell>
          <cell r="CG21">
            <v>10.099999999999909</v>
          </cell>
          <cell r="CH21">
            <v>21.099999999999909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146.80000000000007</v>
          </cell>
          <cell r="CS21">
            <v>128.79999999999984</v>
          </cell>
          <cell r="CT21">
            <v>275.59999999999991</v>
          </cell>
          <cell r="ED21" t="str">
            <v>KPTJDZ020</v>
          </cell>
          <cell r="EE21">
            <v>19</v>
          </cell>
          <cell r="EF21">
            <v>38</v>
          </cell>
          <cell r="EG21">
            <v>38</v>
          </cell>
          <cell r="EH21">
            <v>42.5</v>
          </cell>
          <cell r="EI21">
            <v>42.5</v>
          </cell>
          <cell r="EJ21">
            <v>42.5</v>
          </cell>
          <cell r="EK21">
            <v>42.5</v>
          </cell>
          <cell r="EL21">
            <v>47</v>
          </cell>
          <cell r="EM21">
            <v>55</v>
          </cell>
          <cell r="EN21">
            <v>73.200000000000045</v>
          </cell>
          <cell r="EO21">
            <v>91.5</v>
          </cell>
          <cell r="EP21">
            <v>111</v>
          </cell>
          <cell r="EQ21">
            <v>130</v>
          </cell>
          <cell r="ER21">
            <v>139</v>
          </cell>
          <cell r="ES21">
            <v>160</v>
          </cell>
          <cell r="ET21">
            <v>180</v>
          </cell>
          <cell r="EU21">
            <v>187</v>
          </cell>
          <cell r="EV21">
            <v>199</v>
          </cell>
          <cell r="EW21">
            <v>199</v>
          </cell>
          <cell r="EX21">
            <v>199</v>
          </cell>
          <cell r="EY21">
            <v>199</v>
          </cell>
          <cell r="EZ21">
            <v>199</v>
          </cell>
          <cell r="FA21">
            <v>199</v>
          </cell>
          <cell r="FB21">
            <v>216.29999999999995</v>
          </cell>
          <cell r="FC21">
            <v>235.20000000000005</v>
          </cell>
          <cell r="FD21">
            <v>253.5</v>
          </cell>
          <cell r="FE21">
            <v>254.5</v>
          </cell>
          <cell r="FF21">
            <v>275.59999999999991</v>
          </cell>
          <cell r="FG21">
            <v>275.59999999999991</v>
          </cell>
          <cell r="FH21">
            <v>275.59999999999991</v>
          </cell>
          <cell r="FI21">
            <v>275.59999999999991</v>
          </cell>
          <cell r="FJ21">
            <v>4694.6000000000004</v>
          </cell>
        </row>
        <row r="22">
          <cell r="B22" t="str">
            <v>KPTJDZ021</v>
          </cell>
          <cell r="C22">
            <v>8</v>
          </cell>
          <cell r="D22">
            <v>9</v>
          </cell>
          <cell r="E22">
            <v>17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</v>
          </cell>
          <cell r="W22">
            <v>6</v>
          </cell>
          <cell r="X22">
            <v>3</v>
          </cell>
          <cell r="Y22">
            <v>7</v>
          </cell>
          <cell r="Z22">
            <v>10</v>
          </cell>
          <cell r="AA22">
            <v>6</v>
          </cell>
          <cell r="AB22">
            <v>5.5</v>
          </cell>
          <cell r="AC22">
            <v>11.5</v>
          </cell>
          <cell r="AD22">
            <v>9.5</v>
          </cell>
          <cell r="AE22">
            <v>5</v>
          </cell>
          <cell r="AF22">
            <v>14.5</v>
          </cell>
          <cell r="AG22">
            <v>6</v>
          </cell>
          <cell r="AH22">
            <v>11</v>
          </cell>
          <cell r="AI22">
            <v>17</v>
          </cell>
          <cell r="AJ22">
            <v>8</v>
          </cell>
          <cell r="AK22">
            <v>5</v>
          </cell>
          <cell r="AL22">
            <v>13</v>
          </cell>
          <cell r="AM22">
            <v>11</v>
          </cell>
          <cell r="AN22">
            <v>0</v>
          </cell>
          <cell r="AO22">
            <v>11</v>
          </cell>
          <cell r="AP22">
            <v>8</v>
          </cell>
          <cell r="AQ22">
            <v>1</v>
          </cell>
          <cell r="AR22">
            <v>9</v>
          </cell>
          <cell r="AS22">
            <v>8</v>
          </cell>
          <cell r="AT22">
            <v>0</v>
          </cell>
          <cell r="AU22">
            <v>8</v>
          </cell>
          <cell r="AV22">
            <v>9.1000000000000227</v>
          </cell>
          <cell r="AW22">
            <v>3.8999999999999773</v>
          </cell>
          <cell r="AX22">
            <v>13</v>
          </cell>
          <cell r="AY22">
            <v>4</v>
          </cell>
          <cell r="AZ22">
            <v>8</v>
          </cell>
          <cell r="BA22">
            <v>12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10</v>
          </cell>
          <cell r="BG22">
            <v>10</v>
          </cell>
          <cell r="BH22">
            <v>7</v>
          </cell>
          <cell r="BI22">
            <v>10</v>
          </cell>
          <cell r="BJ22">
            <v>17</v>
          </cell>
          <cell r="BK22">
            <v>8</v>
          </cell>
          <cell r="BL22">
            <v>10</v>
          </cell>
          <cell r="BM22">
            <v>18</v>
          </cell>
          <cell r="BN22">
            <v>9.5</v>
          </cell>
          <cell r="BO22">
            <v>9.5</v>
          </cell>
          <cell r="BP22">
            <v>19</v>
          </cell>
          <cell r="BQ22">
            <v>8</v>
          </cell>
          <cell r="BR22">
            <v>9</v>
          </cell>
          <cell r="BS22">
            <v>17</v>
          </cell>
          <cell r="BT22">
            <v>9</v>
          </cell>
          <cell r="BU22">
            <v>11</v>
          </cell>
          <cell r="BV22">
            <v>20</v>
          </cell>
          <cell r="BW22">
            <v>8</v>
          </cell>
          <cell r="BX22">
            <v>11.5</v>
          </cell>
          <cell r="BY22">
            <v>19.5</v>
          </cell>
          <cell r="BZ22">
            <v>2.5</v>
          </cell>
          <cell r="CA22">
            <v>7</v>
          </cell>
          <cell r="CB22">
            <v>9.5</v>
          </cell>
          <cell r="CC22">
            <v>9</v>
          </cell>
          <cell r="CD22">
            <v>11</v>
          </cell>
          <cell r="CE22">
            <v>20</v>
          </cell>
          <cell r="CF22">
            <v>5</v>
          </cell>
          <cell r="CG22">
            <v>9.5</v>
          </cell>
          <cell r="CH22">
            <v>14.5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146.60000000000002</v>
          </cell>
          <cell r="CS22">
            <v>159.89999999999998</v>
          </cell>
          <cell r="CT22">
            <v>306.5</v>
          </cell>
          <cell r="ED22" t="str">
            <v>KPTJDZ021</v>
          </cell>
          <cell r="EE22">
            <v>17</v>
          </cell>
          <cell r="EF22">
            <v>17</v>
          </cell>
          <cell r="EG22">
            <v>17</v>
          </cell>
          <cell r="EH22">
            <v>17</v>
          </cell>
          <cell r="EI22">
            <v>17</v>
          </cell>
          <cell r="EJ22">
            <v>17</v>
          </cell>
          <cell r="EK22">
            <v>23</v>
          </cell>
          <cell r="EL22">
            <v>33</v>
          </cell>
          <cell r="EM22">
            <v>44.5</v>
          </cell>
          <cell r="EN22">
            <v>59</v>
          </cell>
          <cell r="EO22">
            <v>76</v>
          </cell>
          <cell r="EP22">
            <v>89</v>
          </cell>
          <cell r="EQ22">
            <v>100</v>
          </cell>
          <cell r="ER22">
            <v>109</v>
          </cell>
          <cell r="ES22">
            <v>117</v>
          </cell>
          <cell r="ET22">
            <v>130</v>
          </cell>
          <cell r="EU22">
            <v>142</v>
          </cell>
          <cell r="EV22">
            <v>142</v>
          </cell>
          <cell r="EW22">
            <v>152</v>
          </cell>
          <cell r="EX22">
            <v>169</v>
          </cell>
          <cell r="EY22">
            <v>187</v>
          </cell>
          <cell r="EZ22">
            <v>206</v>
          </cell>
          <cell r="FA22">
            <v>223</v>
          </cell>
          <cell r="FB22">
            <v>243</v>
          </cell>
          <cell r="FC22">
            <v>262.5</v>
          </cell>
          <cell r="FD22">
            <v>272</v>
          </cell>
          <cell r="FE22">
            <v>292</v>
          </cell>
          <cell r="FF22">
            <v>306.5</v>
          </cell>
          <cell r="FG22">
            <v>306.5</v>
          </cell>
          <cell r="FH22">
            <v>306.5</v>
          </cell>
          <cell r="FI22">
            <v>306.5</v>
          </cell>
          <cell r="FJ22">
            <v>4399</v>
          </cell>
        </row>
        <row r="23">
          <cell r="B23" t="str">
            <v>KPLMEX001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8.5</v>
          </cell>
          <cell r="AF23">
            <v>8.5</v>
          </cell>
          <cell r="AG23">
            <v>7.5</v>
          </cell>
          <cell r="AH23">
            <v>10.5</v>
          </cell>
          <cell r="AI23">
            <v>18</v>
          </cell>
          <cell r="AJ23">
            <v>9.5</v>
          </cell>
          <cell r="AK23">
            <v>9</v>
          </cell>
          <cell r="AL23">
            <v>18.5</v>
          </cell>
          <cell r="AM23">
            <v>6</v>
          </cell>
          <cell r="AN23">
            <v>8.5</v>
          </cell>
          <cell r="AO23">
            <v>14.5</v>
          </cell>
          <cell r="AP23">
            <v>10</v>
          </cell>
          <cell r="AQ23">
            <v>4.5</v>
          </cell>
          <cell r="AR23">
            <v>14.5</v>
          </cell>
          <cell r="AS23">
            <v>8.5</v>
          </cell>
          <cell r="AT23">
            <v>8.5</v>
          </cell>
          <cell r="AU23">
            <v>17</v>
          </cell>
          <cell r="AV23">
            <v>9.5</v>
          </cell>
          <cell r="AW23">
            <v>5.5</v>
          </cell>
          <cell r="AX23">
            <v>15</v>
          </cell>
          <cell r="AY23">
            <v>10</v>
          </cell>
          <cell r="AZ23">
            <v>8</v>
          </cell>
          <cell r="BA23">
            <v>18</v>
          </cell>
          <cell r="BB23">
            <v>7.5</v>
          </cell>
          <cell r="BC23">
            <v>10</v>
          </cell>
          <cell r="BD23">
            <v>17.5</v>
          </cell>
          <cell r="BE23">
            <v>8</v>
          </cell>
          <cell r="BF23">
            <v>10</v>
          </cell>
          <cell r="BG23">
            <v>18</v>
          </cell>
          <cell r="BH23">
            <v>8.5</v>
          </cell>
          <cell r="BI23">
            <v>10.5</v>
          </cell>
          <cell r="BJ23">
            <v>19</v>
          </cell>
          <cell r="BK23">
            <v>8.5</v>
          </cell>
          <cell r="BL23">
            <v>0</v>
          </cell>
          <cell r="BM23">
            <v>8.5</v>
          </cell>
          <cell r="BN23">
            <v>9</v>
          </cell>
          <cell r="BO23">
            <v>10.5</v>
          </cell>
          <cell r="BP23">
            <v>19.5</v>
          </cell>
          <cell r="BQ23">
            <v>9</v>
          </cell>
          <cell r="BR23">
            <v>10</v>
          </cell>
          <cell r="BS23">
            <v>19</v>
          </cell>
          <cell r="BT23">
            <v>8.5</v>
          </cell>
          <cell r="BU23">
            <v>8</v>
          </cell>
          <cell r="BV23">
            <v>16.5</v>
          </cell>
          <cell r="BW23">
            <v>0</v>
          </cell>
          <cell r="BX23">
            <v>9.5</v>
          </cell>
          <cell r="BY23">
            <v>9.5</v>
          </cell>
          <cell r="BZ23">
            <v>9</v>
          </cell>
          <cell r="CA23">
            <v>10.5</v>
          </cell>
          <cell r="CB23">
            <v>19.5</v>
          </cell>
          <cell r="CC23">
            <v>8.5</v>
          </cell>
          <cell r="CD23">
            <v>9.5</v>
          </cell>
          <cell r="CE23">
            <v>18</v>
          </cell>
          <cell r="CF23">
            <v>10</v>
          </cell>
          <cell r="CG23">
            <v>8.5</v>
          </cell>
          <cell r="CH23">
            <v>18.5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147.5</v>
          </cell>
          <cell r="CS23">
            <v>160</v>
          </cell>
          <cell r="CT23">
            <v>307.5</v>
          </cell>
          <cell r="ED23" t="str">
            <v>KPLMEX001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8.5</v>
          </cell>
          <cell r="EO23">
            <v>26.5</v>
          </cell>
          <cell r="EP23">
            <v>45</v>
          </cell>
          <cell r="EQ23">
            <v>59.5</v>
          </cell>
          <cell r="ER23">
            <v>74</v>
          </cell>
          <cell r="ES23">
            <v>91</v>
          </cell>
          <cell r="ET23">
            <v>106</v>
          </cell>
          <cell r="EU23">
            <v>124</v>
          </cell>
          <cell r="EV23">
            <v>141.5</v>
          </cell>
          <cell r="EW23">
            <v>159.5</v>
          </cell>
          <cell r="EX23">
            <v>178.5</v>
          </cell>
          <cell r="EY23">
            <v>187</v>
          </cell>
          <cell r="EZ23">
            <v>206.5</v>
          </cell>
          <cell r="FA23">
            <v>225.5</v>
          </cell>
          <cell r="FB23">
            <v>242</v>
          </cell>
          <cell r="FC23">
            <v>251.5</v>
          </cell>
          <cell r="FD23">
            <v>271</v>
          </cell>
          <cell r="FE23">
            <v>289</v>
          </cell>
          <cell r="FF23">
            <v>307.5</v>
          </cell>
          <cell r="FG23">
            <v>307.5</v>
          </cell>
          <cell r="FH23">
            <v>307.5</v>
          </cell>
          <cell r="FI23">
            <v>307.5</v>
          </cell>
          <cell r="FJ23">
            <v>3916.5</v>
          </cell>
        </row>
        <row r="24">
          <cell r="B24" t="str">
            <v>KPLMEX002</v>
          </cell>
          <cell r="C24">
            <v>8</v>
          </cell>
          <cell r="D24">
            <v>10</v>
          </cell>
          <cell r="E24">
            <v>18</v>
          </cell>
          <cell r="F24">
            <v>7.5</v>
          </cell>
          <cell r="G24">
            <v>7</v>
          </cell>
          <cell r="H24">
            <v>14.5</v>
          </cell>
          <cell r="I24">
            <v>4</v>
          </cell>
          <cell r="J24">
            <v>0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8</v>
          </cell>
          <cell r="W24">
            <v>8</v>
          </cell>
          <cell r="X24">
            <v>9</v>
          </cell>
          <cell r="Y24">
            <v>8</v>
          </cell>
          <cell r="Z24">
            <v>17</v>
          </cell>
          <cell r="AA24">
            <v>8</v>
          </cell>
          <cell r="AB24">
            <v>11</v>
          </cell>
          <cell r="AC24">
            <v>19</v>
          </cell>
          <cell r="AD24">
            <v>9.5</v>
          </cell>
          <cell r="AE24">
            <v>6.5</v>
          </cell>
          <cell r="AF24">
            <v>16</v>
          </cell>
          <cell r="AG24">
            <v>9</v>
          </cell>
          <cell r="AH24">
            <v>8.5</v>
          </cell>
          <cell r="AI24">
            <v>17.5</v>
          </cell>
          <cell r="AJ24">
            <v>9.5</v>
          </cell>
          <cell r="AK24">
            <v>9</v>
          </cell>
          <cell r="AL24">
            <v>18.5</v>
          </cell>
          <cell r="AM24">
            <v>4</v>
          </cell>
          <cell r="AN24">
            <v>10</v>
          </cell>
          <cell r="AO24">
            <v>14</v>
          </cell>
          <cell r="AP24">
            <v>9.5</v>
          </cell>
          <cell r="AQ24">
            <v>3.5</v>
          </cell>
          <cell r="AR24">
            <v>13</v>
          </cell>
          <cell r="AS24">
            <v>8.5</v>
          </cell>
          <cell r="AT24">
            <v>9.5</v>
          </cell>
          <cell r="AU24">
            <v>18</v>
          </cell>
          <cell r="AV24">
            <v>9</v>
          </cell>
          <cell r="AW24">
            <v>0</v>
          </cell>
          <cell r="AX24">
            <v>9</v>
          </cell>
          <cell r="AY24">
            <v>11</v>
          </cell>
          <cell r="AZ24">
            <v>0</v>
          </cell>
          <cell r="BA24">
            <v>11</v>
          </cell>
          <cell r="BB24">
            <v>9</v>
          </cell>
          <cell r="BC24">
            <v>0</v>
          </cell>
          <cell r="BD24">
            <v>9</v>
          </cell>
          <cell r="BE24">
            <v>7</v>
          </cell>
          <cell r="BF24">
            <v>2</v>
          </cell>
          <cell r="BG24">
            <v>9</v>
          </cell>
          <cell r="BH24">
            <v>8</v>
          </cell>
          <cell r="BI24">
            <v>10.900000000000091</v>
          </cell>
          <cell r="BJ24">
            <v>18.900000000000091</v>
          </cell>
          <cell r="BK24">
            <v>8.0999999999999091</v>
          </cell>
          <cell r="BL24">
            <v>0</v>
          </cell>
          <cell r="BM24">
            <v>8.0999999999999091</v>
          </cell>
          <cell r="BN24">
            <v>6</v>
          </cell>
          <cell r="BO24">
            <v>0</v>
          </cell>
          <cell r="BP24">
            <v>6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10.299999999999955</v>
          </cell>
          <cell r="BV24">
            <v>10.299999999999955</v>
          </cell>
          <cell r="BW24">
            <v>8.7000000000000455</v>
          </cell>
          <cell r="BX24">
            <v>10</v>
          </cell>
          <cell r="BY24">
            <v>18.700000000000045</v>
          </cell>
          <cell r="BZ24">
            <v>9</v>
          </cell>
          <cell r="CA24">
            <v>10</v>
          </cell>
          <cell r="CB24">
            <v>19</v>
          </cell>
          <cell r="CC24">
            <v>8</v>
          </cell>
          <cell r="CD24">
            <v>10</v>
          </cell>
          <cell r="CE24">
            <v>18</v>
          </cell>
          <cell r="CF24">
            <v>9</v>
          </cell>
          <cell r="CG24">
            <v>9</v>
          </cell>
          <cell r="CH24">
            <v>18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196.29999999999995</v>
          </cell>
          <cell r="CS24">
            <v>153.20000000000005</v>
          </cell>
          <cell r="CT24">
            <v>349.5</v>
          </cell>
          <cell r="ED24" t="str">
            <v>KPLMEX002</v>
          </cell>
          <cell r="EE24">
            <v>18</v>
          </cell>
          <cell r="EF24">
            <v>32.5</v>
          </cell>
          <cell r="EG24">
            <v>36.5</v>
          </cell>
          <cell r="EH24">
            <v>46.5</v>
          </cell>
          <cell r="EI24">
            <v>53.5</v>
          </cell>
          <cell r="EJ24">
            <v>53.5</v>
          </cell>
          <cell r="EK24">
            <v>61.5</v>
          </cell>
          <cell r="EL24">
            <v>78.5</v>
          </cell>
          <cell r="EM24">
            <v>97.5</v>
          </cell>
          <cell r="EN24">
            <v>113.5</v>
          </cell>
          <cell r="EO24">
            <v>131</v>
          </cell>
          <cell r="EP24">
            <v>149.5</v>
          </cell>
          <cell r="EQ24">
            <v>163.5</v>
          </cell>
          <cell r="ER24">
            <v>176.5</v>
          </cell>
          <cell r="ES24">
            <v>194.5</v>
          </cell>
          <cell r="ET24">
            <v>203.5</v>
          </cell>
          <cell r="EU24">
            <v>214.5</v>
          </cell>
          <cell r="EV24">
            <v>223.5</v>
          </cell>
          <cell r="EW24">
            <v>232.5</v>
          </cell>
          <cell r="EX24">
            <v>251.40000000000009</v>
          </cell>
          <cell r="EY24">
            <v>259.5</v>
          </cell>
          <cell r="EZ24">
            <v>265.5</v>
          </cell>
          <cell r="FA24">
            <v>265.5</v>
          </cell>
          <cell r="FB24">
            <v>275.79999999999995</v>
          </cell>
          <cell r="FC24">
            <v>294.5</v>
          </cell>
          <cell r="FD24">
            <v>313.5</v>
          </cell>
          <cell r="FE24">
            <v>331.5</v>
          </cell>
          <cell r="FF24">
            <v>349.5</v>
          </cell>
          <cell r="FG24">
            <v>349.5</v>
          </cell>
          <cell r="FH24">
            <v>349.5</v>
          </cell>
          <cell r="FI24">
            <v>349.5</v>
          </cell>
          <cell r="FJ24">
            <v>5935.7</v>
          </cell>
        </row>
        <row r="25">
          <cell r="B25" t="str">
            <v>KPLMEX003</v>
          </cell>
          <cell r="C25">
            <v>6.7999999999999545</v>
          </cell>
          <cell r="D25">
            <v>9</v>
          </cell>
          <cell r="E25">
            <v>15.799999999999955</v>
          </cell>
          <cell r="F25">
            <v>7</v>
          </cell>
          <cell r="G25">
            <v>2</v>
          </cell>
          <cell r="H25">
            <v>9</v>
          </cell>
          <cell r="I25">
            <v>7.6000000000000227</v>
          </cell>
          <cell r="J25">
            <v>7.3999999999999773</v>
          </cell>
          <cell r="K25">
            <v>15</v>
          </cell>
          <cell r="L25">
            <v>6.5</v>
          </cell>
          <cell r="M25">
            <v>8.5</v>
          </cell>
          <cell r="N25">
            <v>15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9</v>
          </cell>
          <cell r="Y25">
            <v>7</v>
          </cell>
          <cell r="Z25">
            <v>16</v>
          </cell>
          <cell r="AA25">
            <v>8</v>
          </cell>
          <cell r="AB25">
            <v>0</v>
          </cell>
          <cell r="AC25">
            <v>8</v>
          </cell>
          <cell r="AD25">
            <v>8</v>
          </cell>
          <cell r="AE25">
            <v>7.5</v>
          </cell>
          <cell r="AF25">
            <v>15.5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2.5</v>
          </cell>
          <cell r="AL25">
            <v>2.5</v>
          </cell>
          <cell r="AM25">
            <v>3</v>
          </cell>
          <cell r="AN25">
            <v>0</v>
          </cell>
          <cell r="AO25">
            <v>3</v>
          </cell>
          <cell r="AP25">
            <v>2</v>
          </cell>
          <cell r="AQ25">
            <v>0</v>
          </cell>
          <cell r="AR25">
            <v>2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11.5</v>
          </cell>
          <cell r="BM25">
            <v>11.5</v>
          </cell>
          <cell r="BN25">
            <v>9.5</v>
          </cell>
          <cell r="BO25">
            <v>11</v>
          </cell>
          <cell r="BP25">
            <v>20.5</v>
          </cell>
          <cell r="BQ25">
            <v>8</v>
          </cell>
          <cell r="BR25">
            <v>10.5</v>
          </cell>
          <cell r="BS25">
            <v>18.5</v>
          </cell>
          <cell r="BT25">
            <v>9</v>
          </cell>
          <cell r="BU25">
            <v>9.5</v>
          </cell>
          <cell r="BV25">
            <v>18.5</v>
          </cell>
          <cell r="BW25">
            <v>0</v>
          </cell>
          <cell r="BX25">
            <v>4.7999999999999545</v>
          </cell>
          <cell r="BY25">
            <v>4.7999999999999545</v>
          </cell>
          <cell r="BZ25">
            <v>8.7000000000000455</v>
          </cell>
          <cell r="CA25">
            <v>0</v>
          </cell>
          <cell r="CB25">
            <v>8.7000000000000455</v>
          </cell>
          <cell r="CC25">
            <v>8</v>
          </cell>
          <cell r="CD25">
            <v>5.5</v>
          </cell>
          <cell r="CE25">
            <v>13.5</v>
          </cell>
          <cell r="CF25">
            <v>10</v>
          </cell>
          <cell r="CG25">
            <v>0</v>
          </cell>
          <cell r="CH25">
            <v>10</v>
          </cell>
          <cell r="CI25">
            <v>0</v>
          </cell>
          <cell r="CJ25">
            <v>10</v>
          </cell>
          <cell r="CK25">
            <v>10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111.10000000000002</v>
          </cell>
          <cell r="CS25">
            <v>106.69999999999993</v>
          </cell>
          <cell r="CT25">
            <v>217.79999999999995</v>
          </cell>
          <cell r="ED25" t="str">
            <v>KPLMEX003</v>
          </cell>
          <cell r="EE25">
            <v>15.799999999999955</v>
          </cell>
          <cell r="EF25">
            <v>24.799999999999955</v>
          </cell>
          <cell r="EG25">
            <v>39.799999999999955</v>
          </cell>
          <cell r="EH25">
            <v>54.799999999999955</v>
          </cell>
          <cell r="EI25">
            <v>54.799999999999955</v>
          </cell>
          <cell r="EJ25">
            <v>54.799999999999955</v>
          </cell>
          <cell r="EK25">
            <v>54.799999999999955</v>
          </cell>
          <cell r="EL25">
            <v>70.799999999999955</v>
          </cell>
          <cell r="EM25">
            <v>78.799999999999955</v>
          </cell>
          <cell r="EN25">
            <v>94.299999999999955</v>
          </cell>
          <cell r="EO25">
            <v>94.299999999999955</v>
          </cell>
          <cell r="EP25">
            <v>96.799999999999955</v>
          </cell>
          <cell r="EQ25">
            <v>99.799999999999955</v>
          </cell>
          <cell r="ER25">
            <v>101.79999999999995</v>
          </cell>
          <cell r="ES25">
            <v>101.79999999999995</v>
          </cell>
          <cell r="ET25">
            <v>101.79999999999995</v>
          </cell>
          <cell r="EU25">
            <v>101.79999999999995</v>
          </cell>
          <cell r="EV25">
            <v>101.79999999999995</v>
          </cell>
          <cell r="EW25">
            <v>101.79999999999995</v>
          </cell>
          <cell r="EX25">
            <v>101.79999999999995</v>
          </cell>
          <cell r="EY25">
            <v>113.29999999999995</v>
          </cell>
          <cell r="EZ25">
            <v>133.79999999999995</v>
          </cell>
          <cell r="FA25">
            <v>152.29999999999995</v>
          </cell>
          <cell r="FB25">
            <v>170.79999999999995</v>
          </cell>
          <cell r="FC25">
            <v>175.59999999999991</v>
          </cell>
          <cell r="FD25">
            <v>184.29999999999995</v>
          </cell>
          <cell r="FE25">
            <v>197.79999999999995</v>
          </cell>
          <cell r="FF25">
            <v>207.79999999999995</v>
          </cell>
          <cell r="FG25">
            <v>217.79999999999995</v>
          </cell>
          <cell r="FH25">
            <v>217.79999999999995</v>
          </cell>
          <cell r="FI25">
            <v>217.79999999999995</v>
          </cell>
          <cell r="FJ25">
            <v>3536.0999999999995</v>
          </cell>
        </row>
        <row r="26">
          <cell r="B26" t="str">
            <v>KPLMCP004</v>
          </cell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3</v>
          </cell>
          <cell r="I26">
            <v>8</v>
          </cell>
          <cell r="J26">
            <v>2</v>
          </cell>
          <cell r="K26">
            <v>10</v>
          </cell>
          <cell r="L26">
            <v>4</v>
          </cell>
          <cell r="M26">
            <v>0</v>
          </cell>
          <cell r="N26">
            <v>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</v>
          </cell>
          <cell r="Y26">
            <v>0</v>
          </cell>
          <cell r="Z26">
            <v>3</v>
          </cell>
          <cell r="AA26">
            <v>1</v>
          </cell>
          <cell r="AB26">
            <v>2</v>
          </cell>
          <cell r="AC26">
            <v>3</v>
          </cell>
          <cell r="AD26">
            <v>7</v>
          </cell>
          <cell r="AE26">
            <v>3</v>
          </cell>
          <cell r="AF26">
            <v>10</v>
          </cell>
          <cell r="AG26">
            <v>5</v>
          </cell>
          <cell r="AH26">
            <v>6</v>
          </cell>
          <cell r="AI26">
            <v>11</v>
          </cell>
          <cell r="AJ26">
            <v>8</v>
          </cell>
          <cell r="AK26">
            <v>5</v>
          </cell>
          <cell r="AL26">
            <v>13</v>
          </cell>
          <cell r="AM26">
            <v>0</v>
          </cell>
          <cell r="AN26">
            <v>0</v>
          </cell>
          <cell r="AO26">
            <v>0</v>
          </cell>
          <cell r="AP26">
            <v>6</v>
          </cell>
          <cell r="AQ26">
            <v>0</v>
          </cell>
          <cell r="AR26">
            <v>6</v>
          </cell>
          <cell r="AS26">
            <v>5</v>
          </cell>
          <cell r="AT26">
            <v>0</v>
          </cell>
          <cell r="AU26">
            <v>5</v>
          </cell>
          <cell r="AV26">
            <v>4</v>
          </cell>
          <cell r="AW26">
            <v>0</v>
          </cell>
          <cell r="AX26">
            <v>4</v>
          </cell>
          <cell r="AY26">
            <v>6</v>
          </cell>
          <cell r="AZ26">
            <v>6</v>
          </cell>
          <cell r="BA26">
            <v>12</v>
          </cell>
          <cell r="BB26">
            <v>0</v>
          </cell>
          <cell r="BC26">
            <v>3</v>
          </cell>
          <cell r="BD26">
            <v>3</v>
          </cell>
          <cell r="BE26">
            <v>6</v>
          </cell>
          <cell r="BF26">
            <v>4</v>
          </cell>
          <cell r="BG26">
            <v>10</v>
          </cell>
          <cell r="BH26">
            <v>7</v>
          </cell>
          <cell r="BI26">
            <v>2.5</v>
          </cell>
          <cell r="BJ26">
            <v>9.5</v>
          </cell>
          <cell r="BK26">
            <v>1.1000000000000227</v>
          </cell>
          <cell r="BL26">
            <v>1.3999999999999773</v>
          </cell>
          <cell r="BM26">
            <v>2.5</v>
          </cell>
          <cell r="BN26">
            <v>8</v>
          </cell>
          <cell r="BO26">
            <v>6</v>
          </cell>
          <cell r="BP26">
            <v>14</v>
          </cell>
          <cell r="BQ26">
            <v>0</v>
          </cell>
          <cell r="BR26">
            <v>0</v>
          </cell>
          <cell r="BS26">
            <v>0</v>
          </cell>
          <cell r="BT26">
            <v>5</v>
          </cell>
          <cell r="BU26">
            <v>3</v>
          </cell>
          <cell r="BV26">
            <v>8</v>
          </cell>
          <cell r="BW26">
            <v>6</v>
          </cell>
          <cell r="BX26">
            <v>1</v>
          </cell>
          <cell r="BY26">
            <v>7</v>
          </cell>
          <cell r="BZ26">
            <v>0</v>
          </cell>
          <cell r="CA26">
            <v>7</v>
          </cell>
          <cell r="CB26">
            <v>7</v>
          </cell>
          <cell r="CC26">
            <v>6</v>
          </cell>
          <cell r="CD26">
            <v>5</v>
          </cell>
          <cell r="CE26">
            <v>11</v>
          </cell>
          <cell r="CF26">
            <v>6</v>
          </cell>
          <cell r="CG26">
            <v>0</v>
          </cell>
          <cell r="CH26">
            <v>6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105.10000000000002</v>
          </cell>
          <cell r="CS26">
            <v>56.899999999999977</v>
          </cell>
          <cell r="CT26">
            <v>162</v>
          </cell>
          <cell r="ED26" t="str">
            <v>KPLMCP004</v>
          </cell>
          <cell r="EE26">
            <v>0</v>
          </cell>
          <cell r="EF26">
            <v>3</v>
          </cell>
          <cell r="EG26">
            <v>13</v>
          </cell>
          <cell r="EH26">
            <v>17</v>
          </cell>
          <cell r="EI26">
            <v>17</v>
          </cell>
          <cell r="EJ26">
            <v>17</v>
          </cell>
          <cell r="EK26">
            <v>17</v>
          </cell>
          <cell r="EL26">
            <v>20</v>
          </cell>
          <cell r="EM26">
            <v>23</v>
          </cell>
          <cell r="EN26">
            <v>33</v>
          </cell>
          <cell r="EO26">
            <v>44</v>
          </cell>
          <cell r="EP26">
            <v>57</v>
          </cell>
          <cell r="EQ26">
            <v>57</v>
          </cell>
          <cell r="ER26">
            <v>63</v>
          </cell>
          <cell r="ES26">
            <v>68</v>
          </cell>
          <cell r="ET26">
            <v>72</v>
          </cell>
          <cell r="EU26">
            <v>84</v>
          </cell>
          <cell r="EV26">
            <v>87</v>
          </cell>
          <cell r="EW26">
            <v>97</v>
          </cell>
          <cell r="EX26">
            <v>106.5</v>
          </cell>
          <cell r="EY26">
            <v>109</v>
          </cell>
          <cell r="EZ26">
            <v>123</v>
          </cell>
          <cell r="FA26">
            <v>123</v>
          </cell>
          <cell r="FB26">
            <v>131</v>
          </cell>
          <cell r="FC26">
            <v>138</v>
          </cell>
          <cell r="FD26">
            <v>145</v>
          </cell>
          <cell r="FE26">
            <v>156</v>
          </cell>
          <cell r="FF26">
            <v>162</v>
          </cell>
          <cell r="FG26">
            <v>162</v>
          </cell>
          <cell r="FH26">
            <v>162</v>
          </cell>
          <cell r="FI26">
            <v>162</v>
          </cell>
          <cell r="FJ26">
            <v>2468.5</v>
          </cell>
        </row>
        <row r="27">
          <cell r="B27" t="str">
            <v>KPLMCP005</v>
          </cell>
          <cell r="C27">
            <v>4</v>
          </cell>
          <cell r="D27">
            <v>3.2000000000000455</v>
          </cell>
          <cell r="E27">
            <v>7.2000000000000455</v>
          </cell>
          <cell r="F27">
            <v>5.6999999999999318</v>
          </cell>
          <cell r="G27">
            <v>4.6000000000000227</v>
          </cell>
          <cell r="H27">
            <v>10.299999999999955</v>
          </cell>
          <cell r="I27">
            <v>1.5</v>
          </cell>
          <cell r="J27">
            <v>0</v>
          </cell>
          <cell r="K27">
            <v>1.5</v>
          </cell>
          <cell r="L27">
            <v>8</v>
          </cell>
          <cell r="M27">
            <v>1.5</v>
          </cell>
          <cell r="N27">
            <v>9.5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7.7999999999999545</v>
          </cell>
          <cell r="Y27">
            <v>3.5</v>
          </cell>
          <cell r="Z27">
            <v>11.299999999999955</v>
          </cell>
          <cell r="AA27">
            <v>0</v>
          </cell>
          <cell r="AB27">
            <v>2.2000000000000455</v>
          </cell>
          <cell r="AC27">
            <v>2.2000000000000455</v>
          </cell>
          <cell r="AD27">
            <v>8</v>
          </cell>
          <cell r="AE27">
            <v>4.2999999999999545</v>
          </cell>
          <cell r="AF27">
            <v>12.299999999999955</v>
          </cell>
          <cell r="AG27">
            <v>6.7000000000000455</v>
          </cell>
          <cell r="AH27">
            <v>6.1000000000000227</v>
          </cell>
          <cell r="AI27">
            <v>12.800000000000068</v>
          </cell>
          <cell r="AJ27">
            <v>8.1999999999999318</v>
          </cell>
          <cell r="AK27">
            <v>4.5</v>
          </cell>
          <cell r="AL27">
            <v>12.699999999999932</v>
          </cell>
          <cell r="AM27">
            <v>0</v>
          </cell>
          <cell r="AN27">
            <v>0</v>
          </cell>
          <cell r="AO27">
            <v>0</v>
          </cell>
          <cell r="AP27">
            <v>5.4000000000000909</v>
          </cell>
          <cell r="AQ27">
            <v>0</v>
          </cell>
          <cell r="AR27">
            <v>5.4000000000000909</v>
          </cell>
          <cell r="AS27">
            <v>6.3999999999999773</v>
          </cell>
          <cell r="AT27">
            <v>5.5</v>
          </cell>
          <cell r="AU27">
            <v>11.899999999999977</v>
          </cell>
          <cell r="AV27">
            <v>7.1999999999999318</v>
          </cell>
          <cell r="AW27">
            <v>4.3000000000000682</v>
          </cell>
          <cell r="AX27">
            <v>11.5</v>
          </cell>
          <cell r="AY27">
            <v>8.3999999999999773</v>
          </cell>
          <cell r="AZ27">
            <v>7.8999999999999773</v>
          </cell>
          <cell r="BA27">
            <v>16.299999999999955</v>
          </cell>
          <cell r="BB27">
            <v>0</v>
          </cell>
          <cell r="BC27">
            <v>6.2000000000000455</v>
          </cell>
          <cell r="BD27">
            <v>6.2000000000000455</v>
          </cell>
          <cell r="BE27">
            <v>8.6000000000000227</v>
          </cell>
          <cell r="BF27">
            <v>3.2999999999999545</v>
          </cell>
          <cell r="BG27">
            <v>11.899999999999977</v>
          </cell>
          <cell r="BH27">
            <v>8</v>
          </cell>
          <cell r="BI27">
            <v>2.7999999999999545</v>
          </cell>
          <cell r="BJ27">
            <v>10.799999999999955</v>
          </cell>
          <cell r="BK27">
            <v>2.2000000000000455</v>
          </cell>
          <cell r="BL27">
            <v>4</v>
          </cell>
          <cell r="BM27">
            <v>6.2000000000000455</v>
          </cell>
          <cell r="BN27">
            <v>9.5</v>
          </cell>
          <cell r="BO27">
            <v>6.3999999999999773</v>
          </cell>
          <cell r="BP27">
            <v>15.899999999999977</v>
          </cell>
          <cell r="BQ27">
            <v>7.3000000000000682</v>
          </cell>
          <cell r="BR27">
            <v>0</v>
          </cell>
          <cell r="BS27">
            <v>7.3000000000000682</v>
          </cell>
          <cell r="BT27">
            <v>0</v>
          </cell>
          <cell r="BU27">
            <v>4.8999999999999773</v>
          </cell>
          <cell r="BV27">
            <v>4.8999999999999773</v>
          </cell>
          <cell r="BW27">
            <v>8.5</v>
          </cell>
          <cell r="BX27">
            <v>4.2999999999999545</v>
          </cell>
          <cell r="BY27">
            <v>12.799999999999955</v>
          </cell>
          <cell r="BZ27">
            <v>8.6000000000000227</v>
          </cell>
          <cell r="CA27">
            <v>3.1000000000000227</v>
          </cell>
          <cell r="CB27">
            <v>11.700000000000045</v>
          </cell>
          <cell r="CC27">
            <v>6.1000000000000227</v>
          </cell>
          <cell r="CD27">
            <v>6.5</v>
          </cell>
          <cell r="CE27">
            <v>12.600000000000023</v>
          </cell>
          <cell r="CF27">
            <v>5.8999999999999773</v>
          </cell>
          <cell r="CG27">
            <v>0</v>
          </cell>
          <cell r="CH27">
            <v>5.8999999999999773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142</v>
          </cell>
          <cell r="CS27">
            <v>89.100000000000023</v>
          </cell>
          <cell r="CT27">
            <v>231.10000000000002</v>
          </cell>
          <cell r="ED27" t="str">
            <v>KPLMCP005</v>
          </cell>
          <cell r="EE27">
            <v>7.2000000000000455</v>
          </cell>
          <cell r="EF27">
            <v>17.5</v>
          </cell>
          <cell r="EG27">
            <v>19</v>
          </cell>
          <cell r="EH27">
            <v>28.5</v>
          </cell>
          <cell r="EI27">
            <v>28.5</v>
          </cell>
          <cell r="EJ27">
            <v>28.5</v>
          </cell>
          <cell r="EK27">
            <v>28.5</v>
          </cell>
          <cell r="EL27">
            <v>39.799999999999955</v>
          </cell>
          <cell r="EM27">
            <v>42</v>
          </cell>
          <cell r="EN27">
            <v>54.299999999999955</v>
          </cell>
          <cell r="EO27">
            <v>67.100000000000023</v>
          </cell>
          <cell r="EP27">
            <v>79.799999999999955</v>
          </cell>
          <cell r="EQ27">
            <v>79.799999999999955</v>
          </cell>
          <cell r="ER27">
            <v>85.200000000000045</v>
          </cell>
          <cell r="ES27">
            <v>97.100000000000023</v>
          </cell>
          <cell r="ET27">
            <v>108.60000000000002</v>
          </cell>
          <cell r="EU27">
            <v>124.89999999999998</v>
          </cell>
          <cell r="EV27">
            <v>131.10000000000002</v>
          </cell>
          <cell r="EW27">
            <v>143</v>
          </cell>
          <cell r="EX27">
            <v>153.79999999999995</v>
          </cell>
          <cell r="EY27">
            <v>160</v>
          </cell>
          <cell r="EZ27">
            <v>175.89999999999998</v>
          </cell>
          <cell r="FA27">
            <v>183.20000000000005</v>
          </cell>
          <cell r="FB27">
            <v>188.10000000000002</v>
          </cell>
          <cell r="FC27">
            <v>200.89999999999998</v>
          </cell>
          <cell r="FD27">
            <v>212.60000000000002</v>
          </cell>
          <cell r="FE27">
            <v>225.20000000000005</v>
          </cell>
          <cell r="FF27">
            <v>231.10000000000002</v>
          </cell>
          <cell r="FG27">
            <v>231.10000000000002</v>
          </cell>
          <cell r="FH27">
            <v>231.10000000000002</v>
          </cell>
          <cell r="FI27">
            <v>231.10000000000002</v>
          </cell>
          <cell r="FJ27">
            <v>3634.5</v>
          </cell>
        </row>
        <row r="34">
          <cell r="ED34" t="str">
            <v>KPTJEX023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0.25000000000000044</v>
          </cell>
          <cell r="FH34">
            <v>0.25000000000000044</v>
          </cell>
          <cell r="FI34">
            <v>0.25000000000000044</v>
          </cell>
          <cell r="FJ34">
            <v>0.75000000000000133</v>
          </cell>
        </row>
        <row r="35">
          <cell r="ED35" t="str">
            <v>KPTJEX003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</row>
        <row r="36">
          <cell r="ED36" t="str">
            <v>KPTJDZ004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</row>
        <row r="37">
          <cell r="ED37" t="str">
            <v>KPTJDZ005</v>
          </cell>
          <cell r="EE37">
            <v>24</v>
          </cell>
          <cell r="EF37">
            <v>48</v>
          </cell>
          <cell r="EG37">
            <v>72</v>
          </cell>
          <cell r="EH37">
            <v>96</v>
          </cell>
          <cell r="EI37">
            <v>120</v>
          </cell>
          <cell r="EJ37">
            <v>144</v>
          </cell>
          <cell r="EK37">
            <v>168</v>
          </cell>
          <cell r="EL37">
            <v>192</v>
          </cell>
          <cell r="EM37">
            <v>216</v>
          </cell>
          <cell r="EN37">
            <v>217.75</v>
          </cell>
          <cell r="EO37">
            <v>217.75</v>
          </cell>
          <cell r="EP37">
            <v>217.75</v>
          </cell>
          <cell r="EQ37">
            <v>217.75</v>
          </cell>
          <cell r="ER37">
            <v>217.75</v>
          </cell>
          <cell r="ES37">
            <v>217.75</v>
          </cell>
          <cell r="ET37">
            <v>217.75</v>
          </cell>
          <cell r="EU37">
            <v>217.75</v>
          </cell>
          <cell r="EV37">
            <v>217.75</v>
          </cell>
          <cell r="EW37">
            <v>217.75</v>
          </cell>
          <cell r="EX37">
            <v>217.75</v>
          </cell>
          <cell r="EY37">
            <v>217.75</v>
          </cell>
          <cell r="EZ37">
            <v>217.75</v>
          </cell>
          <cell r="FA37">
            <v>217.75</v>
          </cell>
          <cell r="FB37">
            <v>217.75</v>
          </cell>
          <cell r="FC37">
            <v>217.75</v>
          </cell>
          <cell r="FD37">
            <v>217.75</v>
          </cell>
          <cell r="FE37">
            <v>217.75</v>
          </cell>
          <cell r="FF37">
            <v>217.75</v>
          </cell>
          <cell r="FG37">
            <v>218.18333333333334</v>
          </cell>
          <cell r="FH37">
            <v>218.18333333333334</v>
          </cell>
          <cell r="FI37">
            <v>218.18333333333334</v>
          </cell>
          <cell r="FJ37">
            <v>5871.8</v>
          </cell>
        </row>
        <row r="38">
          <cell r="ED38" t="str">
            <v>KPTJCP006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</row>
        <row r="39">
          <cell r="ED39" t="str">
            <v>KPTJEX007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</row>
        <row r="40">
          <cell r="ED40" t="str">
            <v>KPTJDZ008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1.2500000000000009</v>
          </cell>
          <cell r="EL40">
            <v>1.416666666666667</v>
          </cell>
          <cell r="EM40">
            <v>1.4999999999999973</v>
          </cell>
          <cell r="EN40">
            <v>1.5833333333333304</v>
          </cell>
          <cell r="EO40">
            <v>1.8333333333333321</v>
          </cell>
          <cell r="EP40">
            <v>2.0833333333333326</v>
          </cell>
          <cell r="EQ40">
            <v>4.75</v>
          </cell>
          <cell r="ER40">
            <v>4.75</v>
          </cell>
          <cell r="ES40">
            <v>4.75</v>
          </cell>
          <cell r="ET40">
            <v>4.75</v>
          </cell>
          <cell r="EU40">
            <v>4.75</v>
          </cell>
          <cell r="EV40">
            <v>4.75</v>
          </cell>
          <cell r="EW40">
            <v>4.75</v>
          </cell>
          <cell r="EX40">
            <v>4.75</v>
          </cell>
          <cell r="EY40">
            <v>4.75</v>
          </cell>
          <cell r="EZ40">
            <v>4.9166666666666661</v>
          </cell>
          <cell r="FA40">
            <v>4.9166666666666661</v>
          </cell>
          <cell r="FB40">
            <v>5.8166666666666664</v>
          </cell>
          <cell r="FC40">
            <v>5.9833333333333298</v>
          </cell>
          <cell r="FD40">
            <v>5.9833333333333298</v>
          </cell>
          <cell r="FE40">
            <v>6.0666666666666629</v>
          </cell>
          <cell r="FF40">
            <v>6.43333333333333</v>
          </cell>
          <cell r="FG40">
            <v>6.43333333333333</v>
          </cell>
          <cell r="FH40">
            <v>6.43333333333333</v>
          </cell>
          <cell r="FI40">
            <v>6.43333333333333</v>
          </cell>
          <cell r="FJ40">
            <v>111.83333333333331</v>
          </cell>
        </row>
        <row r="41">
          <cell r="ED41" t="str">
            <v>KPTJEX009</v>
          </cell>
          <cell r="EE41">
            <v>24</v>
          </cell>
          <cell r="EF41">
            <v>29.666666666666664</v>
          </cell>
          <cell r="EG41">
            <v>29.666666666666664</v>
          </cell>
          <cell r="EH41">
            <v>37.500000000000036</v>
          </cell>
          <cell r="EI41">
            <v>37.500000000000036</v>
          </cell>
          <cell r="EJ41">
            <v>37.500000000000036</v>
          </cell>
          <cell r="EK41">
            <v>37.6666666666667</v>
          </cell>
          <cell r="EL41">
            <v>39.6666666666667</v>
          </cell>
          <cell r="EM41">
            <v>40.383333333333368</v>
          </cell>
          <cell r="EN41">
            <v>45.866666666666703</v>
          </cell>
          <cell r="EO41">
            <v>46.500000000000036</v>
          </cell>
          <cell r="EP41">
            <v>51.583333333333371</v>
          </cell>
          <cell r="EQ41">
            <v>59.583333333333371</v>
          </cell>
          <cell r="ER41">
            <v>59.583333333333371</v>
          </cell>
          <cell r="ES41">
            <v>59.850000000000037</v>
          </cell>
          <cell r="ET41">
            <v>62.100000000000037</v>
          </cell>
          <cell r="EU41">
            <v>63.066666666666698</v>
          </cell>
          <cell r="EV41">
            <v>63.066666666666698</v>
          </cell>
          <cell r="EW41">
            <v>63.066666666666698</v>
          </cell>
          <cell r="EX41">
            <v>78.066666666666691</v>
          </cell>
          <cell r="EY41">
            <v>78.066666666666691</v>
          </cell>
          <cell r="EZ41">
            <v>78.40000000000002</v>
          </cell>
          <cell r="FA41">
            <v>78.40000000000002</v>
          </cell>
          <cell r="FB41">
            <v>79.816666666666691</v>
          </cell>
          <cell r="FC41">
            <v>79.816666666666691</v>
          </cell>
          <cell r="FD41">
            <v>80.53333333333336</v>
          </cell>
          <cell r="FE41">
            <v>80.53333333333336</v>
          </cell>
          <cell r="FF41">
            <v>81.53333333333336</v>
          </cell>
          <cell r="FG41">
            <v>81.53333333333336</v>
          </cell>
          <cell r="FH41">
            <v>81.53333333333336</v>
          </cell>
          <cell r="FI41">
            <v>81.53333333333336</v>
          </cell>
          <cell r="FJ41">
            <v>1847.5833333333339</v>
          </cell>
        </row>
        <row r="42">
          <cell r="ED42" t="str">
            <v>KPTJEX010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</row>
        <row r="43">
          <cell r="ED43" t="str">
            <v>KPTJDZ011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1.4499999999999975</v>
          </cell>
          <cell r="EM43">
            <v>3.4499999999999984</v>
          </cell>
          <cell r="EN43">
            <v>4.1999999999999984</v>
          </cell>
          <cell r="EO43">
            <v>4.1999999999999984</v>
          </cell>
          <cell r="EP43">
            <v>4.3666666666666645</v>
          </cell>
          <cell r="EQ43">
            <v>4.3666666666666645</v>
          </cell>
          <cell r="ER43">
            <v>5.1166666666666645</v>
          </cell>
          <cell r="ES43">
            <v>5.3999999999999968</v>
          </cell>
          <cell r="ET43">
            <v>5.6499999999999968</v>
          </cell>
          <cell r="EU43">
            <v>6.1499999999999977</v>
          </cell>
          <cell r="EV43">
            <v>6.1499999999999977</v>
          </cell>
          <cell r="EW43">
            <v>6.1499999999999977</v>
          </cell>
          <cell r="EX43">
            <v>6.1499999999999977</v>
          </cell>
          <cell r="EY43">
            <v>6.1499999999999977</v>
          </cell>
          <cell r="EZ43">
            <v>6.2333333333333307</v>
          </cell>
          <cell r="FA43">
            <v>12.099999999999998</v>
          </cell>
          <cell r="FB43">
            <v>12.2</v>
          </cell>
          <cell r="FC43">
            <v>12.2</v>
          </cell>
          <cell r="FD43">
            <v>12.2</v>
          </cell>
          <cell r="FE43">
            <v>15.533333333333333</v>
          </cell>
          <cell r="FF43">
            <v>15.533333333333333</v>
          </cell>
          <cell r="FG43">
            <v>15.533333333333333</v>
          </cell>
          <cell r="FH43">
            <v>15.533333333333333</v>
          </cell>
          <cell r="FI43">
            <v>15.533333333333333</v>
          </cell>
          <cell r="FJ43">
            <v>201.54999999999998</v>
          </cell>
        </row>
        <row r="44">
          <cell r="ED44" t="str">
            <v>KPTJDZ012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2.0000000000000009</v>
          </cell>
          <cell r="EJ44">
            <v>2.0000000000000009</v>
          </cell>
          <cell r="EK44">
            <v>2.0000000000000009</v>
          </cell>
          <cell r="EL44">
            <v>2.2500000000000013</v>
          </cell>
          <cell r="EM44">
            <v>2.2500000000000013</v>
          </cell>
          <cell r="EN44">
            <v>2.4166666666666687</v>
          </cell>
          <cell r="EO44">
            <v>2.4166666666666687</v>
          </cell>
          <cell r="EP44">
            <v>2.4166666666666687</v>
          </cell>
          <cell r="EQ44">
            <v>2.4166666666666687</v>
          </cell>
          <cell r="ER44">
            <v>5.9833333333333352</v>
          </cell>
          <cell r="ES44">
            <v>6.9833333333333343</v>
          </cell>
          <cell r="ET44">
            <v>6.9833333333333343</v>
          </cell>
          <cell r="EU44">
            <v>6.9833333333333343</v>
          </cell>
          <cell r="EV44">
            <v>6.9833333333333343</v>
          </cell>
          <cell r="EW44">
            <v>8.4833333333333343</v>
          </cell>
          <cell r="EX44">
            <v>8.4833333333333343</v>
          </cell>
          <cell r="EY44">
            <v>8.4833333333333343</v>
          </cell>
          <cell r="EZ44">
            <v>8.4833333333333343</v>
          </cell>
          <cell r="FA44">
            <v>8.4833333333333343</v>
          </cell>
          <cell r="FB44">
            <v>8.4833333333333343</v>
          </cell>
          <cell r="FC44">
            <v>8.4833333333333343</v>
          </cell>
          <cell r="FD44">
            <v>8.4833333333333343</v>
          </cell>
          <cell r="FE44">
            <v>8.4833333333333343</v>
          </cell>
          <cell r="FF44">
            <v>10.866666666666546</v>
          </cell>
          <cell r="FG44">
            <v>10.866666666666546</v>
          </cell>
          <cell r="FH44">
            <v>10.866666666666546</v>
          </cell>
          <cell r="FI44">
            <v>10.866666666666546</v>
          </cell>
          <cell r="FJ44">
            <v>173.89999999999958</v>
          </cell>
        </row>
        <row r="45">
          <cell r="ED45" t="str">
            <v>KPTJDZ022</v>
          </cell>
          <cell r="EE45">
            <v>0.50000000000000089</v>
          </cell>
          <cell r="EF45">
            <v>0.66666666666666696</v>
          </cell>
          <cell r="EG45">
            <v>0.66666666666666696</v>
          </cell>
          <cell r="EH45">
            <v>0.66666666666666696</v>
          </cell>
          <cell r="EI45">
            <v>0.8333333333333357</v>
          </cell>
          <cell r="EJ45">
            <v>0.8333333333333357</v>
          </cell>
          <cell r="EK45">
            <v>0.8333333333333357</v>
          </cell>
          <cell r="EL45">
            <v>0.8333333333333357</v>
          </cell>
          <cell r="EM45">
            <v>0.8333333333333357</v>
          </cell>
          <cell r="EN45">
            <v>0.8333333333333357</v>
          </cell>
          <cell r="EO45">
            <v>1.3333333333333366</v>
          </cell>
          <cell r="EP45">
            <v>1.416666666666671</v>
          </cell>
          <cell r="EQ45">
            <v>2.450000000000006</v>
          </cell>
          <cell r="ER45">
            <v>2.450000000000006</v>
          </cell>
          <cell r="ES45">
            <v>2.8500000000000072</v>
          </cell>
          <cell r="ET45">
            <v>2.8500000000000072</v>
          </cell>
          <cell r="EU45">
            <v>3.9333333333333393</v>
          </cell>
          <cell r="EV45">
            <v>3.9333333333333393</v>
          </cell>
          <cell r="EW45">
            <v>3.9333333333333393</v>
          </cell>
          <cell r="EX45">
            <v>3.9333333333333393</v>
          </cell>
          <cell r="EY45">
            <v>3.9333333333333393</v>
          </cell>
          <cell r="EZ45">
            <v>3.9333333333333393</v>
          </cell>
          <cell r="FA45">
            <v>4.100000000000005</v>
          </cell>
          <cell r="FB45">
            <v>4.100000000000005</v>
          </cell>
          <cell r="FC45">
            <v>4.100000000000005</v>
          </cell>
          <cell r="FD45">
            <v>5.600000000000005</v>
          </cell>
          <cell r="FE45">
            <v>5.600000000000005</v>
          </cell>
          <cell r="FF45">
            <v>5.600000000000005</v>
          </cell>
          <cell r="FG45">
            <v>5.600000000000005</v>
          </cell>
          <cell r="FH45">
            <v>5.600000000000005</v>
          </cell>
          <cell r="FI45">
            <v>5.600000000000005</v>
          </cell>
          <cell r="FJ45">
            <v>90.350000000000165</v>
          </cell>
        </row>
        <row r="46">
          <cell r="ED46" t="str">
            <v>KPTJDZ015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</row>
        <row r="47">
          <cell r="ED47" t="str">
            <v>KPTJDZ016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ED48" t="str">
            <v>KPTJDZ017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1.2500000000000009</v>
          </cell>
          <cell r="EN48">
            <v>1.2500000000000009</v>
          </cell>
          <cell r="EO48">
            <v>1.2500000000000009</v>
          </cell>
          <cell r="EP48">
            <v>1.2500000000000009</v>
          </cell>
          <cell r="EQ48">
            <v>1.2500000000000009</v>
          </cell>
          <cell r="ER48">
            <v>1.2500000000000009</v>
          </cell>
          <cell r="ES48">
            <v>1.2500000000000009</v>
          </cell>
          <cell r="ET48">
            <v>1.2500000000000009</v>
          </cell>
          <cell r="EU48">
            <v>1.2500000000000009</v>
          </cell>
          <cell r="EV48">
            <v>1.2500000000000009</v>
          </cell>
          <cell r="EW48">
            <v>1.3333333333333339</v>
          </cell>
          <cell r="EX48">
            <v>1.3333333333333339</v>
          </cell>
          <cell r="EY48">
            <v>2.9166666666665915</v>
          </cell>
          <cell r="EZ48">
            <v>2.9166666666665915</v>
          </cell>
          <cell r="FA48">
            <v>2.9166666666665915</v>
          </cell>
          <cell r="FB48">
            <v>2.9166666666665915</v>
          </cell>
          <cell r="FC48">
            <v>3.1666666666665906</v>
          </cell>
          <cell r="FD48">
            <v>3.1666666666665906</v>
          </cell>
          <cell r="FE48">
            <v>3.1666666666665906</v>
          </cell>
          <cell r="FF48">
            <v>3.1666666666665906</v>
          </cell>
          <cell r="FG48">
            <v>3.1666666666665906</v>
          </cell>
          <cell r="FH48">
            <v>3.1666666666665906</v>
          </cell>
          <cell r="FI48">
            <v>3.1666666666665906</v>
          </cell>
          <cell r="FJ48">
            <v>48.99999999999919</v>
          </cell>
        </row>
        <row r="49">
          <cell r="ED49" t="str">
            <v>KPTJEX018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ED50" t="str">
            <v>KPTJCP019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ED51" t="str">
            <v>KPTJDZ020</v>
          </cell>
          <cell r="EE51">
            <v>0.38333333333333464</v>
          </cell>
          <cell r="EF51">
            <v>0.38333333333333464</v>
          </cell>
          <cell r="EG51">
            <v>17.933333333333337</v>
          </cell>
          <cell r="EH51">
            <v>24.016666666666673</v>
          </cell>
          <cell r="EI51">
            <v>24.016666666666673</v>
          </cell>
          <cell r="EJ51">
            <v>24.016666666666673</v>
          </cell>
          <cell r="EK51">
            <v>24.016666666666673</v>
          </cell>
          <cell r="EL51">
            <v>24.016666666666673</v>
          </cell>
          <cell r="EM51">
            <v>24.016666666666673</v>
          </cell>
          <cell r="EN51">
            <v>24.266666666666673</v>
          </cell>
          <cell r="EO51">
            <v>24.266666666666673</v>
          </cell>
          <cell r="EP51">
            <v>24.266666666666673</v>
          </cell>
          <cell r="EQ51">
            <v>24.266666666666673</v>
          </cell>
          <cell r="ER51">
            <v>24.266666666666673</v>
          </cell>
          <cell r="ES51">
            <v>24.266666666666673</v>
          </cell>
          <cell r="ET51">
            <v>24.266666666666673</v>
          </cell>
          <cell r="EU51">
            <v>24.266666666666673</v>
          </cell>
          <cell r="EV51">
            <v>24.266666666666673</v>
          </cell>
          <cell r="EW51">
            <v>24.266666666666673</v>
          </cell>
          <cell r="EX51">
            <v>24.266666666666673</v>
          </cell>
          <cell r="EY51">
            <v>24.266666666666673</v>
          </cell>
          <cell r="EZ51">
            <v>24.266666666666673</v>
          </cell>
          <cell r="FA51">
            <v>24.266666666666673</v>
          </cell>
          <cell r="FB51">
            <v>24.38333333333334</v>
          </cell>
          <cell r="FC51">
            <v>24.38333333333334</v>
          </cell>
          <cell r="FD51">
            <v>24.38333333333334</v>
          </cell>
          <cell r="FE51">
            <v>30.13333333333334</v>
          </cell>
          <cell r="FF51">
            <v>30.13333333333334</v>
          </cell>
          <cell r="FG51">
            <v>30.13333333333334</v>
          </cell>
          <cell r="FH51">
            <v>30.13333333333334</v>
          </cell>
          <cell r="FI51">
            <v>30.13333333333334</v>
          </cell>
          <cell r="FJ51">
            <v>726.34999999999991</v>
          </cell>
        </row>
        <row r="52">
          <cell r="ED52" t="str">
            <v>KPTJDZ021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1.0833333333333712</v>
          </cell>
          <cell r="EO52">
            <v>1.3333333333333703</v>
          </cell>
          <cell r="EP52">
            <v>1.3333333333333703</v>
          </cell>
          <cell r="EQ52">
            <v>1.3333333333333703</v>
          </cell>
          <cell r="ER52">
            <v>1.3333333333333703</v>
          </cell>
          <cell r="ES52">
            <v>1.3333333333333703</v>
          </cell>
          <cell r="ET52">
            <v>1.8333333333333686</v>
          </cell>
          <cell r="EU52">
            <v>1.8333333333333686</v>
          </cell>
          <cell r="EV52">
            <v>1.8333333333333686</v>
          </cell>
          <cell r="EW52">
            <v>1.9166666666667016</v>
          </cell>
          <cell r="EX52">
            <v>2.5000000000000351</v>
          </cell>
          <cell r="EY52">
            <v>2.5000000000000351</v>
          </cell>
          <cell r="EZ52">
            <v>3.7500000000000346</v>
          </cell>
          <cell r="FA52">
            <v>3.7500000000000346</v>
          </cell>
          <cell r="FB52">
            <v>3.7500000000000346</v>
          </cell>
          <cell r="FC52">
            <v>5.1500000000000368</v>
          </cell>
          <cell r="FD52">
            <v>5.1500000000000368</v>
          </cell>
          <cell r="FE52">
            <v>5.5666666666667037</v>
          </cell>
          <cell r="FF52">
            <v>5.6666666666667034</v>
          </cell>
          <cell r="FG52">
            <v>5.6666666666667034</v>
          </cell>
          <cell r="FH52">
            <v>5.6666666666667034</v>
          </cell>
          <cell r="FI52">
            <v>5.6666666666667034</v>
          </cell>
          <cell r="FJ52">
            <v>69.950000000000784</v>
          </cell>
        </row>
        <row r="53">
          <cell r="ED53" t="str">
            <v>KPLMEX001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0.16666666666666607</v>
          </cell>
          <cell r="EW53">
            <v>0.16666666666666607</v>
          </cell>
          <cell r="EX53">
            <v>0.16666666666666607</v>
          </cell>
          <cell r="EY53">
            <v>0.16666666666666607</v>
          </cell>
          <cell r="EZ53">
            <v>0.16666666666666607</v>
          </cell>
          <cell r="FA53">
            <v>0.16666666666666607</v>
          </cell>
          <cell r="FB53">
            <v>0.16666666666666607</v>
          </cell>
          <cell r="FC53">
            <v>0.16666666666666607</v>
          </cell>
          <cell r="FD53">
            <v>0.16666666666666607</v>
          </cell>
          <cell r="FE53">
            <v>0.16666666666666607</v>
          </cell>
          <cell r="FF53">
            <v>0.16666666666666607</v>
          </cell>
          <cell r="FG53">
            <v>0.16666666666666607</v>
          </cell>
          <cell r="FH53">
            <v>0.16666666666666607</v>
          </cell>
          <cell r="FI53">
            <v>0.16666666666666607</v>
          </cell>
          <cell r="FJ53">
            <v>2.333333333333325</v>
          </cell>
        </row>
        <row r="54">
          <cell r="ED54" t="str">
            <v>KPLMEX002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8.3333333333333037E-2</v>
          </cell>
          <cell r="EM54">
            <v>8.3333333333333037E-2</v>
          </cell>
          <cell r="EN54">
            <v>8.3333333333333037E-2</v>
          </cell>
          <cell r="EO54">
            <v>8.3333333333333037E-2</v>
          </cell>
          <cell r="EP54">
            <v>8.3333333333333037E-2</v>
          </cell>
          <cell r="EQ54">
            <v>8.3333333333333037E-2</v>
          </cell>
          <cell r="ER54">
            <v>8.3333333333333037E-2</v>
          </cell>
          <cell r="ES54">
            <v>8.3333333333333037E-2</v>
          </cell>
          <cell r="ET54">
            <v>8.3333333333333037E-2</v>
          </cell>
          <cell r="EU54">
            <v>8.3333333333333037E-2</v>
          </cell>
          <cell r="EV54">
            <v>8.3333333333333037E-2</v>
          </cell>
          <cell r="EW54">
            <v>8.3333333333333037E-2</v>
          </cell>
          <cell r="EX54">
            <v>1.416666666666667</v>
          </cell>
          <cell r="EY54">
            <v>1.416666666666667</v>
          </cell>
          <cell r="EZ54">
            <v>18.333333333333332</v>
          </cell>
          <cell r="FA54">
            <v>42.333333333333329</v>
          </cell>
          <cell r="FB54">
            <v>51.749999999999993</v>
          </cell>
          <cell r="FC54">
            <v>51.749999999999993</v>
          </cell>
          <cell r="FD54">
            <v>52.166666666666657</v>
          </cell>
          <cell r="FE54">
            <v>52.166666666666657</v>
          </cell>
          <cell r="FF54">
            <v>52.166666666666657</v>
          </cell>
          <cell r="FG54">
            <v>52.166666666666657</v>
          </cell>
          <cell r="FH54">
            <v>52.166666666666657</v>
          </cell>
          <cell r="FI54">
            <v>52.166666666666657</v>
          </cell>
          <cell r="FJ54">
            <v>480.99999999999989</v>
          </cell>
        </row>
        <row r="55">
          <cell r="ED55" t="str">
            <v>KPLMEX003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0.49999999999999956</v>
          </cell>
          <cell r="FE55">
            <v>0.49999999999999956</v>
          </cell>
          <cell r="FF55">
            <v>0.49999999999999956</v>
          </cell>
          <cell r="FG55">
            <v>0.49999999999999956</v>
          </cell>
          <cell r="FH55">
            <v>0.49999999999999956</v>
          </cell>
          <cell r="FI55">
            <v>0.49999999999999956</v>
          </cell>
          <cell r="FJ55">
            <v>2.9999999999999973</v>
          </cell>
        </row>
        <row r="56">
          <cell r="ED56" t="str">
            <v>KPLMCP004</v>
          </cell>
          <cell r="EE56">
            <v>0</v>
          </cell>
          <cell r="EF56">
            <v>0</v>
          </cell>
          <cell r="EG56">
            <v>0</v>
          </cell>
          <cell r="EH56">
            <v>1.2500000000000009</v>
          </cell>
          <cell r="EI56">
            <v>1.2500000000000009</v>
          </cell>
          <cell r="EJ56">
            <v>1.2500000000000009</v>
          </cell>
          <cell r="EK56">
            <v>1.2500000000000009</v>
          </cell>
          <cell r="EL56">
            <v>1.2500000000000009</v>
          </cell>
          <cell r="EM56">
            <v>1.2500000000000009</v>
          </cell>
          <cell r="EN56">
            <v>2.0833333333333313</v>
          </cell>
          <cell r="EO56">
            <v>3.0833333333333317</v>
          </cell>
          <cell r="EP56">
            <v>3.0833333333333317</v>
          </cell>
          <cell r="EQ56">
            <v>3.0833333333333317</v>
          </cell>
          <cell r="ER56">
            <v>3.0833333333333317</v>
          </cell>
          <cell r="ES56">
            <v>4.4999999999999973</v>
          </cell>
          <cell r="ET56">
            <v>4.4999999999999973</v>
          </cell>
          <cell r="EU56">
            <v>7.9999999999999973</v>
          </cell>
          <cell r="EV56">
            <v>8.9999999999999964</v>
          </cell>
          <cell r="EW56">
            <v>10.349999999999998</v>
          </cell>
          <cell r="EX56">
            <v>10.349999999999998</v>
          </cell>
          <cell r="EY56">
            <v>10.349999999999998</v>
          </cell>
          <cell r="EZ56">
            <v>10.349999999999998</v>
          </cell>
          <cell r="FA56">
            <v>10.349999999999998</v>
          </cell>
          <cell r="FB56">
            <v>10.349999999999998</v>
          </cell>
          <cell r="FC56">
            <v>10.349999999999998</v>
          </cell>
          <cell r="FD56">
            <v>10.349999999999998</v>
          </cell>
          <cell r="FE56">
            <v>10.349999999999998</v>
          </cell>
          <cell r="FF56">
            <v>10.349999999999998</v>
          </cell>
          <cell r="FG56">
            <v>10.349999999999998</v>
          </cell>
          <cell r="FH56">
            <v>10.349999999999998</v>
          </cell>
          <cell r="FI56">
            <v>10.349999999999998</v>
          </cell>
          <cell r="FJ56">
            <v>182.46666666666658</v>
          </cell>
        </row>
        <row r="57">
          <cell r="ED57" t="str">
            <v>KPLMCP005</v>
          </cell>
          <cell r="EE57">
            <v>0</v>
          </cell>
          <cell r="EF57">
            <v>1.0000000000000004</v>
          </cell>
          <cell r="EG57">
            <v>3.1666666666666661</v>
          </cell>
          <cell r="EH57">
            <v>3.1666666666666661</v>
          </cell>
          <cell r="EI57">
            <v>3.1666666666666661</v>
          </cell>
          <cell r="EJ57">
            <v>3.1666666666666661</v>
          </cell>
          <cell r="EK57">
            <v>3.1666666666666661</v>
          </cell>
          <cell r="EL57">
            <v>3.1666666666666661</v>
          </cell>
          <cell r="EM57">
            <v>6.6666666666666661</v>
          </cell>
          <cell r="EN57">
            <v>8.8333333333333321</v>
          </cell>
          <cell r="EO57">
            <v>8.8333333333333321</v>
          </cell>
          <cell r="EP57">
            <v>8.8333333333333321</v>
          </cell>
          <cell r="EQ57">
            <v>8.8333333333333321</v>
          </cell>
          <cell r="ER57">
            <v>8.8333333333333321</v>
          </cell>
          <cell r="ES57">
            <v>8.8333333333333321</v>
          </cell>
          <cell r="ET57">
            <v>8.8333333333333321</v>
          </cell>
          <cell r="EU57">
            <v>9.0833333333333321</v>
          </cell>
          <cell r="EV57">
            <v>9.0833333333333321</v>
          </cell>
          <cell r="EW57">
            <v>9.0833333333333321</v>
          </cell>
          <cell r="EX57">
            <v>9.0833333333333321</v>
          </cell>
          <cell r="EY57">
            <v>9.0833333333333321</v>
          </cell>
          <cell r="EZ57">
            <v>9.0833333333333321</v>
          </cell>
          <cell r="FA57">
            <v>9.9166666666666643</v>
          </cell>
          <cell r="FB57">
            <v>9.9166666666666643</v>
          </cell>
          <cell r="FC57">
            <v>9.9166666666666643</v>
          </cell>
          <cell r="FD57">
            <v>9.9166666666666643</v>
          </cell>
          <cell r="FE57">
            <v>9.9166666666666643</v>
          </cell>
          <cell r="FF57">
            <v>9.9166666666666643</v>
          </cell>
          <cell r="FG57">
            <v>9.9166666666666643</v>
          </cell>
          <cell r="FH57">
            <v>9.9166666666666643</v>
          </cell>
          <cell r="FI57">
            <v>9.9166666666666643</v>
          </cell>
          <cell r="FJ57">
            <v>232.24999999999986</v>
          </cell>
        </row>
        <row r="64">
          <cell r="ED64" t="str">
            <v>KPTJEX023</v>
          </cell>
          <cell r="EE64">
            <v>23</v>
          </cell>
          <cell r="EF64">
            <v>47</v>
          </cell>
          <cell r="EG64">
            <v>71</v>
          </cell>
          <cell r="EH64">
            <v>95</v>
          </cell>
          <cell r="EI64">
            <v>119</v>
          </cell>
          <cell r="EJ64">
            <v>143</v>
          </cell>
          <cell r="EK64">
            <v>167</v>
          </cell>
          <cell r="EL64">
            <v>191</v>
          </cell>
          <cell r="EM64">
            <v>215</v>
          </cell>
          <cell r="EN64">
            <v>235.5</v>
          </cell>
          <cell r="EO64">
            <v>259.5</v>
          </cell>
          <cell r="EP64">
            <v>272</v>
          </cell>
          <cell r="EQ64">
            <v>295</v>
          </cell>
          <cell r="ER64">
            <v>312.5</v>
          </cell>
          <cell r="ES64">
            <v>333</v>
          </cell>
          <cell r="ET64">
            <v>354.5</v>
          </cell>
          <cell r="EU64">
            <v>378.5</v>
          </cell>
          <cell r="EV64">
            <v>402.5</v>
          </cell>
          <cell r="EW64">
            <v>420</v>
          </cell>
          <cell r="EX64">
            <v>444</v>
          </cell>
          <cell r="EY64">
            <v>468</v>
          </cell>
          <cell r="EZ64">
            <v>489</v>
          </cell>
          <cell r="FA64">
            <v>510</v>
          </cell>
          <cell r="FB64">
            <v>517</v>
          </cell>
          <cell r="FC64">
            <v>535</v>
          </cell>
          <cell r="FD64">
            <v>552</v>
          </cell>
          <cell r="FE64">
            <v>566</v>
          </cell>
          <cell r="FF64">
            <v>581</v>
          </cell>
          <cell r="FG64">
            <v>602.95000000000005</v>
          </cell>
          <cell r="FH64">
            <v>619.75</v>
          </cell>
          <cell r="FI64">
            <v>638.25</v>
          </cell>
          <cell r="FJ64">
            <v>10856.95</v>
          </cell>
        </row>
        <row r="65">
          <cell r="ED65" t="str">
            <v>KPTJEX003</v>
          </cell>
          <cell r="EE65">
            <v>24</v>
          </cell>
          <cell r="EF65">
            <v>48</v>
          </cell>
          <cell r="EG65">
            <v>72</v>
          </cell>
          <cell r="EH65">
            <v>96</v>
          </cell>
          <cell r="EI65">
            <v>120</v>
          </cell>
          <cell r="EJ65">
            <v>144</v>
          </cell>
          <cell r="EK65">
            <v>168</v>
          </cell>
          <cell r="EL65">
            <v>192</v>
          </cell>
          <cell r="EM65">
            <v>216</v>
          </cell>
          <cell r="EN65">
            <v>240</v>
          </cell>
          <cell r="EO65">
            <v>264</v>
          </cell>
          <cell r="EP65">
            <v>288</v>
          </cell>
          <cell r="EQ65">
            <v>312</v>
          </cell>
          <cell r="ER65">
            <v>336</v>
          </cell>
          <cell r="ES65">
            <v>360</v>
          </cell>
          <cell r="ET65">
            <v>384</v>
          </cell>
          <cell r="EU65">
            <v>408</v>
          </cell>
          <cell r="EV65">
            <v>432</v>
          </cell>
          <cell r="EW65">
            <v>456</v>
          </cell>
          <cell r="EX65">
            <v>480</v>
          </cell>
          <cell r="EY65">
            <v>504</v>
          </cell>
          <cell r="EZ65">
            <v>528</v>
          </cell>
          <cell r="FA65">
            <v>552</v>
          </cell>
          <cell r="FB65">
            <v>576</v>
          </cell>
          <cell r="FC65">
            <v>600</v>
          </cell>
          <cell r="FD65">
            <v>624</v>
          </cell>
          <cell r="FE65">
            <v>648</v>
          </cell>
          <cell r="FF65">
            <v>672</v>
          </cell>
          <cell r="FG65">
            <v>696</v>
          </cell>
          <cell r="FH65">
            <v>720</v>
          </cell>
          <cell r="FI65">
            <v>744</v>
          </cell>
          <cell r="FJ65">
            <v>11904</v>
          </cell>
        </row>
        <row r="66">
          <cell r="ED66" t="str">
            <v>KPTJDZ004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7">
          <cell r="ED67" t="str">
            <v>KPTJDZ005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22.25</v>
          </cell>
          <cell r="EO67">
            <v>46.25</v>
          </cell>
          <cell r="EP67">
            <v>70.25</v>
          </cell>
          <cell r="EQ67">
            <v>94.25</v>
          </cell>
          <cell r="ER67">
            <v>118.25</v>
          </cell>
          <cell r="ES67">
            <v>142.25</v>
          </cell>
          <cell r="ET67">
            <v>166.25</v>
          </cell>
          <cell r="EU67">
            <v>190.25</v>
          </cell>
          <cell r="EV67">
            <v>214.25</v>
          </cell>
          <cell r="EW67">
            <v>220.25</v>
          </cell>
          <cell r="EX67">
            <v>242.25</v>
          </cell>
          <cell r="EY67">
            <v>266.25</v>
          </cell>
          <cell r="EZ67">
            <v>290.25</v>
          </cell>
          <cell r="FA67">
            <v>314.25</v>
          </cell>
          <cell r="FB67">
            <v>338.25</v>
          </cell>
          <cell r="FC67">
            <v>345.25</v>
          </cell>
          <cell r="FD67">
            <v>360.25</v>
          </cell>
          <cell r="FE67">
            <v>375.25</v>
          </cell>
          <cell r="FF67">
            <v>389.25</v>
          </cell>
          <cell r="FG67">
            <v>412.81666666666666</v>
          </cell>
          <cell r="FH67">
            <v>436.81666666666666</v>
          </cell>
          <cell r="FI67">
            <v>460.81666666666666</v>
          </cell>
          <cell r="FJ67">
            <v>5516.2</v>
          </cell>
        </row>
        <row r="68">
          <cell r="ED68" t="str">
            <v>KPTJCP006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ED69" t="str">
            <v>KPTJEX007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0">
          <cell r="ED70" t="str">
            <v>KPTJDZ008</v>
          </cell>
          <cell r="EE70">
            <v>24</v>
          </cell>
          <cell r="EF70">
            <v>48</v>
          </cell>
          <cell r="EG70">
            <v>58.5</v>
          </cell>
          <cell r="EH70">
            <v>65</v>
          </cell>
          <cell r="EI70">
            <v>86</v>
          </cell>
          <cell r="EJ70">
            <v>110</v>
          </cell>
          <cell r="EK70">
            <v>122.25</v>
          </cell>
          <cell r="EL70">
            <v>132.58333333333334</v>
          </cell>
          <cell r="EM70">
            <v>137.5</v>
          </cell>
          <cell r="EN70">
            <v>144.41666666666666</v>
          </cell>
          <cell r="EO70">
            <v>150.16666666666666</v>
          </cell>
          <cell r="EP70">
            <v>155.41666666666666</v>
          </cell>
          <cell r="EQ70">
            <v>168.25</v>
          </cell>
          <cell r="ER70">
            <v>177.25</v>
          </cell>
          <cell r="ES70">
            <v>201.25</v>
          </cell>
          <cell r="ET70">
            <v>225.25</v>
          </cell>
          <cell r="EU70">
            <v>249.25</v>
          </cell>
          <cell r="EV70">
            <v>273.25</v>
          </cell>
          <cell r="EW70">
            <v>297.25</v>
          </cell>
          <cell r="EX70">
            <v>321.25</v>
          </cell>
          <cell r="EY70">
            <v>333.25</v>
          </cell>
          <cell r="EZ70">
            <v>337.58333333333331</v>
          </cell>
          <cell r="FA70">
            <v>345.08333333333331</v>
          </cell>
          <cell r="FB70">
            <v>349.18333333333334</v>
          </cell>
          <cell r="FC70">
            <v>364.01666666666665</v>
          </cell>
          <cell r="FD70">
            <v>370.01666666666665</v>
          </cell>
          <cell r="FE70">
            <v>374.43333333333334</v>
          </cell>
          <cell r="FF70">
            <v>379.56666666666666</v>
          </cell>
          <cell r="FG70">
            <v>403.56666666666666</v>
          </cell>
          <cell r="FH70">
            <v>427.56666666666666</v>
          </cell>
          <cell r="FI70">
            <v>451.56666666666666</v>
          </cell>
          <cell r="FJ70">
            <v>7282.6666666666661</v>
          </cell>
        </row>
        <row r="71">
          <cell r="ED71" t="str">
            <v>KPTJEX009</v>
          </cell>
          <cell r="EE71">
            <v>0</v>
          </cell>
          <cell r="EF71">
            <v>3.3333333334063298E-2</v>
          </cell>
          <cell r="EG71">
            <v>8.0333333333340633</v>
          </cell>
          <cell r="EH71">
            <v>13.200000000000692</v>
          </cell>
          <cell r="EI71">
            <v>20.200000000000692</v>
          </cell>
          <cell r="EJ71">
            <v>44.200000000000692</v>
          </cell>
          <cell r="EK71">
            <v>63.033333333334028</v>
          </cell>
          <cell r="EL71">
            <v>71.033333333334028</v>
          </cell>
          <cell r="EM71">
            <v>78.316666666667359</v>
          </cell>
          <cell r="EN71">
            <v>83.833333333334025</v>
          </cell>
          <cell r="EO71">
            <v>91.999999999999972</v>
          </cell>
          <cell r="EP71">
            <v>94.816666666668084</v>
          </cell>
          <cell r="EQ71">
            <v>100.11666666666736</v>
          </cell>
          <cell r="ER71">
            <v>106.61666666666736</v>
          </cell>
          <cell r="ES71">
            <v>112.85000000000069</v>
          </cell>
          <cell r="ET71">
            <v>117.60000000000069</v>
          </cell>
          <cell r="EU71">
            <v>121.83333333333476</v>
          </cell>
          <cell r="EV71">
            <v>129.63333333333404</v>
          </cell>
          <cell r="EW71">
            <v>132.13333333333404</v>
          </cell>
          <cell r="EX71">
            <v>132.13333333333404</v>
          </cell>
          <cell r="EY71">
            <v>138.63333333333404</v>
          </cell>
          <cell r="EZ71">
            <v>149.80000000000069</v>
          </cell>
          <cell r="FA71">
            <v>159.80000000000069</v>
          </cell>
          <cell r="FB71">
            <v>170.88333333333404</v>
          </cell>
          <cell r="FC71">
            <v>178.88333333333404</v>
          </cell>
          <cell r="FD71">
            <v>181.3666666666681</v>
          </cell>
          <cell r="FE71">
            <v>184.16666666666737</v>
          </cell>
          <cell r="FF71">
            <v>189.566666666667</v>
          </cell>
          <cell r="FG71">
            <v>213.566666666667</v>
          </cell>
          <cell r="FH71">
            <v>237.566666666667</v>
          </cell>
          <cell r="FI71">
            <v>261.566666666667</v>
          </cell>
          <cell r="FJ71">
            <v>3587.4166666666883</v>
          </cell>
        </row>
        <row r="72">
          <cell r="ED72" t="str">
            <v>KPTJEX010</v>
          </cell>
          <cell r="EE72">
            <v>24</v>
          </cell>
          <cell r="EF72">
            <v>48</v>
          </cell>
          <cell r="EG72">
            <v>72</v>
          </cell>
          <cell r="EH72">
            <v>96</v>
          </cell>
          <cell r="EI72">
            <v>120</v>
          </cell>
          <cell r="EJ72">
            <v>144</v>
          </cell>
          <cell r="EK72">
            <v>168</v>
          </cell>
          <cell r="EL72">
            <v>192</v>
          </cell>
          <cell r="EM72">
            <v>216</v>
          </cell>
          <cell r="EN72">
            <v>240</v>
          </cell>
          <cell r="EO72">
            <v>264</v>
          </cell>
          <cell r="EP72">
            <v>288</v>
          </cell>
          <cell r="EQ72">
            <v>312</v>
          </cell>
          <cell r="ER72">
            <v>336</v>
          </cell>
          <cell r="ES72">
            <v>360</v>
          </cell>
          <cell r="ET72">
            <v>384</v>
          </cell>
          <cell r="EU72">
            <v>408</v>
          </cell>
          <cell r="EV72">
            <v>432</v>
          </cell>
          <cell r="EW72">
            <v>456</v>
          </cell>
          <cell r="EX72">
            <v>480</v>
          </cell>
          <cell r="EY72">
            <v>504</v>
          </cell>
          <cell r="EZ72">
            <v>528</v>
          </cell>
          <cell r="FA72">
            <v>552</v>
          </cell>
          <cell r="FB72">
            <v>576</v>
          </cell>
          <cell r="FC72">
            <v>600</v>
          </cell>
          <cell r="FD72">
            <v>624</v>
          </cell>
          <cell r="FE72">
            <v>648</v>
          </cell>
          <cell r="FF72">
            <v>672</v>
          </cell>
          <cell r="FG72">
            <v>696</v>
          </cell>
          <cell r="FH72">
            <v>720</v>
          </cell>
          <cell r="FI72">
            <v>744</v>
          </cell>
          <cell r="FJ72">
            <v>11904</v>
          </cell>
        </row>
        <row r="73">
          <cell r="ED73" t="str">
            <v>KPTJDZ011</v>
          </cell>
          <cell r="EE73">
            <v>24</v>
          </cell>
          <cell r="EF73">
            <v>48</v>
          </cell>
          <cell r="EG73">
            <v>72</v>
          </cell>
          <cell r="EH73">
            <v>86.5</v>
          </cell>
          <cell r="EI73">
            <v>110</v>
          </cell>
          <cell r="EJ73">
            <v>134</v>
          </cell>
          <cell r="EK73">
            <v>147</v>
          </cell>
          <cell r="EL73">
            <v>154.74999999999983</v>
          </cell>
          <cell r="EM73">
            <v>159.55000000000001</v>
          </cell>
          <cell r="EN73">
            <v>175.8</v>
          </cell>
          <cell r="EO73">
            <v>190.3</v>
          </cell>
          <cell r="EP73">
            <v>204.63333333333335</v>
          </cell>
          <cell r="EQ73">
            <v>223.93333333333354</v>
          </cell>
          <cell r="ER73">
            <v>240.68333333333354</v>
          </cell>
          <cell r="ES73">
            <v>251.10000000000002</v>
          </cell>
          <cell r="ET73">
            <v>258.35000000000002</v>
          </cell>
          <cell r="EU73">
            <v>263.85000000000002</v>
          </cell>
          <cell r="EV73">
            <v>283.85000000000002</v>
          </cell>
          <cell r="EW73">
            <v>296.85000000000002</v>
          </cell>
          <cell r="EX73">
            <v>301.85000000000002</v>
          </cell>
          <cell r="EY73">
            <v>321.85000000000002</v>
          </cell>
          <cell r="EZ73">
            <v>326.76666666666671</v>
          </cell>
          <cell r="FA73">
            <v>343.90000000000003</v>
          </cell>
          <cell r="FB73">
            <v>348.8</v>
          </cell>
          <cell r="FC73">
            <v>352.8</v>
          </cell>
          <cell r="FD73">
            <v>368.8</v>
          </cell>
          <cell r="FE73">
            <v>372.4666666666667</v>
          </cell>
          <cell r="FF73">
            <v>389.4666666666667</v>
          </cell>
          <cell r="FG73">
            <v>413.4666666666667</v>
          </cell>
          <cell r="FH73">
            <v>437.4666666666667</v>
          </cell>
          <cell r="FI73">
            <v>461.4666666666667</v>
          </cell>
          <cell r="FJ73">
            <v>7764.2500000000018</v>
          </cell>
        </row>
        <row r="74">
          <cell r="ED74" t="str">
            <v>KPTJDZ012</v>
          </cell>
          <cell r="EE74">
            <v>24</v>
          </cell>
          <cell r="EF74">
            <v>48</v>
          </cell>
          <cell r="EG74">
            <v>72</v>
          </cell>
          <cell r="EH74">
            <v>96</v>
          </cell>
          <cell r="EI74">
            <v>115.5</v>
          </cell>
          <cell r="EJ74">
            <v>139.5</v>
          </cell>
          <cell r="EK74">
            <v>163.5</v>
          </cell>
          <cell r="EL74">
            <v>180.25</v>
          </cell>
          <cell r="EM74">
            <v>203.25</v>
          </cell>
          <cell r="EN74">
            <v>208.58333333333334</v>
          </cell>
          <cell r="EO74">
            <v>214.08333333333334</v>
          </cell>
          <cell r="EP74">
            <v>219.08333333333334</v>
          </cell>
          <cell r="EQ74">
            <v>224.08333333333334</v>
          </cell>
          <cell r="ER74">
            <v>233.51666666666668</v>
          </cell>
          <cell r="ES74">
            <v>241.51666666666668</v>
          </cell>
          <cell r="ET74">
            <v>247.01666666666668</v>
          </cell>
          <cell r="EU74">
            <v>262.01666666666665</v>
          </cell>
          <cell r="EV74">
            <v>272.41666666666629</v>
          </cell>
          <cell r="EW74">
            <v>280.01666666666665</v>
          </cell>
          <cell r="EX74">
            <v>301.01666666666665</v>
          </cell>
          <cell r="EY74">
            <v>325.01666666666665</v>
          </cell>
          <cell r="EZ74">
            <v>349.01666666666665</v>
          </cell>
          <cell r="FA74">
            <v>354.61666666666702</v>
          </cell>
          <cell r="FB74">
            <v>372.01666666666665</v>
          </cell>
          <cell r="FC74">
            <v>375.51666666666665</v>
          </cell>
          <cell r="FD74">
            <v>379.01666666666665</v>
          </cell>
          <cell r="FE74">
            <v>383.01666666666665</v>
          </cell>
          <cell r="FF74">
            <v>393.13333333333344</v>
          </cell>
          <cell r="FG74">
            <v>417.13333333333344</v>
          </cell>
          <cell r="FH74">
            <v>441.13333333333344</v>
          </cell>
          <cell r="FI74">
            <v>465.13333333333344</v>
          </cell>
          <cell r="FJ74">
            <v>8000.0999999999976</v>
          </cell>
        </row>
        <row r="75">
          <cell r="ED75" t="str">
            <v>KPTJDZ022</v>
          </cell>
          <cell r="EE75">
            <v>11</v>
          </cell>
          <cell r="EF75">
            <v>15.833333333333336</v>
          </cell>
          <cell r="EG75">
            <v>22.333333333333336</v>
          </cell>
          <cell r="EH75">
            <v>27.833333333333336</v>
          </cell>
          <cell r="EI75">
            <v>40.666666666666671</v>
          </cell>
          <cell r="EJ75">
            <v>64.666666666666671</v>
          </cell>
          <cell r="EK75">
            <v>78.666666666666671</v>
          </cell>
          <cell r="EL75">
            <v>90.666666666666671</v>
          </cell>
          <cell r="EM75">
            <v>103.66666666666667</v>
          </cell>
          <cell r="EN75">
            <v>108.16666666666667</v>
          </cell>
          <cell r="EO75">
            <v>118.36666666666666</v>
          </cell>
          <cell r="EP75">
            <v>129.38333333333335</v>
          </cell>
          <cell r="EQ75">
            <v>143.05000000000001</v>
          </cell>
          <cell r="ER75">
            <v>151.05000000000001</v>
          </cell>
          <cell r="ES75">
            <v>156.65</v>
          </cell>
          <cell r="ET75">
            <v>163.65</v>
          </cell>
          <cell r="EU75">
            <v>170.06666666666666</v>
          </cell>
          <cell r="EV75">
            <v>194.06666666666666</v>
          </cell>
          <cell r="EW75">
            <v>210.56666666666666</v>
          </cell>
          <cell r="EX75">
            <v>231.56666666666666</v>
          </cell>
          <cell r="EY75">
            <v>255.56666666666666</v>
          </cell>
          <cell r="EZ75">
            <v>269.56666666666666</v>
          </cell>
          <cell r="FA75">
            <v>282.89999999999998</v>
          </cell>
          <cell r="FB75">
            <v>303.39999999999998</v>
          </cell>
          <cell r="FC75">
            <v>322.89999999999998</v>
          </cell>
          <cell r="FD75">
            <v>326.89999999999998</v>
          </cell>
          <cell r="FE75">
            <v>344.9</v>
          </cell>
          <cell r="FF75">
            <v>361.9</v>
          </cell>
          <cell r="FG75">
            <v>385.9</v>
          </cell>
          <cell r="FH75">
            <v>409.9</v>
          </cell>
          <cell r="FI75">
            <v>433.9</v>
          </cell>
          <cell r="FJ75">
            <v>5929.6499999999987</v>
          </cell>
        </row>
        <row r="76">
          <cell r="ED76" t="str">
            <v>KPTJDZ015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ED77" t="str">
            <v>KPTJDZ016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ED78" t="str">
            <v>KPTJDZ017</v>
          </cell>
          <cell r="EE78">
            <v>6</v>
          </cell>
          <cell r="EF78">
            <v>10.5</v>
          </cell>
          <cell r="EG78">
            <v>17</v>
          </cell>
          <cell r="EH78">
            <v>24.599999999999909</v>
          </cell>
          <cell r="EI78">
            <v>45.5</v>
          </cell>
          <cell r="EJ78">
            <v>69.5</v>
          </cell>
          <cell r="EK78">
            <v>82</v>
          </cell>
          <cell r="EL78">
            <v>92</v>
          </cell>
          <cell r="EM78">
            <v>110.75</v>
          </cell>
          <cell r="EN78">
            <v>134.75</v>
          </cell>
          <cell r="EO78">
            <v>158.75</v>
          </cell>
          <cell r="EP78">
            <v>182.75</v>
          </cell>
          <cell r="EQ78">
            <v>197.25</v>
          </cell>
          <cell r="ER78">
            <v>221.25</v>
          </cell>
          <cell r="ES78">
            <v>245.25</v>
          </cell>
          <cell r="ET78">
            <v>265.75</v>
          </cell>
          <cell r="EU78">
            <v>289.75</v>
          </cell>
          <cell r="EV78">
            <v>312.75</v>
          </cell>
          <cell r="EW78">
            <v>316.66666666666669</v>
          </cell>
          <cell r="EX78">
            <v>320.66666666666669</v>
          </cell>
          <cell r="EY78">
            <v>328.08333333333343</v>
          </cell>
          <cell r="EZ78">
            <v>333.08333333333343</v>
          </cell>
          <cell r="FA78">
            <v>339.58333333333343</v>
          </cell>
          <cell r="FB78">
            <v>344.58333333333343</v>
          </cell>
          <cell r="FC78">
            <v>349.83333333333343</v>
          </cell>
          <cell r="FD78">
            <v>353.83333333333343</v>
          </cell>
          <cell r="FE78">
            <v>368.83333333333343</v>
          </cell>
          <cell r="FF78">
            <v>374.83333333333343</v>
          </cell>
          <cell r="FG78">
            <v>398.83333333333343</v>
          </cell>
          <cell r="FH78">
            <v>422.83333333333343</v>
          </cell>
          <cell r="FI78">
            <v>446.83333333333343</v>
          </cell>
          <cell r="FJ78">
            <v>7164.5999999999976</v>
          </cell>
        </row>
        <row r="79">
          <cell r="ED79" t="str">
            <v>KPTJEX018</v>
          </cell>
          <cell r="EE79">
            <v>24</v>
          </cell>
          <cell r="EF79">
            <v>48</v>
          </cell>
          <cell r="EG79">
            <v>72</v>
          </cell>
          <cell r="EH79">
            <v>96</v>
          </cell>
          <cell r="EI79">
            <v>120</v>
          </cell>
          <cell r="EJ79">
            <v>144</v>
          </cell>
          <cell r="EK79">
            <v>168</v>
          </cell>
          <cell r="EL79">
            <v>192</v>
          </cell>
          <cell r="EM79">
            <v>216</v>
          </cell>
          <cell r="EN79">
            <v>240</v>
          </cell>
          <cell r="EO79">
            <v>264</v>
          </cell>
          <cell r="EP79">
            <v>288</v>
          </cell>
          <cell r="EQ79">
            <v>312</v>
          </cell>
          <cell r="ER79">
            <v>336</v>
          </cell>
          <cell r="ES79">
            <v>360</v>
          </cell>
          <cell r="ET79">
            <v>384</v>
          </cell>
          <cell r="EU79">
            <v>408</v>
          </cell>
          <cell r="EV79">
            <v>432</v>
          </cell>
          <cell r="EW79">
            <v>456</v>
          </cell>
          <cell r="EX79">
            <v>480</v>
          </cell>
          <cell r="EY79">
            <v>504</v>
          </cell>
          <cell r="EZ79">
            <v>528</v>
          </cell>
          <cell r="FA79">
            <v>552</v>
          </cell>
          <cell r="FB79">
            <v>576</v>
          </cell>
          <cell r="FC79">
            <v>600</v>
          </cell>
          <cell r="FD79">
            <v>624</v>
          </cell>
          <cell r="FE79">
            <v>648</v>
          </cell>
          <cell r="FF79">
            <v>672</v>
          </cell>
          <cell r="FG79">
            <v>696</v>
          </cell>
          <cell r="FH79">
            <v>720</v>
          </cell>
          <cell r="FI79">
            <v>744</v>
          </cell>
          <cell r="FJ79">
            <v>11904</v>
          </cell>
        </row>
        <row r="80">
          <cell r="ED80" t="str">
            <v>KPTJCP019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1">
          <cell r="ED81" t="str">
            <v>KPTJDZ020</v>
          </cell>
          <cell r="EE81">
            <v>4.6166666666666671</v>
          </cell>
          <cell r="EF81">
            <v>9.6166666666666671</v>
          </cell>
          <cell r="EG81">
            <v>16.066666666666666</v>
          </cell>
          <cell r="EH81">
            <v>29.483333333333334</v>
          </cell>
          <cell r="EI81">
            <v>53.483333333333334</v>
          </cell>
          <cell r="EJ81">
            <v>77.483333333333334</v>
          </cell>
          <cell r="EK81">
            <v>101.48333333333333</v>
          </cell>
          <cell r="EL81">
            <v>120.98333333333333</v>
          </cell>
          <cell r="EM81">
            <v>136.98333333333335</v>
          </cell>
          <cell r="EN81">
            <v>142.5333333333333</v>
          </cell>
          <cell r="EO81">
            <v>148.23333333333335</v>
          </cell>
          <cell r="EP81">
            <v>152.73333333333335</v>
          </cell>
          <cell r="EQ81">
            <v>157.73333333333335</v>
          </cell>
          <cell r="ER81">
            <v>172.73333333333335</v>
          </cell>
          <cell r="ES81">
            <v>175.73333333333335</v>
          </cell>
          <cell r="ET81">
            <v>179.73333333333335</v>
          </cell>
          <cell r="EU81">
            <v>196.73333333333335</v>
          </cell>
          <cell r="EV81">
            <v>208.73333333333335</v>
          </cell>
          <cell r="EW81">
            <v>232.73333333333335</v>
          </cell>
          <cell r="EX81">
            <v>256.73333333333335</v>
          </cell>
          <cell r="EY81">
            <v>280.73333333333335</v>
          </cell>
          <cell r="EZ81">
            <v>304.73333333333335</v>
          </cell>
          <cell r="FA81">
            <v>328.73333333333335</v>
          </cell>
          <cell r="FB81">
            <v>335.31666666666672</v>
          </cell>
          <cell r="FC81">
            <v>340.41666666666663</v>
          </cell>
          <cell r="FD81">
            <v>346.11666666666667</v>
          </cell>
          <cell r="FE81">
            <v>363.36666666666667</v>
          </cell>
          <cell r="FF81">
            <v>366.26666666666677</v>
          </cell>
          <cell r="FG81">
            <v>390.26666666666677</v>
          </cell>
          <cell r="FH81">
            <v>414.26666666666677</v>
          </cell>
          <cell r="FI81">
            <v>438.26666666666677</v>
          </cell>
          <cell r="FJ81">
            <v>6483.0500000000011</v>
          </cell>
        </row>
        <row r="82">
          <cell r="ED82" t="str">
            <v>KPTJDZ021</v>
          </cell>
          <cell r="EE82">
            <v>7</v>
          </cell>
          <cell r="EF82">
            <v>31</v>
          </cell>
          <cell r="EG82">
            <v>55</v>
          </cell>
          <cell r="EH82">
            <v>79</v>
          </cell>
          <cell r="EI82">
            <v>103</v>
          </cell>
          <cell r="EJ82">
            <v>127</v>
          </cell>
          <cell r="EK82">
            <v>145</v>
          </cell>
          <cell r="EL82">
            <v>159</v>
          </cell>
          <cell r="EM82">
            <v>171.5</v>
          </cell>
          <cell r="EN82">
            <v>179.91666666666663</v>
          </cell>
          <cell r="EO82">
            <v>186.66666666666663</v>
          </cell>
          <cell r="EP82">
            <v>197.66666666666663</v>
          </cell>
          <cell r="EQ82">
            <v>210.66666666666663</v>
          </cell>
          <cell r="ER82">
            <v>225.66666666666663</v>
          </cell>
          <cell r="ES82">
            <v>241.66666666666663</v>
          </cell>
          <cell r="ET82">
            <v>252.16666666666663</v>
          </cell>
          <cell r="EU82">
            <v>264.16666666666663</v>
          </cell>
          <cell r="EV82">
            <v>288.16666666666663</v>
          </cell>
          <cell r="EW82">
            <v>302.08333333333331</v>
          </cell>
          <cell r="EX82">
            <v>308.5</v>
          </cell>
          <cell r="EY82">
            <v>314.5</v>
          </cell>
          <cell r="EZ82">
            <v>318.25</v>
          </cell>
          <cell r="FA82">
            <v>325.25</v>
          </cell>
          <cell r="FB82">
            <v>329.25</v>
          </cell>
          <cell r="FC82">
            <v>332.35</v>
          </cell>
          <cell r="FD82">
            <v>346.85</v>
          </cell>
          <cell r="FE82">
            <v>350.43333333333334</v>
          </cell>
          <cell r="FF82">
            <v>359.83333333333331</v>
          </cell>
          <cell r="FG82">
            <v>383.83333333333331</v>
          </cell>
          <cell r="FH82">
            <v>407.83333333333331</v>
          </cell>
          <cell r="FI82">
            <v>431.83333333333331</v>
          </cell>
          <cell r="FJ82">
            <v>7435.0499999999984</v>
          </cell>
        </row>
        <row r="83">
          <cell r="ED83" t="str">
            <v>KPLMEX001</v>
          </cell>
          <cell r="EE83">
            <v>24</v>
          </cell>
          <cell r="EF83">
            <v>48</v>
          </cell>
          <cell r="EG83">
            <v>72</v>
          </cell>
          <cell r="EH83">
            <v>96</v>
          </cell>
          <cell r="EI83">
            <v>120</v>
          </cell>
          <cell r="EJ83">
            <v>144</v>
          </cell>
          <cell r="EK83">
            <v>168</v>
          </cell>
          <cell r="EL83">
            <v>192</v>
          </cell>
          <cell r="EM83">
            <v>216</v>
          </cell>
          <cell r="EN83">
            <v>231.5</v>
          </cell>
          <cell r="EO83">
            <v>237.5</v>
          </cell>
          <cell r="EP83">
            <v>243</v>
          </cell>
          <cell r="EQ83">
            <v>252.5</v>
          </cell>
          <cell r="ER83">
            <v>262</v>
          </cell>
          <cell r="ES83">
            <v>269</v>
          </cell>
          <cell r="ET83">
            <v>278</v>
          </cell>
          <cell r="EU83">
            <v>284</v>
          </cell>
          <cell r="EV83">
            <v>290.33333333333331</v>
          </cell>
          <cell r="EW83">
            <v>296.33333333333331</v>
          </cell>
          <cell r="EX83">
            <v>301.33333333333331</v>
          </cell>
          <cell r="EY83">
            <v>316.83333333333331</v>
          </cell>
          <cell r="EZ83">
            <v>321.33333333333331</v>
          </cell>
          <cell r="FA83">
            <v>326.33333333333331</v>
          </cell>
          <cell r="FB83">
            <v>333.83333333333331</v>
          </cell>
          <cell r="FC83">
            <v>348.33333333333331</v>
          </cell>
          <cell r="FD83">
            <v>352.83333333333331</v>
          </cell>
          <cell r="FE83">
            <v>358.83333333333331</v>
          </cell>
          <cell r="FF83">
            <v>364.33333333333331</v>
          </cell>
          <cell r="FG83">
            <v>388.33333333333331</v>
          </cell>
          <cell r="FH83">
            <v>412.33333333333331</v>
          </cell>
          <cell r="FI83">
            <v>436.33333333333331</v>
          </cell>
          <cell r="FJ83">
            <v>7985.1666666666642</v>
          </cell>
        </row>
        <row r="84">
          <cell r="ED84" t="str">
            <v>KPLMEX002</v>
          </cell>
          <cell r="EE84">
            <v>6</v>
          </cell>
          <cell r="EF84">
            <v>15.5</v>
          </cell>
          <cell r="EG84">
            <v>35.5</v>
          </cell>
          <cell r="EH84">
            <v>49.5</v>
          </cell>
          <cell r="EI84">
            <v>66.5</v>
          </cell>
          <cell r="EJ84">
            <v>90.5</v>
          </cell>
          <cell r="EK84">
            <v>106.5</v>
          </cell>
          <cell r="EL84">
            <v>113.41666666666667</v>
          </cell>
          <cell r="EM84">
            <v>118.41666666666667</v>
          </cell>
          <cell r="EN84">
            <v>126.41666666666667</v>
          </cell>
          <cell r="EO84">
            <v>132.91666666666669</v>
          </cell>
          <cell r="EP84">
            <v>138.41666666666669</v>
          </cell>
          <cell r="EQ84">
            <v>148.41666666666669</v>
          </cell>
          <cell r="ER84">
            <v>159.41666666666669</v>
          </cell>
          <cell r="ES84">
            <v>165.41666666666669</v>
          </cell>
          <cell r="ET84">
            <v>180.41666666666669</v>
          </cell>
          <cell r="EU84">
            <v>193.41666666666669</v>
          </cell>
          <cell r="EV84">
            <v>208.41666666666669</v>
          </cell>
          <cell r="EW84">
            <v>223.41666666666669</v>
          </cell>
          <cell r="EX84">
            <v>227.18333333333325</v>
          </cell>
          <cell r="EY84">
            <v>243.08333333333334</v>
          </cell>
          <cell r="EZ84">
            <v>244.16666666666669</v>
          </cell>
          <cell r="FA84">
            <v>244.16666666666669</v>
          </cell>
          <cell r="FB84">
            <v>248.45000000000007</v>
          </cell>
          <cell r="FC84">
            <v>253.75000000000003</v>
          </cell>
          <cell r="FD84">
            <v>258.33333333333337</v>
          </cell>
          <cell r="FE84">
            <v>264.33333333333337</v>
          </cell>
          <cell r="FF84">
            <v>270.33333333333337</v>
          </cell>
          <cell r="FG84">
            <v>294.33333333333337</v>
          </cell>
          <cell r="FH84">
            <v>318.33333333333337</v>
          </cell>
          <cell r="FI84">
            <v>342.33333333333337</v>
          </cell>
          <cell r="FJ84">
            <v>5487.2999999999993</v>
          </cell>
        </row>
        <row r="85">
          <cell r="ED85" t="str">
            <v>KPLMEX003</v>
          </cell>
          <cell r="EE85">
            <v>8.2000000000000455</v>
          </cell>
          <cell r="EF85">
            <v>23.200000000000045</v>
          </cell>
          <cell r="EG85">
            <v>32.200000000000045</v>
          </cell>
          <cell r="EH85">
            <v>41.200000000000045</v>
          </cell>
          <cell r="EI85">
            <v>65.200000000000045</v>
          </cell>
          <cell r="EJ85">
            <v>89.200000000000045</v>
          </cell>
          <cell r="EK85">
            <v>113.20000000000005</v>
          </cell>
          <cell r="EL85">
            <v>121.20000000000005</v>
          </cell>
          <cell r="EM85">
            <v>137.20000000000005</v>
          </cell>
          <cell r="EN85">
            <v>145.70000000000005</v>
          </cell>
          <cell r="EO85">
            <v>169.70000000000005</v>
          </cell>
          <cell r="EP85">
            <v>191.20000000000005</v>
          </cell>
          <cell r="EQ85">
            <v>212.20000000000005</v>
          </cell>
          <cell r="ER85">
            <v>234.20000000000005</v>
          </cell>
          <cell r="ES85">
            <v>258.20000000000005</v>
          </cell>
          <cell r="ET85">
            <v>282.20000000000005</v>
          </cell>
          <cell r="EU85">
            <v>306.20000000000005</v>
          </cell>
          <cell r="EV85">
            <v>330.20000000000005</v>
          </cell>
          <cell r="EW85">
            <v>354.20000000000005</v>
          </cell>
          <cell r="EX85">
            <v>378.20000000000005</v>
          </cell>
          <cell r="EY85">
            <v>390.70000000000005</v>
          </cell>
          <cell r="EZ85">
            <v>394.20000000000005</v>
          </cell>
          <cell r="FA85">
            <v>399.70000000000005</v>
          </cell>
          <cell r="FB85">
            <v>405.20000000000005</v>
          </cell>
          <cell r="FC85">
            <v>424.40000000000009</v>
          </cell>
          <cell r="FD85">
            <v>439.20000000000005</v>
          </cell>
          <cell r="FE85">
            <v>449.70000000000005</v>
          </cell>
          <cell r="FF85">
            <v>463.70000000000005</v>
          </cell>
          <cell r="FG85">
            <v>477.70000000000005</v>
          </cell>
          <cell r="FH85">
            <v>501.70000000000005</v>
          </cell>
          <cell r="FI85">
            <v>525.70000000000005</v>
          </cell>
          <cell r="FJ85">
            <v>8364.8999999999978</v>
          </cell>
        </row>
        <row r="86">
          <cell r="ED86" t="str">
            <v>KPLMCP004</v>
          </cell>
          <cell r="EE86">
            <v>24</v>
          </cell>
          <cell r="EF86">
            <v>45</v>
          </cell>
          <cell r="EG86">
            <v>59</v>
          </cell>
          <cell r="EH86">
            <v>77.75</v>
          </cell>
          <cell r="EI86">
            <v>101.75</v>
          </cell>
          <cell r="EJ86">
            <v>125.75</v>
          </cell>
          <cell r="EK86">
            <v>149.75</v>
          </cell>
          <cell r="EL86">
            <v>170.75</v>
          </cell>
          <cell r="EM86">
            <v>191.75</v>
          </cell>
          <cell r="EN86">
            <v>204.91666666666666</v>
          </cell>
          <cell r="EO86">
            <v>216.91666666666666</v>
          </cell>
          <cell r="EP86">
            <v>227.91666666666666</v>
          </cell>
          <cell r="EQ86">
            <v>251.91666666666666</v>
          </cell>
          <cell r="ER86">
            <v>269.91666666666663</v>
          </cell>
          <cell r="ES86">
            <v>287.49999999999994</v>
          </cell>
          <cell r="ET86">
            <v>307.49999999999994</v>
          </cell>
          <cell r="EU86">
            <v>315.99999999999994</v>
          </cell>
          <cell r="EV86">
            <v>335.99999999999994</v>
          </cell>
          <cell r="EW86">
            <v>348.64999999999992</v>
          </cell>
          <cell r="EX86">
            <v>363.14999999999992</v>
          </cell>
          <cell r="EY86">
            <v>384.64999999999992</v>
          </cell>
          <cell r="EZ86">
            <v>394.64999999999992</v>
          </cell>
          <cell r="FA86">
            <v>418.64999999999992</v>
          </cell>
          <cell r="FB86">
            <v>434.64999999999992</v>
          </cell>
          <cell r="FC86">
            <v>451.64999999999992</v>
          </cell>
          <cell r="FD86">
            <v>468.64999999999992</v>
          </cell>
          <cell r="FE86">
            <v>481.64999999999992</v>
          </cell>
          <cell r="FF86">
            <v>499.64999999999992</v>
          </cell>
          <cell r="FG86">
            <v>523.64999999999986</v>
          </cell>
          <cell r="FH86">
            <v>547.64999999999986</v>
          </cell>
          <cell r="FI86">
            <v>571.64999999999986</v>
          </cell>
          <cell r="FJ86">
            <v>9253.033333333331</v>
          </cell>
        </row>
        <row r="87">
          <cell r="ED87" t="str">
            <v>KPLMCP005</v>
          </cell>
          <cell r="EE87">
            <v>16.799999999999955</v>
          </cell>
          <cell r="EF87">
            <v>29.5</v>
          </cell>
          <cell r="EG87">
            <v>49.833333333333336</v>
          </cell>
          <cell r="EH87">
            <v>64.333333333333343</v>
          </cell>
          <cell r="EI87">
            <v>88.333333333333343</v>
          </cell>
          <cell r="EJ87">
            <v>112.33333333333334</v>
          </cell>
          <cell r="EK87">
            <v>136.33333333333334</v>
          </cell>
          <cell r="EL87">
            <v>149.03333333333339</v>
          </cell>
          <cell r="EM87">
            <v>167.33333333333334</v>
          </cell>
          <cell r="EN87">
            <v>176.86666666666673</v>
          </cell>
          <cell r="EO87">
            <v>188.06666666666666</v>
          </cell>
          <cell r="EP87">
            <v>199.36666666666673</v>
          </cell>
          <cell r="EQ87">
            <v>223.36666666666673</v>
          </cell>
          <cell r="ER87">
            <v>241.96666666666664</v>
          </cell>
          <cell r="ES87">
            <v>254.06666666666666</v>
          </cell>
          <cell r="ET87">
            <v>266.56666666666666</v>
          </cell>
          <cell r="EU87">
            <v>274.01666666666671</v>
          </cell>
          <cell r="EV87">
            <v>291.81666666666666</v>
          </cell>
          <cell r="EW87">
            <v>303.91666666666669</v>
          </cell>
          <cell r="EX87">
            <v>317.11666666666673</v>
          </cell>
          <cell r="EY87">
            <v>334.91666666666669</v>
          </cell>
          <cell r="EZ87">
            <v>343.01666666666671</v>
          </cell>
          <cell r="FA87">
            <v>358.88333333333333</v>
          </cell>
          <cell r="FB87">
            <v>377.98333333333335</v>
          </cell>
          <cell r="FC87">
            <v>389.18333333333339</v>
          </cell>
          <cell r="FD87">
            <v>401.48333333333335</v>
          </cell>
          <cell r="FE87">
            <v>412.88333333333333</v>
          </cell>
          <cell r="FF87">
            <v>430.98333333333335</v>
          </cell>
          <cell r="FG87">
            <v>454.98333333333335</v>
          </cell>
          <cell r="FH87">
            <v>478.98333333333335</v>
          </cell>
          <cell r="FI87">
            <v>502.98333333333335</v>
          </cell>
          <cell r="FJ87">
            <v>8037.2500000000018</v>
          </cell>
        </row>
        <row r="94">
          <cell r="ED94" t="str">
            <v>KPTJEX023</v>
          </cell>
          <cell r="EE94">
            <v>24</v>
          </cell>
          <cell r="EF94">
            <v>48</v>
          </cell>
          <cell r="EG94">
            <v>72</v>
          </cell>
          <cell r="EH94">
            <v>96</v>
          </cell>
          <cell r="EI94">
            <v>120</v>
          </cell>
          <cell r="EJ94">
            <v>144</v>
          </cell>
          <cell r="EK94">
            <v>168</v>
          </cell>
          <cell r="EL94">
            <v>192</v>
          </cell>
          <cell r="EM94">
            <v>216</v>
          </cell>
          <cell r="EN94">
            <v>240</v>
          </cell>
          <cell r="EO94">
            <v>264</v>
          </cell>
          <cell r="EP94">
            <v>288</v>
          </cell>
          <cell r="EQ94">
            <v>312</v>
          </cell>
          <cell r="ER94">
            <v>336</v>
          </cell>
          <cell r="ES94">
            <v>360</v>
          </cell>
          <cell r="ET94">
            <v>384</v>
          </cell>
          <cell r="EU94">
            <v>408</v>
          </cell>
          <cell r="EV94">
            <v>432</v>
          </cell>
          <cell r="EW94">
            <v>456</v>
          </cell>
          <cell r="EX94">
            <v>480</v>
          </cell>
          <cell r="EY94">
            <v>504</v>
          </cell>
          <cell r="EZ94">
            <v>528</v>
          </cell>
          <cell r="FA94">
            <v>552</v>
          </cell>
          <cell r="FB94">
            <v>576</v>
          </cell>
          <cell r="FC94">
            <v>600</v>
          </cell>
          <cell r="FD94">
            <v>624</v>
          </cell>
          <cell r="FE94">
            <v>648</v>
          </cell>
          <cell r="FF94">
            <v>672</v>
          </cell>
          <cell r="FG94">
            <v>696</v>
          </cell>
          <cell r="FH94">
            <v>720</v>
          </cell>
          <cell r="FI94">
            <v>744</v>
          </cell>
          <cell r="FJ94">
            <v>11904</v>
          </cell>
        </row>
        <row r="95">
          <cell r="ED95" t="str">
            <v>KPTJEX003</v>
          </cell>
          <cell r="EE95">
            <v>24</v>
          </cell>
          <cell r="EF95">
            <v>48</v>
          </cell>
          <cell r="EG95">
            <v>72</v>
          </cell>
          <cell r="EH95">
            <v>96</v>
          </cell>
          <cell r="EI95">
            <v>120</v>
          </cell>
          <cell r="EJ95">
            <v>144</v>
          </cell>
          <cell r="EK95">
            <v>168</v>
          </cell>
          <cell r="EL95">
            <v>192</v>
          </cell>
          <cell r="EM95">
            <v>216</v>
          </cell>
          <cell r="EN95">
            <v>240</v>
          </cell>
          <cell r="EO95">
            <v>264</v>
          </cell>
          <cell r="EP95">
            <v>288</v>
          </cell>
          <cell r="EQ95">
            <v>312</v>
          </cell>
          <cell r="ER95">
            <v>336</v>
          </cell>
          <cell r="ES95">
            <v>360</v>
          </cell>
          <cell r="ET95">
            <v>384</v>
          </cell>
          <cell r="EU95">
            <v>408</v>
          </cell>
          <cell r="EV95">
            <v>432</v>
          </cell>
          <cell r="EW95">
            <v>456</v>
          </cell>
          <cell r="EX95">
            <v>480</v>
          </cell>
          <cell r="EY95">
            <v>504</v>
          </cell>
          <cell r="EZ95">
            <v>528</v>
          </cell>
          <cell r="FA95">
            <v>552</v>
          </cell>
          <cell r="FB95">
            <v>576</v>
          </cell>
          <cell r="FC95">
            <v>600</v>
          </cell>
          <cell r="FD95">
            <v>624</v>
          </cell>
          <cell r="FE95">
            <v>648</v>
          </cell>
          <cell r="FF95">
            <v>672</v>
          </cell>
          <cell r="FG95">
            <v>696</v>
          </cell>
          <cell r="FH95">
            <v>720</v>
          </cell>
          <cell r="FI95">
            <v>744</v>
          </cell>
          <cell r="FJ95">
            <v>11904</v>
          </cell>
        </row>
        <row r="96">
          <cell r="ED96" t="str">
            <v>KPTJDZ004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7">
          <cell r="ED97" t="str">
            <v>KPTJDZ005</v>
          </cell>
          <cell r="EE97">
            <v>24</v>
          </cell>
          <cell r="EF97">
            <v>48</v>
          </cell>
          <cell r="EG97">
            <v>72</v>
          </cell>
          <cell r="EH97">
            <v>96</v>
          </cell>
          <cell r="EI97">
            <v>120</v>
          </cell>
          <cell r="EJ97">
            <v>144</v>
          </cell>
          <cell r="EK97">
            <v>168</v>
          </cell>
          <cell r="EL97">
            <v>192</v>
          </cell>
          <cell r="EM97">
            <v>216</v>
          </cell>
          <cell r="EN97">
            <v>240</v>
          </cell>
          <cell r="EO97">
            <v>264</v>
          </cell>
          <cell r="EP97">
            <v>288</v>
          </cell>
          <cell r="EQ97">
            <v>312</v>
          </cell>
          <cell r="ER97">
            <v>336</v>
          </cell>
          <cell r="ES97">
            <v>360</v>
          </cell>
          <cell r="ET97">
            <v>384</v>
          </cell>
          <cell r="EU97">
            <v>408</v>
          </cell>
          <cell r="EV97">
            <v>432</v>
          </cell>
          <cell r="EW97">
            <v>456</v>
          </cell>
          <cell r="EX97">
            <v>480</v>
          </cell>
          <cell r="EY97">
            <v>504</v>
          </cell>
          <cell r="EZ97">
            <v>528</v>
          </cell>
          <cell r="FA97">
            <v>552</v>
          </cell>
          <cell r="FB97">
            <v>576</v>
          </cell>
          <cell r="FC97">
            <v>600</v>
          </cell>
          <cell r="FD97">
            <v>624</v>
          </cell>
          <cell r="FE97">
            <v>648</v>
          </cell>
          <cell r="FF97">
            <v>672</v>
          </cell>
          <cell r="FG97">
            <v>696</v>
          </cell>
          <cell r="FH97">
            <v>720</v>
          </cell>
          <cell r="FI97">
            <v>744</v>
          </cell>
          <cell r="FJ97">
            <v>11904</v>
          </cell>
        </row>
        <row r="98">
          <cell r="ED98" t="str">
            <v>KPTJCP006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</row>
        <row r="99">
          <cell r="ED99" t="str">
            <v>KPTJEX007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</row>
        <row r="100">
          <cell r="ED100" t="str">
            <v>KPTJDZ008</v>
          </cell>
          <cell r="EE100">
            <v>24</v>
          </cell>
          <cell r="EF100">
            <v>48</v>
          </cell>
          <cell r="EG100">
            <v>72</v>
          </cell>
          <cell r="EH100">
            <v>96</v>
          </cell>
          <cell r="EI100">
            <v>120</v>
          </cell>
          <cell r="EJ100">
            <v>144</v>
          </cell>
          <cell r="EK100">
            <v>168</v>
          </cell>
          <cell r="EL100">
            <v>192</v>
          </cell>
          <cell r="EM100">
            <v>216</v>
          </cell>
          <cell r="EN100">
            <v>240</v>
          </cell>
          <cell r="EO100">
            <v>264</v>
          </cell>
          <cell r="EP100">
            <v>288</v>
          </cell>
          <cell r="EQ100">
            <v>312</v>
          </cell>
          <cell r="ER100">
            <v>336</v>
          </cell>
          <cell r="ES100">
            <v>360</v>
          </cell>
          <cell r="ET100">
            <v>384</v>
          </cell>
          <cell r="EU100">
            <v>408</v>
          </cell>
          <cell r="EV100">
            <v>432</v>
          </cell>
          <cell r="EW100">
            <v>456</v>
          </cell>
          <cell r="EX100">
            <v>480</v>
          </cell>
          <cell r="EY100">
            <v>504</v>
          </cell>
          <cell r="EZ100">
            <v>528</v>
          </cell>
          <cell r="FA100">
            <v>552</v>
          </cell>
          <cell r="FB100">
            <v>576</v>
          </cell>
          <cell r="FC100">
            <v>600</v>
          </cell>
          <cell r="FD100">
            <v>624</v>
          </cell>
          <cell r="FE100">
            <v>648</v>
          </cell>
          <cell r="FF100">
            <v>672</v>
          </cell>
          <cell r="FG100">
            <v>696</v>
          </cell>
          <cell r="FH100">
            <v>720</v>
          </cell>
          <cell r="FI100">
            <v>744</v>
          </cell>
          <cell r="FJ100">
            <v>11904</v>
          </cell>
        </row>
        <row r="101">
          <cell r="ED101" t="str">
            <v>KPTJEX009</v>
          </cell>
          <cell r="EE101">
            <v>24</v>
          </cell>
          <cell r="EF101">
            <v>48</v>
          </cell>
          <cell r="EG101">
            <v>72</v>
          </cell>
          <cell r="EH101">
            <v>96</v>
          </cell>
          <cell r="EI101">
            <v>120</v>
          </cell>
          <cell r="EJ101">
            <v>144</v>
          </cell>
          <cell r="EK101">
            <v>168</v>
          </cell>
          <cell r="EL101">
            <v>192</v>
          </cell>
          <cell r="EM101">
            <v>216</v>
          </cell>
          <cell r="EN101">
            <v>240</v>
          </cell>
          <cell r="EO101">
            <v>264</v>
          </cell>
          <cell r="EP101">
            <v>288</v>
          </cell>
          <cell r="EQ101">
            <v>312</v>
          </cell>
          <cell r="ER101">
            <v>336</v>
          </cell>
          <cell r="ES101">
            <v>360</v>
          </cell>
          <cell r="ET101">
            <v>384</v>
          </cell>
          <cell r="EU101">
            <v>408</v>
          </cell>
          <cell r="EV101">
            <v>432</v>
          </cell>
          <cell r="EW101">
            <v>456</v>
          </cell>
          <cell r="EX101">
            <v>480</v>
          </cell>
          <cell r="EY101">
            <v>504</v>
          </cell>
          <cell r="EZ101">
            <v>528</v>
          </cell>
          <cell r="FA101">
            <v>552</v>
          </cell>
          <cell r="FB101">
            <v>576</v>
          </cell>
          <cell r="FC101">
            <v>600</v>
          </cell>
          <cell r="FD101">
            <v>624</v>
          </cell>
          <cell r="FE101">
            <v>648</v>
          </cell>
          <cell r="FF101">
            <v>672</v>
          </cell>
          <cell r="FG101">
            <v>696</v>
          </cell>
          <cell r="FH101">
            <v>720</v>
          </cell>
          <cell r="FI101">
            <v>744</v>
          </cell>
          <cell r="FJ101">
            <v>11904</v>
          </cell>
        </row>
        <row r="102">
          <cell r="ED102" t="str">
            <v>KPTJEX010</v>
          </cell>
          <cell r="EE102">
            <v>24</v>
          </cell>
          <cell r="EF102">
            <v>48</v>
          </cell>
          <cell r="EG102">
            <v>72</v>
          </cell>
          <cell r="EH102">
            <v>96</v>
          </cell>
          <cell r="EI102">
            <v>120</v>
          </cell>
          <cell r="EJ102">
            <v>144</v>
          </cell>
          <cell r="EK102">
            <v>168</v>
          </cell>
          <cell r="EL102">
            <v>192</v>
          </cell>
          <cell r="EM102">
            <v>216</v>
          </cell>
          <cell r="EN102">
            <v>240</v>
          </cell>
          <cell r="EO102">
            <v>264</v>
          </cell>
          <cell r="EP102">
            <v>288</v>
          </cell>
          <cell r="EQ102">
            <v>312</v>
          </cell>
          <cell r="ER102">
            <v>336</v>
          </cell>
          <cell r="ES102">
            <v>360</v>
          </cell>
          <cell r="ET102">
            <v>384</v>
          </cell>
          <cell r="EU102">
            <v>408</v>
          </cell>
          <cell r="EV102">
            <v>432</v>
          </cell>
          <cell r="EW102">
            <v>456</v>
          </cell>
          <cell r="EX102">
            <v>480</v>
          </cell>
          <cell r="EY102">
            <v>504</v>
          </cell>
          <cell r="EZ102">
            <v>528</v>
          </cell>
          <cell r="FA102">
            <v>552</v>
          </cell>
          <cell r="FB102">
            <v>576</v>
          </cell>
          <cell r="FC102">
            <v>600</v>
          </cell>
          <cell r="FD102">
            <v>624</v>
          </cell>
          <cell r="FE102">
            <v>648</v>
          </cell>
          <cell r="FF102">
            <v>672</v>
          </cell>
          <cell r="FG102">
            <v>696</v>
          </cell>
          <cell r="FH102">
            <v>720</v>
          </cell>
          <cell r="FI102">
            <v>744</v>
          </cell>
          <cell r="FJ102">
            <v>11904</v>
          </cell>
        </row>
        <row r="103">
          <cell r="ED103" t="str">
            <v>KPTJDZ011</v>
          </cell>
          <cell r="EE103">
            <v>24</v>
          </cell>
          <cell r="EF103">
            <v>48</v>
          </cell>
          <cell r="EG103">
            <v>72</v>
          </cell>
          <cell r="EH103">
            <v>96</v>
          </cell>
          <cell r="EI103">
            <v>120</v>
          </cell>
          <cell r="EJ103">
            <v>144</v>
          </cell>
          <cell r="EK103">
            <v>168</v>
          </cell>
          <cell r="EL103">
            <v>192</v>
          </cell>
          <cell r="EM103">
            <v>216</v>
          </cell>
          <cell r="EN103">
            <v>240</v>
          </cell>
          <cell r="EO103">
            <v>264</v>
          </cell>
          <cell r="EP103">
            <v>288</v>
          </cell>
          <cell r="EQ103">
            <v>312</v>
          </cell>
          <cell r="ER103">
            <v>336</v>
          </cell>
          <cell r="ES103">
            <v>360</v>
          </cell>
          <cell r="ET103">
            <v>384</v>
          </cell>
          <cell r="EU103">
            <v>408</v>
          </cell>
          <cell r="EV103">
            <v>432</v>
          </cell>
          <cell r="EW103">
            <v>456</v>
          </cell>
          <cell r="EX103">
            <v>480</v>
          </cell>
          <cell r="EY103">
            <v>504</v>
          </cell>
          <cell r="EZ103">
            <v>528</v>
          </cell>
          <cell r="FA103">
            <v>552</v>
          </cell>
          <cell r="FB103">
            <v>576</v>
          </cell>
          <cell r="FC103">
            <v>600</v>
          </cell>
          <cell r="FD103">
            <v>624</v>
          </cell>
          <cell r="FE103">
            <v>648</v>
          </cell>
          <cell r="FF103">
            <v>672</v>
          </cell>
          <cell r="FG103">
            <v>696</v>
          </cell>
          <cell r="FH103">
            <v>720</v>
          </cell>
          <cell r="FI103">
            <v>744</v>
          </cell>
          <cell r="FJ103">
            <v>11904</v>
          </cell>
        </row>
        <row r="104">
          <cell r="ED104" t="str">
            <v>KPTJDZ012</v>
          </cell>
          <cell r="EE104">
            <v>24</v>
          </cell>
          <cell r="EF104">
            <v>48</v>
          </cell>
          <cell r="EG104">
            <v>72</v>
          </cell>
          <cell r="EH104">
            <v>96</v>
          </cell>
          <cell r="EI104">
            <v>120</v>
          </cell>
          <cell r="EJ104">
            <v>144</v>
          </cell>
          <cell r="EK104">
            <v>168</v>
          </cell>
          <cell r="EL104">
            <v>192</v>
          </cell>
          <cell r="EM104">
            <v>216</v>
          </cell>
          <cell r="EN104">
            <v>240</v>
          </cell>
          <cell r="EO104">
            <v>264</v>
          </cell>
          <cell r="EP104">
            <v>288</v>
          </cell>
          <cell r="EQ104">
            <v>312</v>
          </cell>
          <cell r="ER104">
            <v>336</v>
          </cell>
          <cell r="ES104">
            <v>360</v>
          </cell>
          <cell r="ET104">
            <v>384</v>
          </cell>
          <cell r="EU104">
            <v>408</v>
          </cell>
          <cell r="EV104">
            <v>432</v>
          </cell>
          <cell r="EW104">
            <v>456</v>
          </cell>
          <cell r="EX104">
            <v>480</v>
          </cell>
          <cell r="EY104">
            <v>504</v>
          </cell>
          <cell r="EZ104">
            <v>528</v>
          </cell>
          <cell r="FA104">
            <v>552</v>
          </cell>
          <cell r="FB104">
            <v>576</v>
          </cell>
          <cell r="FC104">
            <v>600</v>
          </cell>
          <cell r="FD104">
            <v>624</v>
          </cell>
          <cell r="FE104">
            <v>648</v>
          </cell>
          <cell r="FF104">
            <v>672</v>
          </cell>
          <cell r="FG104">
            <v>696</v>
          </cell>
          <cell r="FH104">
            <v>720</v>
          </cell>
          <cell r="FI104">
            <v>744</v>
          </cell>
          <cell r="FJ104">
            <v>11904</v>
          </cell>
        </row>
        <row r="105">
          <cell r="ED105" t="str">
            <v>KPTJDZ022</v>
          </cell>
          <cell r="EE105">
            <v>24</v>
          </cell>
          <cell r="EF105">
            <v>48</v>
          </cell>
          <cell r="EG105">
            <v>72</v>
          </cell>
          <cell r="EH105">
            <v>96</v>
          </cell>
          <cell r="EI105">
            <v>120</v>
          </cell>
          <cell r="EJ105">
            <v>144</v>
          </cell>
          <cell r="EK105">
            <v>168</v>
          </cell>
          <cell r="EL105">
            <v>192</v>
          </cell>
          <cell r="EM105">
            <v>216</v>
          </cell>
          <cell r="EN105">
            <v>240</v>
          </cell>
          <cell r="EO105">
            <v>264</v>
          </cell>
          <cell r="EP105">
            <v>288</v>
          </cell>
          <cell r="EQ105">
            <v>312</v>
          </cell>
          <cell r="ER105">
            <v>336</v>
          </cell>
          <cell r="ES105">
            <v>360</v>
          </cell>
          <cell r="ET105">
            <v>384</v>
          </cell>
          <cell r="EU105">
            <v>408</v>
          </cell>
          <cell r="EV105">
            <v>432</v>
          </cell>
          <cell r="EW105">
            <v>456</v>
          </cell>
          <cell r="EX105">
            <v>480</v>
          </cell>
          <cell r="EY105">
            <v>504</v>
          </cell>
          <cell r="EZ105">
            <v>528</v>
          </cell>
          <cell r="FA105">
            <v>552</v>
          </cell>
          <cell r="FB105">
            <v>576</v>
          </cell>
          <cell r="FC105">
            <v>600</v>
          </cell>
          <cell r="FD105">
            <v>624</v>
          </cell>
          <cell r="FE105">
            <v>648</v>
          </cell>
          <cell r="FF105">
            <v>672</v>
          </cell>
          <cell r="FG105">
            <v>696</v>
          </cell>
          <cell r="FH105">
            <v>720</v>
          </cell>
          <cell r="FI105">
            <v>744</v>
          </cell>
          <cell r="FJ105">
            <v>11904</v>
          </cell>
        </row>
        <row r="106">
          <cell r="ED106" t="str">
            <v>KPTJDZ015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</row>
        <row r="107">
          <cell r="ED107" t="str">
            <v>KPTJDZ016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</row>
        <row r="108">
          <cell r="ED108" t="str">
            <v>KPTJDZ017</v>
          </cell>
          <cell r="EE108">
            <v>24</v>
          </cell>
          <cell r="EF108">
            <v>48</v>
          </cell>
          <cell r="EG108">
            <v>72</v>
          </cell>
          <cell r="EH108">
            <v>96</v>
          </cell>
          <cell r="EI108">
            <v>120</v>
          </cell>
          <cell r="EJ108">
            <v>144</v>
          </cell>
          <cell r="EK108">
            <v>168</v>
          </cell>
          <cell r="EL108">
            <v>192</v>
          </cell>
          <cell r="EM108">
            <v>216</v>
          </cell>
          <cell r="EN108">
            <v>240</v>
          </cell>
          <cell r="EO108">
            <v>264</v>
          </cell>
          <cell r="EP108">
            <v>288</v>
          </cell>
          <cell r="EQ108">
            <v>312</v>
          </cell>
          <cell r="ER108">
            <v>336</v>
          </cell>
          <cell r="ES108">
            <v>360</v>
          </cell>
          <cell r="ET108">
            <v>384</v>
          </cell>
          <cell r="EU108">
            <v>408</v>
          </cell>
          <cell r="EV108">
            <v>432</v>
          </cell>
          <cell r="EW108">
            <v>456</v>
          </cell>
          <cell r="EX108">
            <v>480</v>
          </cell>
          <cell r="EY108">
            <v>504</v>
          </cell>
          <cell r="EZ108">
            <v>528</v>
          </cell>
          <cell r="FA108">
            <v>552</v>
          </cell>
          <cell r="FB108">
            <v>576</v>
          </cell>
          <cell r="FC108">
            <v>600</v>
          </cell>
          <cell r="FD108">
            <v>624</v>
          </cell>
          <cell r="FE108">
            <v>648</v>
          </cell>
          <cell r="FF108">
            <v>672</v>
          </cell>
          <cell r="FG108">
            <v>696</v>
          </cell>
          <cell r="FH108">
            <v>720</v>
          </cell>
          <cell r="FI108">
            <v>744</v>
          </cell>
          <cell r="FJ108">
            <v>11904</v>
          </cell>
        </row>
        <row r="109">
          <cell r="ED109" t="str">
            <v>KPTJEX018</v>
          </cell>
          <cell r="EE109">
            <v>24</v>
          </cell>
          <cell r="EF109">
            <v>48</v>
          </cell>
          <cell r="EG109">
            <v>72</v>
          </cell>
          <cell r="EH109">
            <v>96</v>
          </cell>
          <cell r="EI109">
            <v>120</v>
          </cell>
          <cell r="EJ109">
            <v>144</v>
          </cell>
          <cell r="EK109">
            <v>168</v>
          </cell>
          <cell r="EL109">
            <v>192</v>
          </cell>
          <cell r="EM109">
            <v>216</v>
          </cell>
          <cell r="EN109">
            <v>240</v>
          </cell>
          <cell r="EO109">
            <v>264</v>
          </cell>
          <cell r="EP109">
            <v>288</v>
          </cell>
          <cell r="EQ109">
            <v>312</v>
          </cell>
          <cell r="ER109">
            <v>336</v>
          </cell>
          <cell r="ES109">
            <v>360</v>
          </cell>
          <cell r="ET109">
            <v>384</v>
          </cell>
          <cell r="EU109">
            <v>408</v>
          </cell>
          <cell r="EV109">
            <v>432</v>
          </cell>
          <cell r="EW109">
            <v>456</v>
          </cell>
          <cell r="EX109">
            <v>480</v>
          </cell>
          <cell r="EY109">
            <v>504</v>
          </cell>
          <cell r="EZ109">
            <v>528</v>
          </cell>
          <cell r="FA109">
            <v>552</v>
          </cell>
          <cell r="FB109">
            <v>576</v>
          </cell>
          <cell r="FC109">
            <v>600</v>
          </cell>
          <cell r="FD109">
            <v>624</v>
          </cell>
          <cell r="FE109">
            <v>648</v>
          </cell>
          <cell r="FF109">
            <v>672</v>
          </cell>
          <cell r="FG109">
            <v>696</v>
          </cell>
          <cell r="FH109">
            <v>720</v>
          </cell>
          <cell r="FI109">
            <v>744</v>
          </cell>
          <cell r="FJ109">
            <v>11904</v>
          </cell>
        </row>
        <row r="110">
          <cell r="ED110" t="str">
            <v>KPTJCP019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</row>
        <row r="111">
          <cell r="ED111" t="str">
            <v>KPTJDZ020</v>
          </cell>
          <cell r="EE111">
            <v>24</v>
          </cell>
          <cell r="EF111">
            <v>48</v>
          </cell>
          <cell r="EG111">
            <v>72</v>
          </cell>
          <cell r="EH111">
            <v>96</v>
          </cell>
          <cell r="EI111">
            <v>120</v>
          </cell>
          <cell r="EJ111">
            <v>144</v>
          </cell>
          <cell r="EK111">
            <v>168</v>
          </cell>
          <cell r="EL111">
            <v>192</v>
          </cell>
          <cell r="EM111">
            <v>216</v>
          </cell>
          <cell r="EN111">
            <v>240</v>
          </cell>
          <cell r="EO111">
            <v>264</v>
          </cell>
          <cell r="EP111">
            <v>288</v>
          </cell>
          <cell r="EQ111">
            <v>312</v>
          </cell>
          <cell r="ER111">
            <v>336</v>
          </cell>
          <cell r="ES111">
            <v>360</v>
          </cell>
          <cell r="ET111">
            <v>384</v>
          </cell>
          <cell r="EU111">
            <v>408</v>
          </cell>
          <cell r="EV111">
            <v>432</v>
          </cell>
          <cell r="EW111">
            <v>456</v>
          </cell>
          <cell r="EX111">
            <v>480</v>
          </cell>
          <cell r="EY111">
            <v>504</v>
          </cell>
          <cell r="EZ111">
            <v>528</v>
          </cell>
          <cell r="FA111">
            <v>552</v>
          </cell>
          <cell r="FB111">
            <v>576</v>
          </cell>
          <cell r="FC111">
            <v>600</v>
          </cell>
          <cell r="FD111">
            <v>624</v>
          </cell>
          <cell r="FE111">
            <v>648</v>
          </cell>
          <cell r="FF111">
            <v>672</v>
          </cell>
          <cell r="FG111">
            <v>696</v>
          </cell>
          <cell r="FH111">
            <v>720</v>
          </cell>
          <cell r="FI111">
            <v>744</v>
          </cell>
          <cell r="FJ111">
            <v>11904</v>
          </cell>
        </row>
        <row r="112">
          <cell r="ED112" t="str">
            <v>KPTJDZ021</v>
          </cell>
          <cell r="EE112">
            <v>24</v>
          </cell>
          <cell r="EF112">
            <v>48</v>
          </cell>
          <cell r="EG112">
            <v>72</v>
          </cell>
          <cell r="EH112">
            <v>96</v>
          </cell>
          <cell r="EI112">
            <v>120</v>
          </cell>
          <cell r="EJ112">
            <v>144</v>
          </cell>
          <cell r="EK112">
            <v>168</v>
          </cell>
          <cell r="EL112">
            <v>192</v>
          </cell>
          <cell r="EM112">
            <v>216</v>
          </cell>
          <cell r="EN112">
            <v>240</v>
          </cell>
          <cell r="EO112">
            <v>264</v>
          </cell>
          <cell r="EP112">
            <v>288</v>
          </cell>
          <cell r="EQ112">
            <v>312</v>
          </cell>
          <cell r="ER112">
            <v>336</v>
          </cell>
          <cell r="ES112">
            <v>360</v>
          </cell>
          <cell r="ET112">
            <v>384</v>
          </cell>
          <cell r="EU112">
            <v>408</v>
          </cell>
          <cell r="EV112">
            <v>432</v>
          </cell>
          <cell r="EW112">
            <v>456</v>
          </cell>
          <cell r="EX112">
            <v>480</v>
          </cell>
          <cell r="EY112">
            <v>504</v>
          </cell>
          <cell r="EZ112">
            <v>528</v>
          </cell>
          <cell r="FA112">
            <v>552</v>
          </cell>
          <cell r="FB112">
            <v>576</v>
          </cell>
          <cell r="FC112">
            <v>600</v>
          </cell>
          <cell r="FD112">
            <v>624</v>
          </cell>
          <cell r="FE112">
            <v>648</v>
          </cell>
          <cell r="FF112">
            <v>672</v>
          </cell>
          <cell r="FG112">
            <v>696</v>
          </cell>
          <cell r="FH112">
            <v>720</v>
          </cell>
          <cell r="FI112">
            <v>744</v>
          </cell>
          <cell r="FJ112">
            <v>11904</v>
          </cell>
        </row>
        <row r="113">
          <cell r="ED113" t="str">
            <v>KPLMEX001</v>
          </cell>
          <cell r="EE113">
            <v>24</v>
          </cell>
          <cell r="EF113">
            <v>48</v>
          </cell>
          <cell r="EG113">
            <v>72</v>
          </cell>
          <cell r="EH113">
            <v>96</v>
          </cell>
          <cell r="EI113">
            <v>120</v>
          </cell>
          <cell r="EJ113">
            <v>144</v>
          </cell>
          <cell r="EK113">
            <v>168</v>
          </cell>
          <cell r="EL113">
            <v>192</v>
          </cell>
          <cell r="EM113">
            <v>216</v>
          </cell>
          <cell r="EN113">
            <v>240</v>
          </cell>
          <cell r="EO113">
            <v>264</v>
          </cell>
          <cell r="EP113">
            <v>288</v>
          </cell>
          <cell r="EQ113">
            <v>312</v>
          </cell>
          <cell r="ER113">
            <v>336</v>
          </cell>
          <cell r="ES113">
            <v>360</v>
          </cell>
          <cell r="ET113">
            <v>384</v>
          </cell>
          <cell r="EU113">
            <v>408</v>
          </cell>
          <cell r="EV113">
            <v>432</v>
          </cell>
          <cell r="EW113">
            <v>456</v>
          </cell>
          <cell r="EX113">
            <v>480</v>
          </cell>
          <cell r="EY113">
            <v>504</v>
          </cell>
          <cell r="EZ113">
            <v>528</v>
          </cell>
          <cell r="FA113">
            <v>552</v>
          </cell>
          <cell r="FB113">
            <v>576</v>
          </cell>
          <cell r="FC113">
            <v>600</v>
          </cell>
          <cell r="FD113">
            <v>624</v>
          </cell>
          <cell r="FE113">
            <v>648</v>
          </cell>
          <cell r="FF113">
            <v>672</v>
          </cell>
          <cell r="FG113">
            <v>696</v>
          </cell>
          <cell r="FH113">
            <v>720</v>
          </cell>
          <cell r="FI113">
            <v>744</v>
          </cell>
          <cell r="FJ113">
            <v>11904</v>
          </cell>
        </row>
        <row r="114">
          <cell r="ED114" t="str">
            <v>KPLMEX002</v>
          </cell>
          <cell r="EE114">
            <v>24</v>
          </cell>
          <cell r="EF114">
            <v>48</v>
          </cell>
          <cell r="EG114">
            <v>72</v>
          </cell>
          <cell r="EH114">
            <v>96</v>
          </cell>
          <cell r="EI114">
            <v>120</v>
          </cell>
          <cell r="EJ114">
            <v>144</v>
          </cell>
          <cell r="EK114">
            <v>168</v>
          </cell>
          <cell r="EL114">
            <v>192</v>
          </cell>
          <cell r="EM114">
            <v>216</v>
          </cell>
          <cell r="EN114">
            <v>240</v>
          </cell>
          <cell r="EO114">
            <v>264</v>
          </cell>
          <cell r="EP114">
            <v>288</v>
          </cell>
          <cell r="EQ114">
            <v>312</v>
          </cell>
          <cell r="ER114">
            <v>336</v>
          </cell>
          <cell r="ES114">
            <v>360</v>
          </cell>
          <cell r="ET114">
            <v>384</v>
          </cell>
          <cell r="EU114">
            <v>408</v>
          </cell>
          <cell r="EV114">
            <v>432</v>
          </cell>
          <cell r="EW114">
            <v>456</v>
          </cell>
          <cell r="EX114">
            <v>480</v>
          </cell>
          <cell r="EY114">
            <v>504</v>
          </cell>
          <cell r="EZ114">
            <v>528</v>
          </cell>
          <cell r="FA114">
            <v>552</v>
          </cell>
          <cell r="FB114">
            <v>576</v>
          </cell>
          <cell r="FC114">
            <v>600</v>
          </cell>
          <cell r="FD114">
            <v>624</v>
          </cell>
          <cell r="FE114">
            <v>648</v>
          </cell>
          <cell r="FF114">
            <v>672</v>
          </cell>
          <cell r="FG114">
            <v>696</v>
          </cell>
          <cell r="FH114">
            <v>720</v>
          </cell>
          <cell r="FI114">
            <v>744</v>
          </cell>
          <cell r="FJ114">
            <v>11904</v>
          </cell>
        </row>
        <row r="115">
          <cell r="ED115" t="str">
            <v>KPLMEX003</v>
          </cell>
          <cell r="EE115">
            <v>24</v>
          </cell>
          <cell r="EF115">
            <v>48</v>
          </cell>
          <cell r="EG115">
            <v>72</v>
          </cell>
          <cell r="EH115">
            <v>96</v>
          </cell>
          <cell r="EI115">
            <v>120</v>
          </cell>
          <cell r="EJ115">
            <v>144</v>
          </cell>
          <cell r="EK115">
            <v>168</v>
          </cell>
          <cell r="EL115">
            <v>192</v>
          </cell>
          <cell r="EM115">
            <v>216</v>
          </cell>
          <cell r="EN115">
            <v>240</v>
          </cell>
          <cell r="EO115">
            <v>264</v>
          </cell>
          <cell r="EP115">
            <v>288</v>
          </cell>
          <cell r="EQ115">
            <v>312</v>
          </cell>
          <cell r="ER115">
            <v>336</v>
          </cell>
          <cell r="ES115">
            <v>360</v>
          </cell>
          <cell r="ET115">
            <v>384</v>
          </cell>
          <cell r="EU115">
            <v>408</v>
          </cell>
          <cell r="EV115">
            <v>432</v>
          </cell>
          <cell r="EW115">
            <v>456</v>
          </cell>
          <cell r="EX115">
            <v>480</v>
          </cell>
          <cell r="EY115">
            <v>504</v>
          </cell>
          <cell r="EZ115">
            <v>528</v>
          </cell>
          <cell r="FA115">
            <v>552</v>
          </cell>
          <cell r="FB115">
            <v>576</v>
          </cell>
          <cell r="FC115">
            <v>600</v>
          </cell>
          <cell r="FD115">
            <v>624</v>
          </cell>
          <cell r="FE115">
            <v>648</v>
          </cell>
          <cell r="FF115">
            <v>672</v>
          </cell>
          <cell r="FG115">
            <v>696</v>
          </cell>
          <cell r="FH115">
            <v>720</v>
          </cell>
          <cell r="FI115">
            <v>744</v>
          </cell>
          <cell r="FJ115">
            <v>11904</v>
          </cell>
        </row>
        <row r="116">
          <cell r="ED116" t="str">
            <v>KPLMCP004</v>
          </cell>
          <cell r="EE116">
            <v>24</v>
          </cell>
          <cell r="EF116">
            <v>48</v>
          </cell>
          <cell r="EG116">
            <v>72</v>
          </cell>
          <cell r="EH116">
            <v>96</v>
          </cell>
          <cell r="EI116">
            <v>120</v>
          </cell>
          <cell r="EJ116">
            <v>144</v>
          </cell>
          <cell r="EK116">
            <v>168</v>
          </cell>
          <cell r="EL116">
            <v>192</v>
          </cell>
          <cell r="EM116">
            <v>216</v>
          </cell>
          <cell r="EN116">
            <v>240</v>
          </cell>
          <cell r="EO116">
            <v>264</v>
          </cell>
          <cell r="EP116">
            <v>288</v>
          </cell>
          <cell r="EQ116">
            <v>312</v>
          </cell>
          <cell r="ER116">
            <v>336</v>
          </cell>
          <cell r="ES116">
            <v>360</v>
          </cell>
          <cell r="ET116">
            <v>384</v>
          </cell>
          <cell r="EU116">
            <v>408</v>
          </cell>
          <cell r="EV116">
            <v>432</v>
          </cell>
          <cell r="EW116">
            <v>456</v>
          </cell>
          <cell r="EX116">
            <v>480</v>
          </cell>
          <cell r="EY116">
            <v>504</v>
          </cell>
          <cell r="EZ116">
            <v>528</v>
          </cell>
          <cell r="FA116">
            <v>552</v>
          </cell>
          <cell r="FB116">
            <v>576</v>
          </cell>
          <cell r="FC116">
            <v>600</v>
          </cell>
          <cell r="FD116">
            <v>624</v>
          </cell>
          <cell r="FE116">
            <v>648</v>
          </cell>
          <cell r="FF116">
            <v>672</v>
          </cell>
          <cell r="FG116">
            <v>696</v>
          </cell>
          <cell r="FH116">
            <v>720</v>
          </cell>
          <cell r="FI116">
            <v>744</v>
          </cell>
          <cell r="FJ116">
            <v>11904</v>
          </cell>
        </row>
        <row r="117">
          <cell r="ED117" t="str">
            <v>KPLMCP005</v>
          </cell>
          <cell r="EE117">
            <v>24</v>
          </cell>
          <cell r="EF117">
            <v>48</v>
          </cell>
          <cell r="EG117">
            <v>72</v>
          </cell>
          <cell r="EH117">
            <v>96</v>
          </cell>
          <cell r="EI117">
            <v>120</v>
          </cell>
          <cell r="EJ117">
            <v>144</v>
          </cell>
          <cell r="EK117">
            <v>168</v>
          </cell>
          <cell r="EL117">
            <v>192</v>
          </cell>
          <cell r="EM117">
            <v>216</v>
          </cell>
          <cell r="EN117">
            <v>240</v>
          </cell>
          <cell r="EO117">
            <v>264</v>
          </cell>
          <cell r="EP117">
            <v>288</v>
          </cell>
          <cell r="EQ117">
            <v>312</v>
          </cell>
          <cell r="ER117">
            <v>336</v>
          </cell>
          <cell r="ES117">
            <v>360</v>
          </cell>
          <cell r="ET117">
            <v>384</v>
          </cell>
          <cell r="EU117">
            <v>408</v>
          </cell>
          <cell r="EV117">
            <v>432</v>
          </cell>
          <cell r="EW117">
            <v>456</v>
          </cell>
          <cell r="EX117">
            <v>480</v>
          </cell>
          <cell r="EY117">
            <v>504</v>
          </cell>
          <cell r="EZ117">
            <v>528</v>
          </cell>
          <cell r="FA117">
            <v>552</v>
          </cell>
          <cell r="FB117">
            <v>576</v>
          </cell>
          <cell r="FC117">
            <v>600</v>
          </cell>
          <cell r="FD117">
            <v>624</v>
          </cell>
          <cell r="FE117">
            <v>648</v>
          </cell>
          <cell r="FF117">
            <v>672</v>
          </cell>
          <cell r="FG117">
            <v>696</v>
          </cell>
          <cell r="FH117">
            <v>720</v>
          </cell>
          <cell r="FI117">
            <v>744</v>
          </cell>
          <cell r="FJ117">
            <v>11904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  <sheetName val="EDS110507"/>
      <sheetName val="Hourly"/>
      <sheetName val="INPUT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Z3" t="str">
            <v>USD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HOURLY"/>
      <sheetName val="Data_AC"/>
      <sheetName val="Project"/>
      <sheetName val="Plan"/>
      <sheetName val="Detail Exp."/>
      <sheetName val="ACUM"/>
      <sheetName val="TJ"/>
      <sheetName val="LM"/>
      <sheetName val="244 Black coal"/>
      <sheetName val="bantuan"/>
      <sheetName val="Database"/>
      <sheetName val="Assumptions"/>
      <sheetName val="412src2"/>
      <sheetName val="Truck"/>
      <sheetName val="DP Report"/>
      <sheetName val="MTD OB Forecasting"/>
      <sheetName val="Coal_Mining"/>
      <sheetName val="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A_SQL2IMPS_"/>
      <sheetName val="Hourly"/>
      <sheetName val="Project"/>
      <sheetName val="Plan"/>
      <sheetName val="Hourly Monitoring master"/>
      <sheetName val="Truck"/>
      <sheetName val="ASPAL (14)"/>
      <sheetName val="OPT_GL"/>
      <sheetName val="Assumptions"/>
      <sheetName val="MTD OB Forecasting"/>
      <sheetName val="bantuan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 refreshError="1"/>
      <sheetData sheetId="1" refreshError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B3" t="str">
            <v>RP</v>
          </cell>
        </row>
        <row r="4">
          <cell r="B4" t="str">
            <v>SGD</v>
          </cell>
        </row>
        <row r="5">
          <cell r="B5" t="str">
            <v>USD</v>
          </cell>
        </row>
        <row r="6"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B3" t="str">
            <v>Banpu Public Company  Limted</v>
          </cell>
        </row>
        <row r="4">
          <cell r="B4" t="str">
            <v>Banpu Minerals Company  Limted</v>
          </cell>
        </row>
        <row r="5">
          <cell r="B5" t="str">
            <v>Promsin Company Limited</v>
          </cell>
        </row>
        <row r="6">
          <cell r="B6" t="str">
            <v>Banpu International Limted</v>
          </cell>
        </row>
      </sheetData>
      <sheetData sheetId="5" refreshError="1">
        <row r="2">
          <cell r="B2" t="str">
            <v>Description</v>
          </cell>
        </row>
        <row r="3">
          <cell r="B3" t="str">
            <v>Corporate</v>
          </cell>
        </row>
        <row r="4">
          <cell r="B4" t="str">
            <v>Coal Thailand Business</v>
          </cell>
        </row>
        <row r="5">
          <cell r="B5" t="str">
            <v>Minerals Business</v>
          </cell>
        </row>
        <row r="6">
          <cell r="B6" t="str">
            <v>Engineering Service Business</v>
          </cell>
        </row>
      </sheetData>
      <sheetData sheetId="6" refreshError="1">
        <row r="2">
          <cell r="B2" t="str">
            <v>Description</v>
          </cell>
        </row>
        <row r="3">
          <cell r="B3" t="str">
            <v>Administration</v>
          </cell>
        </row>
        <row r="4">
          <cell r="B4" t="str">
            <v>Office of CEO</v>
          </cell>
        </row>
        <row r="5">
          <cell r="B5" t="str">
            <v>Government Relations</v>
          </cell>
        </row>
        <row r="6">
          <cell r="B6" t="str">
            <v>Corporate Communications</v>
          </cell>
        </row>
      </sheetData>
      <sheetData sheetId="7" refreshError="1">
        <row r="2">
          <cell r="B2" t="str">
            <v>Description</v>
          </cell>
        </row>
        <row r="3">
          <cell r="B3" t="str">
            <v>Routine</v>
          </cell>
        </row>
        <row r="4">
          <cell r="B4" t="str">
            <v>Increase domestic coal sales valume in cement industy</v>
          </cell>
        </row>
        <row r="5">
          <cell r="B5" t="str">
            <v>Sell Coal to EGAT</v>
          </cell>
        </row>
        <row r="6">
          <cell r="B6" t="str">
            <v>Routine-Sales-Coal Thailand</v>
          </cell>
        </row>
      </sheetData>
      <sheetData sheetId="8" refreshError="1">
        <row r="2">
          <cell r="B2" t="str">
            <v>Description</v>
          </cell>
        </row>
        <row r="3">
          <cell r="B3" t="str">
            <v>Land</v>
          </cell>
        </row>
        <row r="4">
          <cell r="B4" t="str">
            <v>Land Improvement</v>
          </cell>
        </row>
        <row r="5">
          <cell r="B5" t="str">
            <v>Building</v>
          </cell>
        </row>
        <row r="6">
          <cell r="B6" t="str">
            <v>Structures</v>
          </cell>
        </row>
      </sheetData>
      <sheetData sheetId="9" refreshError="1">
        <row r="2">
          <cell r="B2" t="str">
            <v>Description</v>
          </cell>
        </row>
        <row r="3">
          <cell r="B3" t="str">
            <v>SETTING POND</v>
          </cell>
        </row>
        <row r="4">
          <cell r="B4" t="str">
            <v>CONTROLL WATER TANK</v>
          </cell>
        </row>
        <row r="5">
          <cell r="B5" t="str">
            <v>DOCUMENT ROOM</v>
          </cell>
        </row>
        <row r="6">
          <cell r="B6" t="str">
            <v>SPREADER &amp; TRIPPER CAR IN PROGRESS</v>
          </cell>
        </row>
      </sheetData>
      <sheetData sheetId="10" refreshError="1">
        <row r="2">
          <cell r="B2" t="str">
            <v>Description</v>
          </cell>
        </row>
        <row r="3">
          <cell r="B3" t="str">
            <v>Unspecified</v>
          </cell>
        </row>
        <row r="4">
          <cell r="B4" t="str">
            <v>LP-2 Project</v>
          </cell>
        </row>
        <row r="5">
          <cell r="B5" t="str">
            <v>Lampang 3 Project</v>
          </cell>
        </row>
        <row r="6">
          <cell r="B6" t="str">
            <v>LP-2 Project (Coordination)</v>
          </cell>
        </row>
      </sheetData>
      <sheetData sheetId="11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  <row r="6">
          <cell r="B6" t="str">
            <v>08</v>
          </cell>
        </row>
      </sheetData>
      <sheetData sheetId="21" refreshError="1">
        <row r="2">
          <cell r="B2" t="str">
            <v>Description</v>
          </cell>
        </row>
        <row r="4"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List"/>
      <sheetName val="BOMAG"/>
      <sheetName val="SHE"/>
      <sheetName val="W_H"/>
      <sheetName val="Sum"/>
      <sheetName val="Plant_Week"/>
      <sheetName val="Rental"/>
      <sheetName val="Run"/>
      <sheetName val="MASTER"/>
      <sheetName val="Open Pits"/>
      <sheetName val="Summary"/>
      <sheetName val="OPT_GL"/>
      <sheetName val="Budget"/>
      <sheetName val="STD RATES"/>
      <sheetName val="dat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Project"/>
      <sheetName val="PLAN"/>
      <sheetName val="Truck"/>
      <sheetName val="dBase"/>
      <sheetName val="dBonus"/>
      <sheetName val="Op_GL"/>
      <sheetName val="fmc"/>
      <sheetName val="Pama"/>
      <sheetName val="Petrosea"/>
      <sheetName val="Master DPR"/>
      <sheetName val="Contract"/>
      <sheetName val="Tabel FPI"/>
      <sheetName val="LP-01 2012"/>
      <sheetName val="OFFICE"/>
      <sheetName val="Non-staff Tender Rates"/>
      <sheetName val="EX2500FIX"/>
      <sheetName val="MacPro"/>
      <sheetName val="Unit"/>
      <sheetName val="G&amp;L"/>
      <sheetName val="Bonus"/>
      <sheetName val="input loading point"/>
      <sheetName val="Range"/>
      <sheetName val="Dates"/>
      <sheetName val="Movement_Bench15 (ob)"/>
      <sheetName val="Movement_Bench15 (ore)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Assumptions"/>
      <sheetName val="BB TO STOCK KTD 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  <sheetName val="HM"/>
      <sheetName val="CHART 1"/>
    </sheetNames>
    <sheetDataSet>
      <sheetData sheetId="0" refreshError="1">
        <row r="2">
          <cell r="B2" t="str">
            <v>adji triyono</v>
          </cell>
          <cell r="C2">
            <v>6193116</v>
          </cell>
        </row>
        <row r="3">
          <cell r="B3" t="str">
            <v>al khaeruddin</v>
          </cell>
          <cell r="C3" t="str">
            <v>1k94012</v>
          </cell>
        </row>
        <row r="4">
          <cell r="B4" t="str">
            <v>aljufri</v>
          </cell>
          <cell r="C4">
            <v>7192004</v>
          </cell>
        </row>
        <row r="5">
          <cell r="B5" t="str">
            <v>andi busra</v>
          </cell>
          <cell r="C5" t="str">
            <v>1m01086</v>
          </cell>
        </row>
        <row r="6">
          <cell r="B6" t="str">
            <v>apollo s</v>
          </cell>
          <cell r="C6" t="str">
            <v>1m98180</v>
          </cell>
        </row>
        <row r="7">
          <cell r="B7" t="str">
            <v>hanura</v>
          </cell>
          <cell r="C7">
            <v>6193146</v>
          </cell>
        </row>
        <row r="8">
          <cell r="B8" t="str">
            <v>hasbullah</v>
          </cell>
          <cell r="C8">
            <v>6194306</v>
          </cell>
        </row>
        <row r="9">
          <cell r="B9" t="str">
            <v>hendro m</v>
          </cell>
          <cell r="C9">
            <v>6195100</v>
          </cell>
        </row>
        <row r="10">
          <cell r="B10" t="str">
            <v>kuntari</v>
          </cell>
          <cell r="C10" t="str">
            <v>1k96036</v>
          </cell>
        </row>
        <row r="11">
          <cell r="B11" t="str">
            <v>m. tholib</v>
          </cell>
          <cell r="C11" t="str">
            <v>1k96071</v>
          </cell>
        </row>
        <row r="12">
          <cell r="B12" t="str">
            <v>mariyanto</v>
          </cell>
          <cell r="C12">
            <v>6195113</v>
          </cell>
        </row>
        <row r="13">
          <cell r="B13" t="str">
            <v>moh. syaiful ali</v>
          </cell>
          <cell r="C13" t="str">
            <v>1s01027</v>
          </cell>
        </row>
        <row r="14">
          <cell r="B14" t="str">
            <v>purnomo</v>
          </cell>
          <cell r="C14" t="str">
            <v>1m01110</v>
          </cell>
        </row>
        <row r="15">
          <cell r="B15" t="str">
            <v>robert z</v>
          </cell>
          <cell r="C15" t="str">
            <v>1k96061</v>
          </cell>
        </row>
        <row r="16">
          <cell r="B16" t="str">
            <v>rozali idris</v>
          </cell>
          <cell r="C16">
            <v>7191012</v>
          </cell>
        </row>
        <row r="17">
          <cell r="B17" t="str">
            <v>rustam effendi</v>
          </cell>
          <cell r="C17" t="str">
            <v>1m01079</v>
          </cell>
        </row>
        <row r="18">
          <cell r="B18" t="str">
            <v>sahrul c</v>
          </cell>
          <cell r="C18" t="str">
            <v>1m01020</v>
          </cell>
        </row>
        <row r="19">
          <cell r="B19" t="str">
            <v>slamet</v>
          </cell>
          <cell r="C19" t="str">
            <v>1k96054</v>
          </cell>
        </row>
        <row r="20">
          <cell r="B20" t="str">
            <v>slamet h</v>
          </cell>
          <cell r="C20">
            <v>6194272</v>
          </cell>
        </row>
        <row r="21">
          <cell r="B21" t="str">
            <v>sudarto</v>
          </cell>
          <cell r="C21">
            <v>6191121</v>
          </cell>
        </row>
        <row r="22">
          <cell r="B22" t="str">
            <v>sukin</v>
          </cell>
          <cell r="C22">
            <v>6188023</v>
          </cell>
        </row>
        <row r="23">
          <cell r="B23" t="str">
            <v>sungkono</v>
          </cell>
          <cell r="C23" t="str">
            <v>1k93034</v>
          </cell>
        </row>
        <row r="24">
          <cell r="B24" t="str">
            <v>supriadi syawar</v>
          </cell>
          <cell r="C24" t="str">
            <v>1k96051</v>
          </cell>
        </row>
        <row r="25">
          <cell r="B25" t="str">
            <v>suryadi</v>
          </cell>
          <cell r="C25">
            <v>6193152</v>
          </cell>
        </row>
        <row r="26">
          <cell r="B26" t="str">
            <v>syahwan</v>
          </cell>
          <cell r="C26" t="str">
            <v>1k93077</v>
          </cell>
        </row>
        <row r="27">
          <cell r="B27" t="str">
            <v>syamsuryadi</v>
          </cell>
          <cell r="C27" t="str">
            <v>1m98027</v>
          </cell>
        </row>
        <row r="28">
          <cell r="B28" t="str">
            <v>syarifuddin</v>
          </cell>
          <cell r="C28" t="str">
            <v>1k96037</v>
          </cell>
        </row>
        <row r="29">
          <cell r="B29" t="str">
            <v>syuhefdi</v>
          </cell>
          <cell r="C29">
            <v>6194271</v>
          </cell>
        </row>
        <row r="30">
          <cell r="B30" t="str">
            <v>taufik</v>
          </cell>
          <cell r="C30" t="str">
            <v>1k96063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Depth_41"/>
      <sheetName val="Run"/>
      <sheetName val="summary"/>
      <sheetName val="COST"/>
      <sheetName val="bantuan"/>
      <sheetName val="NEW_PELIKAN_"/>
      <sheetName val="sum_MSY"/>
      <sheetName val="LIST"/>
      <sheetName val="Project"/>
      <sheetName val="Data Base"/>
      <sheetName val="HOURLY"/>
      <sheetName val="MTD OB Forecasting"/>
      <sheetName val="Plan"/>
      <sheetName val="SUM"/>
      <sheetName val="M_PLANS_"/>
      <sheetName val="MA_PLANS_"/>
    </sheetNames>
    <sheetDataSet>
      <sheetData sheetId="0" refreshError="1">
        <row r="4">
          <cell r="B4" t="str">
            <v>EX1001</v>
          </cell>
          <cell r="D4" t="str">
            <v>EX1001S1</v>
          </cell>
          <cell r="E4" t="str">
            <v>EX1001S2</v>
          </cell>
          <cell r="F4" t="str">
            <v>EX1001S3</v>
          </cell>
          <cell r="G4" t="str">
            <v>EX1001S6</v>
          </cell>
          <cell r="H4" t="str">
            <v>EX1001S7</v>
          </cell>
          <cell r="I4">
            <v>0</v>
          </cell>
          <cell r="J4">
            <v>0</v>
          </cell>
          <cell r="K4">
            <v>0</v>
          </cell>
          <cell r="L4" t="str">
            <v>Darwin Sitompul</v>
          </cell>
          <cell r="M4" t="str">
            <v>Asinurochim</v>
          </cell>
          <cell r="O4">
            <v>0</v>
          </cell>
          <cell r="P4">
            <v>0</v>
          </cell>
          <cell r="Q4">
            <v>0</v>
          </cell>
          <cell r="R4" t="str">
            <v>Supiani Majid</v>
          </cell>
          <cell r="S4" t="str">
            <v>Saepudin</v>
          </cell>
        </row>
        <row r="5">
          <cell r="B5" t="str">
            <v>EX1002</v>
          </cell>
          <cell r="D5" t="str">
            <v>EX1002S1</v>
          </cell>
          <cell r="E5" t="str">
            <v>EX1002S2</v>
          </cell>
          <cell r="F5" t="str">
            <v>EX1002S3</v>
          </cell>
          <cell r="G5" t="str">
            <v>EX1002S6</v>
          </cell>
          <cell r="H5" t="str">
            <v>EX1002S7</v>
          </cell>
          <cell r="I5">
            <v>0</v>
          </cell>
          <cell r="J5">
            <v>0</v>
          </cell>
          <cell r="K5">
            <v>0</v>
          </cell>
          <cell r="L5" t="str">
            <v>Mustakim</v>
          </cell>
          <cell r="M5">
            <v>0</v>
          </cell>
          <cell r="O5">
            <v>0</v>
          </cell>
          <cell r="P5">
            <v>0</v>
          </cell>
          <cell r="Q5">
            <v>0</v>
          </cell>
          <cell r="R5" t="str">
            <v>Supiani Majid</v>
          </cell>
          <cell r="S5">
            <v>0</v>
          </cell>
        </row>
        <row r="6">
          <cell r="B6" t="str">
            <v>EX1004</v>
          </cell>
          <cell r="D6" t="str">
            <v>EX1004S1</v>
          </cell>
          <cell r="E6" t="str">
            <v>EX1004S2</v>
          </cell>
          <cell r="F6" t="str">
            <v>EX1004S3</v>
          </cell>
          <cell r="G6" t="str">
            <v>EX1004S6</v>
          </cell>
          <cell r="H6" t="str">
            <v>EX1004S7</v>
          </cell>
          <cell r="I6">
            <v>0</v>
          </cell>
          <cell r="J6">
            <v>0</v>
          </cell>
          <cell r="K6">
            <v>0</v>
          </cell>
          <cell r="L6" t="str">
            <v>Juartono</v>
          </cell>
          <cell r="M6">
            <v>0</v>
          </cell>
          <cell r="O6">
            <v>0</v>
          </cell>
          <cell r="P6">
            <v>0</v>
          </cell>
          <cell r="Q6">
            <v>0</v>
          </cell>
          <cell r="R6" t="str">
            <v>Widianto</v>
          </cell>
          <cell r="S6">
            <v>0</v>
          </cell>
        </row>
        <row r="7">
          <cell r="B7" t="str">
            <v>EX1006</v>
          </cell>
          <cell r="D7" t="str">
            <v>EX1006S1</v>
          </cell>
          <cell r="E7" t="str">
            <v>EX1006S2</v>
          </cell>
          <cell r="F7" t="str">
            <v>EX1006S3</v>
          </cell>
          <cell r="G7" t="str">
            <v>EX1006S6</v>
          </cell>
          <cell r="H7" t="str">
            <v>EX1006S7</v>
          </cell>
          <cell r="I7">
            <v>0</v>
          </cell>
          <cell r="J7">
            <v>0</v>
          </cell>
          <cell r="K7">
            <v>0</v>
          </cell>
          <cell r="L7" t="str">
            <v>Rudi Sarwedi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 t="str">
            <v>Hendra</v>
          </cell>
          <cell r="S7">
            <v>0</v>
          </cell>
        </row>
        <row r="8">
          <cell r="B8" t="str">
            <v>EX1008</v>
          </cell>
          <cell r="D8" t="str">
            <v>EX1008S1</v>
          </cell>
          <cell r="E8" t="str">
            <v>EX1008S2</v>
          </cell>
          <cell r="F8" t="str">
            <v>EX1008S3</v>
          </cell>
          <cell r="G8" t="str">
            <v>EX1008S6</v>
          </cell>
          <cell r="H8" t="str">
            <v>EX1008S7</v>
          </cell>
          <cell r="I8">
            <v>0</v>
          </cell>
          <cell r="J8">
            <v>0</v>
          </cell>
          <cell r="K8">
            <v>0</v>
          </cell>
          <cell r="L8" t="str">
            <v>Zulkifli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R8" t="str">
            <v>Adji Triyono</v>
          </cell>
          <cell r="S8">
            <v>0</v>
          </cell>
        </row>
        <row r="9">
          <cell r="B9" t="str">
            <v>EX1013</v>
          </cell>
          <cell r="D9" t="str">
            <v>EX1013S1</v>
          </cell>
          <cell r="E9" t="str">
            <v>EX1013S2</v>
          </cell>
          <cell r="F9" t="str">
            <v>EX1013S3</v>
          </cell>
          <cell r="G9" t="str">
            <v>EX1013S6</v>
          </cell>
          <cell r="H9" t="str">
            <v>EX1013S7</v>
          </cell>
          <cell r="I9">
            <v>0</v>
          </cell>
          <cell r="J9">
            <v>0</v>
          </cell>
          <cell r="K9">
            <v>0</v>
          </cell>
          <cell r="L9" t="str">
            <v>Dede Rusdiana</v>
          </cell>
          <cell r="M9">
            <v>0</v>
          </cell>
          <cell r="O9">
            <v>0</v>
          </cell>
          <cell r="P9">
            <v>0</v>
          </cell>
          <cell r="Q9">
            <v>0</v>
          </cell>
          <cell r="R9" t="str">
            <v>Adam Surya</v>
          </cell>
          <cell r="S9">
            <v>0</v>
          </cell>
        </row>
        <row r="10">
          <cell r="B10" t="str">
            <v>EX1014</v>
          </cell>
          <cell r="D10" t="str">
            <v>EX1014S1</v>
          </cell>
          <cell r="E10" t="str">
            <v>EX1014S2</v>
          </cell>
          <cell r="F10" t="str">
            <v>EX1014S3</v>
          </cell>
          <cell r="G10" t="str">
            <v>EX1014S6</v>
          </cell>
          <cell r="H10" t="str">
            <v>EX1014S7</v>
          </cell>
          <cell r="I10">
            <v>0</v>
          </cell>
          <cell r="J10">
            <v>0</v>
          </cell>
          <cell r="K10">
            <v>0</v>
          </cell>
          <cell r="L10" t="str">
            <v>Hendro Waskito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Widianto</v>
          </cell>
          <cell r="S10">
            <v>0</v>
          </cell>
        </row>
        <row r="11">
          <cell r="B11" t="str">
            <v>EX429</v>
          </cell>
          <cell r="D11" t="str">
            <v>EX429S1</v>
          </cell>
          <cell r="E11" t="str">
            <v>EX429S2</v>
          </cell>
          <cell r="F11" t="str">
            <v>EX429S3</v>
          </cell>
          <cell r="G11" t="str">
            <v>EX429S6</v>
          </cell>
          <cell r="H11" t="str">
            <v>EX429S7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EX430</v>
          </cell>
          <cell r="D12" t="str">
            <v>EX430S1</v>
          </cell>
          <cell r="E12" t="str">
            <v>EX430S2</v>
          </cell>
          <cell r="F12" t="str">
            <v>EX430S3</v>
          </cell>
          <cell r="G12" t="str">
            <v>EX430S6</v>
          </cell>
          <cell r="H12" t="str">
            <v>EX430S7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EX577</v>
          </cell>
          <cell r="D13" t="str">
            <v>EX577S1</v>
          </cell>
          <cell r="E13" t="str">
            <v>EX577S2</v>
          </cell>
          <cell r="F13" t="str">
            <v>EX577S3</v>
          </cell>
          <cell r="G13" t="str">
            <v>EX577S6</v>
          </cell>
          <cell r="H13" t="str">
            <v>EX577S7</v>
          </cell>
          <cell r="I13">
            <v>0</v>
          </cell>
          <cell r="J13">
            <v>0</v>
          </cell>
          <cell r="K13">
            <v>0</v>
          </cell>
          <cell r="L13" t="str">
            <v/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Hendra</v>
          </cell>
          <cell r="S13">
            <v>0</v>
          </cell>
        </row>
        <row r="14">
          <cell r="B14" t="str">
            <v>EX578</v>
          </cell>
          <cell r="D14" t="str">
            <v>EX578S1</v>
          </cell>
          <cell r="E14" t="str">
            <v>EX578S2</v>
          </cell>
          <cell r="F14" t="str">
            <v>EX578S3</v>
          </cell>
          <cell r="G14" t="str">
            <v>EX578S6</v>
          </cell>
          <cell r="H14" t="str">
            <v>EX578S7</v>
          </cell>
          <cell r="I14">
            <v>0</v>
          </cell>
          <cell r="J14">
            <v>0</v>
          </cell>
          <cell r="K14">
            <v>0</v>
          </cell>
          <cell r="L14" t="str">
            <v>Yoga Karna Peryoga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 t="str">
            <v>Hendra</v>
          </cell>
          <cell r="S14">
            <v>0</v>
          </cell>
        </row>
        <row r="15">
          <cell r="B15" t="str">
            <v>EX708</v>
          </cell>
          <cell r="D15" t="str">
            <v>EX708S1</v>
          </cell>
          <cell r="E15" t="str">
            <v>EX708S2</v>
          </cell>
          <cell r="F15" t="str">
            <v>EX708S3</v>
          </cell>
          <cell r="G15" t="str">
            <v>EX708S6</v>
          </cell>
          <cell r="H15" t="str">
            <v>EX708S7</v>
          </cell>
          <cell r="I15">
            <v>0</v>
          </cell>
          <cell r="J15">
            <v>0</v>
          </cell>
          <cell r="K15">
            <v>0</v>
          </cell>
          <cell r="L15" t="str">
            <v>Gumono</v>
          </cell>
          <cell r="M15" t="str">
            <v>Jonson Panjaitan</v>
          </cell>
          <cell r="O15">
            <v>0</v>
          </cell>
          <cell r="P15">
            <v>0</v>
          </cell>
          <cell r="Q15">
            <v>0</v>
          </cell>
          <cell r="R15" t="str">
            <v>Widianto</v>
          </cell>
          <cell r="S15" t="str">
            <v>Saepudin</v>
          </cell>
        </row>
        <row r="16">
          <cell r="B16" t="str">
            <v>EX709</v>
          </cell>
          <cell r="D16" t="str">
            <v>EX709S1</v>
          </cell>
          <cell r="E16" t="str">
            <v>EX709S2</v>
          </cell>
          <cell r="F16" t="str">
            <v>EX709S3</v>
          </cell>
          <cell r="G16" t="str">
            <v>EX709S6</v>
          </cell>
          <cell r="H16" t="str">
            <v>EX709S7</v>
          </cell>
          <cell r="I16">
            <v>0</v>
          </cell>
          <cell r="J16">
            <v>0</v>
          </cell>
          <cell r="K16">
            <v>0</v>
          </cell>
          <cell r="L16" t="str">
            <v>Jumen Saragih</v>
          </cell>
          <cell r="M16" t="str">
            <v>Suryani</v>
          </cell>
          <cell r="O16">
            <v>0</v>
          </cell>
          <cell r="P16">
            <v>0</v>
          </cell>
          <cell r="Q16">
            <v>0</v>
          </cell>
          <cell r="R16" t="str">
            <v>Widianto</v>
          </cell>
          <cell r="S16" t="str">
            <v>Saepudin</v>
          </cell>
        </row>
        <row r="17">
          <cell r="B17" t="str">
            <v>EX710</v>
          </cell>
          <cell r="D17" t="str">
            <v>EX710S1</v>
          </cell>
          <cell r="E17" t="str">
            <v>EX710S2</v>
          </cell>
          <cell r="F17" t="str">
            <v>EX710S3</v>
          </cell>
          <cell r="G17" t="str">
            <v>EX710S6</v>
          </cell>
          <cell r="H17" t="str">
            <v>EX710S7</v>
          </cell>
          <cell r="I17">
            <v>0</v>
          </cell>
          <cell r="J17">
            <v>0</v>
          </cell>
          <cell r="K17">
            <v>0</v>
          </cell>
          <cell r="L17" t="str">
            <v>Edi manik</v>
          </cell>
          <cell r="M17" t="str">
            <v>Sukoco</v>
          </cell>
          <cell r="O17">
            <v>0</v>
          </cell>
          <cell r="P17">
            <v>0</v>
          </cell>
          <cell r="Q17">
            <v>0</v>
          </cell>
          <cell r="R17" t="str">
            <v>Widianto</v>
          </cell>
          <cell r="S17" t="str">
            <v>Subagiyo</v>
          </cell>
        </row>
        <row r="18">
          <cell r="B18" t="str">
            <v>EX711</v>
          </cell>
          <cell r="D18" t="str">
            <v>EX711S1</v>
          </cell>
          <cell r="E18" t="str">
            <v>EX711S2</v>
          </cell>
          <cell r="F18" t="str">
            <v>EX711S3</v>
          </cell>
          <cell r="G18" t="str">
            <v>EX711S6</v>
          </cell>
          <cell r="H18" t="str">
            <v>EX711S7</v>
          </cell>
          <cell r="I18">
            <v>0</v>
          </cell>
          <cell r="J18">
            <v>0</v>
          </cell>
          <cell r="K18">
            <v>0</v>
          </cell>
          <cell r="L18" t="str">
            <v>Dedi Rapsody</v>
          </cell>
          <cell r="M18" t="str">
            <v>Andi Risman</v>
          </cell>
          <cell r="O18">
            <v>0</v>
          </cell>
          <cell r="P18">
            <v>0</v>
          </cell>
          <cell r="Q18">
            <v>0</v>
          </cell>
          <cell r="R18" t="str">
            <v>Widianto</v>
          </cell>
          <cell r="S18" t="str">
            <v>Subagiyo</v>
          </cell>
        </row>
        <row r="19">
          <cell r="B19" t="str">
            <v>KPLMEX002</v>
          </cell>
          <cell r="D19" t="str">
            <v>KPLMEX002S1</v>
          </cell>
          <cell r="E19" t="str">
            <v>KPLMEX002S2</v>
          </cell>
          <cell r="F19" t="str">
            <v>KPLMEX002S3</v>
          </cell>
          <cell r="G19" t="str">
            <v>KPLMEX002S6</v>
          </cell>
          <cell r="H19" t="str">
            <v>KPLMEX002S7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SH304</v>
          </cell>
          <cell r="D20" t="str">
            <v>SH304S1</v>
          </cell>
          <cell r="E20" t="str">
            <v>SH304S2</v>
          </cell>
          <cell r="F20" t="str">
            <v>SH304S3</v>
          </cell>
          <cell r="G20" t="str">
            <v>SH304S6</v>
          </cell>
          <cell r="H20" t="str">
            <v>SH304S7</v>
          </cell>
          <cell r="I20">
            <v>0</v>
          </cell>
          <cell r="J20">
            <v>0</v>
          </cell>
          <cell r="K20">
            <v>0</v>
          </cell>
          <cell r="L20" t="str">
            <v>Bambang Trianto</v>
          </cell>
          <cell r="M20" t="str">
            <v>Edi Purwanto</v>
          </cell>
          <cell r="O20">
            <v>0</v>
          </cell>
          <cell r="P20">
            <v>0</v>
          </cell>
          <cell r="Q20">
            <v>0</v>
          </cell>
          <cell r="R20" t="str">
            <v>Widianto</v>
          </cell>
          <cell r="S20" t="str">
            <v>Subagiyo</v>
          </cell>
        </row>
        <row r="21">
          <cell r="B21" t="str">
            <v>SH305</v>
          </cell>
          <cell r="D21" t="str">
            <v>SH305S1</v>
          </cell>
          <cell r="E21" t="str">
            <v>SH305S2</v>
          </cell>
          <cell r="F21" t="str">
            <v>SH305S3</v>
          </cell>
          <cell r="G21" t="str">
            <v>SH305S6</v>
          </cell>
          <cell r="H21" t="str">
            <v>SH305S7</v>
          </cell>
          <cell r="I21">
            <v>0</v>
          </cell>
          <cell r="J21">
            <v>0</v>
          </cell>
          <cell r="K21">
            <v>0</v>
          </cell>
          <cell r="L21" t="str">
            <v>Dwi Hariyanto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 t="str">
            <v>Supiani Majid</v>
          </cell>
          <cell r="S21">
            <v>0</v>
          </cell>
        </row>
        <row r="22">
          <cell r="B22" t="str">
            <v>SH306</v>
          </cell>
          <cell r="D22" t="str">
            <v>SH306S1</v>
          </cell>
          <cell r="E22" t="str">
            <v>SH306S2</v>
          </cell>
          <cell r="F22" t="str">
            <v>SH306S3</v>
          </cell>
          <cell r="G22" t="str">
            <v>SH306S6</v>
          </cell>
          <cell r="H22" t="str">
            <v>SH306S7</v>
          </cell>
          <cell r="I22">
            <v>0</v>
          </cell>
          <cell r="J22">
            <v>0</v>
          </cell>
          <cell r="K22">
            <v>0</v>
          </cell>
          <cell r="L22" t="str">
            <v>Hero Marten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R22" t="str">
            <v>Supiani Majid</v>
          </cell>
          <cell r="S22">
            <v>0</v>
          </cell>
        </row>
        <row r="23">
          <cell r="B23" t="str">
            <v>WL508</v>
          </cell>
          <cell r="D23" t="str">
            <v>WL508S1</v>
          </cell>
          <cell r="E23" t="str">
            <v>WL508S2</v>
          </cell>
          <cell r="F23" t="str">
            <v>WL508S3</v>
          </cell>
          <cell r="G23" t="str">
            <v>WL508S6</v>
          </cell>
          <cell r="H23" t="str">
            <v>WL508S7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KPLMEX003</v>
          </cell>
          <cell r="D24" t="str">
            <v>KPLMEX003S1</v>
          </cell>
          <cell r="E24" t="str">
            <v>KPLMEX003S2</v>
          </cell>
          <cell r="F24" t="str">
            <v>KPLMEX003S3</v>
          </cell>
          <cell r="G24" t="str">
            <v>KPLMEX003S6</v>
          </cell>
          <cell r="H24" t="str">
            <v>KPLMEX003S7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KPTJEX023</v>
          </cell>
          <cell r="D25" t="str">
            <v>KPTJEX023S1</v>
          </cell>
          <cell r="E25" t="str">
            <v>KPTJEX023S2</v>
          </cell>
          <cell r="F25" t="str">
            <v>KPTJEX023S3</v>
          </cell>
          <cell r="G25" t="str">
            <v>KPTJEX023S6</v>
          </cell>
          <cell r="H25" t="str">
            <v>KPTJEX023S7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>EX579</v>
          </cell>
          <cell r="D26" t="str">
            <v>EX579S1</v>
          </cell>
          <cell r="E26" t="str">
            <v>EX579S2</v>
          </cell>
          <cell r="F26" t="str">
            <v>EX579S3</v>
          </cell>
          <cell r="G26" t="str">
            <v>EX579S6</v>
          </cell>
          <cell r="H26" t="str">
            <v>EX579S7</v>
          </cell>
          <cell r="I26">
            <v>0</v>
          </cell>
          <cell r="J26">
            <v>0</v>
          </cell>
          <cell r="K26">
            <v>0</v>
          </cell>
          <cell r="L26" t="str">
            <v>Abdul Karim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Hendra</v>
          </cell>
          <cell r="S26">
            <v>0</v>
          </cell>
        </row>
        <row r="27">
          <cell r="B27" t="str">
            <v>EX729</v>
          </cell>
          <cell r="D27" t="str">
            <v>EX729S1</v>
          </cell>
          <cell r="E27" t="str">
            <v>EX729S2</v>
          </cell>
          <cell r="F27" t="str">
            <v>EX729S3</v>
          </cell>
          <cell r="G27" t="str">
            <v>EX729S6</v>
          </cell>
          <cell r="H27" t="str">
            <v>EX729S7</v>
          </cell>
          <cell r="I27">
            <v>0</v>
          </cell>
          <cell r="J27">
            <v>0</v>
          </cell>
          <cell r="K27">
            <v>0</v>
          </cell>
          <cell r="L27" t="str">
            <v>Dionkius</v>
          </cell>
          <cell r="M27" t="str">
            <v>Daud Manglalan</v>
          </cell>
          <cell r="O27">
            <v>0</v>
          </cell>
          <cell r="P27">
            <v>0</v>
          </cell>
          <cell r="Q27">
            <v>0</v>
          </cell>
          <cell r="R27" t="str">
            <v>Supiani Majid</v>
          </cell>
          <cell r="S27" t="str">
            <v>Ridho Sila Pertama</v>
          </cell>
        </row>
        <row r="28">
          <cell r="B28" t="str">
            <v>EX1701</v>
          </cell>
          <cell r="D28" t="str">
            <v>EX1701S1</v>
          </cell>
          <cell r="E28" t="str">
            <v>EX1701S2</v>
          </cell>
          <cell r="F28" t="str">
            <v>EX1701S3</v>
          </cell>
          <cell r="G28" t="str">
            <v>EX1701S6</v>
          </cell>
          <cell r="H28" t="str">
            <v>EX1701S7</v>
          </cell>
          <cell r="I28">
            <v>0</v>
          </cell>
          <cell r="J28">
            <v>0</v>
          </cell>
          <cell r="K28">
            <v>0</v>
          </cell>
          <cell r="L28" t="str">
            <v>Endang Suparman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Adji Triyono</v>
          </cell>
          <cell r="S28">
            <v>0</v>
          </cell>
        </row>
        <row r="29">
          <cell r="B29" t="str">
            <v>EX718</v>
          </cell>
          <cell r="D29" t="str">
            <v>EX718S1</v>
          </cell>
          <cell r="E29" t="str">
            <v>EX718S2</v>
          </cell>
          <cell r="F29" t="str">
            <v>EX718S3</v>
          </cell>
          <cell r="G29" t="str">
            <v>EX718S6</v>
          </cell>
          <cell r="H29" t="str">
            <v>EX718S7</v>
          </cell>
          <cell r="I29">
            <v>0</v>
          </cell>
          <cell r="J29">
            <v>0</v>
          </cell>
          <cell r="K29">
            <v>0</v>
          </cell>
          <cell r="L29" t="str">
            <v>Sugeng Murwanto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Widianto</v>
          </cell>
          <cell r="S29">
            <v>0</v>
          </cell>
        </row>
        <row r="30">
          <cell r="B30" t="str">
            <v>KPTJEX026</v>
          </cell>
          <cell r="D30" t="str">
            <v>KPTJEX026S1</v>
          </cell>
          <cell r="E30" t="str">
            <v>KPTJEX026S2</v>
          </cell>
          <cell r="F30" t="str">
            <v>KPTJEX026S3</v>
          </cell>
          <cell r="G30" t="str">
            <v>KPTJEX026S6</v>
          </cell>
          <cell r="H30" t="str">
            <v>KPTJEX026S7</v>
          </cell>
          <cell r="I30">
            <v>0</v>
          </cell>
          <cell r="J30">
            <v>0</v>
          </cell>
          <cell r="K30">
            <v>0</v>
          </cell>
          <cell r="L30" t="str">
            <v>Kusman</v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R30" t="str">
            <v>Hendra</v>
          </cell>
          <cell r="S30">
            <v>0</v>
          </cell>
        </row>
        <row r="31">
          <cell r="B31" t="str">
            <v>WL_KPC</v>
          </cell>
          <cell r="D31" t="str">
            <v>WL_KPCS1</v>
          </cell>
          <cell r="E31" t="str">
            <v>WL_KPCS2</v>
          </cell>
          <cell r="F31" t="str">
            <v>WL_KPCS3</v>
          </cell>
          <cell r="G31" t="str">
            <v>WL_KPCS6</v>
          </cell>
          <cell r="H31" t="str">
            <v>WL_KPCS7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</sheetNames>
    <sheetDataSet>
      <sheetData sheetId="0" refreshError="1"/>
      <sheetData sheetId="1" refreshError="1">
        <row r="3">
          <cell r="A3" t="str">
            <v>000</v>
          </cell>
        </row>
        <row r="4">
          <cell r="A4" t="str">
            <v>M02</v>
          </cell>
        </row>
        <row r="5">
          <cell r="A5" t="str">
            <v>M03</v>
          </cell>
        </row>
        <row r="6">
          <cell r="A6" t="str">
            <v>M04</v>
          </cell>
        </row>
        <row r="7">
          <cell r="A7" t="str">
            <v>M05</v>
          </cell>
        </row>
        <row r="8">
          <cell r="A8" t="str">
            <v>M06</v>
          </cell>
        </row>
        <row r="9">
          <cell r="A9" t="str">
            <v>M07</v>
          </cell>
        </row>
        <row r="10">
          <cell r="A10" t="str">
            <v>M08</v>
          </cell>
        </row>
        <row r="11">
          <cell r="A11" t="str">
            <v>M09</v>
          </cell>
        </row>
        <row r="12">
          <cell r="A12" t="str">
            <v>M10</v>
          </cell>
        </row>
        <row r="13">
          <cell r="A13" t="str">
            <v>M11</v>
          </cell>
        </row>
        <row r="14">
          <cell r="A14" t="str">
            <v>M12</v>
          </cell>
        </row>
        <row r="15">
          <cell r="A15" t="str">
            <v>M13</v>
          </cell>
        </row>
        <row r="16">
          <cell r="A16" t="str">
            <v>M14</v>
          </cell>
        </row>
        <row r="17">
          <cell r="A17" t="str">
            <v>M23</v>
          </cell>
        </row>
        <row r="18">
          <cell r="A18" t="str">
            <v>M24</v>
          </cell>
        </row>
        <row r="19">
          <cell r="A19" t="str">
            <v>M25</v>
          </cell>
        </row>
        <row r="20">
          <cell r="A20" t="str">
            <v>M26</v>
          </cell>
        </row>
        <row r="21">
          <cell r="A21" t="str">
            <v>M27</v>
          </cell>
        </row>
        <row r="22">
          <cell r="A22" t="str">
            <v>M56</v>
          </cell>
        </row>
        <row r="23">
          <cell r="A23" t="str">
            <v>M57</v>
          </cell>
        </row>
        <row r="24">
          <cell r="A24" t="str">
            <v>M58</v>
          </cell>
        </row>
        <row r="25">
          <cell r="A25" t="str">
            <v>M59</v>
          </cell>
        </row>
        <row r="26">
          <cell r="A26" t="str">
            <v>M60</v>
          </cell>
        </row>
        <row r="27">
          <cell r="A27" t="str">
            <v>M61</v>
          </cell>
        </row>
        <row r="28">
          <cell r="A28" t="str">
            <v>M62</v>
          </cell>
        </row>
        <row r="29">
          <cell r="A29" t="str">
            <v>M63</v>
          </cell>
        </row>
        <row r="30">
          <cell r="A30" t="str">
            <v>M64</v>
          </cell>
        </row>
        <row r="31">
          <cell r="A31" t="str">
            <v>M65</v>
          </cell>
        </row>
        <row r="32">
          <cell r="A32" t="str">
            <v>M66</v>
          </cell>
        </row>
        <row r="33">
          <cell r="A33" t="str">
            <v>M67</v>
          </cell>
        </row>
        <row r="34">
          <cell r="A34" t="str">
            <v>M68</v>
          </cell>
        </row>
        <row r="35">
          <cell r="A35" t="str">
            <v>M69</v>
          </cell>
        </row>
        <row r="36">
          <cell r="A36" t="str">
            <v>M70</v>
          </cell>
        </row>
        <row r="37">
          <cell r="A37" t="str">
            <v>M72</v>
          </cell>
        </row>
        <row r="38">
          <cell r="A38" t="str">
            <v>M73</v>
          </cell>
        </row>
        <row r="39">
          <cell r="A39" t="str">
            <v>M74</v>
          </cell>
        </row>
        <row r="40">
          <cell r="A40" t="str">
            <v>M75</v>
          </cell>
        </row>
        <row r="41">
          <cell r="A41" t="str">
            <v>M76</v>
          </cell>
        </row>
        <row r="42">
          <cell r="A42" t="str">
            <v>M77</v>
          </cell>
        </row>
        <row r="43">
          <cell r="A43" t="str">
            <v>M78</v>
          </cell>
        </row>
        <row r="44">
          <cell r="A44" t="str">
            <v>M79</v>
          </cell>
        </row>
        <row r="45">
          <cell r="A45" t="str">
            <v>M80</v>
          </cell>
        </row>
        <row r="46">
          <cell r="A46" t="str">
            <v>M95</v>
          </cell>
        </row>
        <row r="47">
          <cell r="A47" t="str">
            <v>M96</v>
          </cell>
        </row>
        <row r="48">
          <cell r="A48" t="str">
            <v>M97</v>
          </cell>
        </row>
        <row r="49">
          <cell r="A49" t="str">
            <v>M98</v>
          </cell>
        </row>
        <row r="50">
          <cell r="A50" t="str">
            <v>M99</v>
          </cell>
        </row>
        <row r="51">
          <cell r="A51" t="str">
            <v>N01</v>
          </cell>
        </row>
        <row r="52">
          <cell r="A52" t="str">
            <v>N02</v>
          </cell>
        </row>
        <row r="53">
          <cell r="A53" t="str">
            <v>N03</v>
          </cell>
        </row>
        <row r="54">
          <cell r="A54" t="str">
            <v>N04</v>
          </cell>
        </row>
        <row r="55">
          <cell r="A55" t="str">
            <v>N05</v>
          </cell>
        </row>
        <row r="56">
          <cell r="A56" t="str">
            <v>N11</v>
          </cell>
        </row>
        <row r="57">
          <cell r="A57" t="str">
            <v>N12</v>
          </cell>
        </row>
        <row r="58">
          <cell r="A58" t="str">
            <v>N13</v>
          </cell>
        </row>
        <row r="59">
          <cell r="A59" t="str">
            <v>N14</v>
          </cell>
        </row>
        <row r="60">
          <cell r="A60" t="str">
            <v>N17</v>
          </cell>
        </row>
        <row r="61">
          <cell r="A61" t="str">
            <v>N18</v>
          </cell>
        </row>
        <row r="62">
          <cell r="A62" t="str">
            <v>N19</v>
          </cell>
        </row>
        <row r="63">
          <cell r="A63" t="str">
            <v>N20</v>
          </cell>
        </row>
        <row r="64">
          <cell r="A64" t="str">
            <v>N21</v>
          </cell>
        </row>
        <row r="65">
          <cell r="A65" t="str">
            <v>N22</v>
          </cell>
        </row>
        <row r="66">
          <cell r="A66" t="str">
            <v>N41</v>
          </cell>
        </row>
        <row r="67">
          <cell r="A67" t="str">
            <v>N50</v>
          </cell>
        </row>
        <row r="68">
          <cell r="A68" t="str">
            <v>N51</v>
          </cell>
        </row>
        <row r="69">
          <cell r="A69" t="str">
            <v>N52</v>
          </cell>
        </row>
        <row r="70">
          <cell r="A70" t="str">
            <v>N53</v>
          </cell>
        </row>
        <row r="71">
          <cell r="A71" t="str">
            <v>N54</v>
          </cell>
        </row>
        <row r="72">
          <cell r="A72" t="str">
            <v>N89</v>
          </cell>
        </row>
        <row r="73">
          <cell r="A73" t="str">
            <v>N90</v>
          </cell>
        </row>
        <row r="74">
          <cell r="A74" t="str">
            <v>N91</v>
          </cell>
        </row>
        <row r="75">
          <cell r="A75" t="str">
            <v>N92</v>
          </cell>
        </row>
        <row r="76">
          <cell r="A76" t="str">
            <v>N93</v>
          </cell>
        </row>
        <row r="77">
          <cell r="A77" t="str">
            <v>N94</v>
          </cell>
        </row>
        <row r="78">
          <cell r="A78" t="str">
            <v>N95</v>
          </cell>
        </row>
        <row r="79">
          <cell r="A79" t="str">
            <v>P02</v>
          </cell>
        </row>
        <row r="80">
          <cell r="A80" t="str">
            <v>P03</v>
          </cell>
        </row>
        <row r="81">
          <cell r="A81" t="str">
            <v>P04</v>
          </cell>
        </row>
        <row r="82">
          <cell r="A82" t="str">
            <v>P05</v>
          </cell>
        </row>
        <row r="83">
          <cell r="A83" t="str">
            <v>P06</v>
          </cell>
        </row>
        <row r="84">
          <cell r="A84" t="str">
            <v>P07</v>
          </cell>
        </row>
        <row r="85">
          <cell r="A85" t="str">
            <v>P08</v>
          </cell>
        </row>
        <row r="86">
          <cell r="A86" t="str">
            <v>P09</v>
          </cell>
        </row>
        <row r="87">
          <cell r="A87" t="str">
            <v>P10</v>
          </cell>
        </row>
        <row r="88">
          <cell r="A88" t="str">
            <v>P11</v>
          </cell>
        </row>
        <row r="89">
          <cell r="A89" t="str">
            <v>P12</v>
          </cell>
        </row>
        <row r="90">
          <cell r="A90" t="str">
            <v>P13</v>
          </cell>
        </row>
        <row r="91">
          <cell r="A91" t="str">
            <v>P14</v>
          </cell>
        </row>
        <row r="92">
          <cell r="A92" t="str">
            <v>P15</v>
          </cell>
        </row>
        <row r="93">
          <cell r="A93" t="str">
            <v>P16</v>
          </cell>
        </row>
        <row r="94">
          <cell r="A94" t="str">
            <v>P17</v>
          </cell>
        </row>
        <row r="95">
          <cell r="A95" t="str">
            <v>P18</v>
          </cell>
        </row>
        <row r="96">
          <cell r="A96" t="str">
            <v>P19</v>
          </cell>
        </row>
        <row r="97">
          <cell r="A97" t="str">
            <v>P23</v>
          </cell>
        </row>
        <row r="98">
          <cell r="A98" t="str">
            <v>P26</v>
          </cell>
        </row>
        <row r="99">
          <cell r="A99" t="str">
            <v>P27</v>
          </cell>
        </row>
        <row r="100">
          <cell r="A100" t="str">
            <v>P28</v>
          </cell>
        </row>
        <row r="101">
          <cell r="A101" t="str">
            <v>P55</v>
          </cell>
        </row>
        <row r="102">
          <cell r="A102" t="str">
            <v>P56</v>
          </cell>
        </row>
        <row r="103">
          <cell r="A103" t="str">
            <v>P57</v>
          </cell>
        </row>
        <row r="104">
          <cell r="A104" t="str">
            <v>P58</v>
          </cell>
        </row>
        <row r="105">
          <cell r="A105" t="str">
            <v>P59</v>
          </cell>
        </row>
        <row r="106">
          <cell r="A106" t="str">
            <v>P60</v>
          </cell>
        </row>
        <row r="107">
          <cell r="A107" t="str">
            <v>P61</v>
          </cell>
        </row>
        <row r="108">
          <cell r="A108" t="str">
            <v>P62</v>
          </cell>
        </row>
        <row r="109">
          <cell r="A109" t="str">
            <v>P63</v>
          </cell>
        </row>
        <row r="110">
          <cell r="A110" t="str">
            <v>P64</v>
          </cell>
        </row>
        <row r="111">
          <cell r="A111" t="str">
            <v>P65</v>
          </cell>
        </row>
        <row r="112">
          <cell r="A112" t="str">
            <v>P66</v>
          </cell>
        </row>
        <row r="113">
          <cell r="A113" t="str">
            <v>P67</v>
          </cell>
        </row>
        <row r="114">
          <cell r="A114" t="str">
            <v>P68</v>
          </cell>
        </row>
        <row r="115">
          <cell r="A115" t="str">
            <v>P69</v>
          </cell>
        </row>
        <row r="116">
          <cell r="A116" t="str">
            <v>P70</v>
          </cell>
        </row>
        <row r="117">
          <cell r="A117" t="str">
            <v>P71</v>
          </cell>
        </row>
        <row r="118">
          <cell r="A118" t="str">
            <v>P72</v>
          </cell>
        </row>
        <row r="119">
          <cell r="A119" t="str">
            <v>P73</v>
          </cell>
        </row>
        <row r="120">
          <cell r="A120" t="str">
            <v>P74</v>
          </cell>
        </row>
        <row r="121">
          <cell r="A121" t="str">
            <v>P75</v>
          </cell>
        </row>
        <row r="122">
          <cell r="A122" t="str">
            <v>P76</v>
          </cell>
        </row>
        <row r="123">
          <cell r="A123" t="str">
            <v>P77</v>
          </cell>
        </row>
        <row r="124">
          <cell r="A124" t="str">
            <v>P78</v>
          </cell>
        </row>
        <row r="125">
          <cell r="A125" t="str">
            <v>P79</v>
          </cell>
        </row>
        <row r="126">
          <cell r="A126" t="str">
            <v>P80</v>
          </cell>
        </row>
        <row r="127">
          <cell r="A127" t="str">
            <v>P81</v>
          </cell>
        </row>
        <row r="128">
          <cell r="A128" t="str">
            <v>P82</v>
          </cell>
        </row>
        <row r="129">
          <cell r="A129" t="str">
            <v>R02</v>
          </cell>
        </row>
        <row r="130">
          <cell r="A130" t="str">
            <v>R11</v>
          </cell>
        </row>
        <row r="131">
          <cell r="A131" t="str">
            <v>R12</v>
          </cell>
        </row>
        <row r="132">
          <cell r="A132" t="str">
            <v>R13</v>
          </cell>
        </row>
        <row r="133">
          <cell r="A133" t="str">
            <v>R14</v>
          </cell>
        </row>
        <row r="134">
          <cell r="A134" t="str">
            <v>R15</v>
          </cell>
        </row>
        <row r="135">
          <cell r="A135" t="str">
            <v>R16</v>
          </cell>
        </row>
        <row r="136">
          <cell r="A136" t="str">
            <v>R17</v>
          </cell>
        </row>
        <row r="137">
          <cell r="A137" t="str">
            <v>R31</v>
          </cell>
        </row>
        <row r="138">
          <cell r="A138" t="str">
            <v>R32</v>
          </cell>
        </row>
        <row r="139">
          <cell r="A139" t="str">
            <v>R33</v>
          </cell>
        </row>
        <row r="140">
          <cell r="A140" t="str">
            <v>R37</v>
          </cell>
        </row>
        <row r="141">
          <cell r="A141" t="str">
            <v>S02</v>
          </cell>
        </row>
        <row r="142">
          <cell r="A142" t="str">
            <v>S03</v>
          </cell>
        </row>
        <row r="143">
          <cell r="A143" t="str">
            <v>S04</v>
          </cell>
        </row>
        <row r="144">
          <cell r="A144" t="str">
            <v>S05</v>
          </cell>
        </row>
        <row r="145">
          <cell r="A145" t="str">
            <v>S06</v>
          </cell>
        </row>
        <row r="146">
          <cell r="A146" t="str">
            <v>S07</v>
          </cell>
        </row>
        <row r="147">
          <cell r="A147" t="str">
            <v>S08</v>
          </cell>
        </row>
        <row r="148">
          <cell r="A148" t="str">
            <v>S14</v>
          </cell>
        </row>
        <row r="149">
          <cell r="A149" t="str">
            <v>S15</v>
          </cell>
        </row>
        <row r="150">
          <cell r="A150" t="str">
            <v>S16</v>
          </cell>
        </row>
        <row r="151">
          <cell r="A151" t="str">
            <v>S24</v>
          </cell>
        </row>
        <row r="152">
          <cell r="A152" t="str">
            <v>S25</v>
          </cell>
        </row>
        <row r="153">
          <cell r="A153" t="str">
            <v>S28</v>
          </cell>
        </row>
        <row r="154">
          <cell r="A154" t="str">
            <v>S83</v>
          </cell>
        </row>
        <row r="155">
          <cell r="A155" t="str">
            <v>S84</v>
          </cell>
        </row>
        <row r="156">
          <cell r="A156" t="str">
            <v>S85</v>
          </cell>
        </row>
        <row r="157">
          <cell r="A157" t="str">
            <v>S86</v>
          </cell>
        </row>
        <row r="158">
          <cell r="A158" t="str">
            <v>S87</v>
          </cell>
        </row>
        <row r="159">
          <cell r="A159" t="str">
            <v>S88</v>
          </cell>
        </row>
        <row r="160">
          <cell r="A160" t="str">
            <v>T02</v>
          </cell>
        </row>
        <row r="161">
          <cell r="A161" t="str">
            <v>T04</v>
          </cell>
        </row>
        <row r="162">
          <cell r="A162" t="str">
            <v>T05</v>
          </cell>
        </row>
        <row r="163">
          <cell r="A163" t="str">
            <v>T06</v>
          </cell>
        </row>
        <row r="164">
          <cell r="A164" t="str">
            <v>T07</v>
          </cell>
        </row>
        <row r="165">
          <cell r="A165" t="str">
            <v>T14</v>
          </cell>
        </row>
        <row r="166">
          <cell r="A166" t="str">
            <v>T15</v>
          </cell>
        </row>
        <row r="167">
          <cell r="A167" t="str">
            <v>T16</v>
          </cell>
        </row>
        <row r="168">
          <cell r="A168" t="str">
            <v>T17</v>
          </cell>
        </row>
        <row r="169">
          <cell r="A169" t="str">
            <v>T18</v>
          </cell>
        </row>
        <row r="170">
          <cell r="A170" t="str">
            <v>T19</v>
          </cell>
        </row>
        <row r="171">
          <cell r="A171" t="str">
            <v>T21</v>
          </cell>
        </row>
        <row r="172">
          <cell r="A172" t="str">
            <v>T22</v>
          </cell>
        </row>
        <row r="173">
          <cell r="A173" t="str">
            <v>T23</v>
          </cell>
        </row>
        <row r="174">
          <cell r="A174" t="str">
            <v>T24</v>
          </cell>
        </row>
        <row r="175">
          <cell r="A175" t="str">
            <v>T25</v>
          </cell>
        </row>
        <row r="176">
          <cell r="A176" t="str">
            <v>T26</v>
          </cell>
        </row>
        <row r="177">
          <cell r="A177" t="str">
            <v>T27</v>
          </cell>
        </row>
        <row r="178">
          <cell r="A178" t="str">
            <v>T28</v>
          </cell>
        </row>
        <row r="179">
          <cell r="A179" t="str">
            <v>T29</v>
          </cell>
        </row>
        <row r="180">
          <cell r="A180" t="str">
            <v>T30</v>
          </cell>
        </row>
        <row r="181">
          <cell r="A181" t="str">
            <v>T31</v>
          </cell>
        </row>
        <row r="182">
          <cell r="A182" t="str">
            <v>T32</v>
          </cell>
        </row>
        <row r="183">
          <cell r="A183" t="str">
            <v>T33</v>
          </cell>
        </row>
        <row r="184">
          <cell r="A184" t="str">
            <v>T34</v>
          </cell>
        </row>
        <row r="185">
          <cell r="A185" t="str">
            <v>T35</v>
          </cell>
        </row>
        <row r="186">
          <cell r="A186" t="str">
            <v>T36</v>
          </cell>
        </row>
        <row r="187">
          <cell r="A187" t="str">
            <v>T37</v>
          </cell>
        </row>
      </sheetData>
      <sheetData sheetId="2" refreshError="1"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0">
          <cell r="A10">
            <v>0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OPT_GL"/>
      <sheetName val="bantuan"/>
      <sheetName val="Hourly_16_Des_2006"/>
      <sheetName val="Data Base"/>
      <sheetName val="LS-Rutin"/>
      <sheetName val="ocean voyage"/>
      <sheetName val="LIST"/>
      <sheetName val="BB TO STOCK KTD "/>
      <sheetName val="Daily Plan"/>
      <sheetName val="DATA"/>
    </sheetNames>
    <sheetDataSet>
      <sheetData sheetId="0" refreshError="1">
        <row r="34">
          <cell r="B34" t="str">
            <v>SH4001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B35" t="str">
            <v>SH4002</v>
          </cell>
          <cell r="C35">
            <v>5</v>
          </cell>
          <cell r="D35">
            <v>4</v>
          </cell>
          <cell r="E35">
            <v>6.53</v>
          </cell>
          <cell r="H35">
            <v>15.53</v>
          </cell>
          <cell r="I35">
            <v>1800</v>
          </cell>
          <cell r="J35">
            <v>1800</v>
          </cell>
          <cell r="K35">
            <v>1800</v>
          </cell>
          <cell r="L35">
            <v>1800</v>
          </cell>
          <cell r="M35">
            <v>1800</v>
          </cell>
          <cell r="N35">
            <v>1800</v>
          </cell>
          <cell r="O35">
            <v>9000</v>
          </cell>
          <cell r="P35">
            <v>7200</v>
          </cell>
          <cell r="Q35">
            <v>11754</v>
          </cell>
          <cell r="T35">
            <v>27954</v>
          </cell>
          <cell r="U35">
            <v>0</v>
          </cell>
          <cell r="V35">
            <v>0</v>
          </cell>
          <cell r="W35">
            <v>0</v>
          </cell>
          <cell r="Z35">
            <v>0</v>
          </cell>
          <cell r="AA35">
            <v>3000</v>
          </cell>
          <cell r="AB35">
            <v>3081.3421652230218</v>
          </cell>
        </row>
        <row r="36">
          <cell r="B36" t="str">
            <v>SH304</v>
          </cell>
          <cell r="C36">
            <v>4</v>
          </cell>
          <cell r="D36">
            <v>0</v>
          </cell>
          <cell r="E36">
            <v>0</v>
          </cell>
          <cell r="H36">
            <v>4</v>
          </cell>
          <cell r="I36">
            <v>1300</v>
          </cell>
          <cell r="J36">
            <v>1300</v>
          </cell>
          <cell r="K36">
            <v>1300</v>
          </cell>
          <cell r="L36">
            <v>1300</v>
          </cell>
          <cell r="M36">
            <v>1300</v>
          </cell>
          <cell r="N36">
            <v>1300</v>
          </cell>
          <cell r="O36">
            <v>5200</v>
          </cell>
          <cell r="P36">
            <v>0</v>
          </cell>
          <cell r="Q36">
            <v>0</v>
          </cell>
          <cell r="T36">
            <v>5200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2550</v>
          </cell>
          <cell r="AB36">
            <v>3038.3085758957914</v>
          </cell>
        </row>
        <row r="37">
          <cell r="B37" t="str">
            <v>SH305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B38" t="str">
            <v>SH306</v>
          </cell>
          <cell r="C38">
            <v>7.74</v>
          </cell>
          <cell r="D38">
            <v>7.13</v>
          </cell>
          <cell r="E38">
            <v>6.53</v>
          </cell>
          <cell r="H38">
            <v>21.4</v>
          </cell>
          <cell r="I38">
            <v>1300</v>
          </cell>
          <cell r="J38">
            <v>1300</v>
          </cell>
          <cell r="K38">
            <v>1300</v>
          </cell>
          <cell r="L38">
            <v>1300</v>
          </cell>
          <cell r="M38">
            <v>1300</v>
          </cell>
          <cell r="N38">
            <v>1300</v>
          </cell>
          <cell r="O38">
            <v>10062</v>
          </cell>
          <cell r="P38">
            <v>9269</v>
          </cell>
          <cell r="Q38">
            <v>8489</v>
          </cell>
          <cell r="T38">
            <v>27820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2750</v>
          </cell>
          <cell r="AB38">
            <v>3038.3085758957914</v>
          </cell>
        </row>
        <row r="39">
          <cell r="B39" t="str">
            <v>EX708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B40" t="str">
            <v>EX709</v>
          </cell>
          <cell r="C40">
            <v>7.74</v>
          </cell>
          <cell r="D40">
            <v>7.13</v>
          </cell>
          <cell r="E40">
            <v>6.53</v>
          </cell>
          <cell r="H40">
            <v>21.4</v>
          </cell>
          <cell r="I40">
            <v>1300</v>
          </cell>
          <cell r="J40">
            <v>1300</v>
          </cell>
          <cell r="K40">
            <v>1300</v>
          </cell>
          <cell r="L40">
            <v>1300</v>
          </cell>
          <cell r="M40">
            <v>1300</v>
          </cell>
          <cell r="N40">
            <v>1300</v>
          </cell>
          <cell r="O40">
            <v>10062</v>
          </cell>
          <cell r="P40">
            <v>9269</v>
          </cell>
          <cell r="Q40">
            <v>8489</v>
          </cell>
          <cell r="T40">
            <v>27820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3350</v>
          </cell>
          <cell r="AB40">
            <v>3399.832765763766</v>
          </cell>
        </row>
        <row r="41">
          <cell r="B41" t="str">
            <v>EX710</v>
          </cell>
          <cell r="C41">
            <v>7.74</v>
          </cell>
          <cell r="D41">
            <v>7.13</v>
          </cell>
          <cell r="E41">
            <v>6.53</v>
          </cell>
          <cell r="H41">
            <v>21.4</v>
          </cell>
          <cell r="I41">
            <v>900</v>
          </cell>
          <cell r="J41">
            <v>900</v>
          </cell>
          <cell r="K41">
            <v>900</v>
          </cell>
          <cell r="L41">
            <v>900</v>
          </cell>
          <cell r="M41">
            <v>900</v>
          </cell>
          <cell r="N41">
            <v>900</v>
          </cell>
          <cell r="O41">
            <v>6966</v>
          </cell>
          <cell r="P41">
            <v>6417</v>
          </cell>
          <cell r="Q41">
            <v>5877</v>
          </cell>
          <cell r="T41">
            <v>19260</v>
          </cell>
          <cell r="U41">
            <v>0</v>
          </cell>
          <cell r="V41">
            <v>0</v>
          </cell>
          <cell r="W41">
            <v>0</v>
          </cell>
          <cell r="Z41">
            <v>0</v>
          </cell>
          <cell r="AA41">
            <v>3300</v>
          </cell>
          <cell r="AB41">
            <v>3822.1493617523656</v>
          </cell>
        </row>
        <row r="42">
          <cell r="B42" t="str">
            <v>EX711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EX1001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EX1002</v>
          </cell>
          <cell r="C44">
            <v>7.74</v>
          </cell>
          <cell r="D44">
            <v>7.13</v>
          </cell>
          <cell r="E44">
            <v>6.53</v>
          </cell>
          <cell r="H44">
            <v>21.4</v>
          </cell>
          <cell r="I44">
            <v>500</v>
          </cell>
          <cell r="J44">
            <v>500</v>
          </cell>
          <cell r="K44">
            <v>500</v>
          </cell>
          <cell r="L44">
            <v>500</v>
          </cell>
          <cell r="M44">
            <v>500</v>
          </cell>
          <cell r="N44">
            <v>500</v>
          </cell>
          <cell r="T44">
            <v>0</v>
          </cell>
          <cell r="U44">
            <v>3870</v>
          </cell>
          <cell r="V44">
            <v>3565</v>
          </cell>
          <cell r="W44">
            <v>3265</v>
          </cell>
          <cell r="X44">
            <v>0</v>
          </cell>
          <cell r="Y44">
            <v>0</v>
          </cell>
          <cell r="Z44">
            <v>10700</v>
          </cell>
          <cell r="AA44">
            <v>0</v>
          </cell>
          <cell r="AB44">
            <v>8149.0857203720061</v>
          </cell>
        </row>
        <row r="45">
          <cell r="B45" t="str">
            <v>EX1004</v>
          </cell>
          <cell r="F45">
            <v>9.5</v>
          </cell>
          <cell r="G45">
            <v>10.5</v>
          </cell>
          <cell r="H45">
            <v>20</v>
          </cell>
          <cell r="L45">
            <v>400</v>
          </cell>
          <cell r="M45">
            <v>400</v>
          </cell>
          <cell r="N45">
            <v>400</v>
          </cell>
          <cell r="R45">
            <v>3800</v>
          </cell>
          <cell r="S45">
            <v>4200</v>
          </cell>
          <cell r="T45">
            <v>8000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3173.5472399067926</v>
          </cell>
        </row>
        <row r="46">
          <cell r="B46" t="str">
            <v>EX1006</v>
          </cell>
          <cell r="C46">
            <v>7.74</v>
          </cell>
          <cell r="D46">
            <v>7.13</v>
          </cell>
          <cell r="E46">
            <v>6.53</v>
          </cell>
          <cell r="H46">
            <v>21.4</v>
          </cell>
          <cell r="I46">
            <v>400</v>
          </cell>
          <cell r="J46">
            <v>400</v>
          </cell>
          <cell r="K46">
            <v>400</v>
          </cell>
          <cell r="L46">
            <v>400</v>
          </cell>
          <cell r="M46">
            <v>400</v>
          </cell>
          <cell r="N46">
            <v>400</v>
          </cell>
          <cell r="O46">
            <v>3096</v>
          </cell>
          <cell r="P46">
            <v>2852</v>
          </cell>
          <cell r="Q46">
            <v>2612</v>
          </cell>
          <cell r="T46">
            <v>8560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3250</v>
          </cell>
          <cell r="AB46">
            <v>3281.7946753159999</v>
          </cell>
        </row>
        <row r="47">
          <cell r="B47" t="str">
            <v>EX1008</v>
          </cell>
          <cell r="C47">
            <v>7.74</v>
          </cell>
          <cell r="D47">
            <v>7.13</v>
          </cell>
          <cell r="E47">
            <v>6.53</v>
          </cell>
          <cell r="H47">
            <v>21.4</v>
          </cell>
          <cell r="I47">
            <v>400</v>
          </cell>
          <cell r="J47">
            <v>400</v>
          </cell>
          <cell r="K47">
            <v>400</v>
          </cell>
          <cell r="L47">
            <v>400</v>
          </cell>
          <cell r="M47">
            <v>400</v>
          </cell>
          <cell r="N47">
            <v>400</v>
          </cell>
          <cell r="O47">
            <v>3096</v>
          </cell>
          <cell r="P47">
            <v>2852</v>
          </cell>
          <cell r="Q47">
            <v>2612</v>
          </cell>
          <cell r="T47">
            <v>8560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B48" t="str">
            <v>EX1013</v>
          </cell>
          <cell r="C48">
            <v>7.74</v>
          </cell>
          <cell r="D48">
            <v>7.13</v>
          </cell>
          <cell r="E48">
            <v>6.53</v>
          </cell>
          <cell r="H48">
            <v>21.4</v>
          </cell>
          <cell r="I48">
            <v>450</v>
          </cell>
          <cell r="J48">
            <v>450</v>
          </cell>
          <cell r="K48">
            <v>450</v>
          </cell>
          <cell r="L48">
            <v>450</v>
          </cell>
          <cell r="M48">
            <v>400</v>
          </cell>
          <cell r="N48">
            <v>440</v>
          </cell>
          <cell r="O48">
            <v>3483</v>
          </cell>
          <cell r="P48">
            <v>2852</v>
          </cell>
          <cell r="Q48">
            <v>2612</v>
          </cell>
          <cell r="T48">
            <v>8947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2650</v>
          </cell>
          <cell r="AB48">
            <v>2825.951919795802</v>
          </cell>
        </row>
        <row r="49">
          <cell r="B49" t="str">
            <v>EX1014</v>
          </cell>
          <cell r="C49">
            <v>7.74</v>
          </cell>
          <cell r="D49">
            <v>7.13</v>
          </cell>
          <cell r="E49">
            <v>6.53</v>
          </cell>
          <cell r="H49">
            <v>21.4</v>
          </cell>
          <cell r="I49">
            <v>450</v>
          </cell>
          <cell r="J49">
            <v>450</v>
          </cell>
          <cell r="K49">
            <v>450</v>
          </cell>
          <cell r="L49">
            <v>450</v>
          </cell>
          <cell r="M49">
            <v>450</v>
          </cell>
          <cell r="N49">
            <v>450</v>
          </cell>
          <cell r="O49">
            <v>3483</v>
          </cell>
          <cell r="P49">
            <v>3208.5</v>
          </cell>
          <cell r="Q49">
            <v>2938.5</v>
          </cell>
          <cell r="T49">
            <v>9630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3250</v>
          </cell>
          <cell r="AB49">
            <v>0</v>
          </cell>
        </row>
        <row r="50">
          <cell r="B50" t="str">
            <v>EX577</v>
          </cell>
          <cell r="F50">
            <v>9.5</v>
          </cell>
          <cell r="G50">
            <v>10.5</v>
          </cell>
          <cell r="H50">
            <v>20</v>
          </cell>
          <cell r="L50">
            <v>300</v>
          </cell>
          <cell r="M50">
            <v>300</v>
          </cell>
          <cell r="N50">
            <v>300</v>
          </cell>
          <cell r="R50">
            <v>2850</v>
          </cell>
          <cell r="S50">
            <v>3150</v>
          </cell>
          <cell r="T50">
            <v>6000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2500</v>
          </cell>
          <cell r="AB50">
            <v>0</v>
          </cell>
        </row>
        <row r="51">
          <cell r="B51" t="str">
            <v>EX578</v>
          </cell>
          <cell r="F51">
            <v>9.5</v>
          </cell>
          <cell r="G51">
            <v>10.5</v>
          </cell>
          <cell r="H51">
            <v>20</v>
          </cell>
          <cell r="L51">
            <v>300</v>
          </cell>
          <cell r="M51">
            <v>300</v>
          </cell>
          <cell r="N51">
            <v>300</v>
          </cell>
          <cell r="R51">
            <v>2850</v>
          </cell>
          <cell r="S51">
            <v>3150</v>
          </cell>
          <cell r="T51">
            <v>6000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2750</v>
          </cell>
          <cell r="AB51">
            <v>2890.9618348385825</v>
          </cell>
        </row>
        <row r="52">
          <cell r="B52" t="str">
            <v>WL508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B53" t="str">
            <v>EX429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B54" t="str">
            <v>EX430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B55" t="str">
            <v>KPTJEX009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e">
            <v>#N/A</v>
          </cell>
          <cell r="AB55">
            <v>0</v>
          </cell>
        </row>
        <row r="56">
          <cell r="B56" t="str">
            <v>KPLMEX002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e">
            <v>#N/A</v>
          </cell>
          <cell r="AB56">
            <v>0</v>
          </cell>
        </row>
        <row r="57">
          <cell r="B57">
            <v>1</v>
          </cell>
          <cell r="F57">
            <v>0</v>
          </cell>
          <cell r="G57">
            <v>0</v>
          </cell>
          <cell r="H57">
            <v>0</v>
          </cell>
          <cell r="L57">
            <v>0</v>
          </cell>
          <cell r="M57">
            <v>0</v>
          </cell>
          <cell r="N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Z57">
            <v>0</v>
          </cell>
          <cell r="AA57" t="e">
            <v>#N/A</v>
          </cell>
          <cell r="AB57">
            <v>0</v>
          </cell>
        </row>
        <row r="58">
          <cell r="B58" t="str">
            <v>TOTAL</v>
          </cell>
          <cell r="C58">
            <v>70.92</v>
          </cell>
          <cell r="D58">
            <v>61.04</v>
          </cell>
          <cell r="E58">
            <v>58.77</v>
          </cell>
          <cell r="F58">
            <v>28.5</v>
          </cell>
          <cell r="G58">
            <v>31.5</v>
          </cell>
          <cell r="H58">
            <v>250.73</v>
          </cell>
          <cell r="I58">
            <v>1800</v>
          </cell>
          <cell r="J58">
            <v>1800</v>
          </cell>
          <cell r="K58">
            <v>1800</v>
          </cell>
          <cell r="L58">
            <v>1800</v>
          </cell>
          <cell r="M58">
            <v>1800</v>
          </cell>
          <cell r="N58">
            <v>1800</v>
          </cell>
          <cell r="O58">
            <v>54448</v>
          </cell>
          <cell r="P58">
            <v>43919.5</v>
          </cell>
          <cell r="Q58">
            <v>45383.5</v>
          </cell>
          <cell r="R58">
            <v>9500</v>
          </cell>
          <cell r="S58">
            <v>10500</v>
          </cell>
          <cell r="T58">
            <v>163751</v>
          </cell>
          <cell r="U58">
            <v>3870</v>
          </cell>
          <cell r="V58">
            <v>3565</v>
          </cell>
          <cell r="W58">
            <v>3265</v>
          </cell>
          <cell r="X58">
            <v>0</v>
          </cell>
          <cell r="Y58">
            <v>0</v>
          </cell>
          <cell r="Z58">
            <v>10700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lan"/>
      <sheetName val="hourly"/>
      <sheetName val="Daily Plan Nov'06R0"/>
      <sheetName val="SUM"/>
      <sheetName val="OPT_GL"/>
      <sheetName val="bantuan"/>
      <sheetName val="Truck"/>
      <sheetName val="database"/>
      <sheetName val="summary"/>
      <sheetName val="Data Base"/>
      <sheetName val="Run"/>
    </sheetNames>
    <sheetDataSet>
      <sheetData sheetId="0" refreshError="1">
        <row r="8">
          <cell r="BH8" t="str">
            <v>SH304</v>
          </cell>
          <cell r="BI8">
            <v>6.5</v>
          </cell>
          <cell r="BJ8">
            <v>10.5</v>
          </cell>
          <cell r="BK8">
            <v>17</v>
          </cell>
          <cell r="BL8">
            <v>1400</v>
          </cell>
          <cell r="BM8">
            <v>1400</v>
          </cell>
          <cell r="BN8">
            <v>1400</v>
          </cell>
          <cell r="BO8">
            <v>9100</v>
          </cell>
          <cell r="BP8">
            <v>14700</v>
          </cell>
          <cell r="BQ8">
            <v>23800</v>
          </cell>
          <cell r="BR8">
            <v>0</v>
          </cell>
          <cell r="BS8">
            <v>0</v>
          </cell>
          <cell r="BT8">
            <v>0</v>
          </cell>
          <cell r="BU8" t="str">
            <v>OB</v>
          </cell>
          <cell r="BV8">
            <v>4.5</v>
          </cell>
          <cell r="BW8">
            <v>2.5</v>
          </cell>
          <cell r="BX8">
            <v>3250</v>
          </cell>
          <cell r="BY8">
            <v>0</v>
          </cell>
          <cell r="BZ8">
            <v>0</v>
          </cell>
          <cell r="CA8">
            <v>0</v>
          </cell>
        </row>
        <row r="9">
          <cell r="BH9" t="str">
            <v>SH305</v>
          </cell>
          <cell r="BI9">
            <v>6.5</v>
          </cell>
          <cell r="BJ9">
            <v>10.5</v>
          </cell>
          <cell r="BK9">
            <v>17</v>
          </cell>
          <cell r="BL9">
            <v>1400</v>
          </cell>
          <cell r="BM9">
            <v>1400</v>
          </cell>
          <cell r="BN9">
            <v>1400</v>
          </cell>
          <cell r="BO9">
            <v>9100</v>
          </cell>
          <cell r="BP9">
            <v>14700</v>
          </cell>
          <cell r="BQ9">
            <v>23800</v>
          </cell>
          <cell r="BR9">
            <v>0</v>
          </cell>
          <cell r="BS9">
            <v>0</v>
          </cell>
          <cell r="BT9">
            <v>0</v>
          </cell>
          <cell r="BU9" t="str">
            <v>OB</v>
          </cell>
          <cell r="BV9">
            <v>4.5</v>
          </cell>
          <cell r="BW9">
            <v>2.5</v>
          </cell>
          <cell r="BX9">
            <v>2750</v>
          </cell>
          <cell r="BY9">
            <v>0</v>
          </cell>
          <cell r="BZ9">
            <v>0</v>
          </cell>
          <cell r="CA9">
            <v>0</v>
          </cell>
        </row>
        <row r="10">
          <cell r="BH10" t="str">
            <v>SH306</v>
          </cell>
          <cell r="BI10">
            <v>6.5</v>
          </cell>
          <cell r="BJ10">
            <v>10.5</v>
          </cell>
          <cell r="BK10">
            <v>17</v>
          </cell>
          <cell r="BL10">
            <v>1350</v>
          </cell>
          <cell r="BM10">
            <v>1350</v>
          </cell>
          <cell r="BN10">
            <v>1350</v>
          </cell>
          <cell r="BO10">
            <v>8775</v>
          </cell>
          <cell r="BP10">
            <v>14175</v>
          </cell>
          <cell r="BQ10">
            <v>22950</v>
          </cell>
          <cell r="BR10">
            <v>0</v>
          </cell>
          <cell r="BS10">
            <v>0</v>
          </cell>
          <cell r="BT10">
            <v>0</v>
          </cell>
          <cell r="BU10" t="str">
            <v>OB</v>
          </cell>
          <cell r="BV10">
            <v>4.5</v>
          </cell>
          <cell r="BW10">
            <v>2.5</v>
          </cell>
          <cell r="BX10">
            <v>3250</v>
          </cell>
          <cell r="BY10">
            <v>0</v>
          </cell>
          <cell r="BZ10">
            <v>0</v>
          </cell>
          <cell r="CA10">
            <v>0</v>
          </cell>
        </row>
        <row r="11">
          <cell r="BH11" t="str">
            <v>EX708</v>
          </cell>
          <cell r="BI11">
            <v>6.5</v>
          </cell>
          <cell r="BJ11">
            <v>10.5</v>
          </cell>
          <cell r="BK11">
            <v>17</v>
          </cell>
          <cell r="BL11">
            <v>950</v>
          </cell>
          <cell r="BM11">
            <v>950</v>
          </cell>
          <cell r="BN11">
            <v>950</v>
          </cell>
          <cell r="BO11">
            <v>6175</v>
          </cell>
          <cell r="BP11">
            <v>9975</v>
          </cell>
          <cell r="BQ11">
            <v>16150</v>
          </cell>
          <cell r="BR11">
            <v>0</v>
          </cell>
          <cell r="BS11">
            <v>0</v>
          </cell>
          <cell r="BT11">
            <v>0</v>
          </cell>
          <cell r="BU11" t="str">
            <v>OB</v>
          </cell>
          <cell r="BV11">
            <v>4.5</v>
          </cell>
          <cell r="BW11">
            <v>2.5</v>
          </cell>
          <cell r="BX11">
            <v>2500</v>
          </cell>
          <cell r="BY11">
            <v>0</v>
          </cell>
          <cell r="BZ11">
            <v>0</v>
          </cell>
          <cell r="CA11">
            <v>0</v>
          </cell>
        </row>
        <row r="12">
          <cell r="BH12" t="str">
            <v>EX709</v>
          </cell>
          <cell r="BI12">
            <v>6.5</v>
          </cell>
          <cell r="BJ12">
            <v>10.5</v>
          </cell>
          <cell r="BK12">
            <v>17</v>
          </cell>
          <cell r="BL12">
            <v>950</v>
          </cell>
          <cell r="BM12">
            <v>950</v>
          </cell>
          <cell r="BN12">
            <v>950</v>
          </cell>
          <cell r="BO12">
            <v>6175</v>
          </cell>
          <cell r="BP12">
            <v>9975</v>
          </cell>
          <cell r="BQ12">
            <v>16150</v>
          </cell>
          <cell r="BR12">
            <v>0</v>
          </cell>
          <cell r="BS12">
            <v>0</v>
          </cell>
          <cell r="BT12">
            <v>0</v>
          </cell>
          <cell r="BU12" t="str">
            <v>OB</v>
          </cell>
          <cell r="BV12">
            <v>4.5</v>
          </cell>
          <cell r="BW12">
            <v>2.5</v>
          </cell>
          <cell r="BX12">
            <v>2250</v>
          </cell>
          <cell r="BY12">
            <v>0</v>
          </cell>
          <cell r="BZ12">
            <v>0</v>
          </cell>
          <cell r="CA12">
            <v>0</v>
          </cell>
        </row>
        <row r="13">
          <cell r="BH13" t="str">
            <v>EX710</v>
          </cell>
          <cell r="BI13">
            <v>6.5</v>
          </cell>
          <cell r="BJ13">
            <v>10.5</v>
          </cell>
          <cell r="BK13">
            <v>17</v>
          </cell>
          <cell r="BL13">
            <v>900</v>
          </cell>
          <cell r="BM13">
            <v>900</v>
          </cell>
          <cell r="BN13">
            <v>900</v>
          </cell>
          <cell r="BO13">
            <v>5850</v>
          </cell>
          <cell r="BP13">
            <v>9450</v>
          </cell>
          <cell r="BQ13">
            <v>15300</v>
          </cell>
          <cell r="BR13">
            <v>0</v>
          </cell>
          <cell r="BS13">
            <v>0</v>
          </cell>
          <cell r="BT13">
            <v>0</v>
          </cell>
          <cell r="BU13" t="str">
            <v>OB</v>
          </cell>
          <cell r="BV13">
            <v>4.5</v>
          </cell>
          <cell r="BW13">
            <v>2.5</v>
          </cell>
          <cell r="BX13">
            <v>3000</v>
          </cell>
          <cell r="BY13">
            <v>0</v>
          </cell>
          <cell r="BZ13">
            <v>0</v>
          </cell>
          <cell r="CA13">
            <v>0</v>
          </cell>
        </row>
        <row r="14">
          <cell r="BH14" t="str">
            <v>EX711</v>
          </cell>
          <cell r="BI14">
            <v>6.5</v>
          </cell>
          <cell r="BJ14">
            <v>10.5</v>
          </cell>
          <cell r="BK14">
            <v>17</v>
          </cell>
          <cell r="BL14">
            <v>950</v>
          </cell>
          <cell r="BM14">
            <v>950</v>
          </cell>
          <cell r="BN14">
            <v>950</v>
          </cell>
          <cell r="BO14">
            <v>6175</v>
          </cell>
          <cell r="BP14">
            <v>9975</v>
          </cell>
          <cell r="BQ14">
            <v>16150</v>
          </cell>
          <cell r="BR14">
            <v>0</v>
          </cell>
          <cell r="BS14">
            <v>0</v>
          </cell>
          <cell r="BT14">
            <v>0</v>
          </cell>
          <cell r="BU14" t="str">
            <v>OB</v>
          </cell>
          <cell r="BV14">
            <v>4.5</v>
          </cell>
          <cell r="BW14">
            <v>2.5</v>
          </cell>
          <cell r="BX14">
            <v>2750</v>
          </cell>
          <cell r="BY14">
            <v>0</v>
          </cell>
          <cell r="BZ14">
            <v>0</v>
          </cell>
          <cell r="CA14">
            <v>0</v>
          </cell>
        </row>
        <row r="15">
          <cell r="BH15" t="str">
            <v>EX718</v>
          </cell>
          <cell r="BI15">
            <v>6.5</v>
          </cell>
          <cell r="BJ15">
            <v>10.5</v>
          </cell>
          <cell r="BK15">
            <v>17</v>
          </cell>
          <cell r="BL15">
            <v>900</v>
          </cell>
          <cell r="BM15">
            <v>900</v>
          </cell>
          <cell r="BN15">
            <v>900</v>
          </cell>
          <cell r="BO15">
            <v>5850</v>
          </cell>
          <cell r="BP15">
            <v>9450</v>
          </cell>
          <cell r="BQ15">
            <v>15300</v>
          </cell>
          <cell r="BR15">
            <v>0</v>
          </cell>
          <cell r="BS15">
            <v>0</v>
          </cell>
          <cell r="BT15">
            <v>0</v>
          </cell>
          <cell r="BU15" t="str">
            <v>OB</v>
          </cell>
          <cell r="BV15">
            <v>4.5</v>
          </cell>
          <cell r="BW15">
            <v>2.5</v>
          </cell>
          <cell r="BX15">
            <v>3000</v>
          </cell>
          <cell r="BY15">
            <v>0</v>
          </cell>
          <cell r="BZ15">
            <v>0</v>
          </cell>
          <cell r="CA15">
            <v>0</v>
          </cell>
        </row>
        <row r="16">
          <cell r="BH16" t="str">
            <v>EX729</v>
          </cell>
          <cell r="BI16">
            <v>6.5</v>
          </cell>
          <cell r="BJ16">
            <v>10.5</v>
          </cell>
          <cell r="BK16">
            <v>17</v>
          </cell>
          <cell r="BL16">
            <v>900</v>
          </cell>
          <cell r="BM16">
            <v>900</v>
          </cell>
          <cell r="BN16">
            <v>900</v>
          </cell>
          <cell r="BO16">
            <v>5850</v>
          </cell>
          <cell r="BP16">
            <v>9450</v>
          </cell>
          <cell r="BQ16">
            <v>15300</v>
          </cell>
          <cell r="BR16">
            <v>0</v>
          </cell>
          <cell r="BS16">
            <v>0</v>
          </cell>
          <cell r="BT16">
            <v>0</v>
          </cell>
          <cell r="BU16" t="str">
            <v>OB</v>
          </cell>
          <cell r="BV16">
            <v>4.5</v>
          </cell>
          <cell r="BW16">
            <v>2.5</v>
          </cell>
          <cell r="BX16">
            <v>3000</v>
          </cell>
          <cell r="BY16">
            <v>0</v>
          </cell>
          <cell r="BZ16">
            <v>0</v>
          </cell>
          <cell r="CA16">
            <v>0</v>
          </cell>
        </row>
        <row r="17">
          <cell r="BH17" t="str">
            <v>EX1701</v>
          </cell>
          <cell r="BI17">
            <v>0</v>
          </cell>
          <cell r="BJ17">
            <v>5</v>
          </cell>
          <cell r="BK17">
            <v>5</v>
          </cell>
          <cell r="BL17">
            <v>0</v>
          </cell>
          <cell r="BM17">
            <v>800</v>
          </cell>
          <cell r="BN17">
            <v>800</v>
          </cell>
          <cell r="BO17">
            <v>0</v>
          </cell>
          <cell r="BP17">
            <v>4000</v>
          </cell>
          <cell r="BQ17">
            <v>4000</v>
          </cell>
          <cell r="BR17">
            <v>0</v>
          </cell>
          <cell r="BS17">
            <v>0</v>
          </cell>
          <cell r="BT17">
            <v>0</v>
          </cell>
          <cell r="BU17" t="str">
            <v>OB</v>
          </cell>
          <cell r="BV17">
            <v>0</v>
          </cell>
          <cell r="BW17">
            <v>8</v>
          </cell>
          <cell r="BX17">
            <v>-1250</v>
          </cell>
          <cell r="BY17">
            <v>4250</v>
          </cell>
          <cell r="BZ17">
            <v>17</v>
          </cell>
          <cell r="CA17">
            <v>0</v>
          </cell>
        </row>
        <row r="18">
          <cell r="BH18" t="str">
            <v>EX1001</v>
          </cell>
          <cell r="BI18">
            <v>6.5</v>
          </cell>
          <cell r="BJ18">
            <v>10.5</v>
          </cell>
          <cell r="BK18">
            <v>17</v>
          </cell>
          <cell r="BL18">
            <v>400</v>
          </cell>
          <cell r="BM18">
            <v>400</v>
          </cell>
          <cell r="BN18">
            <v>400</v>
          </cell>
          <cell r="BO18">
            <v>2600</v>
          </cell>
          <cell r="BP18">
            <v>4200</v>
          </cell>
          <cell r="BQ18">
            <v>6800</v>
          </cell>
          <cell r="BR18">
            <v>0</v>
          </cell>
          <cell r="BS18">
            <v>0</v>
          </cell>
          <cell r="BT18">
            <v>0</v>
          </cell>
          <cell r="BU18" t="str">
            <v>OB</v>
          </cell>
          <cell r="BV18">
            <v>4.5</v>
          </cell>
          <cell r="BW18">
            <v>2.5</v>
          </cell>
          <cell r="BX18">
            <v>2500</v>
          </cell>
          <cell r="BY18">
            <v>0</v>
          </cell>
          <cell r="BZ18">
            <v>0</v>
          </cell>
          <cell r="CA18">
            <v>0</v>
          </cell>
        </row>
        <row r="19">
          <cell r="BH19" t="str">
            <v>EX1002</v>
          </cell>
          <cell r="BI19">
            <v>6.5</v>
          </cell>
          <cell r="BJ19">
            <v>10.5</v>
          </cell>
          <cell r="BK19">
            <v>17</v>
          </cell>
          <cell r="BL19">
            <v>400</v>
          </cell>
          <cell r="BM19">
            <v>400</v>
          </cell>
          <cell r="BN19">
            <v>400</v>
          </cell>
          <cell r="BO19">
            <v>2600</v>
          </cell>
          <cell r="BP19">
            <v>4200</v>
          </cell>
          <cell r="BQ19">
            <v>6800</v>
          </cell>
          <cell r="BR19">
            <v>0</v>
          </cell>
          <cell r="BS19">
            <v>0</v>
          </cell>
          <cell r="BT19">
            <v>0</v>
          </cell>
          <cell r="BU19" t="str">
            <v>OB</v>
          </cell>
          <cell r="BV19">
            <v>4.5</v>
          </cell>
          <cell r="BW19">
            <v>2.5</v>
          </cell>
          <cell r="BX19">
            <v>2500</v>
          </cell>
          <cell r="BY19">
            <v>0</v>
          </cell>
          <cell r="BZ19">
            <v>0</v>
          </cell>
          <cell r="CA19">
            <v>0</v>
          </cell>
        </row>
        <row r="20">
          <cell r="BH20" t="str">
            <v>EX1004</v>
          </cell>
          <cell r="BI20">
            <v>6.5</v>
          </cell>
          <cell r="BJ20">
            <v>10.5</v>
          </cell>
          <cell r="BK20">
            <v>17</v>
          </cell>
          <cell r="BL20">
            <v>500</v>
          </cell>
          <cell r="BM20">
            <v>500</v>
          </cell>
          <cell r="BN20">
            <v>500</v>
          </cell>
          <cell r="BO20">
            <v>0</v>
          </cell>
          <cell r="BP20">
            <v>0</v>
          </cell>
          <cell r="BQ20">
            <v>0</v>
          </cell>
          <cell r="BR20">
            <v>3250</v>
          </cell>
          <cell r="BS20">
            <v>5250</v>
          </cell>
          <cell r="BT20">
            <v>8500</v>
          </cell>
          <cell r="BU20" t="str">
            <v>CC</v>
          </cell>
          <cell r="BV20">
            <v>11</v>
          </cell>
          <cell r="BW20">
            <v>13</v>
          </cell>
          <cell r="BX20">
            <v>3000</v>
          </cell>
          <cell r="BY20">
            <v>0</v>
          </cell>
          <cell r="BZ20">
            <v>0</v>
          </cell>
          <cell r="CA20">
            <v>0</v>
          </cell>
        </row>
        <row r="21">
          <cell r="BH21" t="str">
            <v>EX1006</v>
          </cell>
          <cell r="BI21">
            <v>6.5</v>
          </cell>
          <cell r="BJ21">
            <v>10.5</v>
          </cell>
          <cell r="BK21">
            <v>17</v>
          </cell>
          <cell r="BL21">
            <v>500</v>
          </cell>
          <cell r="BM21">
            <v>500</v>
          </cell>
          <cell r="BN21">
            <v>500</v>
          </cell>
          <cell r="BO21">
            <v>3250</v>
          </cell>
          <cell r="BP21">
            <v>5250</v>
          </cell>
          <cell r="BQ21">
            <v>8500</v>
          </cell>
          <cell r="BR21">
            <v>0</v>
          </cell>
          <cell r="BS21">
            <v>0</v>
          </cell>
          <cell r="BT21">
            <v>0</v>
          </cell>
          <cell r="BU21" t="str">
            <v>OB</v>
          </cell>
          <cell r="BV21">
            <v>11</v>
          </cell>
          <cell r="BW21">
            <v>13</v>
          </cell>
          <cell r="BX21">
            <v>750</v>
          </cell>
          <cell r="BY21">
            <v>0</v>
          </cell>
          <cell r="BZ21">
            <v>0</v>
          </cell>
          <cell r="CA21">
            <v>0</v>
          </cell>
        </row>
        <row r="22">
          <cell r="BH22" t="str">
            <v>EX1008</v>
          </cell>
          <cell r="BI22">
            <v>6.5</v>
          </cell>
          <cell r="BJ22">
            <v>10.5</v>
          </cell>
          <cell r="BK22">
            <v>17</v>
          </cell>
          <cell r="BL22">
            <v>500</v>
          </cell>
          <cell r="BM22">
            <v>500</v>
          </cell>
          <cell r="BN22">
            <v>500</v>
          </cell>
          <cell r="BO22">
            <v>0</v>
          </cell>
          <cell r="BP22">
            <v>0</v>
          </cell>
          <cell r="BQ22">
            <v>0</v>
          </cell>
          <cell r="BR22">
            <v>3250</v>
          </cell>
          <cell r="BS22">
            <v>5250</v>
          </cell>
          <cell r="BT22">
            <v>8500</v>
          </cell>
          <cell r="BU22" t="str">
            <v>CC</v>
          </cell>
          <cell r="BV22">
            <v>11</v>
          </cell>
          <cell r="BW22">
            <v>13</v>
          </cell>
          <cell r="BX22">
            <v>-4250</v>
          </cell>
          <cell r="BY22">
            <v>4250</v>
          </cell>
          <cell r="BZ22">
            <v>0</v>
          </cell>
          <cell r="CA22">
            <v>0</v>
          </cell>
        </row>
        <row r="23">
          <cell r="BH23" t="str">
            <v>EX1013</v>
          </cell>
          <cell r="BI23">
            <v>6.5</v>
          </cell>
          <cell r="BJ23">
            <v>10.5</v>
          </cell>
          <cell r="BK23">
            <v>17</v>
          </cell>
          <cell r="BL23">
            <v>500</v>
          </cell>
          <cell r="BM23">
            <v>500</v>
          </cell>
          <cell r="BN23">
            <v>500</v>
          </cell>
          <cell r="BO23">
            <v>0</v>
          </cell>
          <cell r="BP23">
            <v>0</v>
          </cell>
          <cell r="BQ23">
            <v>0</v>
          </cell>
          <cell r="BR23">
            <v>3250</v>
          </cell>
          <cell r="BS23">
            <v>5250</v>
          </cell>
          <cell r="BT23">
            <v>8500</v>
          </cell>
          <cell r="BU23" t="str">
            <v>CC</v>
          </cell>
          <cell r="BV23">
            <v>6.5</v>
          </cell>
          <cell r="BW23">
            <v>2</v>
          </cell>
          <cell r="BX23">
            <v>-4250</v>
          </cell>
          <cell r="BY23">
            <v>4250</v>
          </cell>
          <cell r="BZ23">
            <v>0</v>
          </cell>
          <cell r="CA23">
            <v>0</v>
          </cell>
        </row>
        <row r="24">
          <cell r="BH24" t="str">
            <v>EX1014</v>
          </cell>
          <cell r="BI24">
            <v>4.5</v>
          </cell>
          <cell r="BJ24">
            <v>11</v>
          </cell>
          <cell r="BK24">
            <v>15.5</v>
          </cell>
          <cell r="BL24">
            <v>500</v>
          </cell>
          <cell r="BM24">
            <v>500</v>
          </cell>
          <cell r="BN24">
            <v>500</v>
          </cell>
          <cell r="BO24">
            <v>2250</v>
          </cell>
          <cell r="BP24">
            <v>5500</v>
          </cell>
          <cell r="BQ24">
            <v>7750</v>
          </cell>
          <cell r="BR24">
            <v>0</v>
          </cell>
          <cell r="BS24">
            <v>0</v>
          </cell>
          <cell r="BT24">
            <v>0</v>
          </cell>
          <cell r="BU24" t="str">
            <v>OB</v>
          </cell>
          <cell r="BV24">
            <v>11</v>
          </cell>
          <cell r="BW24">
            <v>13</v>
          </cell>
          <cell r="BX24">
            <v>2750</v>
          </cell>
          <cell r="BY24">
            <v>0</v>
          </cell>
          <cell r="BZ24">
            <v>0</v>
          </cell>
          <cell r="CA24">
            <v>0</v>
          </cell>
        </row>
        <row r="25">
          <cell r="BH25" t="str">
            <v>EX577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str">
            <v>OB</v>
          </cell>
          <cell r="BV25">
            <v>0</v>
          </cell>
          <cell r="BW25">
            <v>0</v>
          </cell>
          <cell r="BX25">
            <v>750</v>
          </cell>
          <cell r="BY25">
            <v>0</v>
          </cell>
          <cell r="BZ25">
            <v>0</v>
          </cell>
          <cell r="CA25">
            <v>0</v>
          </cell>
        </row>
        <row r="26">
          <cell r="BH26" t="str">
            <v>EX578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 t="str">
            <v>OB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H27" t="str">
            <v>EX579</v>
          </cell>
          <cell r="BI27">
            <v>5.5</v>
          </cell>
          <cell r="BJ27">
            <v>10.5</v>
          </cell>
          <cell r="BK27">
            <v>16</v>
          </cell>
          <cell r="BL27">
            <v>300</v>
          </cell>
          <cell r="BM27">
            <v>300</v>
          </cell>
          <cell r="BN27">
            <v>300</v>
          </cell>
          <cell r="BO27">
            <v>1650</v>
          </cell>
          <cell r="BP27">
            <v>3150</v>
          </cell>
          <cell r="BQ27">
            <v>4800</v>
          </cell>
          <cell r="BR27">
            <v>0</v>
          </cell>
          <cell r="BS27">
            <v>0</v>
          </cell>
          <cell r="BT27">
            <v>0</v>
          </cell>
          <cell r="BU27" t="str">
            <v>OB</v>
          </cell>
          <cell r="BV27">
            <v>11</v>
          </cell>
          <cell r="BW27">
            <v>13</v>
          </cell>
          <cell r="BX27">
            <v>1000</v>
          </cell>
          <cell r="BY27">
            <v>0</v>
          </cell>
          <cell r="BZ27">
            <v>24</v>
          </cell>
          <cell r="CA27">
            <v>0</v>
          </cell>
        </row>
        <row r="28">
          <cell r="BH28" t="str">
            <v>WL508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 t="str">
            <v>OB</v>
          </cell>
          <cell r="BV28">
            <v>0</v>
          </cell>
          <cell r="BW28">
            <v>0</v>
          </cell>
          <cell r="BX28" t="e">
            <v>#N/A</v>
          </cell>
          <cell r="BY28">
            <v>0</v>
          </cell>
          <cell r="BZ28">
            <v>0</v>
          </cell>
          <cell r="CA28">
            <v>0</v>
          </cell>
        </row>
        <row r="29">
          <cell r="BH29" t="str">
            <v>EX429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 t="str">
            <v>OB</v>
          </cell>
          <cell r="BV29">
            <v>0</v>
          </cell>
          <cell r="BW29">
            <v>0</v>
          </cell>
          <cell r="BX29" t="e">
            <v>#N/A</v>
          </cell>
          <cell r="BY29">
            <v>0</v>
          </cell>
          <cell r="BZ29">
            <v>0</v>
          </cell>
          <cell r="CA29">
            <v>0</v>
          </cell>
        </row>
        <row r="30">
          <cell r="BH30" t="str">
            <v>EX430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 t="str">
            <v>OB</v>
          </cell>
          <cell r="BV30">
            <v>0</v>
          </cell>
          <cell r="BW30">
            <v>0</v>
          </cell>
          <cell r="BX30" t="e">
            <v>#N/A</v>
          </cell>
          <cell r="BY30">
            <v>0</v>
          </cell>
          <cell r="BZ30">
            <v>0</v>
          </cell>
          <cell r="CA30">
            <v>0</v>
          </cell>
        </row>
        <row r="31">
          <cell r="BH31" t="str">
            <v>KPTJEX026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 t="str">
            <v>OB</v>
          </cell>
          <cell r="BV31">
            <v>0</v>
          </cell>
          <cell r="BW31">
            <v>0</v>
          </cell>
          <cell r="BX31" t="e">
            <v>#N/A</v>
          </cell>
          <cell r="BY31">
            <v>0</v>
          </cell>
          <cell r="BZ31">
            <v>0</v>
          </cell>
          <cell r="CA31">
            <v>0</v>
          </cell>
        </row>
        <row r="32">
          <cell r="BH32" t="str">
            <v>KPLMEX002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OB</v>
          </cell>
          <cell r="BV32">
            <v>0</v>
          </cell>
          <cell r="BW32">
            <v>0</v>
          </cell>
          <cell r="BX32" t="e">
            <v>#N/A</v>
          </cell>
          <cell r="BY32">
            <v>0</v>
          </cell>
          <cell r="BZ32">
            <v>0</v>
          </cell>
          <cell r="CA3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"/>
      <sheetName val="LIST"/>
      <sheetName val="A_SQL2IMPS_"/>
      <sheetName val="Daily Plan"/>
      <sheetName val="SUM"/>
      <sheetName val="OPT_GL"/>
      <sheetName val="Data Base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Data loader"/>
      <sheetName val="Run"/>
      <sheetName val="Data_AC"/>
      <sheetName val="Daily Plan"/>
      <sheetName val="SUM"/>
      <sheetName val="LIST"/>
      <sheetName val="Data Base"/>
      <sheetName val="Data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ACUM"/>
      <sheetName val="TJ"/>
      <sheetName val="LM"/>
      <sheetName val="Run"/>
      <sheetName val="Hourly"/>
      <sheetName val="Daily Plan"/>
      <sheetName val="SUM"/>
      <sheetName val="Sales Mining"/>
      <sheetName val="EPR_MTD"/>
      <sheetName val="Data Base"/>
      <sheetName val="Truck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otes"/>
      <sheetName val="PRODUKSI"/>
      <sheetName val="Run"/>
      <sheetName val="MA_PLANS_"/>
      <sheetName val="M_PLANS_"/>
      <sheetName val="Daily Plan"/>
      <sheetName val="ROM &amp; FC Actual"/>
      <sheetName val="sum_MSY"/>
      <sheetName val="DP Report"/>
      <sheetName val="Data 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bantuan"/>
      <sheetName val="Run"/>
      <sheetName val="Sheet2"/>
      <sheetName val="Sheet1"/>
      <sheetName val="sum_MSY"/>
      <sheetName val="DB "/>
      <sheetName val="Summ PRM"/>
      <sheetName val="SUM"/>
      <sheetName val="Data Base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  <sheetName val="DP Report"/>
      <sheetName val="EPR MTD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Daily Plan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DT ob"/>
      <sheetName val="DT coal"/>
      <sheetName val="HM"/>
      <sheetName val="OLIE"/>
      <sheetName val="II"/>
      <sheetName val="III"/>
      <sheetName val="UP-CIVIL"/>
      <sheetName val="Konversi Jarak"/>
      <sheetName val="Cash Flow"/>
      <sheetName val="F1771-IV"/>
      <sheetName val="OB_TCM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Budget"/>
      <sheetName val="SOS Summary "/>
      <sheetName val="Elec"/>
      <sheetName val="Housekeeping"/>
      <sheetName val="SAD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Daily Report"/>
      <sheetName val="ACC Publish"/>
      <sheetName val="ovh"/>
      <sheetName val="FMC"/>
      <sheetName val="OPT_GL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DATA MASTER JUN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EqList"/>
      <sheetName val="Ppls"/>
      <sheetName val="Dozing Estimation"/>
      <sheetName val="Statistik"/>
      <sheetName val="FORM"/>
      <sheetName val="Prod'n"/>
      <sheetName val="PAR"/>
      <sheetName val="Production HO"/>
      <sheetName val="EDS110507"/>
      <sheetName val="MA"/>
      <sheetName val="Plant Rate"/>
      <sheetName val="POPULASI 2020"/>
      <sheetName val="BUDGET PER UNIT"/>
      <sheetName val="SPO 2020"/>
      <sheetName val="Base Unit"/>
      <sheetName val="Stock"/>
      <sheetName val="Usage"/>
    </sheetNames>
    <sheetDataSet>
      <sheetData sheetId="0" refreshError="1">
        <row r="33">
          <cell r="F3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Jul (CREM)"/>
      <sheetName val="DP Report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02 Prod'n"/>
      <sheetName val="03 Travel"/>
      <sheetName val="2004"/>
      <sheetName val="cov"/>
      <sheetName val="Petrosea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  <sheetName val="Ppls"/>
      <sheetName val="#REF"/>
      <sheetName val="PRO_COAL"/>
      <sheetName val="EDS110507"/>
      <sheetName val="MA"/>
      <sheetName val="Sheet3"/>
      <sheetName val="C-PF_ALL"/>
      <sheetName val="P_PA"/>
      <sheetName val="ExcRate"/>
      <sheetName val="EWH-UA"/>
      <sheetName val="DIG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W6">
            <v>9400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03</v>
          </cell>
        </row>
        <row r="7">
          <cell r="A7" t="str">
            <v>04</v>
          </cell>
        </row>
        <row r="8">
          <cell r="A8" t="str">
            <v>05</v>
          </cell>
        </row>
        <row r="9">
          <cell r="A9" t="str">
            <v>07</v>
          </cell>
        </row>
        <row r="10">
          <cell r="A10" t="str">
            <v>08</v>
          </cell>
        </row>
      </sheetData>
      <sheetData sheetId="6">
        <row r="3">
          <cell r="A3" t="str">
            <v>00000</v>
          </cell>
        </row>
        <row r="4">
          <cell r="A4" t="str">
            <v>00001</v>
          </cell>
        </row>
        <row r="5">
          <cell r="A5" t="str">
            <v>01100</v>
          </cell>
        </row>
        <row r="6">
          <cell r="A6" t="str">
            <v>01200</v>
          </cell>
        </row>
        <row r="7">
          <cell r="A7" t="str">
            <v>01300</v>
          </cell>
        </row>
        <row r="8">
          <cell r="A8" t="str">
            <v>01400</v>
          </cell>
        </row>
        <row r="9">
          <cell r="A9" t="str">
            <v>01500</v>
          </cell>
        </row>
        <row r="10">
          <cell r="A10" t="str">
            <v>01600</v>
          </cell>
        </row>
        <row r="11">
          <cell r="A11" t="str">
            <v>01700</v>
          </cell>
        </row>
        <row r="12">
          <cell r="A12" t="str">
            <v>03100</v>
          </cell>
        </row>
        <row r="13">
          <cell r="A13" t="str">
            <v>03200</v>
          </cell>
        </row>
        <row r="14">
          <cell r="A14" t="str">
            <v>03300</v>
          </cell>
        </row>
        <row r="15">
          <cell r="A15" t="str">
            <v>04100</v>
          </cell>
        </row>
        <row r="16">
          <cell r="A16" t="str">
            <v>05100</v>
          </cell>
        </row>
        <row r="17">
          <cell r="A17" t="str">
            <v>05200</v>
          </cell>
        </row>
        <row r="18">
          <cell r="A18" t="str">
            <v>05400</v>
          </cell>
        </row>
        <row r="19">
          <cell r="A19" t="str">
            <v>05500</v>
          </cell>
        </row>
        <row r="20">
          <cell r="A20" t="str">
            <v>05700</v>
          </cell>
        </row>
        <row r="21">
          <cell r="A21" t="str">
            <v>05800</v>
          </cell>
        </row>
        <row r="22">
          <cell r="A22" t="str">
            <v>06100</v>
          </cell>
        </row>
        <row r="23">
          <cell r="A23" t="str">
            <v>06200</v>
          </cell>
        </row>
        <row r="24">
          <cell r="A24" t="str">
            <v>07200</v>
          </cell>
        </row>
        <row r="25">
          <cell r="A25" t="str">
            <v>08100</v>
          </cell>
        </row>
        <row r="26">
          <cell r="A26" t="str">
            <v>11100</v>
          </cell>
        </row>
        <row r="27">
          <cell r="A27" t="str">
            <v>11210</v>
          </cell>
        </row>
        <row r="28">
          <cell r="A28" t="str">
            <v>11220</v>
          </cell>
        </row>
        <row r="29">
          <cell r="A29" t="str">
            <v>11310</v>
          </cell>
        </row>
        <row r="30">
          <cell r="A30" t="str">
            <v>11320</v>
          </cell>
        </row>
        <row r="31">
          <cell r="A31" t="str">
            <v>11330</v>
          </cell>
        </row>
        <row r="32">
          <cell r="A32" t="str">
            <v>11340</v>
          </cell>
        </row>
        <row r="33">
          <cell r="A33" t="str">
            <v>11410</v>
          </cell>
        </row>
        <row r="34">
          <cell r="A34" t="str">
            <v>11510</v>
          </cell>
        </row>
        <row r="35">
          <cell r="A35" t="str">
            <v>11520</v>
          </cell>
        </row>
        <row r="36">
          <cell r="A36" t="str">
            <v>11530</v>
          </cell>
        </row>
        <row r="37">
          <cell r="A37" t="str">
            <v>11540</v>
          </cell>
        </row>
        <row r="38">
          <cell r="A38" t="str">
            <v>11550</v>
          </cell>
        </row>
        <row r="39">
          <cell r="A39" t="str">
            <v>11610</v>
          </cell>
        </row>
        <row r="40">
          <cell r="A40" t="str">
            <v>11620</v>
          </cell>
        </row>
        <row r="41">
          <cell r="A41" t="str">
            <v>11630</v>
          </cell>
        </row>
        <row r="42">
          <cell r="A42" t="str">
            <v>28100</v>
          </cell>
        </row>
        <row r="43">
          <cell r="A43" t="str">
            <v>41100</v>
          </cell>
        </row>
        <row r="44">
          <cell r="A44" t="str">
            <v>41400</v>
          </cell>
        </row>
        <row r="45">
          <cell r="A45" t="str">
            <v>43400</v>
          </cell>
        </row>
        <row r="46">
          <cell r="A46" t="str">
            <v>44000</v>
          </cell>
        </row>
        <row r="47">
          <cell r="A47" t="str">
            <v>45100</v>
          </cell>
        </row>
        <row r="48">
          <cell r="A48" t="str">
            <v>45200</v>
          </cell>
        </row>
        <row r="49">
          <cell r="A49" t="str">
            <v>51100</v>
          </cell>
        </row>
        <row r="50">
          <cell r="A50" t="str">
            <v>52121</v>
          </cell>
        </row>
        <row r="51">
          <cell r="A51" t="str">
            <v>52171</v>
          </cell>
        </row>
        <row r="52">
          <cell r="A52" t="str">
            <v>52172</v>
          </cell>
        </row>
        <row r="53">
          <cell r="A53" t="str">
            <v>52211</v>
          </cell>
        </row>
        <row r="54">
          <cell r="A54" t="str">
            <v>52221</v>
          </cell>
        </row>
        <row r="55">
          <cell r="A55" t="str">
            <v>52231</v>
          </cell>
        </row>
        <row r="56">
          <cell r="A56" t="str">
            <v>52232</v>
          </cell>
        </row>
        <row r="57">
          <cell r="A57" t="str">
            <v>52233</v>
          </cell>
        </row>
        <row r="58">
          <cell r="A58" t="str">
            <v>52241</v>
          </cell>
        </row>
        <row r="59">
          <cell r="A59" t="str">
            <v>52242</v>
          </cell>
        </row>
        <row r="60">
          <cell r="A60" t="str">
            <v>52243</v>
          </cell>
        </row>
        <row r="61">
          <cell r="A61" t="str">
            <v>52251</v>
          </cell>
        </row>
        <row r="62">
          <cell r="A62" t="str">
            <v>52252</v>
          </cell>
        </row>
        <row r="63">
          <cell r="A63" t="str">
            <v>52256</v>
          </cell>
        </row>
        <row r="64">
          <cell r="A64" t="str">
            <v>52257</v>
          </cell>
        </row>
        <row r="65">
          <cell r="A65" t="str">
            <v>52261</v>
          </cell>
        </row>
        <row r="66">
          <cell r="A66" t="str">
            <v>52262</v>
          </cell>
        </row>
        <row r="67">
          <cell r="A67" t="str">
            <v>52264</v>
          </cell>
        </row>
        <row r="68">
          <cell r="A68" t="str">
            <v>52271</v>
          </cell>
        </row>
        <row r="69">
          <cell r="A69" t="str">
            <v>52281</v>
          </cell>
        </row>
        <row r="70">
          <cell r="A70" t="str">
            <v>52291</v>
          </cell>
        </row>
        <row r="71">
          <cell r="A71" t="str">
            <v>52299</v>
          </cell>
        </row>
        <row r="72">
          <cell r="A72" t="str">
            <v>52311</v>
          </cell>
        </row>
        <row r="73">
          <cell r="A73" t="str">
            <v>52321</v>
          </cell>
        </row>
        <row r="74">
          <cell r="A74" t="str">
            <v>52322</v>
          </cell>
        </row>
        <row r="75">
          <cell r="A75" t="str">
            <v>52323</v>
          </cell>
        </row>
        <row r="76">
          <cell r="A76" t="str">
            <v>52324</v>
          </cell>
        </row>
        <row r="77">
          <cell r="A77" t="str">
            <v>52325</v>
          </cell>
        </row>
        <row r="78">
          <cell r="A78" t="str">
            <v>52326</v>
          </cell>
        </row>
        <row r="79">
          <cell r="A79" t="str">
            <v>52331</v>
          </cell>
        </row>
        <row r="80">
          <cell r="A80" t="str">
            <v>52332</v>
          </cell>
        </row>
        <row r="81">
          <cell r="A81" t="str">
            <v>52333</v>
          </cell>
        </row>
        <row r="82">
          <cell r="A82" t="str">
            <v>52334</v>
          </cell>
        </row>
        <row r="83">
          <cell r="A83" t="str">
            <v>52341</v>
          </cell>
        </row>
        <row r="84">
          <cell r="A84" t="str">
            <v>52351</v>
          </cell>
        </row>
        <row r="85">
          <cell r="A85" t="str">
            <v>52352</v>
          </cell>
        </row>
        <row r="86">
          <cell r="A86" t="str">
            <v>52361</v>
          </cell>
        </row>
        <row r="87">
          <cell r="A87" t="str">
            <v>52371</v>
          </cell>
        </row>
        <row r="88">
          <cell r="A88" t="str">
            <v>65251</v>
          </cell>
        </row>
        <row r="89">
          <cell r="A89" t="str">
            <v>69100</v>
          </cell>
        </row>
        <row r="90">
          <cell r="A90" t="str">
            <v>69111</v>
          </cell>
        </row>
        <row r="91">
          <cell r="A91" t="str">
            <v>69400</v>
          </cell>
        </row>
        <row r="92">
          <cell r="A92" t="str">
            <v>69500</v>
          </cell>
        </row>
        <row r="93">
          <cell r="A93" t="str">
            <v>69600</v>
          </cell>
        </row>
        <row r="94">
          <cell r="A94" t="str">
            <v>69701</v>
          </cell>
        </row>
        <row r="95">
          <cell r="A95" t="str">
            <v>69810</v>
          </cell>
        </row>
        <row r="96">
          <cell r="A96" t="str">
            <v>72200</v>
          </cell>
        </row>
        <row r="97">
          <cell r="A97" t="str">
            <v>78221</v>
          </cell>
        </row>
        <row r="98">
          <cell r="A98" t="str">
            <v>78321</v>
          </cell>
        </row>
        <row r="99">
          <cell r="A99" t="str">
            <v>81100</v>
          </cell>
        </row>
        <row r="100">
          <cell r="A100" t="str">
            <v>81210</v>
          </cell>
        </row>
        <row r="101">
          <cell r="A101" t="str">
            <v>81220</v>
          </cell>
        </row>
        <row r="102">
          <cell r="A102" t="str">
            <v>81230</v>
          </cell>
        </row>
        <row r="103">
          <cell r="A103" t="str">
            <v>81310</v>
          </cell>
        </row>
        <row r="104">
          <cell r="A104" t="str">
            <v>81320</v>
          </cell>
        </row>
        <row r="105">
          <cell r="A105" t="str">
            <v>81330</v>
          </cell>
        </row>
        <row r="106">
          <cell r="A106" t="str">
            <v>81340</v>
          </cell>
        </row>
        <row r="107">
          <cell r="A107" t="str">
            <v>81350</v>
          </cell>
        </row>
        <row r="108">
          <cell r="A108" t="str">
            <v>81360</v>
          </cell>
        </row>
        <row r="109">
          <cell r="A109" t="str">
            <v>81410</v>
          </cell>
        </row>
        <row r="110">
          <cell r="A110" t="str">
            <v>81420</v>
          </cell>
        </row>
        <row r="111">
          <cell r="A111" t="str">
            <v>81430</v>
          </cell>
        </row>
        <row r="112">
          <cell r="A112" t="str">
            <v>81440</v>
          </cell>
        </row>
        <row r="113">
          <cell r="A113" t="str">
            <v>81441</v>
          </cell>
        </row>
        <row r="114">
          <cell r="A114" t="str">
            <v>81442</v>
          </cell>
        </row>
        <row r="115">
          <cell r="A115" t="str">
            <v>81443</v>
          </cell>
        </row>
        <row r="116">
          <cell r="A116" t="str">
            <v>81444</v>
          </cell>
        </row>
        <row r="117">
          <cell r="A117" t="str">
            <v>81445</v>
          </cell>
        </row>
        <row r="118">
          <cell r="A118" t="str">
            <v>81510</v>
          </cell>
        </row>
        <row r="119">
          <cell r="A119" t="str">
            <v>81520</v>
          </cell>
        </row>
        <row r="120">
          <cell r="A120" t="str">
            <v>81530</v>
          </cell>
        </row>
        <row r="121">
          <cell r="A121" t="str">
            <v>81610</v>
          </cell>
        </row>
        <row r="122">
          <cell r="A122" t="str">
            <v>81620</v>
          </cell>
        </row>
        <row r="123">
          <cell r="A123" t="str">
            <v>81700</v>
          </cell>
        </row>
        <row r="124">
          <cell r="A124" t="str">
            <v>81800</v>
          </cell>
        </row>
        <row r="125">
          <cell r="A125" t="str">
            <v>81810</v>
          </cell>
        </row>
        <row r="126">
          <cell r="A126" t="str">
            <v>81820</v>
          </cell>
        </row>
        <row r="127">
          <cell r="A127" t="str">
            <v>81830</v>
          </cell>
        </row>
        <row r="128">
          <cell r="A128" t="str">
            <v>81840</v>
          </cell>
        </row>
        <row r="129">
          <cell r="A129" t="str">
            <v>81910</v>
          </cell>
        </row>
        <row r="130">
          <cell r="A130" t="str">
            <v>81920</v>
          </cell>
        </row>
        <row r="131">
          <cell r="A131" t="str">
            <v>81930</v>
          </cell>
        </row>
        <row r="132">
          <cell r="A132" t="str">
            <v>82010</v>
          </cell>
        </row>
        <row r="133">
          <cell r="A133" t="str">
            <v>82110</v>
          </cell>
        </row>
        <row r="134">
          <cell r="A134" t="str">
            <v>82111</v>
          </cell>
        </row>
        <row r="135">
          <cell r="A135" t="str">
            <v>82112</v>
          </cell>
        </row>
        <row r="136">
          <cell r="A136" t="str">
            <v>82120</v>
          </cell>
        </row>
        <row r="137">
          <cell r="A137" t="str">
            <v>82121</v>
          </cell>
        </row>
        <row r="138">
          <cell r="A138" t="str">
            <v>82130</v>
          </cell>
        </row>
        <row r="139">
          <cell r="A139" t="str">
            <v>82140</v>
          </cell>
        </row>
        <row r="140">
          <cell r="A140" t="str">
            <v>82150</v>
          </cell>
        </row>
        <row r="141">
          <cell r="A141" t="str">
            <v>82160</v>
          </cell>
        </row>
        <row r="142">
          <cell r="A142" t="str">
            <v>82170</v>
          </cell>
        </row>
        <row r="143">
          <cell r="A143" t="str">
            <v>82180</v>
          </cell>
        </row>
        <row r="144">
          <cell r="A144" t="str">
            <v>82190</v>
          </cell>
        </row>
        <row r="145">
          <cell r="A145" t="str">
            <v>82210</v>
          </cell>
        </row>
        <row r="146">
          <cell r="A146" t="str">
            <v>82220</v>
          </cell>
        </row>
        <row r="147">
          <cell r="A147" t="str">
            <v>82230</v>
          </cell>
        </row>
        <row r="148">
          <cell r="A148" t="str">
            <v>82310</v>
          </cell>
        </row>
        <row r="149">
          <cell r="A149" t="str">
            <v>82311</v>
          </cell>
        </row>
        <row r="150">
          <cell r="A150" t="str">
            <v>82312</v>
          </cell>
        </row>
        <row r="151">
          <cell r="A151" t="str">
            <v>82313</v>
          </cell>
        </row>
        <row r="152">
          <cell r="A152" t="str">
            <v>82321</v>
          </cell>
        </row>
        <row r="153">
          <cell r="A153" t="str">
            <v>82322</v>
          </cell>
        </row>
        <row r="154">
          <cell r="A154" t="str">
            <v>82323</v>
          </cell>
        </row>
        <row r="155">
          <cell r="A155" t="str">
            <v>82324</v>
          </cell>
        </row>
        <row r="156">
          <cell r="A156" t="str">
            <v>82330</v>
          </cell>
        </row>
        <row r="157">
          <cell r="A157" t="str">
            <v>82340</v>
          </cell>
        </row>
        <row r="158">
          <cell r="A158" t="str">
            <v>82341</v>
          </cell>
        </row>
        <row r="159">
          <cell r="A159" t="str">
            <v>82350</v>
          </cell>
        </row>
        <row r="160">
          <cell r="A160" t="str">
            <v>82401</v>
          </cell>
        </row>
        <row r="161">
          <cell r="A161" t="str">
            <v>82402</v>
          </cell>
        </row>
        <row r="162">
          <cell r="A162" t="str">
            <v>82403</v>
          </cell>
        </row>
        <row r="163">
          <cell r="A163" t="str">
            <v>82404</v>
          </cell>
        </row>
        <row r="164">
          <cell r="A164" t="str">
            <v>82405</v>
          </cell>
        </row>
        <row r="165">
          <cell r="A165" t="str">
            <v>82406</v>
          </cell>
        </row>
        <row r="166">
          <cell r="A166" t="str">
            <v>82410</v>
          </cell>
        </row>
        <row r="167">
          <cell r="A167" t="str">
            <v>82510</v>
          </cell>
        </row>
        <row r="168">
          <cell r="A168" t="str">
            <v>82520</v>
          </cell>
        </row>
        <row r="169">
          <cell r="A169" t="str">
            <v>82530</v>
          </cell>
        </row>
        <row r="170">
          <cell r="A170" t="str">
            <v>82610</v>
          </cell>
        </row>
        <row r="171">
          <cell r="A171" t="str">
            <v>82620</v>
          </cell>
        </row>
        <row r="172">
          <cell r="A172" t="str">
            <v>83100</v>
          </cell>
        </row>
        <row r="173">
          <cell r="A173" t="str">
            <v>83101</v>
          </cell>
        </row>
        <row r="174">
          <cell r="A174" t="str">
            <v>83102</v>
          </cell>
        </row>
        <row r="175">
          <cell r="A175" t="str">
            <v>83110</v>
          </cell>
        </row>
        <row r="176">
          <cell r="A176" t="str">
            <v>83111</v>
          </cell>
        </row>
        <row r="177">
          <cell r="A177" t="str">
            <v>83112</v>
          </cell>
        </row>
        <row r="178">
          <cell r="A178" t="str">
            <v>83113</v>
          </cell>
        </row>
        <row r="179">
          <cell r="A179" t="str">
            <v>83114</v>
          </cell>
        </row>
        <row r="180">
          <cell r="A180" t="str">
            <v>83115</v>
          </cell>
        </row>
        <row r="181">
          <cell r="A181" t="str">
            <v>83120</v>
          </cell>
        </row>
        <row r="182">
          <cell r="A182" t="str">
            <v>83121</v>
          </cell>
        </row>
        <row r="183">
          <cell r="A183" t="str">
            <v>83122</v>
          </cell>
        </row>
        <row r="184">
          <cell r="A184" t="str">
            <v>83123</v>
          </cell>
        </row>
        <row r="185">
          <cell r="A185" t="str">
            <v>83124</v>
          </cell>
        </row>
        <row r="186">
          <cell r="A186" t="str">
            <v>83125</v>
          </cell>
        </row>
        <row r="187">
          <cell r="A187" t="str">
            <v>83130</v>
          </cell>
        </row>
        <row r="188">
          <cell r="A188" t="str">
            <v>83131</v>
          </cell>
        </row>
        <row r="189">
          <cell r="A189" t="str">
            <v>83132</v>
          </cell>
        </row>
        <row r="190">
          <cell r="A190" t="str">
            <v>83133</v>
          </cell>
        </row>
        <row r="191">
          <cell r="A191" t="str">
            <v>83134</v>
          </cell>
        </row>
        <row r="192">
          <cell r="A192" t="str">
            <v>83140</v>
          </cell>
        </row>
        <row r="193">
          <cell r="A193" t="str">
            <v>83141</v>
          </cell>
        </row>
        <row r="194">
          <cell r="A194" t="str">
            <v>83142</v>
          </cell>
        </row>
        <row r="195">
          <cell r="A195" t="str">
            <v>83143</v>
          </cell>
        </row>
        <row r="196">
          <cell r="A196" t="str">
            <v>83144</v>
          </cell>
        </row>
        <row r="197">
          <cell r="A197" t="str">
            <v>83145</v>
          </cell>
        </row>
        <row r="198">
          <cell r="A198" t="str">
            <v>83146</v>
          </cell>
        </row>
        <row r="199">
          <cell r="A199" t="str">
            <v>83147</v>
          </cell>
        </row>
        <row r="200">
          <cell r="A200" t="str">
            <v>83150</v>
          </cell>
        </row>
        <row r="201">
          <cell r="A201" t="str">
            <v>83151</v>
          </cell>
        </row>
        <row r="202">
          <cell r="A202" t="str">
            <v>83152</v>
          </cell>
        </row>
        <row r="203">
          <cell r="A203" t="str">
            <v>83153</v>
          </cell>
        </row>
        <row r="204">
          <cell r="A204" t="str">
            <v>83161</v>
          </cell>
        </row>
        <row r="205">
          <cell r="A205" t="str">
            <v>83200</v>
          </cell>
        </row>
        <row r="206">
          <cell r="A206" t="str">
            <v>83201</v>
          </cell>
        </row>
        <row r="207">
          <cell r="A207" t="str">
            <v>83210</v>
          </cell>
        </row>
        <row r="208">
          <cell r="A208" t="str">
            <v>83211</v>
          </cell>
        </row>
        <row r="209">
          <cell r="A209" t="str">
            <v>83212</v>
          </cell>
        </row>
        <row r="210">
          <cell r="A210" t="str">
            <v>83220</v>
          </cell>
        </row>
        <row r="211">
          <cell r="A211" t="str">
            <v>83221</v>
          </cell>
        </row>
        <row r="212">
          <cell r="A212" t="str">
            <v>83222</v>
          </cell>
        </row>
        <row r="213">
          <cell r="A213" t="str">
            <v>83223</v>
          </cell>
        </row>
        <row r="214">
          <cell r="A214" t="str">
            <v>83224</v>
          </cell>
        </row>
        <row r="215">
          <cell r="A215" t="str">
            <v>83225</v>
          </cell>
        </row>
        <row r="216">
          <cell r="A216" t="str">
            <v>83226</v>
          </cell>
        </row>
        <row r="217">
          <cell r="A217" t="str">
            <v>83230</v>
          </cell>
        </row>
        <row r="218">
          <cell r="A218" t="str">
            <v>83232</v>
          </cell>
        </row>
        <row r="219">
          <cell r="A219" t="str">
            <v>83240</v>
          </cell>
        </row>
        <row r="220">
          <cell r="A220" t="str">
            <v>83250</v>
          </cell>
        </row>
        <row r="221">
          <cell r="A221" t="str">
            <v>84000</v>
          </cell>
        </row>
        <row r="222">
          <cell r="A222" t="str">
            <v>84100</v>
          </cell>
        </row>
        <row r="223">
          <cell r="A223" t="str">
            <v>84110</v>
          </cell>
        </row>
        <row r="224">
          <cell r="A224" t="str">
            <v>84111</v>
          </cell>
        </row>
        <row r="225">
          <cell r="A225" t="str">
            <v>84112</v>
          </cell>
        </row>
        <row r="226">
          <cell r="A226" t="str">
            <v>84120</v>
          </cell>
        </row>
        <row r="227">
          <cell r="A227" t="str">
            <v>84121</v>
          </cell>
        </row>
        <row r="228">
          <cell r="A228" t="str">
            <v>84122</v>
          </cell>
        </row>
        <row r="229">
          <cell r="A229" t="str">
            <v>84123</v>
          </cell>
        </row>
        <row r="230">
          <cell r="A230" t="str">
            <v>84130</v>
          </cell>
        </row>
        <row r="231">
          <cell r="A231" t="str">
            <v>84131</v>
          </cell>
        </row>
        <row r="232">
          <cell r="A232" t="str">
            <v>84140</v>
          </cell>
        </row>
        <row r="233">
          <cell r="A233" t="str">
            <v>84141</v>
          </cell>
        </row>
        <row r="234">
          <cell r="A234" t="str">
            <v>84150</v>
          </cell>
        </row>
        <row r="235">
          <cell r="A235" t="str">
            <v>84151</v>
          </cell>
        </row>
        <row r="236">
          <cell r="A236" t="str">
            <v>84200</v>
          </cell>
        </row>
        <row r="237">
          <cell r="A237" t="str">
            <v>84210</v>
          </cell>
        </row>
        <row r="238">
          <cell r="A238" t="str">
            <v>84220</v>
          </cell>
        </row>
        <row r="239">
          <cell r="A239" t="str">
            <v>84230</v>
          </cell>
        </row>
        <row r="240">
          <cell r="A240" t="str">
            <v>84240</v>
          </cell>
        </row>
        <row r="241">
          <cell r="A241" t="str">
            <v>84250</v>
          </cell>
        </row>
        <row r="242">
          <cell r="A242" t="str">
            <v>84260</v>
          </cell>
        </row>
        <row r="243">
          <cell r="A243" t="str">
            <v>84300</v>
          </cell>
        </row>
        <row r="244">
          <cell r="A244" t="str">
            <v>84311</v>
          </cell>
        </row>
        <row r="245">
          <cell r="A245" t="str">
            <v>84312</v>
          </cell>
        </row>
        <row r="246">
          <cell r="A246" t="str">
            <v>84321</v>
          </cell>
        </row>
        <row r="247">
          <cell r="A247" t="str">
            <v>84322</v>
          </cell>
        </row>
        <row r="248">
          <cell r="A248" t="str">
            <v>84330</v>
          </cell>
        </row>
        <row r="249">
          <cell r="A249" t="str">
            <v>84340</v>
          </cell>
        </row>
        <row r="250">
          <cell r="A250" t="str">
            <v>84400</v>
          </cell>
        </row>
        <row r="251">
          <cell r="A251" t="str">
            <v>84410</v>
          </cell>
        </row>
        <row r="252">
          <cell r="A252" t="str">
            <v>84411</v>
          </cell>
        </row>
        <row r="253">
          <cell r="A253" t="str">
            <v>84412</v>
          </cell>
        </row>
        <row r="254">
          <cell r="A254" t="str">
            <v>84420</v>
          </cell>
        </row>
        <row r="255">
          <cell r="A255" t="str">
            <v>84430</v>
          </cell>
        </row>
        <row r="256">
          <cell r="A256" t="str">
            <v>84440</v>
          </cell>
        </row>
        <row r="257">
          <cell r="A257" t="str">
            <v>84450</v>
          </cell>
        </row>
        <row r="258">
          <cell r="A258" t="str">
            <v>84451</v>
          </cell>
        </row>
        <row r="259">
          <cell r="A259" t="str">
            <v>84452</v>
          </cell>
        </row>
        <row r="260">
          <cell r="A260" t="str">
            <v>84453</v>
          </cell>
        </row>
        <row r="261">
          <cell r="A261" t="str">
            <v>84454</v>
          </cell>
        </row>
        <row r="262">
          <cell r="A262" t="str">
            <v>84460</v>
          </cell>
        </row>
        <row r="263">
          <cell r="A263" t="str">
            <v>84461</v>
          </cell>
        </row>
        <row r="264">
          <cell r="A264" t="str">
            <v>84462</v>
          </cell>
        </row>
        <row r="265">
          <cell r="A265" t="str">
            <v>84463</v>
          </cell>
        </row>
        <row r="266">
          <cell r="A266" t="str">
            <v>84464</v>
          </cell>
        </row>
        <row r="267">
          <cell r="A267" t="str">
            <v>84511</v>
          </cell>
        </row>
        <row r="268">
          <cell r="A268" t="str">
            <v>84512</v>
          </cell>
        </row>
        <row r="269">
          <cell r="A269" t="str">
            <v>84513</v>
          </cell>
        </row>
        <row r="270">
          <cell r="A270" t="str">
            <v>84611</v>
          </cell>
        </row>
        <row r="271">
          <cell r="A271" t="str">
            <v>84612</v>
          </cell>
        </row>
        <row r="272">
          <cell r="A272" t="str">
            <v>84613</v>
          </cell>
        </row>
        <row r="273">
          <cell r="A273" t="str">
            <v>84614</v>
          </cell>
        </row>
        <row r="274">
          <cell r="A274" t="str">
            <v>84990</v>
          </cell>
        </row>
        <row r="275">
          <cell r="A275" t="str">
            <v>84991</v>
          </cell>
        </row>
        <row r="276">
          <cell r="A276" t="str">
            <v>84992</v>
          </cell>
        </row>
        <row r="277">
          <cell r="A277" t="str">
            <v>84993</v>
          </cell>
        </row>
        <row r="278">
          <cell r="A278" t="str">
            <v>84994</v>
          </cell>
        </row>
        <row r="279">
          <cell r="A279" t="str">
            <v>84995</v>
          </cell>
        </row>
        <row r="280">
          <cell r="A280" t="str">
            <v>84996</v>
          </cell>
        </row>
        <row r="281">
          <cell r="A281" t="str">
            <v>84997</v>
          </cell>
        </row>
        <row r="282">
          <cell r="A282" t="str">
            <v>84998</v>
          </cell>
        </row>
        <row r="283">
          <cell r="A283" t="str">
            <v>84999</v>
          </cell>
        </row>
        <row r="284">
          <cell r="A284" t="str">
            <v>85000</v>
          </cell>
        </row>
        <row r="285">
          <cell r="A285" t="str">
            <v>85100</v>
          </cell>
        </row>
        <row r="286">
          <cell r="A286" t="str">
            <v>85110</v>
          </cell>
        </row>
        <row r="287">
          <cell r="A287" t="str">
            <v>85111</v>
          </cell>
        </row>
        <row r="288">
          <cell r="A288" t="str">
            <v>85112</v>
          </cell>
        </row>
        <row r="289">
          <cell r="A289" t="str">
            <v>85113</v>
          </cell>
        </row>
        <row r="290">
          <cell r="A290" t="str">
            <v>85114</v>
          </cell>
        </row>
        <row r="291">
          <cell r="A291" t="str">
            <v>85115</v>
          </cell>
        </row>
        <row r="292">
          <cell r="A292" t="str">
            <v>85116</v>
          </cell>
        </row>
        <row r="293">
          <cell r="A293" t="str">
            <v>85120</v>
          </cell>
        </row>
        <row r="294">
          <cell r="A294" t="str">
            <v>85121</v>
          </cell>
        </row>
        <row r="295">
          <cell r="A295" t="str">
            <v>85122</v>
          </cell>
        </row>
        <row r="296">
          <cell r="A296" t="str">
            <v>85130</v>
          </cell>
        </row>
        <row r="297">
          <cell r="A297" t="str">
            <v>85131</v>
          </cell>
        </row>
        <row r="298">
          <cell r="A298" t="str">
            <v>85132</v>
          </cell>
        </row>
        <row r="299">
          <cell r="A299" t="str">
            <v>85133</v>
          </cell>
        </row>
        <row r="300">
          <cell r="A300" t="str">
            <v>85134</v>
          </cell>
        </row>
        <row r="301">
          <cell r="A301" t="str">
            <v>85135</v>
          </cell>
        </row>
        <row r="302">
          <cell r="A302" t="str">
            <v>85140</v>
          </cell>
        </row>
        <row r="303">
          <cell r="A303" t="str">
            <v>85141</v>
          </cell>
        </row>
        <row r="304">
          <cell r="A304" t="str">
            <v>85142</v>
          </cell>
        </row>
        <row r="305">
          <cell r="A305" t="str">
            <v>85150</v>
          </cell>
        </row>
        <row r="306">
          <cell r="A306" t="str">
            <v>85151</v>
          </cell>
        </row>
        <row r="307">
          <cell r="A307" t="str">
            <v>85152</v>
          </cell>
        </row>
        <row r="308">
          <cell r="A308" t="str">
            <v>85153</v>
          </cell>
        </row>
        <row r="309">
          <cell r="A309" t="str">
            <v>85160</v>
          </cell>
        </row>
        <row r="310">
          <cell r="A310" t="str">
            <v>85161</v>
          </cell>
        </row>
        <row r="311">
          <cell r="A311" t="str">
            <v>85162</v>
          </cell>
        </row>
        <row r="312">
          <cell r="A312" t="str">
            <v>85163</v>
          </cell>
        </row>
        <row r="313">
          <cell r="A313" t="str">
            <v>85164</v>
          </cell>
        </row>
        <row r="314">
          <cell r="A314" t="str">
            <v>85165</v>
          </cell>
        </row>
        <row r="315">
          <cell r="A315" t="str">
            <v>85166</v>
          </cell>
        </row>
        <row r="316">
          <cell r="A316" t="str">
            <v>85170</v>
          </cell>
        </row>
        <row r="317">
          <cell r="A317" t="str">
            <v>85171</v>
          </cell>
        </row>
        <row r="318">
          <cell r="A318" t="str">
            <v>85172</v>
          </cell>
        </row>
        <row r="319">
          <cell r="A319" t="str">
            <v>85180</v>
          </cell>
        </row>
        <row r="320">
          <cell r="A320" t="str">
            <v>85181</v>
          </cell>
        </row>
        <row r="321">
          <cell r="A321" t="str">
            <v>85900</v>
          </cell>
        </row>
        <row r="322">
          <cell r="A322" t="str">
            <v>86110</v>
          </cell>
        </row>
        <row r="323">
          <cell r="A323" t="str">
            <v>86120</v>
          </cell>
        </row>
        <row r="324">
          <cell r="A324" t="str">
            <v>86130</v>
          </cell>
        </row>
        <row r="325">
          <cell r="A325" t="str">
            <v>86140</v>
          </cell>
        </row>
        <row r="326">
          <cell r="A326" t="str">
            <v>86210</v>
          </cell>
        </row>
        <row r="327">
          <cell r="A327" t="str">
            <v>86220</v>
          </cell>
        </row>
        <row r="328">
          <cell r="A328" t="str">
            <v>86230</v>
          </cell>
        </row>
        <row r="329">
          <cell r="A329" t="str">
            <v>86240</v>
          </cell>
        </row>
        <row r="330">
          <cell r="A330" t="str">
            <v>86250</v>
          </cell>
        </row>
        <row r="331">
          <cell r="A331" t="str">
            <v>86310</v>
          </cell>
        </row>
        <row r="332">
          <cell r="A332" t="str">
            <v>86320</v>
          </cell>
        </row>
        <row r="333">
          <cell r="A333" t="str">
            <v>86330</v>
          </cell>
        </row>
        <row r="334">
          <cell r="A334" t="str">
            <v>86340</v>
          </cell>
        </row>
        <row r="335">
          <cell r="A335" t="str">
            <v>86350</v>
          </cell>
        </row>
        <row r="336">
          <cell r="A336" t="str">
            <v>86360</v>
          </cell>
        </row>
        <row r="337">
          <cell r="A337" t="str">
            <v>86410</v>
          </cell>
        </row>
        <row r="338">
          <cell r="A338" t="str">
            <v>86420</v>
          </cell>
        </row>
        <row r="339">
          <cell r="A339" t="str">
            <v>86430</v>
          </cell>
        </row>
        <row r="340">
          <cell r="A340" t="str">
            <v>86510</v>
          </cell>
        </row>
        <row r="341">
          <cell r="A341" t="str">
            <v>86520</v>
          </cell>
        </row>
        <row r="342">
          <cell r="A342" t="str">
            <v>86521</v>
          </cell>
        </row>
        <row r="343">
          <cell r="A343" t="str">
            <v>86522</v>
          </cell>
        </row>
        <row r="344">
          <cell r="A344" t="str">
            <v>86523</v>
          </cell>
        </row>
        <row r="345">
          <cell r="A345" t="str">
            <v>86610</v>
          </cell>
        </row>
        <row r="346">
          <cell r="A346" t="str">
            <v>86911</v>
          </cell>
        </row>
        <row r="347">
          <cell r="A347" t="str">
            <v>86912</v>
          </cell>
        </row>
        <row r="348">
          <cell r="A348" t="str">
            <v>86913</v>
          </cell>
        </row>
        <row r="349">
          <cell r="A349" t="str">
            <v>86914</v>
          </cell>
        </row>
        <row r="350">
          <cell r="A350" t="str">
            <v>86921</v>
          </cell>
        </row>
        <row r="351">
          <cell r="A351" t="str">
            <v>86922</v>
          </cell>
        </row>
        <row r="352">
          <cell r="A352" t="str">
            <v>86931</v>
          </cell>
        </row>
        <row r="353">
          <cell r="A353" t="str">
            <v>86932</v>
          </cell>
        </row>
        <row r="354">
          <cell r="A354" t="str">
            <v>86933</v>
          </cell>
        </row>
        <row r="355">
          <cell r="A355" t="str">
            <v>86941</v>
          </cell>
        </row>
        <row r="356">
          <cell r="A356" t="str">
            <v>86950</v>
          </cell>
        </row>
        <row r="357">
          <cell r="A357" t="str">
            <v>86951</v>
          </cell>
        </row>
      </sheetData>
      <sheetData sheetId="7"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009</v>
          </cell>
        </row>
        <row r="12">
          <cell r="A12" t="str">
            <v>010</v>
          </cell>
        </row>
        <row r="13">
          <cell r="A13" t="str">
            <v>021</v>
          </cell>
        </row>
        <row r="14">
          <cell r="A14" t="str">
            <v>037</v>
          </cell>
        </row>
        <row r="15">
          <cell r="A15" t="str">
            <v>061</v>
          </cell>
        </row>
        <row r="16">
          <cell r="A16" t="str">
            <v>062</v>
          </cell>
        </row>
        <row r="17">
          <cell r="A17" t="str">
            <v>063</v>
          </cell>
        </row>
        <row r="18">
          <cell r="A18" t="str">
            <v>064</v>
          </cell>
        </row>
        <row r="19">
          <cell r="A19" t="str">
            <v>065</v>
          </cell>
        </row>
        <row r="20">
          <cell r="A20" t="str">
            <v>081</v>
          </cell>
        </row>
        <row r="21">
          <cell r="A21" t="str">
            <v>082</v>
          </cell>
        </row>
        <row r="22">
          <cell r="A22" t="str">
            <v>083</v>
          </cell>
        </row>
        <row r="23">
          <cell r="A23" t="str">
            <v>091</v>
          </cell>
        </row>
        <row r="24">
          <cell r="A24" t="str">
            <v>092</v>
          </cell>
        </row>
        <row r="25">
          <cell r="A25" t="str">
            <v>093</v>
          </cell>
        </row>
        <row r="26">
          <cell r="A26" t="str">
            <v>094</v>
          </cell>
        </row>
        <row r="27">
          <cell r="A27" t="str">
            <v>095</v>
          </cell>
        </row>
        <row r="28">
          <cell r="A28" t="str">
            <v>096</v>
          </cell>
        </row>
        <row r="29">
          <cell r="A29" t="str">
            <v>097</v>
          </cell>
        </row>
        <row r="30">
          <cell r="A30" t="str">
            <v>098</v>
          </cell>
        </row>
        <row r="31">
          <cell r="A31" t="str">
            <v>099</v>
          </cell>
        </row>
        <row r="32">
          <cell r="A32" t="str">
            <v>101</v>
          </cell>
        </row>
        <row r="33">
          <cell r="A33" t="str">
            <v>102</v>
          </cell>
        </row>
        <row r="34">
          <cell r="A34" t="str">
            <v>103</v>
          </cell>
        </row>
        <row r="35">
          <cell r="A35" t="str">
            <v>104</v>
          </cell>
        </row>
        <row r="36">
          <cell r="A36" t="str">
            <v>105</v>
          </cell>
        </row>
        <row r="37">
          <cell r="A37" t="str">
            <v>107</v>
          </cell>
        </row>
        <row r="38">
          <cell r="A38" t="str">
            <v>108</v>
          </cell>
        </row>
        <row r="39">
          <cell r="A39" t="str">
            <v>109</v>
          </cell>
        </row>
        <row r="40">
          <cell r="A40" t="str">
            <v>110</v>
          </cell>
        </row>
        <row r="41">
          <cell r="A41" t="str">
            <v>111</v>
          </cell>
        </row>
        <row r="42">
          <cell r="A42" t="str">
            <v>112</v>
          </cell>
        </row>
        <row r="43">
          <cell r="A43" t="str">
            <v>113</v>
          </cell>
        </row>
        <row r="44">
          <cell r="A44" t="str">
            <v>114</v>
          </cell>
        </row>
        <row r="45">
          <cell r="A45" t="str">
            <v>115</v>
          </cell>
        </row>
        <row r="46">
          <cell r="A46" t="str">
            <v>116</v>
          </cell>
        </row>
        <row r="47">
          <cell r="A47" t="str">
            <v>117</v>
          </cell>
        </row>
        <row r="48">
          <cell r="A48" t="str">
            <v>118</v>
          </cell>
        </row>
        <row r="49">
          <cell r="A49" t="str">
            <v>119</v>
          </cell>
        </row>
        <row r="50">
          <cell r="A50" t="str">
            <v>120</v>
          </cell>
        </row>
        <row r="51">
          <cell r="A51" t="str">
            <v>121</v>
          </cell>
        </row>
        <row r="52">
          <cell r="A52" t="str">
            <v>122</v>
          </cell>
        </row>
        <row r="53">
          <cell r="A53" t="str">
            <v>123</v>
          </cell>
        </row>
        <row r="54">
          <cell r="A54" t="str">
            <v>141</v>
          </cell>
        </row>
        <row r="55">
          <cell r="A55" t="str">
            <v>142</v>
          </cell>
        </row>
        <row r="56">
          <cell r="A56" t="str">
            <v>143</v>
          </cell>
        </row>
        <row r="57">
          <cell r="A57" t="str">
            <v>144</v>
          </cell>
        </row>
        <row r="58">
          <cell r="A58" t="str">
            <v>145</v>
          </cell>
        </row>
        <row r="59">
          <cell r="A59" t="str">
            <v>181</v>
          </cell>
        </row>
        <row r="60">
          <cell r="A60" t="str">
            <v>182</v>
          </cell>
        </row>
        <row r="61">
          <cell r="A61" t="str">
            <v>183</v>
          </cell>
        </row>
        <row r="62">
          <cell r="A62" t="str">
            <v>184</v>
          </cell>
        </row>
        <row r="63">
          <cell r="A63" t="str">
            <v>185</v>
          </cell>
        </row>
        <row r="64">
          <cell r="A64" t="str">
            <v>186</v>
          </cell>
        </row>
        <row r="65">
          <cell r="A65" t="str">
            <v>187</v>
          </cell>
        </row>
        <row r="66">
          <cell r="A66" t="str">
            <v>188</v>
          </cell>
        </row>
        <row r="67">
          <cell r="A67" t="str">
            <v>189</v>
          </cell>
        </row>
        <row r="68">
          <cell r="A68" t="str">
            <v>190</v>
          </cell>
        </row>
        <row r="69">
          <cell r="A69" t="str">
            <v>191</v>
          </cell>
        </row>
        <row r="70">
          <cell r="A70" t="str">
            <v>210</v>
          </cell>
        </row>
        <row r="71">
          <cell r="A71" t="str">
            <v>211</v>
          </cell>
        </row>
        <row r="72">
          <cell r="A72" t="str">
            <v>211</v>
          </cell>
        </row>
        <row r="73">
          <cell r="A73" t="str">
            <v>212</v>
          </cell>
        </row>
        <row r="74">
          <cell r="A74" t="str">
            <v>213</v>
          </cell>
        </row>
        <row r="75">
          <cell r="A75" t="str">
            <v>214</v>
          </cell>
        </row>
        <row r="76">
          <cell r="A76" t="str">
            <v>215</v>
          </cell>
        </row>
        <row r="77">
          <cell r="A77" t="str">
            <v>216</v>
          </cell>
        </row>
        <row r="78">
          <cell r="A78" t="str">
            <v>217</v>
          </cell>
        </row>
        <row r="79">
          <cell r="A79" t="str">
            <v>218</v>
          </cell>
        </row>
        <row r="80">
          <cell r="A80" t="str">
            <v>219</v>
          </cell>
        </row>
        <row r="81">
          <cell r="A81" t="str">
            <v>220</v>
          </cell>
        </row>
        <row r="82">
          <cell r="A82" t="str">
            <v>221</v>
          </cell>
        </row>
        <row r="83">
          <cell r="A83" t="str">
            <v>222</v>
          </cell>
        </row>
        <row r="84">
          <cell r="A84" t="str">
            <v>223</v>
          </cell>
        </row>
        <row r="85">
          <cell r="A85" t="str">
            <v>224</v>
          </cell>
        </row>
        <row r="86">
          <cell r="A86" t="str">
            <v>225</v>
          </cell>
        </row>
        <row r="87">
          <cell r="A87" t="str">
            <v>226</v>
          </cell>
        </row>
        <row r="88">
          <cell r="A88" t="str">
            <v>227</v>
          </cell>
        </row>
        <row r="89">
          <cell r="A89" t="str">
            <v>228</v>
          </cell>
        </row>
        <row r="90">
          <cell r="A90" t="str">
            <v>229</v>
          </cell>
        </row>
        <row r="91">
          <cell r="A91" t="str">
            <v>230</v>
          </cell>
        </row>
        <row r="92">
          <cell r="A92" t="str">
            <v>231</v>
          </cell>
        </row>
        <row r="93">
          <cell r="A93" t="str">
            <v>232</v>
          </cell>
        </row>
        <row r="94">
          <cell r="A94" t="str">
            <v>233</v>
          </cell>
        </row>
        <row r="95">
          <cell r="A95" t="str">
            <v>234</v>
          </cell>
        </row>
        <row r="96">
          <cell r="A96" t="str">
            <v>235</v>
          </cell>
        </row>
        <row r="97">
          <cell r="A97" t="str">
            <v>236</v>
          </cell>
        </row>
        <row r="98">
          <cell r="A98" t="str">
            <v>281</v>
          </cell>
        </row>
        <row r="99">
          <cell r="A99" t="str">
            <v>282</v>
          </cell>
        </row>
        <row r="100">
          <cell r="A100" t="str">
            <v>283</v>
          </cell>
        </row>
        <row r="101">
          <cell r="A101" t="str">
            <v>284</v>
          </cell>
        </row>
        <row r="102">
          <cell r="A102" t="str">
            <v>285</v>
          </cell>
        </row>
        <row r="103">
          <cell r="A103" t="str">
            <v>286</v>
          </cell>
        </row>
        <row r="104">
          <cell r="A104" t="str">
            <v>287</v>
          </cell>
        </row>
        <row r="105">
          <cell r="A105" t="str">
            <v>288</v>
          </cell>
        </row>
        <row r="106">
          <cell r="A106" t="str">
            <v>289</v>
          </cell>
        </row>
        <row r="107">
          <cell r="A107" t="str">
            <v>290</v>
          </cell>
        </row>
        <row r="108">
          <cell r="A108" t="str">
            <v>291</v>
          </cell>
        </row>
        <row r="109">
          <cell r="A109" t="str">
            <v>292</v>
          </cell>
        </row>
        <row r="110">
          <cell r="A110" t="str">
            <v>293</v>
          </cell>
        </row>
        <row r="111">
          <cell r="A111" t="str">
            <v>294</v>
          </cell>
        </row>
        <row r="112">
          <cell r="A112" t="str">
            <v>295</v>
          </cell>
        </row>
        <row r="113">
          <cell r="A113" t="str">
            <v>296</v>
          </cell>
        </row>
        <row r="114">
          <cell r="A114" t="str">
            <v>297</v>
          </cell>
        </row>
        <row r="115">
          <cell r="A115" t="str">
            <v>298</v>
          </cell>
        </row>
        <row r="116">
          <cell r="A116" t="str">
            <v>299</v>
          </cell>
        </row>
        <row r="117">
          <cell r="A117" t="str">
            <v>300</v>
          </cell>
        </row>
        <row r="118">
          <cell r="A118" t="str">
            <v>301</v>
          </cell>
        </row>
        <row r="119">
          <cell r="A119" t="str">
            <v>302</v>
          </cell>
        </row>
        <row r="120">
          <cell r="A120" t="str">
            <v>303</v>
          </cell>
        </row>
        <row r="121">
          <cell r="A121" t="str">
            <v>304</v>
          </cell>
        </row>
        <row r="122">
          <cell r="A122" t="str">
            <v>305</v>
          </cell>
        </row>
        <row r="123">
          <cell r="A123" t="str">
            <v>310</v>
          </cell>
        </row>
        <row r="124">
          <cell r="A124" t="str">
            <v>312</v>
          </cell>
        </row>
        <row r="125">
          <cell r="A125" t="str">
            <v>313</v>
          </cell>
        </row>
        <row r="126">
          <cell r="A126" t="str">
            <v>314</v>
          </cell>
        </row>
        <row r="127">
          <cell r="A127" t="str">
            <v>315</v>
          </cell>
        </row>
        <row r="128">
          <cell r="A128" t="str">
            <v>317</v>
          </cell>
        </row>
        <row r="129">
          <cell r="A129" t="str">
            <v>318</v>
          </cell>
        </row>
        <row r="130">
          <cell r="A130" t="str">
            <v>319</v>
          </cell>
        </row>
        <row r="131">
          <cell r="A131" t="str">
            <v>321</v>
          </cell>
        </row>
        <row r="132">
          <cell r="A132" t="str">
            <v>322</v>
          </cell>
        </row>
        <row r="133">
          <cell r="A133" t="str">
            <v>323</v>
          </cell>
        </row>
        <row r="134">
          <cell r="A134" t="str">
            <v>324</v>
          </cell>
        </row>
        <row r="135">
          <cell r="A135" t="str">
            <v>325</v>
          </cell>
        </row>
        <row r="136">
          <cell r="A136" t="str">
            <v>326</v>
          </cell>
        </row>
        <row r="137">
          <cell r="A137" t="str">
            <v>327</v>
          </cell>
        </row>
        <row r="138">
          <cell r="A138" t="str">
            <v>328</v>
          </cell>
        </row>
        <row r="139">
          <cell r="A139" t="str">
            <v>329</v>
          </cell>
        </row>
        <row r="140">
          <cell r="A140" t="str">
            <v>330</v>
          </cell>
        </row>
        <row r="141">
          <cell r="A141" t="str">
            <v>331</v>
          </cell>
        </row>
        <row r="142">
          <cell r="A142" t="str">
            <v>332</v>
          </cell>
        </row>
        <row r="143">
          <cell r="A143" t="str">
            <v>333</v>
          </cell>
        </row>
        <row r="144">
          <cell r="A144" t="str">
            <v>334</v>
          </cell>
        </row>
        <row r="145">
          <cell r="A145" t="str">
            <v>335</v>
          </cell>
        </row>
        <row r="146">
          <cell r="A146" t="str">
            <v>336</v>
          </cell>
        </row>
        <row r="147">
          <cell r="A147" t="str">
            <v>337</v>
          </cell>
        </row>
        <row r="148">
          <cell r="A148" t="str">
            <v>338</v>
          </cell>
        </row>
        <row r="149">
          <cell r="A149" t="str">
            <v>339</v>
          </cell>
        </row>
        <row r="150">
          <cell r="A150" t="str">
            <v>340</v>
          </cell>
        </row>
        <row r="151">
          <cell r="A151" t="str">
            <v>341</v>
          </cell>
        </row>
        <row r="152">
          <cell r="A152" t="str">
            <v>342</v>
          </cell>
        </row>
        <row r="153">
          <cell r="A153" t="str">
            <v>343</v>
          </cell>
        </row>
        <row r="154">
          <cell r="A154" t="str">
            <v>344</v>
          </cell>
        </row>
        <row r="155">
          <cell r="A155" t="str">
            <v>345</v>
          </cell>
        </row>
        <row r="156">
          <cell r="A156" t="str">
            <v>346</v>
          </cell>
        </row>
        <row r="157">
          <cell r="A157" t="str">
            <v>347</v>
          </cell>
        </row>
        <row r="158">
          <cell r="A158" t="str">
            <v>348</v>
          </cell>
        </row>
        <row r="159">
          <cell r="A159" t="str">
            <v>349</v>
          </cell>
        </row>
        <row r="160">
          <cell r="A160" t="str">
            <v>350</v>
          </cell>
        </row>
        <row r="161">
          <cell r="A161" t="str">
            <v>351</v>
          </cell>
        </row>
        <row r="162">
          <cell r="A162" t="str">
            <v>352</v>
          </cell>
        </row>
        <row r="163">
          <cell r="A163" t="str">
            <v>353</v>
          </cell>
        </row>
        <row r="164">
          <cell r="A164" t="str">
            <v>354</v>
          </cell>
        </row>
        <row r="165">
          <cell r="A165" t="str">
            <v>355</v>
          </cell>
        </row>
        <row r="166">
          <cell r="A166" t="str">
            <v>356</v>
          </cell>
        </row>
        <row r="167">
          <cell r="A167" t="str">
            <v>357</v>
          </cell>
        </row>
        <row r="168">
          <cell r="A168" t="str">
            <v>358</v>
          </cell>
        </row>
        <row r="169">
          <cell r="A169" t="str">
            <v>359</v>
          </cell>
        </row>
        <row r="170">
          <cell r="A170" t="str">
            <v>360</v>
          </cell>
        </row>
        <row r="171">
          <cell r="A171" t="str">
            <v>361</v>
          </cell>
        </row>
        <row r="172">
          <cell r="A172" t="str">
            <v>362</v>
          </cell>
        </row>
        <row r="173">
          <cell r="A173" t="str">
            <v>363</v>
          </cell>
        </row>
        <row r="174">
          <cell r="A174" t="str">
            <v>364</v>
          </cell>
        </row>
        <row r="175">
          <cell r="A175" t="str">
            <v>365</v>
          </cell>
        </row>
        <row r="176">
          <cell r="A176" t="str">
            <v>366</v>
          </cell>
        </row>
        <row r="177">
          <cell r="A177" t="str">
            <v>367</v>
          </cell>
        </row>
        <row r="178">
          <cell r="A178" t="str">
            <v>368</v>
          </cell>
        </row>
        <row r="179">
          <cell r="A179" t="str">
            <v>369</v>
          </cell>
        </row>
        <row r="180">
          <cell r="A180" t="str">
            <v>370</v>
          </cell>
        </row>
        <row r="181">
          <cell r="A181" t="str">
            <v>381</v>
          </cell>
        </row>
        <row r="182">
          <cell r="A182" t="str">
            <v>382</v>
          </cell>
        </row>
        <row r="183">
          <cell r="A183" t="str">
            <v>383</v>
          </cell>
        </row>
        <row r="184">
          <cell r="A184" t="str">
            <v>384</v>
          </cell>
        </row>
        <row r="185">
          <cell r="A185" t="str">
            <v>385</v>
          </cell>
        </row>
        <row r="186">
          <cell r="A186" t="str">
            <v>386</v>
          </cell>
        </row>
        <row r="187">
          <cell r="A187" t="str">
            <v>387</v>
          </cell>
        </row>
        <row r="188">
          <cell r="A188" t="str">
            <v>388</v>
          </cell>
        </row>
        <row r="189">
          <cell r="A189" t="str">
            <v>389</v>
          </cell>
        </row>
        <row r="190">
          <cell r="A190" t="str">
            <v>390</v>
          </cell>
        </row>
        <row r="191">
          <cell r="A191" t="str">
            <v>391</v>
          </cell>
        </row>
        <row r="192">
          <cell r="A192" t="str">
            <v>392</v>
          </cell>
        </row>
        <row r="193">
          <cell r="A193" t="str">
            <v>393</v>
          </cell>
        </row>
        <row r="194">
          <cell r="A194" t="str">
            <v>394</v>
          </cell>
        </row>
        <row r="195">
          <cell r="A195" t="str">
            <v>395</v>
          </cell>
        </row>
        <row r="196">
          <cell r="A196" t="str">
            <v>396</v>
          </cell>
        </row>
        <row r="197">
          <cell r="A197" t="str">
            <v>397</v>
          </cell>
        </row>
        <row r="198">
          <cell r="A198" t="str">
            <v>398</v>
          </cell>
        </row>
        <row r="199">
          <cell r="A199" t="str">
            <v>399</v>
          </cell>
        </row>
        <row r="200">
          <cell r="A200" t="str">
            <v>400</v>
          </cell>
        </row>
        <row r="201">
          <cell r="A201" t="str">
            <v>401</v>
          </cell>
        </row>
        <row r="202">
          <cell r="A202" t="str">
            <v>402</v>
          </cell>
        </row>
        <row r="203">
          <cell r="A203" t="str">
            <v>403</v>
          </cell>
        </row>
        <row r="204">
          <cell r="A204" t="str">
            <v>404</v>
          </cell>
        </row>
        <row r="205">
          <cell r="A205" t="str">
            <v>405</v>
          </cell>
        </row>
        <row r="206">
          <cell r="A206" t="str">
            <v>406</v>
          </cell>
        </row>
        <row r="207">
          <cell r="A207" t="str">
            <v>407</v>
          </cell>
        </row>
        <row r="208">
          <cell r="A208" t="str">
            <v>408</v>
          </cell>
        </row>
        <row r="209">
          <cell r="A209" t="str">
            <v>409</v>
          </cell>
        </row>
        <row r="210">
          <cell r="A210" t="str">
            <v>410</v>
          </cell>
        </row>
        <row r="211">
          <cell r="A211" t="str">
            <v>411</v>
          </cell>
        </row>
        <row r="212">
          <cell r="A212" t="str">
            <v>412</v>
          </cell>
        </row>
        <row r="213">
          <cell r="A213" t="str">
            <v>413</v>
          </cell>
        </row>
        <row r="214">
          <cell r="A214" t="str">
            <v>414</v>
          </cell>
        </row>
        <row r="215">
          <cell r="A215" t="str">
            <v>415</v>
          </cell>
        </row>
        <row r="216">
          <cell r="A216" t="str">
            <v>416</v>
          </cell>
        </row>
        <row r="217">
          <cell r="A217" t="str">
            <v>417</v>
          </cell>
        </row>
        <row r="218">
          <cell r="A218" t="str">
            <v>418</v>
          </cell>
        </row>
        <row r="219">
          <cell r="A219" t="str">
            <v>419</v>
          </cell>
        </row>
        <row r="220">
          <cell r="A220" t="str">
            <v>420</v>
          </cell>
        </row>
        <row r="221">
          <cell r="A221" t="str">
            <v>421</v>
          </cell>
        </row>
        <row r="222">
          <cell r="A222" t="str">
            <v>422</v>
          </cell>
        </row>
        <row r="223">
          <cell r="A223" t="str">
            <v>423</v>
          </cell>
        </row>
        <row r="224">
          <cell r="A224" t="str">
            <v>424</v>
          </cell>
        </row>
        <row r="225">
          <cell r="A225" t="str">
            <v>425</v>
          </cell>
        </row>
        <row r="226">
          <cell r="A226" t="str">
            <v>426</v>
          </cell>
        </row>
        <row r="227">
          <cell r="A227" t="str">
            <v>427</v>
          </cell>
        </row>
        <row r="228">
          <cell r="A228" t="str">
            <v>428</v>
          </cell>
        </row>
        <row r="229">
          <cell r="A229" t="str">
            <v>429</v>
          </cell>
        </row>
        <row r="230">
          <cell r="A230" t="str">
            <v>430</v>
          </cell>
        </row>
        <row r="231">
          <cell r="A231" t="str">
            <v>431</v>
          </cell>
        </row>
        <row r="232">
          <cell r="A232" t="str">
            <v>432</v>
          </cell>
        </row>
        <row r="233">
          <cell r="A233" t="str">
            <v>433</v>
          </cell>
        </row>
        <row r="234">
          <cell r="A234" t="str">
            <v>434</v>
          </cell>
        </row>
        <row r="235">
          <cell r="A235" t="str">
            <v>435</v>
          </cell>
        </row>
        <row r="236">
          <cell r="A236" t="str">
            <v>436</v>
          </cell>
        </row>
        <row r="237">
          <cell r="A237" t="str">
            <v>437</v>
          </cell>
        </row>
        <row r="238">
          <cell r="A238" t="str">
            <v>438</v>
          </cell>
        </row>
        <row r="239">
          <cell r="A239" t="str">
            <v>439</v>
          </cell>
        </row>
        <row r="240">
          <cell r="A240" t="str">
            <v>440</v>
          </cell>
        </row>
        <row r="241">
          <cell r="A241" t="str">
            <v>441</v>
          </cell>
        </row>
        <row r="242">
          <cell r="A242" t="str">
            <v>442</v>
          </cell>
        </row>
        <row r="243">
          <cell r="A243" t="str">
            <v>443</v>
          </cell>
        </row>
        <row r="244">
          <cell r="A244" t="str">
            <v>444</v>
          </cell>
        </row>
        <row r="245">
          <cell r="A245" t="str">
            <v>445</v>
          </cell>
        </row>
        <row r="246">
          <cell r="A246" t="str">
            <v>446</v>
          </cell>
        </row>
        <row r="247">
          <cell r="A247" t="str">
            <v>447</v>
          </cell>
        </row>
        <row r="248">
          <cell r="A248" t="str">
            <v>448</v>
          </cell>
        </row>
        <row r="249">
          <cell r="A249" t="str">
            <v>449</v>
          </cell>
        </row>
        <row r="250">
          <cell r="A250" t="str">
            <v>450</v>
          </cell>
        </row>
        <row r="251">
          <cell r="A251" t="str">
            <v>451</v>
          </cell>
        </row>
        <row r="252">
          <cell r="A252" t="str">
            <v>452</v>
          </cell>
        </row>
        <row r="253">
          <cell r="A253" t="str">
            <v>453</v>
          </cell>
        </row>
        <row r="254">
          <cell r="A254" t="str">
            <v>454</v>
          </cell>
        </row>
        <row r="255">
          <cell r="A255" t="str">
            <v>455</v>
          </cell>
        </row>
        <row r="256">
          <cell r="A256" t="str">
            <v>456</v>
          </cell>
        </row>
        <row r="257">
          <cell r="A257" t="str">
            <v>457</v>
          </cell>
        </row>
        <row r="258">
          <cell r="A258" t="str">
            <v>458</v>
          </cell>
        </row>
        <row r="259">
          <cell r="A259" t="str">
            <v>459</v>
          </cell>
        </row>
        <row r="260">
          <cell r="A260" t="str">
            <v>460</v>
          </cell>
        </row>
        <row r="261">
          <cell r="A261" t="str">
            <v>461</v>
          </cell>
        </row>
        <row r="262">
          <cell r="A262" t="str">
            <v>462</v>
          </cell>
        </row>
        <row r="263">
          <cell r="A263" t="str">
            <v>463</v>
          </cell>
        </row>
        <row r="264">
          <cell r="A264" t="str">
            <v>464</v>
          </cell>
        </row>
        <row r="265">
          <cell r="A265" t="str">
            <v>465</v>
          </cell>
        </row>
        <row r="266">
          <cell r="A266" t="str">
            <v>466</v>
          </cell>
        </row>
        <row r="267">
          <cell r="A267" t="str">
            <v>467</v>
          </cell>
        </row>
        <row r="268">
          <cell r="A268" t="str">
            <v>468</v>
          </cell>
        </row>
        <row r="269">
          <cell r="A269" t="str">
            <v>469</v>
          </cell>
        </row>
        <row r="270">
          <cell r="A270" t="str">
            <v>470</v>
          </cell>
        </row>
        <row r="271">
          <cell r="A271" t="str">
            <v>471</v>
          </cell>
        </row>
        <row r="272">
          <cell r="A272" t="str">
            <v>472</v>
          </cell>
        </row>
        <row r="273">
          <cell r="A273" t="str">
            <v>473</v>
          </cell>
        </row>
        <row r="274">
          <cell r="A274" t="str">
            <v>474</v>
          </cell>
        </row>
        <row r="275">
          <cell r="A275" t="str">
            <v>475</v>
          </cell>
        </row>
        <row r="276">
          <cell r="A276" t="str">
            <v>476</v>
          </cell>
        </row>
        <row r="277">
          <cell r="A277" t="str">
            <v>477</v>
          </cell>
        </row>
        <row r="278">
          <cell r="A278" t="str">
            <v>478</v>
          </cell>
        </row>
        <row r="279">
          <cell r="A279" t="str">
            <v>479</v>
          </cell>
        </row>
        <row r="280">
          <cell r="A280" t="str">
            <v>480</v>
          </cell>
        </row>
        <row r="281">
          <cell r="A281" t="str">
            <v>481</v>
          </cell>
        </row>
        <row r="282">
          <cell r="A282" t="str">
            <v>482</v>
          </cell>
        </row>
        <row r="283">
          <cell r="A283" t="str">
            <v>483</v>
          </cell>
        </row>
        <row r="284">
          <cell r="A284" t="str">
            <v>485</v>
          </cell>
        </row>
        <row r="285">
          <cell r="A285" t="str">
            <v>486</v>
          </cell>
        </row>
        <row r="286">
          <cell r="A286" t="str">
            <v>488</v>
          </cell>
        </row>
        <row r="287">
          <cell r="A287" t="str">
            <v>490</v>
          </cell>
        </row>
        <row r="288">
          <cell r="A288" t="str">
            <v>491</v>
          </cell>
        </row>
        <row r="289">
          <cell r="A289" t="str">
            <v>492</v>
          </cell>
        </row>
        <row r="290">
          <cell r="A290" t="str">
            <v>495</v>
          </cell>
        </row>
        <row r="291">
          <cell r="A291" t="str">
            <v>496</v>
          </cell>
        </row>
        <row r="292">
          <cell r="A292" t="str">
            <v>501</v>
          </cell>
        </row>
        <row r="293">
          <cell r="A293" t="str">
            <v>502</v>
          </cell>
        </row>
        <row r="294">
          <cell r="A294" t="str">
            <v>503</v>
          </cell>
        </row>
        <row r="295">
          <cell r="A295" t="str">
            <v>504</v>
          </cell>
        </row>
        <row r="296">
          <cell r="A296" t="str">
            <v>505</v>
          </cell>
        </row>
        <row r="297">
          <cell r="A297" t="str">
            <v>506</v>
          </cell>
        </row>
        <row r="298">
          <cell r="A298" t="str">
            <v>507</v>
          </cell>
        </row>
        <row r="299">
          <cell r="A299" t="str">
            <v>508</v>
          </cell>
        </row>
        <row r="300">
          <cell r="A300" t="str">
            <v>509</v>
          </cell>
        </row>
        <row r="301">
          <cell r="A301" t="str">
            <v>510</v>
          </cell>
        </row>
        <row r="302">
          <cell r="A302" t="str">
            <v>511</v>
          </cell>
        </row>
        <row r="303">
          <cell r="A303" t="str">
            <v>512</v>
          </cell>
        </row>
        <row r="304">
          <cell r="A304" t="str">
            <v>513</v>
          </cell>
        </row>
        <row r="305">
          <cell r="A305" t="str">
            <v>514</v>
          </cell>
        </row>
        <row r="306">
          <cell r="A306" t="str">
            <v>515</v>
          </cell>
        </row>
        <row r="307">
          <cell r="A307" t="str">
            <v>516</v>
          </cell>
        </row>
        <row r="308">
          <cell r="A308" t="str">
            <v>517</v>
          </cell>
        </row>
        <row r="309">
          <cell r="A309" t="str">
            <v>518</v>
          </cell>
        </row>
        <row r="310">
          <cell r="A310" t="str">
            <v>519</v>
          </cell>
        </row>
        <row r="311">
          <cell r="A311" t="str">
            <v>520</v>
          </cell>
        </row>
        <row r="312">
          <cell r="A312" t="str">
            <v>566</v>
          </cell>
        </row>
        <row r="313">
          <cell r="A313" t="str">
            <v>581</v>
          </cell>
        </row>
        <row r="314">
          <cell r="A314" t="str">
            <v>601</v>
          </cell>
        </row>
        <row r="315">
          <cell r="A315" t="str">
            <v>602</v>
          </cell>
        </row>
        <row r="316">
          <cell r="A316" t="str">
            <v>603</v>
          </cell>
        </row>
        <row r="317">
          <cell r="A317" t="str">
            <v>604</v>
          </cell>
        </row>
        <row r="318">
          <cell r="A318" t="str">
            <v>605</v>
          </cell>
        </row>
        <row r="319">
          <cell r="A319" t="str">
            <v>606</v>
          </cell>
        </row>
        <row r="320">
          <cell r="A320" t="str">
            <v>607</v>
          </cell>
        </row>
        <row r="321">
          <cell r="A321" t="str">
            <v>608</v>
          </cell>
        </row>
        <row r="322">
          <cell r="A322" t="str">
            <v>609</v>
          </cell>
        </row>
        <row r="323">
          <cell r="A323" t="str">
            <v>610</v>
          </cell>
        </row>
        <row r="324">
          <cell r="A324" t="str">
            <v>611</v>
          </cell>
        </row>
        <row r="325">
          <cell r="A325" t="str">
            <v>612</v>
          </cell>
        </row>
        <row r="326">
          <cell r="A326" t="str">
            <v>613</v>
          </cell>
        </row>
        <row r="327">
          <cell r="A327" t="str">
            <v>614</v>
          </cell>
        </row>
        <row r="328">
          <cell r="A328" t="str">
            <v>615</v>
          </cell>
        </row>
        <row r="329">
          <cell r="A329" t="str">
            <v>616</v>
          </cell>
        </row>
        <row r="330">
          <cell r="A330" t="str">
            <v>617</v>
          </cell>
        </row>
        <row r="331">
          <cell r="A331" t="str">
            <v>618</v>
          </cell>
        </row>
        <row r="332">
          <cell r="A332" t="str">
            <v>619</v>
          </cell>
        </row>
        <row r="333">
          <cell r="A333" t="str">
            <v>620</v>
          </cell>
        </row>
        <row r="334">
          <cell r="A334" t="str">
            <v>621</v>
          </cell>
        </row>
        <row r="335">
          <cell r="A335" t="str">
            <v>622</v>
          </cell>
        </row>
        <row r="336">
          <cell r="A336" t="str">
            <v>623</v>
          </cell>
        </row>
        <row r="337">
          <cell r="A337" t="str">
            <v>624</v>
          </cell>
        </row>
        <row r="338">
          <cell r="A338" t="str">
            <v>625</v>
          </cell>
        </row>
        <row r="339">
          <cell r="A339" t="str">
            <v>626</v>
          </cell>
        </row>
        <row r="340">
          <cell r="A340" t="str">
            <v>627</v>
          </cell>
        </row>
        <row r="341">
          <cell r="A341" t="str">
            <v>628</v>
          </cell>
        </row>
        <row r="342">
          <cell r="A342" t="str">
            <v>629</v>
          </cell>
        </row>
        <row r="343">
          <cell r="A343" t="str">
            <v>630</v>
          </cell>
        </row>
        <row r="344">
          <cell r="A344" t="str">
            <v>631</v>
          </cell>
        </row>
        <row r="345">
          <cell r="A345" t="str">
            <v>632</v>
          </cell>
        </row>
        <row r="346">
          <cell r="A346" t="str">
            <v>633</v>
          </cell>
        </row>
        <row r="347">
          <cell r="A347" t="str">
            <v>634</v>
          </cell>
        </row>
        <row r="348">
          <cell r="A348" t="str">
            <v>635</v>
          </cell>
        </row>
        <row r="349">
          <cell r="A349" t="str">
            <v>636</v>
          </cell>
        </row>
        <row r="350">
          <cell r="A350" t="str">
            <v>637</v>
          </cell>
        </row>
        <row r="351">
          <cell r="A351" t="str">
            <v>638</v>
          </cell>
        </row>
        <row r="352">
          <cell r="A352" t="str">
            <v>639</v>
          </cell>
        </row>
        <row r="353">
          <cell r="A353" t="str">
            <v>640</v>
          </cell>
        </row>
        <row r="354">
          <cell r="A354" t="str">
            <v>641</v>
          </cell>
        </row>
        <row r="355">
          <cell r="A355" t="str">
            <v>642</v>
          </cell>
        </row>
        <row r="356">
          <cell r="A356" t="str">
            <v>643</v>
          </cell>
        </row>
        <row r="357">
          <cell r="A357" t="str">
            <v>644</v>
          </cell>
        </row>
        <row r="358">
          <cell r="A358" t="str">
            <v>645</v>
          </cell>
        </row>
        <row r="359">
          <cell r="A359" t="str">
            <v>646</v>
          </cell>
        </row>
        <row r="360">
          <cell r="A360" t="str">
            <v>647</v>
          </cell>
        </row>
        <row r="361">
          <cell r="A361" t="str">
            <v>648</v>
          </cell>
        </row>
        <row r="362">
          <cell r="A362" t="str">
            <v>649</v>
          </cell>
        </row>
        <row r="363">
          <cell r="A363" t="str">
            <v>650</v>
          </cell>
        </row>
        <row r="364">
          <cell r="A364" t="str">
            <v>651</v>
          </cell>
        </row>
        <row r="365">
          <cell r="A365" t="str">
            <v>652</v>
          </cell>
        </row>
        <row r="366">
          <cell r="A366" t="str">
            <v>653</v>
          </cell>
        </row>
        <row r="367">
          <cell r="A367" t="str">
            <v>654</v>
          </cell>
        </row>
        <row r="368">
          <cell r="A368" t="str">
            <v>655</v>
          </cell>
        </row>
        <row r="369">
          <cell r="A369" t="str">
            <v>656</v>
          </cell>
        </row>
        <row r="370">
          <cell r="A370" t="str">
            <v>657</v>
          </cell>
        </row>
        <row r="371">
          <cell r="A371" t="str">
            <v>658</v>
          </cell>
        </row>
        <row r="372">
          <cell r="A372" t="str">
            <v>659</v>
          </cell>
        </row>
        <row r="373">
          <cell r="A373" t="str">
            <v>660</v>
          </cell>
        </row>
        <row r="374">
          <cell r="A374" t="str">
            <v>661</v>
          </cell>
        </row>
        <row r="375">
          <cell r="A375" t="str">
            <v>662</v>
          </cell>
        </row>
        <row r="376">
          <cell r="A376" t="str">
            <v>663</v>
          </cell>
        </row>
        <row r="377">
          <cell r="A377" t="str">
            <v>664</v>
          </cell>
        </row>
        <row r="378">
          <cell r="A378" t="str">
            <v>665</v>
          </cell>
        </row>
        <row r="379">
          <cell r="A379" t="str">
            <v>666</v>
          </cell>
        </row>
        <row r="380">
          <cell r="A380" t="str">
            <v>667</v>
          </cell>
        </row>
        <row r="381">
          <cell r="A381" t="str">
            <v>668</v>
          </cell>
        </row>
        <row r="382">
          <cell r="A382" t="str">
            <v>669</v>
          </cell>
        </row>
        <row r="383">
          <cell r="A383" t="str">
            <v>670</v>
          </cell>
        </row>
        <row r="384">
          <cell r="A384" t="str">
            <v>671</v>
          </cell>
        </row>
        <row r="385">
          <cell r="A385" t="str">
            <v>672</v>
          </cell>
        </row>
        <row r="386">
          <cell r="A386" t="str">
            <v>673</v>
          </cell>
        </row>
        <row r="387">
          <cell r="A387" t="str">
            <v>674</v>
          </cell>
        </row>
        <row r="388">
          <cell r="A388" t="str">
            <v>675</v>
          </cell>
        </row>
        <row r="389">
          <cell r="A389" t="str">
            <v>676</v>
          </cell>
        </row>
        <row r="390">
          <cell r="A390" t="str">
            <v>677</v>
          </cell>
        </row>
        <row r="391">
          <cell r="A391" t="str">
            <v>678</v>
          </cell>
        </row>
        <row r="392">
          <cell r="A392" t="str">
            <v>679</v>
          </cell>
        </row>
        <row r="393">
          <cell r="A393" t="str">
            <v>680</v>
          </cell>
        </row>
        <row r="394">
          <cell r="A394" t="str">
            <v>681</v>
          </cell>
        </row>
        <row r="395">
          <cell r="A395" t="str">
            <v>682</v>
          </cell>
        </row>
        <row r="396">
          <cell r="A396" t="str">
            <v>683</v>
          </cell>
        </row>
        <row r="397">
          <cell r="A397" t="str">
            <v>684</v>
          </cell>
        </row>
        <row r="398">
          <cell r="A398" t="str">
            <v>685</v>
          </cell>
        </row>
        <row r="399">
          <cell r="A399" t="str">
            <v>686</v>
          </cell>
        </row>
        <row r="400">
          <cell r="A400" t="str">
            <v>687</v>
          </cell>
        </row>
        <row r="401">
          <cell r="A401" t="str">
            <v>688</v>
          </cell>
        </row>
        <row r="402">
          <cell r="A402" t="str">
            <v>689</v>
          </cell>
        </row>
        <row r="403">
          <cell r="A403" t="str">
            <v>690</v>
          </cell>
        </row>
        <row r="404">
          <cell r="A404" t="str">
            <v>691</v>
          </cell>
        </row>
        <row r="405">
          <cell r="A405" t="str">
            <v>692</v>
          </cell>
        </row>
        <row r="406">
          <cell r="A406" t="str">
            <v>693</v>
          </cell>
        </row>
        <row r="407">
          <cell r="A407" t="str">
            <v>694</v>
          </cell>
        </row>
        <row r="408">
          <cell r="A408" t="str">
            <v>695</v>
          </cell>
        </row>
        <row r="409">
          <cell r="A409" t="str">
            <v>696</v>
          </cell>
        </row>
        <row r="410">
          <cell r="A410" t="str">
            <v>697</v>
          </cell>
        </row>
        <row r="411">
          <cell r="A411" t="str">
            <v>698</v>
          </cell>
        </row>
        <row r="412">
          <cell r="A412" t="str">
            <v>699</v>
          </cell>
        </row>
        <row r="413">
          <cell r="A413" t="str">
            <v>700</v>
          </cell>
        </row>
        <row r="414">
          <cell r="A414" t="str">
            <v>701</v>
          </cell>
        </row>
        <row r="415">
          <cell r="A415" t="str">
            <v>702</v>
          </cell>
        </row>
        <row r="416">
          <cell r="A416" t="str">
            <v>703</v>
          </cell>
        </row>
        <row r="417">
          <cell r="A417" t="str">
            <v>704</v>
          </cell>
        </row>
        <row r="418">
          <cell r="A418" t="str">
            <v>705</v>
          </cell>
        </row>
        <row r="419">
          <cell r="A419" t="str">
            <v>706</v>
          </cell>
        </row>
        <row r="420">
          <cell r="A420" t="str">
            <v>707</v>
          </cell>
        </row>
        <row r="421">
          <cell r="A421" t="str">
            <v>708</v>
          </cell>
        </row>
        <row r="422">
          <cell r="A422" t="str">
            <v>709</v>
          </cell>
        </row>
        <row r="423">
          <cell r="A423" t="str">
            <v>710</v>
          </cell>
        </row>
        <row r="424">
          <cell r="A424" t="str">
            <v>711</v>
          </cell>
        </row>
        <row r="425">
          <cell r="A425" t="str">
            <v>712</v>
          </cell>
        </row>
        <row r="426">
          <cell r="A426" t="str">
            <v>713</v>
          </cell>
        </row>
        <row r="427">
          <cell r="A427" t="str">
            <v>714</v>
          </cell>
        </row>
        <row r="428">
          <cell r="A428" t="str">
            <v>715</v>
          </cell>
        </row>
        <row r="429">
          <cell r="A429" t="str">
            <v>716</v>
          </cell>
        </row>
        <row r="430">
          <cell r="A430" t="str">
            <v>717</v>
          </cell>
        </row>
        <row r="431">
          <cell r="A431" t="str">
            <v>718</v>
          </cell>
        </row>
        <row r="432">
          <cell r="A432" t="str">
            <v>719</v>
          </cell>
        </row>
        <row r="433">
          <cell r="A433" t="str">
            <v>720</v>
          </cell>
        </row>
        <row r="434">
          <cell r="A434" t="str">
            <v>721</v>
          </cell>
        </row>
        <row r="435">
          <cell r="A435" t="str">
            <v>722</v>
          </cell>
        </row>
        <row r="436">
          <cell r="A436" t="str">
            <v>723</v>
          </cell>
        </row>
        <row r="437">
          <cell r="A437" t="str">
            <v>724</v>
          </cell>
        </row>
        <row r="438">
          <cell r="A438" t="str">
            <v>725</v>
          </cell>
        </row>
        <row r="439">
          <cell r="A439" t="str">
            <v>726</v>
          </cell>
        </row>
        <row r="440">
          <cell r="A440" t="str">
            <v>728</v>
          </cell>
        </row>
        <row r="441">
          <cell r="A441" t="str">
            <v>729</v>
          </cell>
        </row>
        <row r="442">
          <cell r="A442" t="str">
            <v>730</v>
          </cell>
        </row>
        <row r="443">
          <cell r="A443" t="str">
            <v>731</v>
          </cell>
        </row>
        <row r="444">
          <cell r="A444" t="str">
            <v>733</v>
          </cell>
        </row>
        <row r="445">
          <cell r="A445" t="str">
            <v>734</v>
          </cell>
        </row>
        <row r="446">
          <cell r="A446" t="str">
            <v>735</v>
          </cell>
        </row>
        <row r="447">
          <cell r="A447" t="str">
            <v>736</v>
          </cell>
        </row>
        <row r="448">
          <cell r="A448" t="str">
            <v>738</v>
          </cell>
        </row>
        <row r="449">
          <cell r="A449" t="str">
            <v>739</v>
          </cell>
        </row>
        <row r="450">
          <cell r="A450" t="str">
            <v>741</v>
          </cell>
        </row>
        <row r="451">
          <cell r="A451" t="str">
            <v>742</v>
          </cell>
        </row>
        <row r="452">
          <cell r="A452" t="str">
            <v>743</v>
          </cell>
        </row>
        <row r="453">
          <cell r="A453" t="str">
            <v>744</v>
          </cell>
        </row>
        <row r="454">
          <cell r="A454" t="str">
            <v>745</v>
          </cell>
        </row>
        <row r="455">
          <cell r="A455" t="str">
            <v>746</v>
          </cell>
        </row>
        <row r="456">
          <cell r="A456" t="str">
            <v>771</v>
          </cell>
        </row>
        <row r="457">
          <cell r="A457" t="str">
            <v>772</v>
          </cell>
        </row>
        <row r="458">
          <cell r="A458" t="str">
            <v>773</v>
          </cell>
        </row>
        <row r="459">
          <cell r="A459" t="str">
            <v>774</v>
          </cell>
        </row>
        <row r="460">
          <cell r="A460" t="str">
            <v>775</v>
          </cell>
        </row>
        <row r="461">
          <cell r="A461" t="str">
            <v>776</v>
          </cell>
        </row>
        <row r="462">
          <cell r="A462" t="str">
            <v>777</v>
          </cell>
        </row>
        <row r="463">
          <cell r="A463" t="str">
            <v>778</v>
          </cell>
        </row>
        <row r="464">
          <cell r="A464" t="str">
            <v>779</v>
          </cell>
        </row>
        <row r="465">
          <cell r="A465" t="str">
            <v>780</v>
          </cell>
        </row>
        <row r="466">
          <cell r="A466" t="str">
            <v>781</v>
          </cell>
        </row>
        <row r="467">
          <cell r="A467" t="str">
            <v>782</v>
          </cell>
        </row>
        <row r="468">
          <cell r="A468" t="str">
            <v>783</v>
          </cell>
        </row>
        <row r="469">
          <cell r="A469" t="str">
            <v>784</v>
          </cell>
        </row>
        <row r="470">
          <cell r="A470" t="str">
            <v>785</v>
          </cell>
        </row>
        <row r="471">
          <cell r="A471" t="str">
            <v>786</v>
          </cell>
        </row>
        <row r="472">
          <cell r="A472" t="str">
            <v>787</v>
          </cell>
        </row>
        <row r="473">
          <cell r="A473" t="str">
            <v>788</v>
          </cell>
        </row>
        <row r="474">
          <cell r="A474" t="str">
            <v>789</v>
          </cell>
        </row>
        <row r="475">
          <cell r="A475" t="str">
            <v>790</v>
          </cell>
        </row>
        <row r="476">
          <cell r="A476" t="str">
            <v>791</v>
          </cell>
        </row>
        <row r="477">
          <cell r="A477" t="str">
            <v>792</v>
          </cell>
        </row>
        <row r="478">
          <cell r="A478" t="str">
            <v>793</v>
          </cell>
        </row>
        <row r="479">
          <cell r="A479" t="str">
            <v>794</v>
          </cell>
        </row>
        <row r="480">
          <cell r="A480" t="str">
            <v>795</v>
          </cell>
        </row>
        <row r="481">
          <cell r="A481" t="str">
            <v>796</v>
          </cell>
        </row>
        <row r="482">
          <cell r="A482" t="str">
            <v>797</v>
          </cell>
        </row>
        <row r="483">
          <cell r="A483" t="str">
            <v>798</v>
          </cell>
        </row>
        <row r="484">
          <cell r="A484" t="str">
            <v>799</v>
          </cell>
        </row>
        <row r="485">
          <cell r="A485" t="str">
            <v>800</v>
          </cell>
        </row>
        <row r="486">
          <cell r="A486" t="str">
            <v>801</v>
          </cell>
        </row>
        <row r="487">
          <cell r="A487" t="str">
            <v>802</v>
          </cell>
        </row>
        <row r="488">
          <cell r="A488" t="str">
            <v>803</v>
          </cell>
        </row>
        <row r="489">
          <cell r="A489" t="str">
            <v>804</v>
          </cell>
        </row>
        <row r="490">
          <cell r="A490" t="str">
            <v>805</v>
          </cell>
        </row>
        <row r="491">
          <cell r="A491" t="str">
            <v>806</v>
          </cell>
        </row>
        <row r="492">
          <cell r="A492" t="str">
            <v>807</v>
          </cell>
        </row>
        <row r="493">
          <cell r="A493" t="str">
            <v>808</v>
          </cell>
        </row>
        <row r="494">
          <cell r="A494" t="str">
            <v>809</v>
          </cell>
        </row>
        <row r="495">
          <cell r="A495" t="str">
            <v>810</v>
          </cell>
        </row>
        <row r="496">
          <cell r="A496" t="str">
            <v>811</v>
          </cell>
        </row>
        <row r="497">
          <cell r="A497" t="str">
            <v>812</v>
          </cell>
        </row>
        <row r="498">
          <cell r="A498" t="str">
            <v>813</v>
          </cell>
        </row>
        <row r="499">
          <cell r="A499" t="str">
            <v>814</v>
          </cell>
        </row>
        <row r="500">
          <cell r="A500" t="str">
            <v>815</v>
          </cell>
        </row>
        <row r="501">
          <cell r="A501" t="str">
            <v>816</v>
          </cell>
        </row>
        <row r="502">
          <cell r="A502" t="str">
            <v>817</v>
          </cell>
        </row>
        <row r="503">
          <cell r="A503" t="str">
            <v>818</v>
          </cell>
        </row>
        <row r="504">
          <cell r="A504" t="str">
            <v>819</v>
          </cell>
        </row>
        <row r="505">
          <cell r="A505" t="str">
            <v>820</v>
          </cell>
        </row>
        <row r="506">
          <cell r="A506" t="str">
            <v>821</v>
          </cell>
        </row>
        <row r="507">
          <cell r="A507" t="str">
            <v>822</v>
          </cell>
        </row>
        <row r="508">
          <cell r="A508" t="str">
            <v>823</v>
          </cell>
        </row>
        <row r="509">
          <cell r="A509" t="str">
            <v>824</v>
          </cell>
        </row>
        <row r="510">
          <cell r="A510" t="str">
            <v>825</v>
          </cell>
        </row>
        <row r="511">
          <cell r="A511" t="str">
            <v>826</v>
          </cell>
        </row>
        <row r="512">
          <cell r="A512" t="str">
            <v>827</v>
          </cell>
        </row>
        <row r="513">
          <cell r="A513" t="str">
            <v>828</v>
          </cell>
        </row>
        <row r="514">
          <cell r="A514" t="str">
            <v>829</v>
          </cell>
        </row>
        <row r="515">
          <cell r="A515" t="str">
            <v>830</v>
          </cell>
        </row>
        <row r="516">
          <cell r="A516" t="str">
            <v>831</v>
          </cell>
        </row>
        <row r="517">
          <cell r="A517" t="str">
            <v>833</v>
          </cell>
        </row>
        <row r="518">
          <cell r="A518" t="str">
            <v>834</v>
          </cell>
        </row>
        <row r="519">
          <cell r="A519" t="str">
            <v>835</v>
          </cell>
        </row>
        <row r="520">
          <cell r="A520" t="str">
            <v>836</v>
          </cell>
        </row>
        <row r="521">
          <cell r="A521" t="str">
            <v>837</v>
          </cell>
        </row>
        <row r="522">
          <cell r="A522" t="str">
            <v>838</v>
          </cell>
        </row>
        <row r="523">
          <cell r="A523" t="str">
            <v>839</v>
          </cell>
        </row>
        <row r="524">
          <cell r="A524" t="str">
            <v>840</v>
          </cell>
        </row>
        <row r="525">
          <cell r="A525" t="str">
            <v>841</v>
          </cell>
        </row>
        <row r="526">
          <cell r="A526" t="str">
            <v>842</v>
          </cell>
        </row>
        <row r="527">
          <cell r="A527" t="str">
            <v>843</v>
          </cell>
        </row>
        <row r="528">
          <cell r="A528" t="str">
            <v>844</v>
          </cell>
        </row>
        <row r="529">
          <cell r="A529" t="str">
            <v>845</v>
          </cell>
        </row>
        <row r="530">
          <cell r="A530" t="str">
            <v>846</v>
          </cell>
        </row>
        <row r="531">
          <cell r="A531" t="str">
            <v>847</v>
          </cell>
        </row>
        <row r="532">
          <cell r="A532" t="str">
            <v>850</v>
          </cell>
        </row>
        <row r="533">
          <cell r="A533" t="str">
            <v>851</v>
          </cell>
        </row>
        <row r="534">
          <cell r="A534" t="str">
            <v>852</v>
          </cell>
        </row>
        <row r="535">
          <cell r="A535" t="str">
            <v>853</v>
          </cell>
        </row>
        <row r="536">
          <cell r="A536" t="str">
            <v>854</v>
          </cell>
        </row>
        <row r="537">
          <cell r="A537" t="str">
            <v>855</v>
          </cell>
        </row>
        <row r="538">
          <cell r="A538" t="str">
            <v>856</v>
          </cell>
        </row>
        <row r="539">
          <cell r="A539" t="str">
            <v>857</v>
          </cell>
        </row>
        <row r="540">
          <cell r="A540" t="str">
            <v>858</v>
          </cell>
        </row>
        <row r="541">
          <cell r="A541" t="str">
            <v>859</v>
          </cell>
        </row>
        <row r="542">
          <cell r="A542" t="str">
            <v>860</v>
          </cell>
        </row>
        <row r="543">
          <cell r="A543" t="str">
            <v>861</v>
          </cell>
        </row>
        <row r="544">
          <cell r="A544" t="str">
            <v>862</v>
          </cell>
        </row>
        <row r="545">
          <cell r="A545" t="str">
            <v>863</v>
          </cell>
        </row>
        <row r="546">
          <cell r="A546" t="str">
            <v>864</v>
          </cell>
        </row>
        <row r="547">
          <cell r="A547" t="str">
            <v>865</v>
          </cell>
        </row>
        <row r="548">
          <cell r="A548" t="str">
            <v>866</v>
          </cell>
        </row>
        <row r="549">
          <cell r="A549" t="str">
            <v>867</v>
          </cell>
        </row>
        <row r="550">
          <cell r="A550" t="str">
            <v>868</v>
          </cell>
        </row>
        <row r="551">
          <cell r="A551" t="str">
            <v>869</v>
          </cell>
        </row>
        <row r="552">
          <cell r="A552" t="str">
            <v>870</v>
          </cell>
        </row>
        <row r="553">
          <cell r="A553" t="str">
            <v>871</v>
          </cell>
        </row>
        <row r="554">
          <cell r="A554" t="str">
            <v>872</v>
          </cell>
        </row>
        <row r="555">
          <cell r="A555" t="str">
            <v>873</v>
          </cell>
        </row>
        <row r="556">
          <cell r="A556" t="str">
            <v>874</v>
          </cell>
        </row>
        <row r="557">
          <cell r="A557" t="str">
            <v>875</v>
          </cell>
        </row>
        <row r="558">
          <cell r="A558" t="str">
            <v>876</v>
          </cell>
        </row>
        <row r="559">
          <cell r="A559" t="str">
            <v>877</v>
          </cell>
        </row>
        <row r="560">
          <cell r="A560" t="str">
            <v>878</v>
          </cell>
        </row>
        <row r="561">
          <cell r="A561" t="str">
            <v>879</v>
          </cell>
        </row>
        <row r="562">
          <cell r="A562" t="str">
            <v>880</v>
          </cell>
        </row>
        <row r="563">
          <cell r="A563" t="str">
            <v>881</v>
          </cell>
        </row>
        <row r="564">
          <cell r="A564" t="str">
            <v>882</v>
          </cell>
        </row>
        <row r="565">
          <cell r="A565" t="str">
            <v>883</v>
          </cell>
        </row>
        <row r="566">
          <cell r="A566" t="str">
            <v>884</v>
          </cell>
        </row>
        <row r="567">
          <cell r="A567" t="str">
            <v>885</v>
          </cell>
        </row>
        <row r="568">
          <cell r="A568" t="str">
            <v>886</v>
          </cell>
        </row>
        <row r="569">
          <cell r="A569" t="str">
            <v>887</v>
          </cell>
        </row>
        <row r="570">
          <cell r="A570" t="str">
            <v>888</v>
          </cell>
        </row>
        <row r="571">
          <cell r="A571" t="str">
            <v>889</v>
          </cell>
        </row>
        <row r="572">
          <cell r="A572" t="str">
            <v>890</v>
          </cell>
        </row>
        <row r="573">
          <cell r="A573" t="str">
            <v>891</v>
          </cell>
        </row>
        <row r="574">
          <cell r="A574" t="str">
            <v>892</v>
          </cell>
        </row>
        <row r="575">
          <cell r="A575" t="str">
            <v>893</v>
          </cell>
        </row>
        <row r="576">
          <cell r="A576" t="str">
            <v>894</v>
          </cell>
        </row>
        <row r="577">
          <cell r="A577" t="str">
            <v>895</v>
          </cell>
        </row>
        <row r="578">
          <cell r="A578" t="str">
            <v>896</v>
          </cell>
        </row>
        <row r="579">
          <cell r="A579" t="str">
            <v>897</v>
          </cell>
        </row>
        <row r="580">
          <cell r="A580" t="str">
            <v>898</v>
          </cell>
        </row>
        <row r="581">
          <cell r="A581" t="str">
            <v>899</v>
          </cell>
        </row>
        <row r="582">
          <cell r="A582" t="str">
            <v>900</v>
          </cell>
        </row>
        <row r="583">
          <cell r="A583" t="str">
            <v>901</v>
          </cell>
        </row>
        <row r="584">
          <cell r="A584" t="str">
            <v>902</v>
          </cell>
        </row>
        <row r="585">
          <cell r="A585" t="str">
            <v>903</v>
          </cell>
        </row>
        <row r="586">
          <cell r="A586" t="str">
            <v>904</v>
          </cell>
        </row>
        <row r="587">
          <cell r="A587" t="str">
            <v>905</v>
          </cell>
        </row>
        <row r="588">
          <cell r="A588" t="str">
            <v>906</v>
          </cell>
        </row>
        <row r="589">
          <cell r="A589" t="str">
            <v>907</v>
          </cell>
        </row>
        <row r="590">
          <cell r="A590" t="str">
            <v>908</v>
          </cell>
        </row>
        <row r="591">
          <cell r="A591" t="str">
            <v>909</v>
          </cell>
        </row>
        <row r="592">
          <cell r="A592" t="str">
            <v>M02</v>
          </cell>
        </row>
        <row r="593">
          <cell r="A593" t="str">
            <v>M03</v>
          </cell>
        </row>
        <row r="594">
          <cell r="A594" t="str">
            <v>M04</v>
          </cell>
        </row>
        <row r="595">
          <cell r="A595" t="str">
            <v>M05</v>
          </cell>
        </row>
        <row r="596">
          <cell r="A596" t="str">
            <v>M06</v>
          </cell>
        </row>
        <row r="597">
          <cell r="A597" t="str">
            <v>M07</v>
          </cell>
        </row>
        <row r="598">
          <cell r="A598" t="str">
            <v>M08</v>
          </cell>
        </row>
        <row r="599">
          <cell r="A599" t="str">
            <v>M09</v>
          </cell>
        </row>
        <row r="600">
          <cell r="A600" t="str">
            <v>M10</v>
          </cell>
        </row>
        <row r="601">
          <cell r="A601" t="str">
            <v>M11</v>
          </cell>
        </row>
        <row r="602">
          <cell r="A602" t="str">
            <v>M12</v>
          </cell>
        </row>
        <row r="603">
          <cell r="A603" t="str">
            <v>M13</v>
          </cell>
        </row>
        <row r="604">
          <cell r="A604" t="str">
            <v>M14</v>
          </cell>
        </row>
        <row r="605">
          <cell r="A605" t="str">
            <v>M23</v>
          </cell>
        </row>
        <row r="606">
          <cell r="A606" t="str">
            <v>M24</v>
          </cell>
        </row>
        <row r="607">
          <cell r="A607" t="str">
            <v>M25</v>
          </cell>
        </row>
        <row r="608">
          <cell r="A608" t="str">
            <v>M26</v>
          </cell>
        </row>
        <row r="609">
          <cell r="A609" t="str">
            <v>M27</v>
          </cell>
        </row>
        <row r="610">
          <cell r="A610" t="str">
            <v>M56</v>
          </cell>
        </row>
        <row r="611">
          <cell r="A611" t="str">
            <v>M57</v>
          </cell>
        </row>
        <row r="612">
          <cell r="A612" t="str">
            <v>M58</v>
          </cell>
        </row>
        <row r="613">
          <cell r="A613" t="str">
            <v>M59</v>
          </cell>
        </row>
        <row r="614">
          <cell r="A614" t="str">
            <v>M60</v>
          </cell>
        </row>
        <row r="615">
          <cell r="A615" t="str">
            <v>M61</v>
          </cell>
        </row>
        <row r="616">
          <cell r="A616" t="str">
            <v>M62</v>
          </cell>
        </row>
        <row r="617">
          <cell r="A617" t="str">
            <v>M63</v>
          </cell>
        </row>
        <row r="618">
          <cell r="A618" t="str">
            <v>M64</v>
          </cell>
        </row>
        <row r="619">
          <cell r="A619" t="str">
            <v>M65</v>
          </cell>
        </row>
        <row r="620">
          <cell r="A620" t="str">
            <v>M66</v>
          </cell>
        </row>
        <row r="621">
          <cell r="A621" t="str">
            <v>M67</v>
          </cell>
        </row>
        <row r="622">
          <cell r="A622" t="str">
            <v>M68</v>
          </cell>
        </row>
        <row r="623">
          <cell r="A623" t="str">
            <v>M69</v>
          </cell>
        </row>
        <row r="624">
          <cell r="A624" t="str">
            <v>M70</v>
          </cell>
        </row>
        <row r="625">
          <cell r="A625" t="str">
            <v>M72</v>
          </cell>
        </row>
        <row r="626">
          <cell r="A626" t="str">
            <v>M73</v>
          </cell>
        </row>
        <row r="627">
          <cell r="A627" t="str">
            <v>M74</v>
          </cell>
        </row>
        <row r="628">
          <cell r="A628" t="str">
            <v>M75</v>
          </cell>
        </row>
        <row r="629">
          <cell r="A629" t="str">
            <v>M76</v>
          </cell>
        </row>
        <row r="630">
          <cell r="A630" t="str">
            <v>M77</v>
          </cell>
        </row>
        <row r="631">
          <cell r="A631" t="str">
            <v>M78</v>
          </cell>
        </row>
        <row r="632">
          <cell r="A632" t="str">
            <v>M79</v>
          </cell>
        </row>
        <row r="633">
          <cell r="A633" t="str">
            <v>M80</v>
          </cell>
        </row>
        <row r="634">
          <cell r="A634" t="str">
            <v>M95</v>
          </cell>
        </row>
        <row r="635">
          <cell r="A635" t="str">
            <v>M96</v>
          </cell>
        </row>
        <row r="636">
          <cell r="A636" t="str">
            <v>M97</v>
          </cell>
        </row>
        <row r="637">
          <cell r="A637" t="str">
            <v>M98</v>
          </cell>
        </row>
        <row r="638">
          <cell r="A638" t="str">
            <v>M99</v>
          </cell>
        </row>
        <row r="639">
          <cell r="A639" t="str">
            <v>N01</v>
          </cell>
        </row>
        <row r="640">
          <cell r="A640" t="str">
            <v>N02</v>
          </cell>
        </row>
        <row r="641">
          <cell r="A641" t="str">
            <v>N03</v>
          </cell>
        </row>
        <row r="642">
          <cell r="A642" t="str">
            <v>N04</v>
          </cell>
        </row>
        <row r="643">
          <cell r="A643" t="str">
            <v>N05</v>
          </cell>
        </row>
        <row r="644">
          <cell r="A644" t="str">
            <v>N11</v>
          </cell>
        </row>
        <row r="645">
          <cell r="A645" t="str">
            <v>N12</v>
          </cell>
        </row>
        <row r="646">
          <cell r="A646" t="str">
            <v>N13</v>
          </cell>
        </row>
        <row r="647">
          <cell r="A647" t="str">
            <v>N14</v>
          </cell>
        </row>
        <row r="648">
          <cell r="A648" t="str">
            <v>N17</v>
          </cell>
        </row>
        <row r="649">
          <cell r="A649" t="str">
            <v>N18</v>
          </cell>
        </row>
        <row r="650">
          <cell r="A650" t="str">
            <v>N19</v>
          </cell>
        </row>
        <row r="651">
          <cell r="A651" t="str">
            <v>N20</v>
          </cell>
        </row>
        <row r="652">
          <cell r="A652" t="str">
            <v>N21</v>
          </cell>
        </row>
        <row r="653">
          <cell r="A653" t="str">
            <v>N22</v>
          </cell>
        </row>
        <row r="654">
          <cell r="A654" t="str">
            <v>N41</v>
          </cell>
        </row>
        <row r="655">
          <cell r="A655" t="str">
            <v>N50</v>
          </cell>
        </row>
        <row r="656">
          <cell r="A656" t="str">
            <v>N51</v>
          </cell>
        </row>
        <row r="657">
          <cell r="A657" t="str">
            <v>N52</v>
          </cell>
        </row>
        <row r="658">
          <cell r="A658" t="str">
            <v>N53</v>
          </cell>
        </row>
        <row r="659">
          <cell r="A659" t="str">
            <v>N54</v>
          </cell>
        </row>
        <row r="660">
          <cell r="A660" t="str">
            <v>N89</v>
          </cell>
        </row>
        <row r="661">
          <cell r="A661" t="str">
            <v>N90</v>
          </cell>
        </row>
        <row r="662">
          <cell r="A662" t="str">
            <v>N91</v>
          </cell>
        </row>
        <row r="663">
          <cell r="A663" t="str">
            <v>N92</v>
          </cell>
        </row>
        <row r="664">
          <cell r="A664" t="str">
            <v>N93</v>
          </cell>
        </row>
        <row r="665">
          <cell r="A665" t="str">
            <v>N94</v>
          </cell>
        </row>
        <row r="666">
          <cell r="A666" t="str">
            <v>N95</v>
          </cell>
        </row>
        <row r="667">
          <cell r="A667" t="str">
            <v>P02</v>
          </cell>
        </row>
        <row r="668">
          <cell r="A668" t="str">
            <v>P03</v>
          </cell>
        </row>
        <row r="669">
          <cell r="A669" t="str">
            <v>P04</v>
          </cell>
        </row>
        <row r="670">
          <cell r="A670" t="str">
            <v>P05</v>
          </cell>
        </row>
        <row r="671">
          <cell r="A671" t="str">
            <v>P06</v>
          </cell>
        </row>
        <row r="672">
          <cell r="A672" t="str">
            <v>P07</v>
          </cell>
        </row>
        <row r="673">
          <cell r="A673" t="str">
            <v>P08</v>
          </cell>
        </row>
        <row r="674">
          <cell r="A674" t="str">
            <v>P09</v>
          </cell>
        </row>
        <row r="675">
          <cell r="A675" t="str">
            <v>P10</v>
          </cell>
        </row>
        <row r="676">
          <cell r="A676" t="str">
            <v>P11</v>
          </cell>
        </row>
        <row r="677">
          <cell r="A677" t="str">
            <v>P12</v>
          </cell>
        </row>
        <row r="678">
          <cell r="A678" t="str">
            <v>P13</v>
          </cell>
        </row>
        <row r="679">
          <cell r="A679" t="str">
            <v>P14</v>
          </cell>
        </row>
        <row r="680">
          <cell r="A680" t="str">
            <v>P15</v>
          </cell>
        </row>
        <row r="681">
          <cell r="A681" t="str">
            <v>P16</v>
          </cell>
        </row>
        <row r="682">
          <cell r="A682" t="str">
            <v>P17</v>
          </cell>
        </row>
        <row r="683">
          <cell r="A683" t="str">
            <v>P18</v>
          </cell>
        </row>
        <row r="684">
          <cell r="A684" t="str">
            <v>P19</v>
          </cell>
        </row>
        <row r="685">
          <cell r="A685" t="str">
            <v>P23</v>
          </cell>
        </row>
        <row r="686">
          <cell r="A686" t="str">
            <v>P26</v>
          </cell>
        </row>
        <row r="687">
          <cell r="A687" t="str">
            <v>P27</v>
          </cell>
        </row>
        <row r="688">
          <cell r="A688" t="str">
            <v>P28</v>
          </cell>
        </row>
        <row r="689">
          <cell r="A689" t="str">
            <v>P55</v>
          </cell>
        </row>
        <row r="690">
          <cell r="A690" t="str">
            <v>P56</v>
          </cell>
        </row>
        <row r="691">
          <cell r="A691" t="str">
            <v>P57</v>
          </cell>
        </row>
        <row r="692">
          <cell r="A692" t="str">
            <v>P58</v>
          </cell>
        </row>
        <row r="693">
          <cell r="A693" t="str">
            <v>P59</v>
          </cell>
        </row>
        <row r="694">
          <cell r="A694" t="str">
            <v>P60</v>
          </cell>
        </row>
        <row r="695">
          <cell r="A695" t="str">
            <v>P61</v>
          </cell>
        </row>
        <row r="696">
          <cell r="A696" t="str">
            <v>P62</v>
          </cell>
        </row>
        <row r="697">
          <cell r="A697" t="str">
            <v>P63</v>
          </cell>
        </row>
        <row r="698">
          <cell r="A698" t="str">
            <v>P64</v>
          </cell>
        </row>
        <row r="699">
          <cell r="A699" t="str">
            <v>P65</v>
          </cell>
        </row>
        <row r="700">
          <cell r="A700" t="str">
            <v>P66</v>
          </cell>
        </row>
        <row r="701">
          <cell r="A701" t="str">
            <v>P67</v>
          </cell>
        </row>
        <row r="702">
          <cell r="A702" t="str">
            <v>P68</v>
          </cell>
        </row>
        <row r="703">
          <cell r="A703" t="str">
            <v>P69</v>
          </cell>
        </row>
        <row r="704">
          <cell r="A704" t="str">
            <v>P70</v>
          </cell>
        </row>
        <row r="705">
          <cell r="A705" t="str">
            <v>P71</v>
          </cell>
        </row>
        <row r="706">
          <cell r="A706" t="str">
            <v>P72</v>
          </cell>
        </row>
        <row r="707">
          <cell r="A707" t="str">
            <v>P73</v>
          </cell>
        </row>
        <row r="708">
          <cell r="A708" t="str">
            <v>P74</v>
          </cell>
        </row>
        <row r="709">
          <cell r="A709" t="str">
            <v>P75</v>
          </cell>
        </row>
        <row r="710">
          <cell r="A710" t="str">
            <v>P76</v>
          </cell>
        </row>
        <row r="711">
          <cell r="A711" t="str">
            <v>P77</v>
          </cell>
        </row>
        <row r="712">
          <cell r="A712" t="str">
            <v>P78</v>
          </cell>
        </row>
        <row r="713">
          <cell r="A713" t="str">
            <v>P79</v>
          </cell>
        </row>
        <row r="714">
          <cell r="A714" t="str">
            <v>P80</v>
          </cell>
        </row>
        <row r="715">
          <cell r="A715" t="str">
            <v>P81</v>
          </cell>
        </row>
        <row r="716">
          <cell r="A716" t="str">
            <v>P82</v>
          </cell>
        </row>
        <row r="717">
          <cell r="A717" t="str">
            <v>R02</v>
          </cell>
        </row>
        <row r="718">
          <cell r="A718" t="str">
            <v>R03</v>
          </cell>
        </row>
        <row r="719">
          <cell r="A719" t="str">
            <v>R04</v>
          </cell>
        </row>
        <row r="720">
          <cell r="A720" t="str">
            <v>R08</v>
          </cell>
        </row>
        <row r="721">
          <cell r="A721" t="str">
            <v>R09</v>
          </cell>
        </row>
        <row r="722">
          <cell r="A722" t="str">
            <v>R11</v>
          </cell>
        </row>
        <row r="723">
          <cell r="A723" t="str">
            <v>R12</v>
          </cell>
        </row>
        <row r="724">
          <cell r="A724" t="str">
            <v>R13</v>
          </cell>
        </row>
        <row r="725">
          <cell r="A725" t="str">
            <v>R14</v>
          </cell>
        </row>
        <row r="726">
          <cell r="A726" t="str">
            <v>R15</v>
          </cell>
        </row>
        <row r="727">
          <cell r="A727" t="str">
            <v>R16</v>
          </cell>
        </row>
        <row r="728">
          <cell r="A728" t="str">
            <v>R17</v>
          </cell>
        </row>
        <row r="729">
          <cell r="A729" t="str">
            <v>R31</v>
          </cell>
        </row>
        <row r="730">
          <cell r="A730" t="str">
            <v>R32</v>
          </cell>
        </row>
        <row r="731">
          <cell r="A731" t="str">
            <v>R33</v>
          </cell>
        </row>
        <row r="732">
          <cell r="A732" t="str">
            <v>R37</v>
          </cell>
        </row>
        <row r="733">
          <cell r="A733" t="str">
            <v>S02</v>
          </cell>
        </row>
        <row r="734">
          <cell r="A734" t="str">
            <v>S03</v>
          </cell>
        </row>
        <row r="735">
          <cell r="A735" t="str">
            <v>S04</v>
          </cell>
        </row>
        <row r="736">
          <cell r="A736" t="str">
            <v>S05</v>
          </cell>
        </row>
        <row r="737">
          <cell r="A737" t="str">
            <v>S06</v>
          </cell>
        </row>
        <row r="738">
          <cell r="A738" t="str">
            <v>S07</v>
          </cell>
        </row>
        <row r="739">
          <cell r="A739" t="str">
            <v>S08</v>
          </cell>
        </row>
        <row r="740">
          <cell r="A740" t="str">
            <v>S14</v>
          </cell>
        </row>
        <row r="741">
          <cell r="A741" t="str">
            <v>S15</v>
          </cell>
        </row>
        <row r="742">
          <cell r="A742" t="str">
            <v>S16</v>
          </cell>
        </row>
        <row r="743">
          <cell r="A743" t="str">
            <v>S24</v>
          </cell>
        </row>
        <row r="744">
          <cell r="A744" t="str">
            <v>S25</v>
          </cell>
        </row>
        <row r="745">
          <cell r="A745" t="str">
            <v>S28</v>
          </cell>
        </row>
        <row r="746">
          <cell r="A746" t="str">
            <v>S83</v>
          </cell>
        </row>
        <row r="747">
          <cell r="A747" t="str">
            <v>S84</v>
          </cell>
        </row>
        <row r="748">
          <cell r="A748" t="str">
            <v>S85</v>
          </cell>
        </row>
        <row r="749">
          <cell r="A749" t="str">
            <v>S86</v>
          </cell>
        </row>
        <row r="750">
          <cell r="A750" t="str">
            <v>S87</v>
          </cell>
        </row>
        <row r="751">
          <cell r="A751" t="str">
            <v>S88</v>
          </cell>
        </row>
        <row r="752">
          <cell r="A752" t="str">
            <v>T02</v>
          </cell>
        </row>
        <row r="753">
          <cell r="A753" t="str">
            <v>T03</v>
          </cell>
        </row>
        <row r="754">
          <cell r="A754" t="str">
            <v>T04</v>
          </cell>
        </row>
        <row r="755">
          <cell r="A755" t="str">
            <v>T05</v>
          </cell>
        </row>
        <row r="756">
          <cell r="A756" t="str">
            <v>T06</v>
          </cell>
        </row>
        <row r="757">
          <cell r="A757" t="str">
            <v>T07</v>
          </cell>
        </row>
        <row r="758">
          <cell r="A758" t="str">
            <v>T08</v>
          </cell>
        </row>
        <row r="759">
          <cell r="A759" t="str">
            <v>T09</v>
          </cell>
        </row>
        <row r="760">
          <cell r="A760" t="str">
            <v>T14</v>
          </cell>
        </row>
        <row r="761">
          <cell r="A761" t="str">
            <v>T15</v>
          </cell>
        </row>
        <row r="762">
          <cell r="A762" t="str">
            <v>T16</v>
          </cell>
        </row>
        <row r="763">
          <cell r="A763" t="str">
            <v>T17</v>
          </cell>
        </row>
        <row r="764">
          <cell r="A764" t="str">
            <v>T18</v>
          </cell>
        </row>
        <row r="765">
          <cell r="A765" t="str">
            <v>T19</v>
          </cell>
        </row>
        <row r="766">
          <cell r="A766" t="str">
            <v>T21</v>
          </cell>
        </row>
        <row r="767">
          <cell r="A767" t="str">
            <v>T22</v>
          </cell>
        </row>
        <row r="768">
          <cell r="A768" t="str">
            <v>T23</v>
          </cell>
        </row>
        <row r="769">
          <cell r="A769" t="str">
            <v>T24</v>
          </cell>
        </row>
        <row r="770">
          <cell r="A770" t="str">
            <v>T25</v>
          </cell>
        </row>
        <row r="771">
          <cell r="A771" t="str">
            <v>T26</v>
          </cell>
        </row>
        <row r="772">
          <cell r="A772" t="str">
            <v>T27</v>
          </cell>
        </row>
        <row r="773">
          <cell r="A773" t="str">
            <v>T28</v>
          </cell>
        </row>
        <row r="774">
          <cell r="A774" t="str">
            <v>T29</v>
          </cell>
        </row>
        <row r="775">
          <cell r="A775" t="str">
            <v>T30</v>
          </cell>
        </row>
        <row r="776">
          <cell r="A776" t="str">
            <v>T31</v>
          </cell>
        </row>
        <row r="777">
          <cell r="A777" t="str">
            <v>T32</v>
          </cell>
        </row>
        <row r="778">
          <cell r="A778" t="str">
            <v>T33</v>
          </cell>
        </row>
        <row r="779">
          <cell r="A779" t="str">
            <v>T34</v>
          </cell>
        </row>
        <row r="780">
          <cell r="A780" t="str">
            <v>T35</v>
          </cell>
        </row>
        <row r="781">
          <cell r="A781" t="str">
            <v>T36</v>
          </cell>
        </row>
        <row r="782">
          <cell r="A782" t="str">
            <v>T37</v>
          </cell>
        </row>
      </sheetData>
      <sheetData sheetId="8">
        <row r="3">
          <cell r="A3" t="str">
            <v>11617</v>
          </cell>
        </row>
        <row r="4">
          <cell r="A4" t="str">
            <v>14101</v>
          </cell>
        </row>
        <row r="5">
          <cell r="A5" t="str">
            <v>14111</v>
          </cell>
        </row>
        <row r="6">
          <cell r="A6" t="str">
            <v>14201</v>
          </cell>
        </row>
        <row r="7">
          <cell r="A7" t="str">
            <v>14211</v>
          </cell>
        </row>
        <row r="8">
          <cell r="A8" t="str">
            <v>14221</v>
          </cell>
        </row>
        <row r="9">
          <cell r="A9" t="str">
            <v>14301</v>
          </cell>
        </row>
        <row r="10">
          <cell r="A10" t="str">
            <v>14401</v>
          </cell>
        </row>
        <row r="11">
          <cell r="A11" t="str">
            <v>14501</v>
          </cell>
        </row>
        <row r="12">
          <cell r="A12" t="str">
            <v>14601</v>
          </cell>
        </row>
        <row r="13">
          <cell r="A13" t="str">
            <v>14801</v>
          </cell>
        </row>
        <row r="14">
          <cell r="A14" t="str">
            <v>16801</v>
          </cell>
        </row>
        <row r="15">
          <cell r="A15" t="str">
            <v>21798</v>
          </cell>
        </row>
        <row r="16">
          <cell r="A16" t="str">
            <v>52301</v>
          </cell>
        </row>
        <row r="17">
          <cell r="A17" t="str">
            <v>53000</v>
          </cell>
        </row>
        <row r="18">
          <cell r="A18" t="str">
            <v>53010</v>
          </cell>
        </row>
        <row r="19">
          <cell r="A19" t="str">
            <v>53015</v>
          </cell>
        </row>
        <row r="20">
          <cell r="A20" t="str">
            <v>53020</v>
          </cell>
        </row>
        <row r="21">
          <cell r="A21" t="str">
            <v>53025</v>
          </cell>
        </row>
        <row r="22">
          <cell r="A22" t="str">
            <v>53030</v>
          </cell>
        </row>
        <row r="23">
          <cell r="A23" t="str">
            <v>53035</v>
          </cell>
        </row>
        <row r="24">
          <cell r="A24" t="str">
            <v>53040</v>
          </cell>
        </row>
        <row r="25">
          <cell r="A25" t="str">
            <v>53045</v>
          </cell>
        </row>
        <row r="26">
          <cell r="A26" t="str">
            <v>53050</v>
          </cell>
        </row>
        <row r="27">
          <cell r="A27" t="str">
            <v>53055</v>
          </cell>
        </row>
        <row r="28">
          <cell r="A28" t="str">
            <v>54000</v>
          </cell>
        </row>
        <row r="29">
          <cell r="A29" t="str">
            <v>54995</v>
          </cell>
        </row>
        <row r="30">
          <cell r="A30" t="str">
            <v>55000</v>
          </cell>
        </row>
      </sheetData>
      <sheetData sheetId="9">
        <row r="3">
          <cell r="A3">
            <v>50001200</v>
          </cell>
        </row>
        <row r="4">
          <cell r="A4">
            <v>50001201</v>
          </cell>
        </row>
        <row r="5">
          <cell r="A5">
            <v>50001202</v>
          </cell>
        </row>
        <row r="6">
          <cell r="A6">
            <v>50001203</v>
          </cell>
        </row>
        <row r="7">
          <cell r="A7">
            <v>50001204</v>
          </cell>
        </row>
        <row r="8">
          <cell r="A8">
            <v>50001205</v>
          </cell>
        </row>
        <row r="9">
          <cell r="A9">
            <v>50001206</v>
          </cell>
        </row>
        <row r="10">
          <cell r="A10">
            <v>50001207</v>
          </cell>
        </row>
        <row r="11">
          <cell r="A11">
            <v>50001208</v>
          </cell>
        </row>
        <row r="12">
          <cell r="A12">
            <v>50001209</v>
          </cell>
        </row>
        <row r="13">
          <cell r="A13">
            <v>50001210</v>
          </cell>
        </row>
        <row r="14">
          <cell r="A14">
            <v>50001211</v>
          </cell>
        </row>
        <row r="15">
          <cell r="A15">
            <v>50001212</v>
          </cell>
        </row>
        <row r="16">
          <cell r="A16">
            <v>50001213</v>
          </cell>
        </row>
        <row r="17">
          <cell r="A17">
            <v>50001214</v>
          </cell>
        </row>
        <row r="18">
          <cell r="A18">
            <v>50001214</v>
          </cell>
        </row>
        <row r="19">
          <cell r="A19">
            <v>50001215</v>
          </cell>
        </row>
        <row r="20">
          <cell r="A20">
            <v>50001215</v>
          </cell>
        </row>
        <row r="21">
          <cell r="A21">
            <v>50001216</v>
          </cell>
        </row>
        <row r="22">
          <cell r="A22">
            <v>50001217</v>
          </cell>
        </row>
        <row r="23">
          <cell r="A23">
            <v>50001218</v>
          </cell>
        </row>
        <row r="24">
          <cell r="A24">
            <v>50001219</v>
          </cell>
        </row>
        <row r="25">
          <cell r="A25">
            <v>50001220</v>
          </cell>
        </row>
        <row r="26">
          <cell r="A26">
            <v>50001221</v>
          </cell>
        </row>
        <row r="27">
          <cell r="A27">
            <v>50001222</v>
          </cell>
        </row>
        <row r="28">
          <cell r="A28">
            <v>50001223</v>
          </cell>
        </row>
        <row r="29">
          <cell r="A29">
            <v>50001224</v>
          </cell>
        </row>
        <row r="30">
          <cell r="A30">
            <v>50001225</v>
          </cell>
        </row>
        <row r="31">
          <cell r="A31">
            <v>50001226</v>
          </cell>
        </row>
        <row r="32">
          <cell r="A32">
            <v>50001227</v>
          </cell>
        </row>
        <row r="33">
          <cell r="A33">
            <v>50001228</v>
          </cell>
        </row>
        <row r="34">
          <cell r="A34">
            <v>50001229</v>
          </cell>
        </row>
        <row r="35">
          <cell r="A35">
            <v>50001230</v>
          </cell>
        </row>
        <row r="36">
          <cell r="A36">
            <v>50001231</v>
          </cell>
        </row>
        <row r="37">
          <cell r="A37">
            <v>50001232</v>
          </cell>
        </row>
        <row r="38">
          <cell r="A38">
            <v>50001233</v>
          </cell>
        </row>
        <row r="39">
          <cell r="A39">
            <v>50001234</v>
          </cell>
        </row>
        <row r="40">
          <cell r="A40">
            <v>50001235</v>
          </cell>
        </row>
        <row r="41">
          <cell r="A41">
            <v>50001236</v>
          </cell>
        </row>
        <row r="42">
          <cell r="A42">
            <v>50001237</v>
          </cell>
        </row>
        <row r="43">
          <cell r="A43">
            <v>50001238</v>
          </cell>
        </row>
        <row r="44">
          <cell r="A44">
            <v>50001239</v>
          </cell>
        </row>
        <row r="45">
          <cell r="A45">
            <v>50001240</v>
          </cell>
        </row>
        <row r="46">
          <cell r="A46">
            <v>50001241</v>
          </cell>
        </row>
        <row r="47">
          <cell r="A47">
            <v>50001242</v>
          </cell>
        </row>
        <row r="48">
          <cell r="A48">
            <v>50001243</v>
          </cell>
        </row>
        <row r="49">
          <cell r="A49">
            <v>50001244</v>
          </cell>
        </row>
        <row r="50">
          <cell r="A50">
            <v>50001245</v>
          </cell>
        </row>
        <row r="51">
          <cell r="A51">
            <v>50001246</v>
          </cell>
        </row>
        <row r="52">
          <cell r="A52">
            <v>50001247</v>
          </cell>
        </row>
        <row r="53">
          <cell r="A53">
            <v>50001248</v>
          </cell>
        </row>
        <row r="54">
          <cell r="A54">
            <v>50001249</v>
          </cell>
        </row>
        <row r="55">
          <cell r="A55">
            <v>50001250</v>
          </cell>
        </row>
        <row r="56">
          <cell r="A56">
            <v>50001251</v>
          </cell>
        </row>
        <row r="57">
          <cell r="A57">
            <v>50001252</v>
          </cell>
        </row>
        <row r="58">
          <cell r="A58">
            <v>50001253</v>
          </cell>
        </row>
        <row r="59">
          <cell r="A59">
            <v>50001254</v>
          </cell>
        </row>
        <row r="60">
          <cell r="A60">
            <v>50001255</v>
          </cell>
        </row>
        <row r="61">
          <cell r="A61">
            <v>50001256</v>
          </cell>
        </row>
        <row r="62">
          <cell r="A62">
            <v>50001257</v>
          </cell>
        </row>
        <row r="63">
          <cell r="A63">
            <v>50001258</v>
          </cell>
        </row>
        <row r="64">
          <cell r="A64">
            <v>50001259</v>
          </cell>
        </row>
        <row r="65">
          <cell r="A65">
            <v>50001260</v>
          </cell>
        </row>
        <row r="66">
          <cell r="A66">
            <v>50001261</v>
          </cell>
        </row>
        <row r="67">
          <cell r="A67">
            <v>50001262</v>
          </cell>
        </row>
        <row r="68">
          <cell r="A68">
            <v>50001263</v>
          </cell>
        </row>
        <row r="69">
          <cell r="A69">
            <v>50001264</v>
          </cell>
        </row>
        <row r="70">
          <cell r="A70">
            <v>50001265</v>
          </cell>
        </row>
        <row r="71">
          <cell r="A71">
            <v>50001266</v>
          </cell>
        </row>
        <row r="72">
          <cell r="A72">
            <v>50001267</v>
          </cell>
        </row>
        <row r="73">
          <cell r="A73">
            <v>50001268</v>
          </cell>
        </row>
        <row r="74">
          <cell r="A74">
            <v>50001269</v>
          </cell>
        </row>
        <row r="75">
          <cell r="A75">
            <v>50001270</v>
          </cell>
        </row>
        <row r="76">
          <cell r="A76">
            <v>50001271</v>
          </cell>
        </row>
        <row r="77">
          <cell r="A77">
            <v>50001272</v>
          </cell>
        </row>
        <row r="78">
          <cell r="A78">
            <v>50001273</v>
          </cell>
        </row>
        <row r="79">
          <cell r="A79">
            <v>50001274</v>
          </cell>
        </row>
        <row r="80">
          <cell r="A80">
            <v>50001275</v>
          </cell>
        </row>
        <row r="81">
          <cell r="A81">
            <v>50001276</v>
          </cell>
        </row>
        <row r="82">
          <cell r="A82">
            <v>50001277</v>
          </cell>
        </row>
        <row r="83">
          <cell r="A83">
            <v>50001278</v>
          </cell>
        </row>
        <row r="84">
          <cell r="A84">
            <v>50001279</v>
          </cell>
        </row>
        <row r="85">
          <cell r="A85">
            <v>50001280</v>
          </cell>
        </row>
        <row r="86">
          <cell r="A86">
            <v>50001281</v>
          </cell>
        </row>
        <row r="87">
          <cell r="A87">
            <v>50001282</v>
          </cell>
        </row>
        <row r="88">
          <cell r="A88">
            <v>50001283</v>
          </cell>
        </row>
        <row r="89">
          <cell r="A89">
            <v>50001284</v>
          </cell>
        </row>
        <row r="90">
          <cell r="A90">
            <v>50001285</v>
          </cell>
        </row>
        <row r="91">
          <cell r="A91">
            <v>50001286</v>
          </cell>
        </row>
        <row r="92">
          <cell r="A92">
            <v>50001287</v>
          </cell>
        </row>
        <row r="93">
          <cell r="A93">
            <v>50001288</v>
          </cell>
        </row>
        <row r="94">
          <cell r="A94">
            <v>50001289</v>
          </cell>
        </row>
        <row r="95">
          <cell r="A95">
            <v>50001290</v>
          </cell>
        </row>
        <row r="96">
          <cell r="A96">
            <v>50001291</v>
          </cell>
        </row>
        <row r="97">
          <cell r="A97">
            <v>50001292</v>
          </cell>
        </row>
        <row r="98">
          <cell r="A98">
            <v>50001293</v>
          </cell>
        </row>
        <row r="99">
          <cell r="A99">
            <v>50001294</v>
          </cell>
        </row>
        <row r="100">
          <cell r="A100">
            <v>50001295</v>
          </cell>
        </row>
        <row r="101">
          <cell r="A101">
            <v>50001296</v>
          </cell>
        </row>
        <row r="102">
          <cell r="A102">
            <v>50001297</v>
          </cell>
        </row>
        <row r="103">
          <cell r="A103">
            <v>50001298</v>
          </cell>
        </row>
        <row r="104">
          <cell r="A104">
            <v>50001299</v>
          </cell>
        </row>
        <row r="105">
          <cell r="A105">
            <v>50001300</v>
          </cell>
        </row>
        <row r="106">
          <cell r="A106">
            <v>50001301</v>
          </cell>
        </row>
        <row r="107">
          <cell r="A107">
            <v>50001302</v>
          </cell>
        </row>
        <row r="108">
          <cell r="A108" t="str">
            <v>00000000</v>
          </cell>
        </row>
        <row r="109">
          <cell r="A109" t="str">
            <v>10001101</v>
          </cell>
        </row>
        <row r="110">
          <cell r="A110" t="str">
            <v>10001102</v>
          </cell>
        </row>
        <row r="111">
          <cell r="A111" t="str">
            <v>10001103</v>
          </cell>
        </row>
        <row r="112">
          <cell r="A112" t="str">
            <v>10001104</v>
          </cell>
        </row>
        <row r="113">
          <cell r="A113" t="str">
            <v>10001105</v>
          </cell>
        </row>
        <row r="114">
          <cell r="A114" t="str">
            <v>10001106</v>
          </cell>
        </row>
        <row r="115">
          <cell r="A115" t="str">
            <v>10001107</v>
          </cell>
        </row>
        <row r="116">
          <cell r="A116" t="str">
            <v>10001108</v>
          </cell>
        </row>
        <row r="117">
          <cell r="A117" t="str">
            <v>10001201</v>
          </cell>
        </row>
        <row r="118">
          <cell r="A118" t="str">
            <v>10001202</v>
          </cell>
        </row>
        <row r="119">
          <cell r="A119" t="str">
            <v>10001203</v>
          </cell>
        </row>
        <row r="120">
          <cell r="A120" t="str">
            <v>10001204</v>
          </cell>
        </row>
        <row r="121">
          <cell r="A121" t="str">
            <v>10001299</v>
          </cell>
        </row>
        <row r="122">
          <cell r="A122" t="str">
            <v>10001301</v>
          </cell>
        </row>
        <row r="123">
          <cell r="A123" t="str">
            <v>10001302</v>
          </cell>
        </row>
        <row r="124">
          <cell r="A124" t="str">
            <v>10001303</v>
          </cell>
        </row>
        <row r="125">
          <cell r="A125" t="str">
            <v>10001304</v>
          </cell>
        </row>
        <row r="126">
          <cell r="A126" t="str">
            <v>10001305</v>
          </cell>
        </row>
        <row r="127">
          <cell r="A127" t="str">
            <v>10001306</v>
          </cell>
        </row>
        <row r="128">
          <cell r="A128" t="str">
            <v>10001399</v>
          </cell>
        </row>
        <row r="129">
          <cell r="A129" t="str">
            <v>10001401</v>
          </cell>
        </row>
        <row r="130">
          <cell r="A130" t="str">
            <v>10001402</v>
          </cell>
        </row>
        <row r="131">
          <cell r="A131" t="str">
            <v>10001403</v>
          </cell>
        </row>
        <row r="132">
          <cell r="A132" t="str">
            <v>10001404</v>
          </cell>
        </row>
        <row r="133">
          <cell r="A133" t="str">
            <v>10001405</v>
          </cell>
        </row>
        <row r="134">
          <cell r="A134" t="str">
            <v>10001406</v>
          </cell>
        </row>
        <row r="135">
          <cell r="A135" t="str">
            <v>10002101</v>
          </cell>
        </row>
        <row r="136">
          <cell r="A136" t="str">
            <v>10002111</v>
          </cell>
        </row>
        <row r="137">
          <cell r="A137" t="str">
            <v>10002121</v>
          </cell>
        </row>
        <row r="138">
          <cell r="A138" t="str">
            <v>10002211</v>
          </cell>
        </row>
        <row r="139">
          <cell r="A139" t="str">
            <v>10002221</v>
          </cell>
        </row>
        <row r="140">
          <cell r="A140" t="str">
            <v>10003101</v>
          </cell>
        </row>
        <row r="141">
          <cell r="A141" t="str">
            <v>10003102</v>
          </cell>
        </row>
        <row r="142">
          <cell r="A142" t="str">
            <v>10003201</v>
          </cell>
        </row>
        <row r="143">
          <cell r="A143" t="str">
            <v>10003202</v>
          </cell>
        </row>
        <row r="144">
          <cell r="A144" t="str">
            <v>10003203</v>
          </cell>
        </row>
        <row r="145">
          <cell r="A145" t="str">
            <v>10003301</v>
          </cell>
        </row>
        <row r="146">
          <cell r="A146" t="str">
            <v>10003302</v>
          </cell>
        </row>
        <row r="147">
          <cell r="A147" t="str">
            <v>10003303</v>
          </cell>
        </row>
        <row r="148">
          <cell r="A148" t="str">
            <v>10004101</v>
          </cell>
        </row>
        <row r="149">
          <cell r="A149" t="str">
            <v>10004102</v>
          </cell>
        </row>
        <row r="150">
          <cell r="A150" t="str">
            <v>10004103</v>
          </cell>
        </row>
        <row r="151">
          <cell r="A151" t="str">
            <v>10004104</v>
          </cell>
        </row>
        <row r="152">
          <cell r="A152" t="str">
            <v>10004105</v>
          </cell>
        </row>
        <row r="153">
          <cell r="A153" t="str">
            <v>10004106</v>
          </cell>
        </row>
        <row r="154">
          <cell r="A154" t="str">
            <v>10004107</v>
          </cell>
        </row>
        <row r="155">
          <cell r="A155" t="str">
            <v>10004201</v>
          </cell>
        </row>
        <row r="156">
          <cell r="A156" t="str">
            <v>10004202</v>
          </cell>
        </row>
        <row r="157">
          <cell r="A157" t="str">
            <v>10004203</v>
          </cell>
        </row>
        <row r="158">
          <cell r="A158" t="str">
            <v>10004301</v>
          </cell>
        </row>
        <row r="159">
          <cell r="A159" t="str">
            <v>10004302</v>
          </cell>
        </row>
        <row r="160">
          <cell r="A160" t="str">
            <v>10004303</v>
          </cell>
        </row>
        <row r="161">
          <cell r="A161" t="str">
            <v>10004401</v>
          </cell>
        </row>
        <row r="162">
          <cell r="A162" t="str">
            <v>10004501</v>
          </cell>
        </row>
        <row r="163">
          <cell r="A163" t="str">
            <v>10004502</v>
          </cell>
        </row>
        <row r="164">
          <cell r="A164" t="str">
            <v>10004503</v>
          </cell>
        </row>
        <row r="165">
          <cell r="A165" t="str">
            <v>10004509</v>
          </cell>
        </row>
        <row r="166">
          <cell r="A166" t="str">
            <v>10005001</v>
          </cell>
        </row>
        <row r="167">
          <cell r="A167" t="str">
            <v>10005002</v>
          </cell>
        </row>
        <row r="168">
          <cell r="A168" t="str">
            <v>10005003</v>
          </cell>
        </row>
        <row r="169">
          <cell r="A169" t="str">
            <v>10005004</v>
          </cell>
        </row>
        <row r="170">
          <cell r="A170" t="str">
            <v>10005005</v>
          </cell>
        </row>
        <row r="171">
          <cell r="A171" t="str">
            <v>10005006</v>
          </cell>
        </row>
        <row r="172">
          <cell r="A172" t="str">
            <v>10005007</v>
          </cell>
        </row>
        <row r="173">
          <cell r="A173" t="str">
            <v>10005008</v>
          </cell>
        </row>
        <row r="174">
          <cell r="A174" t="str">
            <v>10005009</v>
          </cell>
        </row>
        <row r="175">
          <cell r="A175" t="str">
            <v>10006101</v>
          </cell>
        </row>
        <row r="176">
          <cell r="A176" t="str">
            <v>10006102</v>
          </cell>
        </row>
        <row r="177">
          <cell r="A177" t="str">
            <v>10006103</v>
          </cell>
        </row>
        <row r="178">
          <cell r="A178" t="str">
            <v>10006121</v>
          </cell>
        </row>
        <row r="179">
          <cell r="A179" t="str">
            <v>10006122</v>
          </cell>
        </row>
        <row r="180">
          <cell r="A180" t="str">
            <v>10006201</v>
          </cell>
        </row>
        <row r="181">
          <cell r="A181" t="str">
            <v>10006202</v>
          </cell>
        </row>
        <row r="182">
          <cell r="A182" t="str">
            <v>10006203</v>
          </cell>
        </row>
        <row r="183">
          <cell r="A183" t="str">
            <v>10006204</v>
          </cell>
        </row>
        <row r="184">
          <cell r="A184" t="str">
            <v>10006205</v>
          </cell>
        </row>
        <row r="185">
          <cell r="A185" t="str">
            <v>10006301</v>
          </cell>
        </row>
        <row r="186">
          <cell r="A186" t="str">
            <v>10006302</v>
          </cell>
        </row>
        <row r="187">
          <cell r="A187" t="str">
            <v>10006303</v>
          </cell>
        </row>
        <row r="188">
          <cell r="A188" t="str">
            <v>10006401</v>
          </cell>
        </row>
        <row r="189">
          <cell r="A189" t="str">
            <v>10006901</v>
          </cell>
        </row>
        <row r="190">
          <cell r="A190" t="str">
            <v>10006902</v>
          </cell>
        </row>
        <row r="191">
          <cell r="A191" t="str">
            <v>10006908</v>
          </cell>
        </row>
        <row r="192">
          <cell r="A192" t="str">
            <v>10006909</v>
          </cell>
        </row>
        <row r="193">
          <cell r="A193" t="str">
            <v>10007101</v>
          </cell>
        </row>
        <row r="194">
          <cell r="A194" t="str">
            <v>10007102</v>
          </cell>
        </row>
        <row r="195">
          <cell r="A195" t="str">
            <v>10007103</v>
          </cell>
        </row>
        <row r="196">
          <cell r="A196" t="str">
            <v>10007104</v>
          </cell>
        </row>
        <row r="197">
          <cell r="A197" t="str">
            <v>10007105</v>
          </cell>
        </row>
        <row r="198">
          <cell r="A198" t="str">
            <v>10007106</v>
          </cell>
        </row>
        <row r="199">
          <cell r="A199" t="str">
            <v>10007107</v>
          </cell>
        </row>
        <row r="200">
          <cell r="A200" t="str">
            <v>10007201</v>
          </cell>
        </row>
        <row r="201">
          <cell r="A201" t="str">
            <v>10007202</v>
          </cell>
        </row>
        <row r="202">
          <cell r="A202" t="str">
            <v>10007203</v>
          </cell>
        </row>
        <row r="203">
          <cell r="A203" t="str">
            <v>10007204</v>
          </cell>
        </row>
        <row r="204">
          <cell r="A204" t="str">
            <v>10007205</v>
          </cell>
        </row>
        <row r="205">
          <cell r="A205" t="str">
            <v>10007206</v>
          </cell>
        </row>
        <row r="206">
          <cell r="A206" t="str">
            <v>10007207</v>
          </cell>
        </row>
        <row r="207">
          <cell r="A207" t="str">
            <v>10007208</v>
          </cell>
        </row>
        <row r="208">
          <cell r="A208" t="str">
            <v>10007209</v>
          </cell>
        </row>
        <row r="209">
          <cell r="A209" t="str">
            <v>10007210</v>
          </cell>
        </row>
        <row r="210">
          <cell r="A210" t="str">
            <v>10007211</v>
          </cell>
        </row>
        <row r="211">
          <cell r="A211" t="str">
            <v>10007212</v>
          </cell>
        </row>
        <row r="212">
          <cell r="A212" t="str">
            <v>10007213</v>
          </cell>
        </row>
        <row r="213">
          <cell r="A213" t="str">
            <v>10007214</v>
          </cell>
        </row>
        <row r="214">
          <cell r="A214" t="str">
            <v>10007215</v>
          </cell>
        </row>
        <row r="215">
          <cell r="A215" t="str">
            <v>10007216</v>
          </cell>
        </row>
        <row r="216">
          <cell r="A216" t="str">
            <v>10007217</v>
          </cell>
        </row>
        <row r="217">
          <cell r="A217" t="str">
            <v>10007301</v>
          </cell>
        </row>
        <row r="218">
          <cell r="A218" t="str">
            <v>10007302</v>
          </cell>
        </row>
        <row r="219">
          <cell r="A219" t="str">
            <v>10007303</v>
          </cell>
        </row>
        <row r="220">
          <cell r="A220" t="str">
            <v>10007304</v>
          </cell>
        </row>
        <row r="221">
          <cell r="A221" t="str">
            <v>10007305</v>
          </cell>
        </row>
        <row r="222">
          <cell r="A222" t="str">
            <v>10007306</v>
          </cell>
        </row>
        <row r="223">
          <cell r="A223" t="str">
            <v>10007309</v>
          </cell>
        </row>
        <row r="224">
          <cell r="A224" t="str">
            <v>10008101</v>
          </cell>
        </row>
        <row r="225">
          <cell r="A225" t="str">
            <v>10008102</v>
          </cell>
        </row>
        <row r="226">
          <cell r="A226" t="str">
            <v>10008201</v>
          </cell>
        </row>
        <row r="227">
          <cell r="A227" t="str">
            <v>10008202</v>
          </cell>
        </row>
        <row r="228">
          <cell r="A228" t="str">
            <v>10008203</v>
          </cell>
        </row>
        <row r="229">
          <cell r="A229" t="str">
            <v>10008204</v>
          </cell>
        </row>
        <row r="230">
          <cell r="A230" t="str">
            <v>10008205</v>
          </cell>
        </row>
        <row r="231">
          <cell r="A231" t="str">
            <v>10008206</v>
          </cell>
        </row>
        <row r="232">
          <cell r="A232" t="str">
            <v>10008207</v>
          </cell>
        </row>
        <row r="233">
          <cell r="A233" t="str">
            <v>10008301</v>
          </cell>
        </row>
        <row r="234">
          <cell r="A234" t="str">
            <v>10008302</v>
          </cell>
        </row>
        <row r="235">
          <cell r="A235" t="str">
            <v>10009101</v>
          </cell>
        </row>
        <row r="236">
          <cell r="A236" t="str">
            <v>10009102</v>
          </cell>
        </row>
        <row r="237">
          <cell r="A237" t="str">
            <v>10009103</v>
          </cell>
        </row>
        <row r="238">
          <cell r="A238" t="str">
            <v>10009104</v>
          </cell>
        </row>
        <row r="239">
          <cell r="A239" t="str">
            <v>10009105</v>
          </cell>
        </row>
        <row r="240">
          <cell r="A240" t="str">
            <v>10009106</v>
          </cell>
        </row>
        <row r="241">
          <cell r="A241" t="str">
            <v>10009107</v>
          </cell>
        </row>
        <row r="242">
          <cell r="A242" t="str">
            <v>10009108</v>
          </cell>
        </row>
        <row r="243">
          <cell r="A243" t="str">
            <v>10009109</v>
          </cell>
        </row>
        <row r="244">
          <cell r="A244" t="str">
            <v>10009110</v>
          </cell>
        </row>
        <row r="245">
          <cell r="A245" t="str">
            <v>10009111</v>
          </cell>
        </row>
        <row r="246">
          <cell r="A246" t="str">
            <v>10009112</v>
          </cell>
        </row>
        <row r="247">
          <cell r="A247" t="str">
            <v>10009113</v>
          </cell>
        </row>
        <row r="248">
          <cell r="A248" t="str">
            <v>50000001</v>
          </cell>
        </row>
        <row r="249">
          <cell r="A249" t="str">
            <v>50000002</v>
          </cell>
        </row>
        <row r="250">
          <cell r="A250" t="str">
            <v>50000003</v>
          </cell>
        </row>
        <row r="251">
          <cell r="A251" t="str">
            <v>50000004</v>
          </cell>
        </row>
        <row r="252">
          <cell r="A252" t="str">
            <v>50000005</v>
          </cell>
        </row>
        <row r="253">
          <cell r="A253" t="str">
            <v>50000006</v>
          </cell>
        </row>
        <row r="254">
          <cell r="A254" t="str">
            <v>50000007</v>
          </cell>
        </row>
        <row r="255">
          <cell r="A255" t="str">
            <v>50000008</v>
          </cell>
        </row>
        <row r="256">
          <cell r="A256" t="str">
            <v>50000009</v>
          </cell>
        </row>
        <row r="257">
          <cell r="A257" t="str">
            <v>50000010</v>
          </cell>
        </row>
        <row r="258">
          <cell r="A258" t="str">
            <v>50000011</v>
          </cell>
        </row>
        <row r="259">
          <cell r="A259" t="str">
            <v>50000012</v>
          </cell>
        </row>
        <row r="260">
          <cell r="A260" t="str">
            <v>50000013</v>
          </cell>
        </row>
        <row r="261">
          <cell r="A261" t="str">
            <v>50000014</v>
          </cell>
        </row>
        <row r="262">
          <cell r="A262" t="str">
            <v>50000015</v>
          </cell>
        </row>
        <row r="263">
          <cell r="A263" t="str">
            <v>50000022</v>
          </cell>
        </row>
        <row r="264">
          <cell r="A264" t="str">
            <v>50000029</v>
          </cell>
        </row>
        <row r="265">
          <cell r="A265" t="str">
            <v>50000030</v>
          </cell>
        </row>
        <row r="266">
          <cell r="A266" t="str">
            <v>50000031</v>
          </cell>
        </row>
        <row r="267">
          <cell r="A267" t="str">
            <v>50000032</v>
          </cell>
        </row>
        <row r="268">
          <cell r="A268" t="str">
            <v>50000035</v>
          </cell>
        </row>
        <row r="269">
          <cell r="A269" t="str">
            <v>50000036</v>
          </cell>
        </row>
        <row r="270">
          <cell r="A270" t="str">
            <v>50000039</v>
          </cell>
        </row>
        <row r="271">
          <cell r="A271" t="str">
            <v>50000046</v>
          </cell>
        </row>
        <row r="272">
          <cell r="A272" t="str">
            <v>50000064</v>
          </cell>
        </row>
        <row r="273">
          <cell r="A273" t="str">
            <v>50000069</v>
          </cell>
        </row>
        <row r="274">
          <cell r="A274" t="str">
            <v>50000069</v>
          </cell>
        </row>
        <row r="275">
          <cell r="A275" t="str">
            <v>50000070</v>
          </cell>
        </row>
        <row r="276">
          <cell r="A276" t="str">
            <v>50000071</v>
          </cell>
        </row>
        <row r="277">
          <cell r="A277" t="str">
            <v>50000072</v>
          </cell>
        </row>
        <row r="278">
          <cell r="A278" t="str">
            <v>50000073</v>
          </cell>
        </row>
        <row r="279">
          <cell r="A279" t="str">
            <v>50000073</v>
          </cell>
        </row>
        <row r="280">
          <cell r="A280" t="str">
            <v>50000074</v>
          </cell>
        </row>
        <row r="281">
          <cell r="A281" t="str">
            <v>50000074</v>
          </cell>
        </row>
        <row r="282">
          <cell r="A282" t="str">
            <v>50000075</v>
          </cell>
        </row>
        <row r="283">
          <cell r="A283" t="str">
            <v>50000075</v>
          </cell>
        </row>
        <row r="284">
          <cell r="A284" t="str">
            <v>50000076</v>
          </cell>
        </row>
        <row r="285">
          <cell r="A285" t="str">
            <v>50000076</v>
          </cell>
        </row>
        <row r="286">
          <cell r="A286" t="str">
            <v>50000077</v>
          </cell>
        </row>
        <row r="287">
          <cell r="A287" t="str">
            <v>50000077</v>
          </cell>
        </row>
        <row r="288">
          <cell r="A288" t="str">
            <v>50000078</v>
          </cell>
        </row>
        <row r="289">
          <cell r="A289" t="str">
            <v>50000079</v>
          </cell>
        </row>
        <row r="290">
          <cell r="A290" t="str">
            <v>50000080</v>
          </cell>
        </row>
        <row r="291">
          <cell r="A291" t="str">
            <v>50000081</v>
          </cell>
        </row>
        <row r="292">
          <cell r="A292" t="str">
            <v>50000081</v>
          </cell>
        </row>
        <row r="293">
          <cell r="A293" t="str">
            <v>50000082</v>
          </cell>
        </row>
        <row r="294">
          <cell r="A294" t="str">
            <v>50000083</v>
          </cell>
        </row>
        <row r="295">
          <cell r="A295" t="str">
            <v>50000084</v>
          </cell>
        </row>
        <row r="296">
          <cell r="A296" t="str">
            <v>50000085</v>
          </cell>
        </row>
        <row r="297">
          <cell r="A297" t="str">
            <v>50000086</v>
          </cell>
        </row>
        <row r="298">
          <cell r="A298" t="str">
            <v>50000087</v>
          </cell>
        </row>
        <row r="299">
          <cell r="A299" t="str">
            <v>50000088</v>
          </cell>
        </row>
        <row r="300">
          <cell r="A300" t="str">
            <v>50000089</v>
          </cell>
        </row>
        <row r="301">
          <cell r="A301" t="str">
            <v>50000090</v>
          </cell>
        </row>
        <row r="302">
          <cell r="A302" t="str">
            <v>50000091</v>
          </cell>
        </row>
        <row r="303">
          <cell r="A303" t="str">
            <v>50000092</v>
          </cell>
        </row>
        <row r="304">
          <cell r="A304" t="str">
            <v>50000093</v>
          </cell>
        </row>
        <row r="305">
          <cell r="A305" t="str">
            <v>50000094</v>
          </cell>
        </row>
        <row r="306">
          <cell r="A306" t="str">
            <v>50000095</v>
          </cell>
        </row>
        <row r="307">
          <cell r="A307" t="str">
            <v>50000096</v>
          </cell>
        </row>
        <row r="308">
          <cell r="A308" t="str">
            <v>50000097</v>
          </cell>
        </row>
        <row r="309">
          <cell r="A309" t="str">
            <v>50000098</v>
          </cell>
        </row>
        <row r="310">
          <cell r="A310" t="str">
            <v>50000099</v>
          </cell>
        </row>
        <row r="311">
          <cell r="A311" t="str">
            <v>50000100</v>
          </cell>
        </row>
        <row r="312">
          <cell r="A312" t="str">
            <v>50000101</v>
          </cell>
        </row>
        <row r="313">
          <cell r="A313" t="str">
            <v>50000102</v>
          </cell>
        </row>
        <row r="314">
          <cell r="A314" t="str">
            <v>50000103</v>
          </cell>
        </row>
        <row r="315">
          <cell r="A315" t="str">
            <v>50000104</v>
          </cell>
        </row>
        <row r="316">
          <cell r="A316" t="str">
            <v>50000105</v>
          </cell>
        </row>
        <row r="317">
          <cell r="A317" t="str">
            <v>50000106</v>
          </cell>
        </row>
        <row r="318">
          <cell r="A318" t="str">
            <v>50000107</v>
          </cell>
        </row>
        <row r="319">
          <cell r="A319" t="str">
            <v>50000108</v>
          </cell>
        </row>
        <row r="320">
          <cell r="A320" t="str">
            <v>50000109</v>
          </cell>
        </row>
        <row r="321">
          <cell r="A321" t="str">
            <v>50000110</v>
          </cell>
        </row>
        <row r="322">
          <cell r="A322" t="str">
            <v>50000111</v>
          </cell>
        </row>
        <row r="323">
          <cell r="A323" t="str">
            <v>50000112</v>
          </cell>
        </row>
        <row r="324">
          <cell r="A324" t="str">
            <v>50000113</v>
          </cell>
        </row>
        <row r="325">
          <cell r="A325" t="str">
            <v>50000113</v>
          </cell>
        </row>
        <row r="326">
          <cell r="A326" t="str">
            <v>50000114</v>
          </cell>
        </row>
        <row r="327">
          <cell r="A327" t="str">
            <v>50000114</v>
          </cell>
        </row>
        <row r="328">
          <cell r="A328" t="str">
            <v>50000115</v>
          </cell>
        </row>
        <row r="329">
          <cell r="A329" t="str">
            <v>50000115</v>
          </cell>
        </row>
        <row r="330">
          <cell r="A330" t="str">
            <v>50000116</v>
          </cell>
        </row>
        <row r="331">
          <cell r="A331" t="str">
            <v>50000116</v>
          </cell>
        </row>
        <row r="332">
          <cell r="A332" t="str">
            <v>50000117</v>
          </cell>
        </row>
        <row r="333">
          <cell r="A333" t="str">
            <v>50000117</v>
          </cell>
        </row>
        <row r="334">
          <cell r="A334" t="str">
            <v>50000118</v>
          </cell>
        </row>
        <row r="335">
          <cell r="A335" t="str">
            <v>50000119</v>
          </cell>
        </row>
        <row r="336">
          <cell r="A336" t="str">
            <v>50000120</v>
          </cell>
        </row>
        <row r="337">
          <cell r="A337" t="str">
            <v>50000121</v>
          </cell>
        </row>
        <row r="338">
          <cell r="A338" t="str">
            <v>50000122</v>
          </cell>
        </row>
        <row r="339">
          <cell r="A339" t="str">
            <v>50000123</v>
          </cell>
        </row>
        <row r="340">
          <cell r="A340" t="str">
            <v>50000124</v>
          </cell>
        </row>
        <row r="341">
          <cell r="A341" t="str">
            <v>50000125</v>
          </cell>
        </row>
        <row r="342">
          <cell r="A342" t="str">
            <v>50000126</v>
          </cell>
        </row>
        <row r="343">
          <cell r="A343" t="str">
            <v>50000127</v>
          </cell>
        </row>
        <row r="344">
          <cell r="A344" t="str">
            <v>50000128</v>
          </cell>
        </row>
        <row r="345">
          <cell r="A345" t="str">
            <v>50000129</v>
          </cell>
        </row>
        <row r="346">
          <cell r="A346" t="str">
            <v>50000130</v>
          </cell>
        </row>
        <row r="347">
          <cell r="A347" t="str">
            <v>50000131</v>
          </cell>
        </row>
        <row r="348">
          <cell r="A348" t="str">
            <v>50000132</v>
          </cell>
        </row>
        <row r="349">
          <cell r="A349" t="str">
            <v>50000133</v>
          </cell>
        </row>
        <row r="350">
          <cell r="A350" t="str">
            <v>50000134</v>
          </cell>
        </row>
        <row r="351">
          <cell r="A351" t="str">
            <v>50000135</v>
          </cell>
        </row>
        <row r="352">
          <cell r="A352" t="str">
            <v>50000136</v>
          </cell>
        </row>
        <row r="353">
          <cell r="A353" t="str">
            <v>50000137</v>
          </cell>
        </row>
        <row r="354">
          <cell r="A354" t="str">
            <v>50000137</v>
          </cell>
        </row>
        <row r="355">
          <cell r="A355" t="str">
            <v>50000138</v>
          </cell>
        </row>
        <row r="356">
          <cell r="A356" t="str">
            <v>50000139</v>
          </cell>
        </row>
        <row r="357">
          <cell r="A357" t="str">
            <v>50000140</v>
          </cell>
        </row>
        <row r="358">
          <cell r="A358" t="str">
            <v>50000141</v>
          </cell>
        </row>
        <row r="359">
          <cell r="A359" t="str">
            <v>50000142</v>
          </cell>
        </row>
        <row r="360">
          <cell r="A360" t="str">
            <v>50000143</v>
          </cell>
        </row>
        <row r="361">
          <cell r="A361" t="str">
            <v>50000144</v>
          </cell>
        </row>
        <row r="362">
          <cell r="A362" t="str">
            <v>50000145</v>
          </cell>
        </row>
        <row r="363">
          <cell r="A363" t="str">
            <v>50000146</v>
          </cell>
        </row>
        <row r="364">
          <cell r="A364" t="str">
            <v>50000147</v>
          </cell>
        </row>
        <row r="365">
          <cell r="A365" t="str">
            <v>50000148</v>
          </cell>
        </row>
        <row r="366">
          <cell r="A366" t="str">
            <v>50000149</v>
          </cell>
        </row>
        <row r="367">
          <cell r="A367" t="str">
            <v>50000150</v>
          </cell>
        </row>
        <row r="368">
          <cell r="A368" t="str">
            <v>50000151</v>
          </cell>
        </row>
        <row r="369">
          <cell r="A369" t="str">
            <v>50000152</v>
          </cell>
        </row>
        <row r="370">
          <cell r="A370" t="str">
            <v>50000153</v>
          </cell>
        </row>
        <row r="371">
          <cell r="A371" t="str">
            <v>50000154</v>
          </cell>
        </row>
        <row r="372">
          <cell r="A372" t="str">
            <v>50000155</v>
          </cell>
        </row>
        <row r="373">
          <cell r="A373" t="str">
            <v>50000156</v>
          </cell>
        </row>
        <row r="374">
          <cell r="A374" t="str">
            <v>50000157</v>
          </cell>
        </row>
        <row r="375">
          <cell r="A375" t="str">
            <v>50000158</v>
          </cell>
        </row>
        <row r="376">
          <cell r="A376" t="str">
            <v>50000159</v>
          </cell>
        </row>
        <row r="377">
          <cell r="A377" t="str">
            <v>50000160</v>
          </cell>
        </row>
        <row r="378">
          <cell r="A378" t="str">
            <v>50000161</v>
          </cell>
        </row>
        <row r="379">
          <cell r="A379" t="str">
            <v>50000162</v>
          </cell>
        </row>
        <row r="380">
          <cell r="A380" t="str">
            <v>50000163</v>
          </cell>
        </row>
        <row r="381">
          <cell r="A381" t="str">
            <v>50000164</v>
          </cell>
        </row>
        <row r="382">
          <cell r="A382" t="str">
            <v>50000165</v>
          </cell>
        </row>
        <row r="383">
          <cell r="A383" t="str">
            <v>50000166</v>
          </cell>
        </row>
        <row r="384">
          <cell r="A384" t="str">
            <v>50000167</v>
          </cell>
        </row>
        <row r="385">
          <cell r="A385" t="str">
            <v>50000168</v>
          </cell>
        </row>
        <row r="386">
          <cell r="A386" t="str">
            <v>50000169</v>
          </cell>
        </row>
        <row r="387">
          <cell r="A387" t="str">
            <v>50000170</v>
          </cell>
        </row>
        <row r="388">
          <cell r="A388" t="str">
            <v>50000171</v>
          </cell>
        </row>
        <row r="389">
          <cell r="A389" t="str">
            <v>50000172</v>
          </cell>
        </row>
        <row r="390">
          <cell r="A390" t="str">
            <v>50000173</v>
          </cell>
        </row>
        <row r="391">
          <cell r="A391" t="str">
            <v>50000174</v>
          </cell>
        </row>
        <row r="392">
          <cell r="A392" t="str">
            <v>50000175</v>
          </cell>
        </row>
        <row r="393">
          <cell r="A393" t="str">
            <v>50000175</v>
          </cell>
        </row>
        <row r="394">
          <cell r="A394" t="str">
            <v>50000176</v>
          </cell>
        </row>
        <row r="395">
          <cell r="A395" t="str">
            <v>50000176</v>
          </cell>
        </row>
        <row r="396">
          <cell r="A396" t="str">
            <v>50000177</v>
          </cell>
        </row>
        <row r="397">
          <cell r="A397" t="str">
            <v>50000177</v>
          </cell>
        </row>
        <row r="398">
          <cell r="A398" t="str">
            <v>50000178</v>
          </cell>
        </row>
        <row r="399">
          <cell r="A399" t="str">
            <v>50000178</v>
          </cell>
        </row>
        <row r="400">
          <cell r="A400" t="str">
            <v>50000179</v>
          </cell>
        </row>
        <row r="401">
          <cell r="A401" t="str">
            <v>50000179</v>
          </cell>
        </row>
        <row r="402">
          <cell r="A402" t="str">
            <v>50000180</v>
          </cell>
        </row>
        <row r="403">
          <cell r="A403" t="str">
            <v>50000180</v>
          </cell>
        </row>
        <row r="404">
          <cell r="A404" t="str">
            <v>50000181</v>
          </cell>
        </row>
        <row r="405">
          <cell r="A405" t="str">
            <v>50000181</v>
          </cell>
        </row>
        <row r="406">
          <cell r="A406" t="str">
            <v>50000182</v>
          </cell>
        </row>
        <row r="407">
          <cell r="A407" t="str">
            <v>50000182</v>
          </cell>
        </row>
        <row r="408">
          <cell r="A408" t="str">
            <v>50000183</v>
          </cell>
        </row>
        <row r="409">
          <cell r="A409" t="str">
            <v>50000183</v>
          </cell>
        </row>
        <row r="410">
          <cell r="A410" t="str">
            <v>50000184</v>
          </cell>
        </row>
        <row r="411">
          <cell r="A411" t="str">
            <v>50000184</v>
          </cell>
        </row>
        <row r="412">
          <cell r="A412" t="str">
            <v>50000185</v>
          </cell>
        </row>
        <row r="413">
          <cell r="A413" t="str">
            <v>50000185</v>
          </cell>
        </row>
        <row r="414">
          <cell r="A414" t="str">
            <v>50000186</v>
          </cell>
        </row>
        <row r="415">
          <cell r="A415" t="str">
            <v>50000186</v>
          </cell>
        </row>
        <row r="416">
          <cell r="A416" t="str">
            <v>50000187</v>
          </cell>
        </row>
        <row r="417">
          <cell r="A417" t="str">
            <v>50000187</v>
          </cell>
        </row>
        <row r="418">
          <cell r="A418" t="str">
            <v>50000188</v>
          </cell>
        </row>
        <row r="419">
          <cell r="A419" t="str">
            <v>50000189</v>
          </cell>
        </row>
        <row r="420">
          <cell r="A420" t="str">
            <v>50000190</v>
          </cell>
        </row>
        <row r="421">
          <cell r="A421" t="str">
            <v>50000190</v>
          </cell>
        </row>
        <row r="422">
          <cell r="A422" t="str">
            <v>50000191</v>
          </cell>
        </row>
        <row r="423">
          <cell r="A423" t="str">
            <v>50000191</v>
          </cell>
        </row>
        <row r="424">
          <cell r="A424" t="str">
            <v>50000192</v>
          </cell>
        </row>
        <row r="425">
          <cell r="A425" t="str">
            <v>50000192</v>
          </cell>
        </row>
        <row r="426">
          <cell r="A426" t="str">
            <v>50000193</v>
          </cell>
        </row>
        <row r="427">
          <cell r="A427" t="str">
            <v>50000193</v>
          </cell>
        </row>
        <row r="428">
          <cell r="A428" t="str">
            <v>50000194</v>
          </cell>
        </row>
        <row r="429">
          <cell r="A429" t="str">
            <v>50000194</v>
          </cell>
        </row>
        <row r="430">
          <cell r="A430" t="str">
            <v>50000195</v>
          </cell>
        </row>
        <row r="431">
          <cell r="A431" t="str">
            <v>50000195</v>
          </cell>
        </row>
        <row r="432">
          <cell r="A432" t="str">
            <v>50000196</v>
          </cell>
        </row>
        <row r="433">
          <cell r="A433" t="str">
            <v>50000197</v>
          </cell>
        </row>
        <row r="434">
          <cell r="A434" t="str">
            <v>50000198</v>
          </cell>
        </row>
        <row r="435">
          <cell r="A435" t="str">
            <v>50000199</v>
          </cell>
        </row>
        <row r="436">
          <cell r="A436" t="str">
            <v>50000200</v>
          </cell>
        </row>
        <row r="437">
          <cell r="A437" t="str">
            <v>50000201</v>
          </cell>
        </row>
        <row r="438">
          <cell r="A438" t="str">
            <v>50000202</v>
          </cell>
        </row>
        <row r="439">
          <cell r="A439" t="str">
            <v>50000203</v>
          </cell>
        </row>
        <row r="440">
          <cell r="A440" t="str">
            <v>50000204</v>
          </cell>
        </row>
        <row r="441">
          <cell r="A441" t="str">
            <v>50000205</v>
          </cell>
        </row>
        <row r="442">
          <cell r="A442" t="str">
            <v>50000206</v>
          </cell>
        </row>
        <row r="443">
          <cell r="A443" t="str">
            <v>50000207</v>
          </cell>
        </row>
        <row r="444">
          <cell r="A444" t="str">
            <v>50000208</v>
          </cell>
        </row>
        <row r="445">
          <cell r="A445" t="str">
            <v>50000209</v>
          </cell>
        </row>
        <row r="446">
          <cell r="A446" t="str">
            <v>50000210</v>
          </cell>
        </row>
        <row r="447">
          <cell r="A447" t="str">
            <v>50000211</v>
          </cell>
        </row>
        <row r="448">
          <cell r="A448" t="str">
            <v>50000212</v>
          </cell>
        </row>
        <row r="449">
          <cell r="A449" t="str">
            <v>50000213</v>
          </cell>
        </row>
        <row r="450">
          <cell r="A450" t="str">
            <v>50000214</v>
          </cell>
        </row>
        <row r="451">
          <cell r="A451" t="str">
            <v>50000215</v>
          </cell>
        </row>
        <row r="452">
          <cell r="A452" t="str">
            <v>50000216</v>
          </cell>
        </row>
        <row r="453">
          <cell r="A453" t="str">
            <v>50000217</v>
          </cell>
        </row>
        <row r="454">
          <cell r="A454" t="str">
            <v>50000218</v>
          </cell>
        </row>
        <row r="455">
          <cell r="A455" t="str">
            <v>50000219</v>
          </cell>
        </row>
        <row r="456">
          <cell r="A456" t="str">
            <v>50000220</v>
          </cell>
        </row>
        <row r="457">
          <cell r="A457" t="str">
            <v>50000221</v>
          </cell>
        </row>
        <row r="458">
          <cell r="A458" t="str">
            <v>50000222</v>
          </cell>
        </row>
        <row r="459">
          <cell r="A459" t="str">
            <v>50000223</v>
          </cell>
        </row>
        <row r="460">
          <cell r="A460" t="str">
            <v>50000224</v>
          </cell>
        </row>
        <row r="461">
          <cell r="A461" t="str">
            <v>50000225</v>
          </cell>
        </row>
        <row r="462">
          <cell r="A462" t="str">
            <v>50000226</v>
          </cell>
        </row>
        <row r="463">
          <cell r="A463" t="str">
            <v>50000227</v>
          </cell>
        </row>
        <row r="464">
          <cell r="A464" t="str">
            <v>50000228</v>
          </cell>
        </row>
        <row r="465">
          <cell r="A465" t="str">
            <v>50000229</v>
          </cell>
        </row>
        <row r="466">
          <cell r="A466" t="str">
            <v>50000230</v>
          </cell>
        </row>
        <row r="467">
          <cell r="A467" t="str">
            <v>50000231</v>
          </cell>
        </row>
        <row r="468">
          <cell r="A468" t="str">
            <v>50000232</v>
          </cell>
        </row>
        <row r="469">
          <cell r="A469" t="str">
            <v>50000233</v>
          </cell>
        </row>
        <row r="470">
          <cell r="A470" t="str">
            <v>50000234</v>
          </cell>
        </row>
        <row r="471">
          <cell r="A471" t="str">
            <v>50000235</v>
          </cell>
        </row>
        <row r="472">
          <cell r="A472" t="str">
            <v>50000236</v>
          </cell>
        </row>
        <row r="473">
          <cell r="A473" t="str">
            <v>50000237</v>
          </cell>
        </row>
        <row r="474">
          <cell r="A474" t="str">
            <v>50000238</v>
          </cell>
        </row>
        <row r="475">
          <cell r="A475" t="str">
            <v>50000239</v>
          </cell>
        </row>
        <row r="476">
          <cell r="A476" t="str">
            <v>50000240</v>
          </cell>
        </row>
        <row r="477">
          <cell r="A477" t="str">
            <v>50000241</v>
          </cell>
        </row>
        <row r="478">
          <cell r="A478" t="str">
            <v>50000242</v>
          </cell>
        </row>
        <row r="479">
          <cell r="A479" t="str">
            <v>50000243</v>
          </cell>
        </row>
        <row r="480">
          <cell r="A480" t="str">
            <v>50000244</v>
          </cell>
        </row>
        <row r="481">
          <cell r="A481" t="str">
            <v>50000245</v>
          </cell>
        </row>
        <row r="482">
          <cell r="A482" t="str">
            <v>50000246</v>
          </cell>
        </row>
        <row r="483">
          <cell r="A483" t="str">
            <v>50000247</v>
          </cell>
        </row>
        <row r="484">
          <cell r="A484" t="str">
            <v>50000248</v>
          </cell>
        </row>
        <row r="485">
          <cell r="A485" t="str">
            <v>50000249</v>
          </cell>
        </row>
        <row r="486">
          <cell r="A486" t="str">
            <v>50000250</v>
          </cell>
        </row>
        <row r="487">
          <cell r="A487" t="str">
            <v>50000251</v>
          </cell>
        </row>
        <row r="488">
          <cell r="A488" t="str">
            <v>50000252</v>
          </cell>
        </row>
        <row r="489">
          <cell r="A489" t="str">
            <v>50000253</v>
          </cell>
        </row>
        <row r="490">
          <cell r="A490" t="str">
            <v>50000254</v>
          </cell>
        </row>
        <row r="491">
          <cell r="A491" t="str">
            <v>50000255</v>
          </cell>
        </row>
        <row r="492">
          <cell r="A492" t="str">
            <v>50000256</v>
          </cell>
        </row>
        <row r="493">
          <cell r="A493" t="str">
            <v>50000257</v>
          </cell>
        </row>
        <row r="494">
          <cell r="A494" t="str">
            <v>50000258</v>
          </cell>
        </row>
        <row r="495">
          <cell r="A495" t="str">
            <v>50000259</v>
          </cell>
        </row>
        <row r="496">
          <cell r="A496" t="str">
            <v>50000259</v>
          </cell>
        </row>
        <row r="497">
          <cell r="A497" t="str">
            <v>50000260</v>
          </cell>
        </row>
        <row r="498">
          <cell r="A498" t="str">
            <v>50000260</v>
          </cell>
        </row>
        <row r="499">
          <cell r="A499" t="str">
            <v>50000261</v>
          </cell>
        </row>
        <row r="500">
          <cell r="A500" t="str">
            <v>50000261</v>
          </cell>
        </row>
        <row r="501">
          <cell r="A501" t="str">
            <v>50000262</v>
          </cell>
        </row>
        <row r="502">
          <cell r="A502" t="str">
            <v>50000262</v>
          </cell>
        </row>
        <row r="503">
          <cell r="A503" t="str">
            <v>50000263</v>
          </cell>
        </row>
        <row r="504">
          <cell r="A504" t="str">
            <v>50000263</v>
          </cell>
        </row>
        <row r="505">
          <cell r="A505" t="str">
            <v>50000264</v>
          </cell>
        </row>
        <row r="506">
          <cell r="A506" t="str">
            <v>50000264</v>
          </cell>
        </row>
        <row r="507">
          <cell r="A507" t="str">
            <v>50000265</v>
          </cell>
        </row>
        <row r="508">
          <cell r="A508" t="str">
            <v>50000265</v>
          </cell>
        </row>
        <row r="509">
          <cell r="A509" t="str">
            <v>50000266</v>
          </cell>
        </row>
        <row r="510">
          <cell r="A510" t="str">
            <v>50000266</v>
          </cell>
        </row>
        <row r="511">
          <cell r="A511" t="str">
            <v>50000267</v>
          </cell>
        </row>
        <row r="512">
          <cell r="A512" t="str">
            <v>50000267</v>
          </cell>
        </row>
        <row r="513">
          <cell r="A513" t="str">
            <v>50000268</v>
          </cell>
        </row>
        <row r="514">
          <cell r="A514" t="str">
            <v>50000268</v>
          </cell>
        </row>
        <row r="515">
          <cell r="A515" t="str">
            <v>50000269</v>
          </cell>
        </row>
        <row r="516">
          <cell r="A516" t="str">
            <v>50000269</v>
          </cell>
        </row>
        <row r="517">
          <cell r="A517" t="str">
            <v>50000270</v>
          </cell>
        </row>
        <row r="518">
          <cell r="A518" t="str">
            <v>50000271</v>
          </cell>
        </row>
        <row r="519">
          <cell r="A519" t="str">
            <v>50000272</v>
          </cell>
        </row>
        <row r="520">
          <cell r="A520" t="str">
            <v>50000273</v>
          </cell>
        </row>
        <row r="521">
          <cell r="A521" t="str">
            <v>50000274</v>
          </cell>
        </row>
        <row r="522">
          <cell r="A522" t="str">
            <v>50000275</v>
          </cell>
        </row>
        <row r="523">
          <cell r="A523" t="str">
            <v>50000276</v>
          </cell>
        </row>
        <row r="524">
          <cell r="A524" t="str">
            <v>50000277</v>
          </cell>
        </row>
        <row r="525">
          <cell r="A525" t="str">
            <v>50000278</v>
          </cell>
        </row>
        <row r="526">
          <cell r="A526" t="str">
            <v>50000279</v>
          </cell>
        </row>
        <row r="527">
          <cell r="A527" t="str">
            <v>50000280</v>
          </cell>
        </row>
        <row r="528">
          <cell r="A528" t="str">
            <v>50000281</v>
          </cell>
        </row>
        <row r="529">
          <cell r="A529" t="str">
            <v>50000282</v>
          </cell>
        </row>
        <row r="530">
          <cell r="A530" t="str">
            <v>50000283</v>
          </cell>
        </row>
        <row r="531">
          <cell r="A531" t="str">
            <v>50000284</v>
          </cell>
        </row>
        <row r="532">
          <cell r="A532" t="str">
            <v>50000285</v>
          </cell>
        </row>
        <row r="533">
          <cell r="A533" t="str">
            <v>50000286</v>
          </cell>
        </row>
        <row r="534">
          <cell r="A534" t="str">
            <v>50000287</v>
          </cell>
        </row>
        <row r="535">
          <cell r="A535" t="str">
            <v>50000288</v>
          </cell>
        </row>
        <row r="536">
          <cell r="A536" t="str">
            <v>50000289</v>
          </cell>
        </row>
        <row r="537">
          <cell r="A537" t="str">
            <v>50000290</v>
          </cell>
        </row>
        <row r="538">
          <cell r="A538" t="str">
            <v>50000291</v>
          </cell>
        </row>
        <row r="539">
          <cell r="A539" t="str">
            <v>50000292</v>
          </cell>
        </row>
        <row r="540">
          <cell r="A540" t="str">
            <v>50000293</v>
          </cell>
        </row>
        <row r="541">
          <cell r="A541" t="str">
            <v>50000294</v>
          </cell>
        </row>
        <row r="542">
          <cell r="A542" t="str">
            <v>50000295</v>
          </cell>
        </row>
        <row r="543">
          <cell r="A543" t="str">
            <v>50000296</v>
          </cell>
        </row>
        <row r="544">
          <cell r="A544" t="str">
            <v>50000297</v>
          </cell>
        </row>
        <row r="545">
          <cell r="A545" t="str">
            <v>50000298</v>
          </cell>
        </row>
        <row r="546">
          <cell r="A546" t="str">
            <v>50000299</v>
          </cell>
        </row>
        <row r="547">
          <cell r="A547" t="str">
            <v>50000300</v>
          </cell>
        </row>
        <row r="548">
          <cell r="A548" t="str">
            <v>50000301</v>
          </cell>
        </row>
        <row r="549">
          <cell r="A549" t="str">
            <v>50000302</v>
          </cell>
        </row>
        <row r="550">
          <cell r="A550" t="str">
            <v>50000303</v>
          </cell>
        </row>
        <row r="551">
          <cell r="A551" t="str">
            <v>50000304</v>
          </cell>
        </row>
        <row r="552">
          <cell r="A552" t="str">
            <v>50000305</v>
          </cell>
        </row>
        <row r="553">
          <cell r="A553" t="str">
            <v>50000306</v>
          </cell>
        </row>
        <row r="554">
          <cell r="A554" t="str">
            <v>50001001</v>
          </cell>
        </row>
        <row r="555">
          <cell r="A555" t="str">
            <v>50001002</v>
          </cell>
        </row>
        <row r="556">
          <cell r="A556" t="str">
            <v>50001003</v>
          </cell>
        </row>
        <row r="557">
          <cell r="A557" t="str">
            <v>50001004</v>
          </cell>
        </row>
        <row r="558">
          <cell r="A558" t="str">
            <v>50001005</v>
          </cell>
        </row>
        <row r="559">
          <cell r="A559" t="str">
            <v>50001006</v>
          </cell>
        </row>
        <row r="560">
          <cell r="A560" t="str">
            <v>50001007</v>
          </cell>
        </row>
        <row r="561">
          <cell r="A561" t="str">
            <v>50001008</v>
          </cell>
        </row>
        <row r="562">
          <cell r="A562" t="str">
            <v>50001009</v>
          </cell>
        </row>
        <row r="563">
          <cell r="A563" t="str">
            <v>50001010</v>
          </cell>
        </row>
        <row r="564">
          <cell r="A564" t="str">
            <v>50001011</v>
          </cell>
        </row>
        <row r="565">
          <cell r="A565" t="str">
            <v>50001012</v>
          </cell>
        </row>
        <row r="566">
          <cell r="A566" t="str">
            <v>50001013</v>
          </cell>
        </row>
        <row r="567">
          <cell r="A567" t="str">
            <v>50001014</v>
          </cell>
        </row>
        <row r="568">
          <cell r="A568" t="str">
            <v>50001015</v>
          </cell>
        </row>
        <row r="569">
          <cell r="A569" t="str">
            <v>50001016</v>
          </cell>
        </row>
        <row r="570">
          <cell r="A570" t="str">
            <v>50001017</v>
          </cell>
        </row>
        <row r="571">
          <cell r="A571" t="str">
            <v>50001018</v>
          </cell>
        </row>
        <row r="572">
          <cell r="A572" t="str">
            <v>50001019</v>
          </cell>
        </row>
        <row r="573">
          <cell r="A573" t="str">
            <v>50001020</v>
          </cell>
        </row>
        <row r="574">
          <cell r="A574" t="str">
            <v>50001021</v>
          </cell>
        </row>
        <row r="575">
          <cell r="A575" t="str">
            <v>50001022</v>
          </cell>
        </row>
        <row r="576">
          <cell r="A576" t="str">
            <v>50001023</v>
          </cell>
        </row>
        <row r="577">
          <cell r="A577" t="str">
            <v>50001024</v>
          </cell>
        </row>
        <row r="578">
          <cell r="A578" t="str">
            <v>50001025</v>
          </cell>
        </row>
        <row r="579">
          <cell r="A579" t="str">
            <v>50001026</v>
          </cell>
        </row>
        <row r="580">
          <cell r="A580" t="str">
            <v>50001027</v>
          </cell>
        </row>
        <row r="581">
          <cell r="A581" t="str">
            <v>50001028</v>
          </cell>
        </row>
        <row r="582">
          <cell r="A582" t="str">
            <v>50001029</v>
          </cell>
        </row>
        <row r="583">
          <cell r="A583" t="str">
            <v>50001030</v>
          </cell>
        </row>
        <row r="584">
          <cell r="A584" t="str">
            <v>50001031</v>
          </cell>
        </row>
        <row r="585">
          <cell r="A585" t="str">
            <v>50001032</v>
          </cell>
        </row>
        <row r="586">
          <cell r="A586" t="str">
            <v>50001033</v>
          </cell>
        </row>
        <row r="587">
          <cell r="A587" t="str">
            <v>50001034</v>
          </cell>
        </row>
        <row r="588">
          <cell r="A588" t="str">
            <v>50001035</v>
          </cell>
        </row>
        <row r="589">
          <cell r="A589" t="str">
            <v>50001036</v>
          </cell>
        </row>
        <row r="590">
          <cell r="A590" t="str">
            <v>50001037</v>
          </cell>
        </row>
        <row r="591">
          <cell r="A591" t="str">
            <v>50001038</v>
          </cell>
        </row>
        <row r="592">
          <cell r="A592" t="str">
            <v>50001039</v>
          </cell>
        </row>
        <row r="593">
          <cell r="A593" t="str">
            <v>50001040</v>
          </cell>
        </row>
        <row r="594">
          <cell r="A594" t="str">
            <v>50001041</v>
          </cell>
        </row>
        <row r="595">
          <cell r="A595" t="str">
            <v>50001042</v>
          </cell>
        </row>
        <row r="596">
          <cell r="A596" t="str">
            <v>50001043</v>
          </cell>
        </row>
        <row r="597">
          <cell r="A597" t="str">
            <v>50001044</v>
          </cell>
        </row>
        <row r="598">
          <cell r="A598" t="str">
            <v>50001045</v>
          </cell>
        </row>
        <row r="599">
          <cell r="A599" t="str">
            <v>50001046</v>
          </cell>
        </row>
        <row r="600">
          <cell r="A600" t="str">
            <v>50001047</v>
          </cell>
        </row>
        <row r="601">
          <cell r="A601" t="str">
            <v>50001048</v>
          </cell>
        </row>
        <row r="602">
          <cell r="A602" t="str">
            <v>50001049</v>
          </cell>
        </row>
        <row r="603">
          <cell r="A603" t="str">
            <v>50001050</v>
          </cell>
        </row>
        <row r="604">
          <cell r="A604" t="str">
            <v>50001051</v>
          </cell>
        </row>
        <row r="605">
          <cell r="A605" t="str">
            <v>50001052</v>
          </cell>
        </row>
        <row r="606">
          <cell r="A606" t="str">
            <v>50001053</v>
          </cell>
        </row>
        <row r="607">
          <cell r="A607" t="str">
            <v>50001054</v>
          </cell>
        </row>
        <row r="608">
          <cell r="A608" t="str">
            <v>50001055</v>
          </cell>
        </row>
        <row r="609">
          <cell r="A609" t="str">
            <v>50001056</v>
          </cell>
        </row>
        <row r="610">
          <cell r="A610" t="str">
            <v>50001057</v>
          </cell>
        </row>
        <row r="611">
          <cell r="A611" t="str">
            <v>50001058</v>
          </cell>
        </row>
        <row r="612">
          <cell r="A612" t="str">
            <v>50001059</v>
          </cell>
        </row>
        <row r="613">
          <cell r="A613" t="str">
            <v>50001060</v>
          </cell>
        </row>
        <row r="614">
          <cell r="A614" t="str">
            <v>50001061</v>
          </cell>
        </row>
        <row r="615">
          <cell r="A615" t="str">
            <v>50001062</v>
          </cell>
        </row>
        <row r="616">
          <cell r="A616" t="str">
            <v>50001063</v>
          </cell>
        </row>
        <row r="617">
          <cell r="A617" t="str">
            <v>50001064</v>
          </cell>
        </row>
        <row r="618">
          <cell r="A618" t="str">
            <v>50001065</v>
          </cell>
        </row>
        <row r="619">
          <cell r="A619" t="str">
            <v>50001066</v>
          </cell>
        </row>
        <row r="620">
          <cell r="A620" t="str">
            <v>50001067</v>
          </cell>
        </row>
        <row r="621">
          <cell r="A621" t="str">
            <v>50001068</v>
          </cell>
        </row>
        <row r="622">
          <cell r="A622" t="str">
            <v>50001069</v>
          </cell>
        </row>
        <row r="623">
          <cell r="A623" t="str">
            <v>50001070</v>
          </cell>
        </row>
        <row r="624">
          <cell r="A624" t="str">
            <v>50001071</v>
          </cell>
        </row>
        <row r="625">
          <cell r="A625" t="str">
            <v>50001072</v>
          </cell>
        </row>
        <row r="626">
          <cell r="A626" t="str">
            <v>50001073</v>
          </cell>
        </row>
        <row r="627">
          <cell r="A627" t="str">
            <v>50001074</v>
          </cell>
        </row>
        <row r="628">
          <cell r="A628" t="str">
            <v>50001075</v>
          </cell>
        </row>
        <row r="629">
          <cell r="A629" t="str">
            <v>50001076</v>
          </cell>
        </row>
        <row r="630">
          <cell r="A630" t="str">
            <v>50001077</v>
          </cell>
        </row>
        <row r="631">
          <cell r="A631" t="str">
            <v>50001078</v>
          </cell>
        </row>
        <row r="632">
          <cell r="A632" t="str">
            <v>50001079</v>
          </cell>
        </row>
        <row r="633">
          <cell r="A633" t="str">
            <v>50001080</v>
          </cell>
        </row>
        <row r="634">
          <cell r="A634" t="str">
            <v>50001081</v>
          </cell>
        </row>
        <row r="635">
          <cell r="A635" t="str">
            <v>50001082</v>
          </cell>
        </row>
        <row r="636">
          <cell r="A636" t="str">
            <v>50001083</v>
          </cell>
        </row>
        <row r="637">
          <cell r="A637" t="str">
            <v>50001084</v>
          </cell>
        </row>
        <row r="638">
          <cell r="A638" t="str">
            <v>50001085</v>
          </cell>
        </row>
        <row r="639">
          <cell r="A639" t="str">
            <v>50001086</v>
          </cell>
        </row>
        <row r="640">
          <cell r="A640" t="str">
            <v>50001087</v>
          </cell>
        </row>
        <row r="641">
          <cell r="A641" t="str">
            <v>50001088</v>
          </cell>
        </row>
        <row r="642">
          <cell r="A642" t="str">
            <v>50001089</v>
          </cell>
        </row>
        <row r="643">
          <cell r="A643" t="str">
            <v>50001090</v>
          </cell>
        </row>
        <row r="644">
          <cell r="A644" t="str">
            <v>50001091</v>
          </cell>
        </row>
        <row r="645">
          <cell r="A645" t="str">
            <v>50001092</v>
          </cell>
        </row>
        <row r="646">
          <cell r="A646" t="str">
            <v>50001093</v>
          </cell>
        </row>
        <row r="647">
          <cell r="A647" t="str">
            <v>50001094</v>
          </cell>
        </row>
        <row r="648">
          <cell r="A648" t="str">
            <v>50001095</v>
          </cell>
        </row>
        <row r="649">
          <cell r="A649" t="str">
            <v>50001096</v>
          </cell>
        </row>
        <row r="650">
          <cell r="A650" t="str">
            <v>50001097</v>
          </cell>
        </row>
        <row r="651">
          <cell r="A651" t="str">
            <v>50001098</v>
          </cell>
        </row>
        <row r="652">
          <cell r="A652" t="str">
            <v>50001099</v>
          </cell>
        </row>
        <row r="653">
          <cell r="A653" t="str">
            <v>50001100</v>
          </cell>
        </row>
        <row r="654">
          <cell r="A654" t="str">
            <v>50001101</v>
          </cell>
        </row>
        <row r="655">
          <cell r="A655" t="str">
            <v>50001102</v>
          </cell>
        </row>
        <row r="656">
          <cell r="A656" t="str">
            <v>50001103</v>
          </cell>
        </row>
        <row r="657">
          <cell r="A657" t="str">
            <v>50001104</v>
          </cell>
        </row>
        <row r="658">
          <cell r="A658" t="str">
            <v>50001105</v>
          </cell>
        </row>
        <row r="659">
          <cell r="A659" t="str">
            <v>50001106</v>
          </cell>
        </row>
        <row r="660">
          <cell r="A660" t="str">
            <v>50001107</v>
          </cell>
        </row>
        <row r="661">
          <cell r="A661" t="str">
            <v>50001108</v>
          </cell>
        </row>
        <row r="662">
          <cell r="A662" t="str">
            <v>50001109</v>
          </cell>
        </row>
        <row r="663">
          <cell r="A663" t="str">
            <v>50001110</v>
          </cell>
        </row>
        <row r="664">
          <cell r="A664" t="str">
            <v>50001111</v>
          </cell>
        </row>
        <row r="665">
          <cell r="A665" t="str">
            <v>50001112</v>
          </cell>
        </row>
        <row r="666">
          <cell r="A666" t="str">
            <v>50001113</v>
          </cell>
        </row>
        <row r="667">
          <cell r="A667" t="str">
            <v>50001114</v>
          </cell>
        </row>
        <row r="668">
          <cell r="A668" t="str">
            <v>50001115</v>
          </cell>
        </row>
        <row r="669">
          <cell r="A669" t="str">
            <v>50001116</v>
          </cell>
        </row>
        <row r="670">
          <cell r="A670" t="str">
            <v>50001117</v>
          </cell>
        </row>
        <row r="671">
          <cell r="A671" t="str">
            <v>50001118</v>
          </cell>
        </row>
        <row r="672">
          <cell r="A672" t="str">
            <v>50001119</v>
          </cell>
        </row>
        <row r="673">
          <cell r="A673" t="str">
            <v>50001120</v>
          </cell>
        </row>
        <row r="674">
          <cell r="A674" t="str">
            <v>50001121</v>
          </cell>
        </row>
        <row r="675">
          <cell r="A675" t="str">
            <v>50001122</v>
          </cell>
        </row>
        <row r="676">
          <cell r="A676" t="str">
            <v>50001123</v>
          </cell>
        </row>
        <row r="677">
          <cell r="A677" t="str">
            <v>50001124</v>
          </cell>
        </row>
        <row r="678">
          <cell r="A678" t="str">
            <v>50001125</v>
          </cell>
        </row>
        <row r="679">
          <cell r="A679" t="str">
            <v>50001126</v>
          </cell>
        </row>
        <row r="680">
          <cell r="A680" t="str">
            <v>50001127</v>
          </cell>
        </row>
        <row r="681">
          <cell r="A681" t="str">
            <v>50001133</v>
          </cell>
        </row>
        <row r="682">
          <cell r="A682" t="str">
            <v>50001134</v>
          </cell>
        </row>
        <row r="683">
          <cell r="A683" t="str">
            <v>50001135</v>
          </cell>
        </row>
        <row r="684">
          <cell r="A684" t="str">
            <v>50001136</v>
          </cell>
        </row>
        <row r="685">
          <cell r="A685" t="str">
            <v>50001137</v>
          </cell>
        </row>
        <row r="686">
          <cell r="A686" t="str">
            <v>50001138</v>
          </cell>
        </row>
        <row r="687">
          <cell r="A687" t="str">
            <v>50001141</v>
          </cell>
        </row>
        <row r="688">
          <cell r="A688" t="str">
            <v>50001142</v>
          </cell>
        </row>
        <row r="689">
          <cell r="A689" t="str">
            <v>50001143</v>
          </cell>
        </row>
        <row r="690">
          <cell r="A690" t="str">
            <v>50001144</v>
          </cell>
        </row>
        <row r="691">
          <cell r="A691" t="str">
            <v>50001145</v>
          </cell>
        </row>
        <row r="692">
          <cell r="A692" t="str">
            <v>50001146</v>
          </cell>
        </row>
        <row r="693">
          <cell r="A693" t="str">
            <v>50001147</v>
          </cell>
        </row>
        <row r="694">
          <cell r="A694" t="str">
            <v>50001148</v>
          </cell>
        </row>
        <row r="695">
          <cell r="A695" t="str">
            <v>50001149</v>
          </cell>
        </row>
        <row r="696">
          <cell r="A696" t="str">
            <v>50001150</v>
          </cell>
        </row>
        <row r="697">
          <cell r="A697" t="str">
            <v>50001151</v>
          </cell>
        </row>
        <row r="698">
          <cell r="A698" t="str">
            <v>50001152</v>
          </cell>
        </row>
        <row r="699">
          <cell r="A699" t="str">
            <v>50001153</v>
          </cell>
        </row>
        <row r="700">
          <cell r="A700" t="str">
            <v>50001154</v>
          </cell>
        </row>
        <row r="701">
          <cell r="A701" t="str">
            <v>50001155</v>
          </cell>
        </row>
        <row r="702">
          <cell r="A702" t="str">
            <v>50001156</v>
          </cell>
        </row>
        <row r="703">
          <cell r="A703" t="str">
            <v>50001157</v>
          </cell>
        </row>
        <row r="704">
          <cell r="A704" t="str">
            <v>50001158</v>
          </cell>
        </row>
        <row r="705">
          <cell r="A705" t="str">
            <v>50001159</v>
          </cell>
        </row>
        <row r="706">
          <cell r="A706" t="str">
            <v>50001160</v>
          </cell>
        </row>
        <row r="707">
          <cell r="A707" t="str">
            <v>50001161</v>
          </cell>
        </row>
        <row r="708">
          <cell r="A708" t="str">
            <v>50001162</v>
          </cell>
        </row>
        <row r="709">
          <cell r="A709" t="str">
            <v>50001163</v>
          </cell>
        </row>
        <row r="710">
          <cell r="A710" t="str">
            <v>50001164</v>
          </cell>
        </row>
        <row r="711">
          <cell r="A711" t="str">
            <v>50001165</v>
          </cell>
        </row>
        <row r="712">
          <cell r="A712" t="str">
            <v>50001166</v>
          </cell>
        </row>
        <row r="713">
          <cell r="A713" t="str">
            <v>50001167</v>
          </cell>
        </row>
        <row r="714">
          <cell r="A714" t="str">
            <v>50001171</v>
          </cell>
        </row>
        <row r="715">
          <cell r="A715" t="str">
            <v>50001172</v>
          </cell>
        </row>
        <row r="716">
          <cell r="A716" t="str">
            <v>50001173</v>
          </cell>
        </row>
        <row r="717">
          <cell r="A717" t="str">
            <v>50001174</v>
          </cell>
        </row>
        <row r="718">
          <cell r="A718" t="str">
            <v>50001175</v>
          </cell>
        </row>
        <row r="719">
          <cell r="A719" t="str">
            <v>50001176</v>
          </cell>
        </row>
        <row r="720">
          <cell r="A720" t="str">
            <v>50001177</v>
          </cell>
        </row>
        <row r="721">
          <cell r="A721" t="str">
            <v>50001178</v>
          </cell>
        </row>
        <row r="722">
          <cell r="A722" t="str">
            <v>50001179</v>
          </cell>
        </row>
        <row r="723">
          <cell r="A723" t="str">
            <v>50001180</v>
          </cell>
        </row>
        <row r="724">
          <cell r="A724" t="str">
            <v>50001181</v>
          </cell>
        </row>
        <row r="725">
          <cell r="A725" t="str">
            <v>50001182</v>
          </cell>
        </row>
        <row r="726">
          <cell r="A726" t="str">
            <v>50001183</v>
          </cell>
        </row>
        <row r="727">
          <cell r="A727" t="str">
            <v>50001184</v>
          </cell>
        </row>
        <row r="728">
          <cell r="A728" t="str">
            <v>50001185</v>
          </cell>
        </row>
        <row r="729">
          <cell r="A729" t="str">
            <v>50001186</v>
          </cell>
        </row>
        <row r="730">
          <cell r="A730" t="str">
            <v>50001187</v>
          </cell>
        </row>
        <row r="731">
          <cell r="A731" t="str">
            <v>50001189</v>
          </cell>
        </row>
        <row r="732">
          <cell r="A732" t="str">
            <v>50001190</v>
          </cell>
        </row>
        <row r="733">
          <cell r="A733" t="str">
            <v>50001191</v>
          </cell>
        </row>
        <row r="734">
          <cell r="A734" t="str">
            <v>50001192</v>
          </cell>
        </row>
        <row r="735">
          <cell r="A735" t="str">
            <v>50001193</v>
          </cell>
        </row>
        <row r="736">
          <cell r="A736" t="str">
            <v>50001194</v>
          </cell>
        </row>
        <row r="737">
          <cell r="A737" t="str">
            <v>50001195</v>
          </cell>
        </row>
        <row r="738">
          <cell r="A738" t="str">
            <v>50001196</v>
          </cell>
        </row>
        <row r="739">
          <cell r="A739" t="str">
            <v>50001197</v>
          </cell>
        </row>
        <row r="740">
          <cell r="A740" t="str">
            <v>50001198</v>
          </cell>
        </row>
        <row r="741">
          <cell r="A741" t="str">
            <v>50001199</v>
          </cell>
        </row>
        <row r="742">
          <cell r="A742" t="str">
            <v>50100001</v>
          </cell>
        </row>
        <row r="743">
          <cell r="A743" t="str">
            <v>50100002</v>
          </cell>
        </row>
        <row r="744">
          <cell r="A744" t="str">
            <v>50100003</v>
          </cell>
        </row>
        <row r="745">
          <cell r="A745" t="str">
            <v>50100004</v>
          </cell>
        </row>
        <row r="746">
          <cell r="A746" t="str">
            <v>50100005</v>
          </cell>
        </row>
        <row r="747">
          <cell r="A747" t="str">
            <v>50100006</v>
          </cell>
        </row>
        <row r="748">
          <cell r="A748" t="str">
            <v>50100007</v>
          </cell>
        </row>
        <row r="749">
          <cell r="A749" t="str">
            <v>50200001</v>
          </cell>
        </row>
        <row r="750">
          <cell r="A750" t="str">
            <v>50200002</v>
          </cell>
        </row>
        <row r="751">
          <cell r="A751" t="str">
            <v>50200003</v>
          </cell>
        </row>
        <row r="752">
          <cell r="A752" t="str">
            <v>50200004</v>
          </cell>
        </row>
        <row r="753">
          <cell r="A753" t="str">
            <v>50200005</v>
          </cell>
        </row>
        <row r="754">
          <cell r="A754" t="str">
            <v>50200006</v>
          </cell>
        </row>
        <row r="755">
          <cell r="A755" t="str">
            <v>50200007</v>
          </cell>
        </row>
        <row r="756">
          <cell r="A756" t="str">
            <v>50200008</v>
          </cell>
        </row>
        <row r="757">
          <cell r="A757" t="str">
            <v>50200009</v>
          </cell>
        </row>
        <row r="758">
          <cell r="A758" t="str">
            <v>50200010</v>
          </cell>
        </row>
        <row r="759">
          <cell r="A759" t="str">
            <v>50200011</v>
          </cell>
        </row>
        <row r="760">
          <cell r="A760" t="str">
            <v>50200012</v>
          </cell>
        </row>
        <row r="761">
          <cell r="A761" t="str">
            <v>50200051</v>
          </cell>
        </row>
        <row r="762">
          <cell r="A762" t="str">
            <v>50200052</v>
          </cell>
        </row>
        <row r="763">
          <cell r="A763" t="str">
            <v>50200053</v>
          </cell>
        </row>
        <row r="764">
          <cell r="A764" t="str">
            <v>50200054</v>
          </cell>
        </row>
        <row r="765">
          <cell r="A765" t="str">
            <v>50200055</v>
          </cell>
        </row>
        <row r="766">
          <cell r="A766" t="str">
            <v>50200056</v>
          </cell>
        </row>
        <row r="767">
          <cell r="A767" t="str">
            <v>50200057</v>
          </cell>
        </row>
        <row r="768">
          <cell r="A768" t="str">
            <v>50200058</v>
          </cell>
        </row>
        <row r="769">
          <cell r="A769" t="str">
            <v>50200059</v>
          </cell>
        </row>
        <row r="770">
          <cell r="A770" t="str">
            <v>50200060</v>
          </cell>
        </row>
        <row r="771">
          <cell r="A771" t="str">
            <v>50200061</v>
          </cell>
        </row>
        <row r="772">
          <cell r="A772" t="str">
            <v>50200062</v>
          </cell>
        </row>
        <row r="773">
          <cell r="A773" t="str">
            <v>50200063</v>
          </cell>
        </row>
        <row r="774">
          <cell r="A774" t="str">
            <v>50200064</v>
          </cell>
        </row>
        <row r="775">
          <cell r="A775" t="str">
            <v>50200065</v>
          </cell>
        </row>
        <row r="776">
          <cell r="A776" t="str">
            <v>50200066</v>
          </cell>
        </row>
        <row r="777">
          <cell r="A777" t="str">
            <v>50200067</v>
          </cell>
        </row>
        <row r="778">
          <cell r="A778" t="str">
            <v>50200068</v>
          </cell>
        </row>
        <row r="779">
          <cell r="A779" t="str">
            <v>50200151</v>
          </cell>
        </row>
        <row r="780">
          <cell r="A780" t="str">
            <v>50200161</v>
          </cell>
        </row>
        <row r="781">
          <cell r="A781" t="str">
            <v>50200171</v>
          </cell>
        </row>
        <row r="782">
          <cell r="A782" t="str">
            <v>50200172</v>
          </cell>
        </row>
        <row r="783">
          <cell r="A783" t="str">
            <v>50200173</v>
          </cell>
        </row>
        <row r="784">
          <cell r="A784" t="str">
            <v>50300001</v>
          </cell>
        </row>
        <row r="785">
          <cell r="A785" t="str">
            <v>50300002</v>
          </cell>
        </row>
        <row r="786">
          <cell r="A786" t="str">
            <v>50300003</v>
          </cell>
        </row>
        <row r="787">
          <cell r="A787" t="str">
            <v>50300004</v>
          </cell>
        </row>
        <row r="788">
          <cell r="A788" t="str">
            <v>50300005</v>
          </cell>
        </row>
        <row r="789">
          <cell r="A789" t="str">
            <v>50300006</v>
          </cell>
        </row>
        <row r="790">
          <cell r="A790" t="str">
            <v>50300007</v>
          </cell>
        </row>
        <row r="791">
          <cell r="A791" t="str">
            <v>50300008</v>
          </cell>
        </row>
        <row r="792">
          <cell r="A792" t="str">
            <v>50300009</v>
          </cell>
        </row>
        <row r="793">
          <cell r="A793" t="str">
            <v>50300010</v>
          </cell>
        </row>
        <row r="794">
          <cell r="A794" t="str">
            <v>50300011</v>
          </cell>
        </row>
        <row r="795">
          <cell r="A795" t="str">
            <v>50300012</v>
          </cell>
        </row>
        <row r="796">
          <cell r="A796" t="str">
            <v>50300013</v>
          </cell>
        </row>
        <row r="797">
          <cell r="A797" t="str">
            <v>50300014</v>
          </cell>
        </row>
        <row r="798">
          <cell r="A798" t="str">
            <v>50300015</v>
          </cell>
        </row>
        <row r="799">
          <cell r="A799" t="str">
            <v>50300016</v>
          </cell>
        </row>
        <row r="800">
          <cell r="A800" t="str">
            <v>50300017</v>
          </cell>
        </row>
        <row r="801">
          <cell r="A801" t="str">
            <v>50300018</v>
          </cell>
        </row>
        <row r="802">
          <cell r="A802" t="str">
            <v>50300019</v>
          </cell>
        </row>
        <row r="803">
          <cell r="A803" t="str">
            <v>50300021</v>
          </cell>
        </row>
        <row r="804">
          <cell r="A804" t="str">
            <v>50300022</v>
          </cell>
        </row>
        <row r="805">
          <cell r="A805" t="str">
            <v>50300023</v>
          </cell>
        </row>
        <row r="806">
          <cell r="A806" t="str">
            <v>50300024</v>
          </cell>
        </row>
        <row r="807">
          <cell r="A807" t="str">
            <v>50300025</v>
          </cell>
        </row>
        <row r="808">
          <cell r="A808" t="str">
            <v>50300026</v>
          </cell>
        </row>
        <row r="809">
          <cell r="A809" t="str">
            <v>50300027</v>
          </cell>
        </row>
        <row r="810">
          <cell r="A810" t="str">
            <v>50300028</v>
          </cell>
        </row>
        <row r="811">
          <cell r="A811" t="str">
            <v>50300029</v>
          </cell>
        </row>
        <row r="812">
          <cell r="A812" t="str">
            <v>50300030</v>
          </cell>
        </row>
        <row r="813">
          <cell r="A813" t="str">
            <v>50300031</v>
          </cell>
        </row>
        <row r="814">
          <cell r="A814" t="str">
            <v>50300032</v>
          </cell>
        </row>
        <row r="815">
          <cell r="A815" t="str">
            <v>50300033</v>
          </cell>
        </row>
        <row r="816">
          <cell r="A816" t="str">
            <v>50300034</v>
          </cell>
        </row>
        <row r="817">
          <cell r="A817" t="str">
            <v>50300035</v>
          </cell>
        </row>
        <row r="818">
          <cell r="A818" t="str">
            <v>50300036</v>
          </cell>
        </row>
        <row r="819">
          <cell r="A819" t="str">
            <v>50300037</v>
          </cell>
        </row>
        <row r="820">
          <cell r="A820" t="str">
            <v>50300038</v>
          </cell>
        </row>
        <row r="821">
          <cell r="A821" t="str">
            <v>50300039</v>
          </cell>
        </row>
        <row r="822">
          <cell r="A822" t="str">
            <v>50300040</v>
          </cell>
        </row>
        <row r="823">
          <cell r="A823" t="str">
            <v>50300041</v>
          </cell>
        </row>
        <row r="824">
          <cell r="A824" t="str">
            <v>50300042</v>
          </cell>
        </row>
        <row r="825">
          <cell r="A825" t="str">
            <v>50300043</v>
          </cell>
        </row>
        <row r="826">
          <cell r="A826" t="str">
            <v>50300044</v>
          </cell>
        </row>
        <row r="827">
          <cell r="A827" t="str">
            <v>50300045</v>
          </cell>
        </row>
        <row r="828">
          <cell r="A828" t="str">
            <v>50300046</v>
          </cell>
        </row>
        <row r="829">
          <cell r="A829" t="str">
            <v>50300047</v>
          </cell>
        </row>
        <row r="830">
          <cell r="A830" t="str">
            <v>50300050</v>
          </cell>
        </row>
        <row r="831">
          <cell r="A831" t="str">
            <v>50300051</v>
          </cell>
        </row>
        <row r="832">
          <cell r="A832" t="str">
            <v>50300052</v>
          </cell>
        </row>
        <row r="833">
          <cell r="A833" t="str">
            <v>50300053</v>
          </cell>
        </row>
        <row r="834">
          <cell r="A834" t="str">
            <v>50300054</v>
          </cell>
        </row>
        <row r="835">
          <cell r="A835" t="str">
            <v>50300055</v>
          </cell>
        </row>
        <row r="836">
          <cell r="A836" t="str">
            <v>50300056</v>
          </cell>
        </row>
        <row r="837">
          <cell r="A837" t="str">
            <v>50300057</v>
          </cell>
        </row>
        <row r="838">
          <cell r="A838" t="str">
            <v>50300058</v>
          </cell>
        </row>
        <row r="839">
          <cell r="A839" t="str">
            <v>50300059</v>
          </cell>
        </row>
        <row r="840">
          <cell r="A840" t="str">
            <v>50300101</v>
          </cell>
        </row>
        <row r="841">
          <cell r="A841" t="str">
            <v>50300102</v>
          </cell>
        </row>
        <row r="842">
          <cell r="A842" t="str">
            <v>50300103</v>
          </cell>
        </row>
        <row r="843">
          <cell r="A843" t="str">
            <v>50300104</v>
          </cell>
        </row>
        <row r="844">
          <cell r="A844" t="str">
            <v>50300105</v>
          </cell>
        </row>
        <row r="845">
          <cell r="A845" t="str">
            <v>50300106</v>
          </cell>
        </row>
        <row r="846">
          <cell r="A846" t="str">
            <v>50300107</v>
          </cell>
        </row>
        <row r="847">
          <cell r="A847" t="str">
            <v>50300108</v>
          </cell>
        </row>
        <row r="848">
          <cell r="A848" t="str">
            <v>50300109</v>
          </cell>
        </row>
        <row r="849">
          <cell r="A849" t="str">
            <v>50300110</v>
          </cell>
        </row>
        <row r="850">
          <cell r="A850" t="str">
            <v>50300111</v>
          </cell>
        </row>
        <row r="851">
          <cell r="A851" t="str">
            <v>50300112</v>
          </cell>
        </row>
        <row r="852">
          <cell r="A852" t="str">
            <v>50300113</v>
          </cell>
        </row>
        <row r="853">
          <cell r="A853" t="str">
            <v>50300114</v>
          </cell>
        </row>
        <row r="854">
          <cell r="A854" t="str">
            <v>50300115</v>
          </cell>
        </row>
        <row r="855">
          <cell r="A855" t="str">
            <v>50300116</v>
          </cell>
        </row>
        <row r="856">
          <cell r="A856" t="str">
            <v>50300117</v>
          </cell>
        </row>
        <row r="857">
          <cell r="A857" t="str">
            <v>50300118</v>
          </cell>
        </row>
        <row r="858">
          <cell r="A858" t="str">
            <v>50300119</v>
          </cell>
        </row>
        <row r="859">
          <cell r="A859" t="str">
            <v>50300120</v>
          </cell>
        </row>
        <row r="860">
          <cell r="A860" t="str">
            <v>50300121</v>
          </cell>
        </row>
        <row r="861">
          <cell r="A861" t="str">
            <v>50300122</v>
          </cell>
        </row>
        <row r="862">
          <cell r="A862" t="str">
            <v>50300123</v>
          </cell>
        </row>
        <row r="863">
          <cell r="A863" t="str">
            <v>50300124</v>
          </cell>
        </row>
        <row r="864">
          <cell r="A864" t="str">
            <v>50300125</v>
          </cell>
        </row>
        <row r="865">
          <cell r="A865" t="str">
            <v>50300126</v>
          </cell>
        </row>
        <row r="866">
          <cell r="A866" t="str">
            <v>50300148</v>
          </cell>
        </row>
        <row r="867">
          <cell r="A867" t="str">
            <v>50300201</v>
          </cell>
        </row>
        <row r="868">
          <cell r="A868" t="str">
            <v>50300202</v>
          </cell>
        </row>
        <row r="869">
          <cell r="A869" t="str">
            <v>50300203</v>
          </cell>
        </row>
        <row r="870">
          <cell r="A870" t="str">
            <v>50300301</v>
          </cell>
        </row>
        <row r="871">
          <cell r="A871" t="str">
            <v>50300302</v>
          </cell>
        </row>
        <row r="872">
          <cell r="A872" t="str">
            <v>50300303</v>
          </cell>
        </row>
        <row r="873">
          <cell r="A873" t="str">
            <v>50300307</v>
          </cell>
        </row>
        <row r="874">
          <cell r="A874" t="str">
            <v>50300310</v>
          </cell>
        </row>
        <row r="875">
          <cell r="A875" t="str">
            <v>50400001</v>
          </cell>
        </row>
        <row r="876">
          <cell r="A876" t="str">
            <v>50400002</v>
          </cell>
        </row>
        <row r="877">
          <cell r="A877" t="str">
            <v>50400003</v>
          </cell>
        </row>
        <row r="878">
          <cell r="A878" t="str">
            <v>50400004</v>
          </cell>
        </row>
        <row r="879">
          <cell r="A879" t="str">
            <v>50400005</v>
          </cell>
        </row>
        <row r="880">
          <cell r="A880" t="str">
            <v>50400006</v>
          </cell>
        </row>
        <row r="881">
          <cell r="A881" t="str">
            <v>50400007</v>
          </cell>
        </row>
        <row r="882">
          <cell r="A882" t="str">
            <v>50400021</v>
          </cell>
        </row>
        <row r="883">
          <cell r="A883" t="str">
            <v>50400022</v>
          </cell>
        </row>
        <row r="884">
          <cell r="A884" t="str">
            <v>50400023</v>
          </cell>
        </row>
        <row r="885">
          <cell r="A885" t="str">
            <v>50400024</v>
          </cell>
        </row>
        <row r="886">
          <cell r="A886" t="str">
            <v>50400041</v>
          </cell>
        </row>
        <row r="887">
          <cell r="A887" t="str">
            <v>50400042</v>
          </cell>
        </row>
        <row r="888">
          <cell r="A888" t="str">
            <v>50400043</v>
          </cell>
        </row>
        <row r="889">
          <cell r="A889" t="str">
            <v>50400044</v>
          </cell>
        </row>
        <row r="890">
          <cell r="A890" t="str">
            <v>50400061</v>
          </cell>
        </row>
        <row r="891">
          <cell r="A891" t="str">
            <v>50400062</v>
          </cell>
        </row>
        <row r="892">
          <cell r="A892" t="str">
            <v>50400063</v>
          </cell>
        </row>
        <row r="893">
          <cell r="A893" t="str">
            <v>50400064</v>
          </cell>
        </row>
        <row r="894">
          <cell r="A894" t="str">
            <v>50400081</v>
          </cell>
        </row>
        <row r="895">
          <cell r="A895" t="str">
            <v>50400082</v>
          </cell>
        </row>
        <row r="896">
          <cell r="A896" t="str">
            <v>50400083</v>
          </cell>
        </row>
        <row r="897">
          <cell r="A897" t="str">
            <v>50400084</v>
          </cell>
        </row>
        <row r="898">
          <cell r="A898" t="str">
            <v>50400085</v>
          </cell>
        </row>
        <row r="899">
          <cell r="A899" t="str">
            <v>50400091</v>
          </cell>
        </row>
        <row r="900">
          <cell r="A900" t="str">
            <v>50400101</v>
          </cell>
        </row>
        <row r="901">
          <cell r="A901" t="str">
            <v>50400102</v>
          </cell>
        </row>
        <row r="902">
          <cell r="A902" t="str">
            <v>50400103</v>
          </cell>
        </row>
        <row r="903">
          <cell r="A903" t="str">
            <v>50400104</v>
          </cell>
        </row>
        <row r="904">
          <cell r="A904" t="str">
            <v>50400105</v>
          </cell>
        </row>
        <row r="905">
          <cell r="A905" t="str">
            <v>50400106</v>
          </cell>
        </row>
        <row r="906">
          <cell r="A906" t="str">
            <v>50400107</v>
          </cell>
        </row>
        <row r="907">
          <cell r="A907" t="str">
            <v>50400108</v>
          </cell>
        </row>
        <row r="908">
          <cell r="A908" t="str">
            <v>50400109</v>
          </cell>
        </row>
        <row r="909">
          <cell r="A909" t="str">
            <v>50400121</v>
          </cell>
        </row>
        <row r="910">
          <cell r="A910" t="str">
            <v>50400122</v>
          </cell>
        </row>
        <row r="911">
          <cell r="A911" t="str">
            <v>50400131</v>
          </cell>
        </row>
        <row r="912">
          <cell r="A912" t="str">
            <v>50400132</v>
          </cell>
        </row>
        <row r="913">
          <cell r="A913" t="str">
            <v>50400133</v>
          </cell>
        </row>
        <row r="914">
          <cell r="A914" t="str">
            <v>50400134</v>
          </cell>
        </row>
        <row r="915">
          <cell r="A915" t="str">
            <v>50400135</v>
          </cell>
        </row>
        <row r="916">
          <cell r="A916" t="str">
            <v>50400136</v>
          </cell>
        </row>
        <row r="917">
          <cell r="A917" t="str">
            <v>50400151</v>
          </cell>
        </row>
        <row r="918">
          <cell r="A918" t="str">
            <v>50400152</v>
          </cell>
        </row>
        <row r="919">
          <cell r="A919" t="str">
            <v>50400171</v>
          </cell>
        </row>
        <row r="920">
          <cell r="A920" t="str">
            <v>50400181</v>
          </cell>
        </row>
        <row r="921">
          <cell r="A921" t="str">
            <v>50400191</v>
          </cell>
        </row>
        <row r="922">
          <cell r="A922" t="str">
            <v>50400192</v>
          </cell>
        </row>
        <row r="923">
          <cell r="A923" t="str">
            <v>50400193</v>
          </cell>
        </row>
        <row r="924">
          <cell r="A924" t="str">
            <v>50400194</v>
          </cell>
        </row>
        <row r="925">
          <cell r="A925" t="str">
            <v>50400195</v>
          </cell>
        </row>
        <row r="926">
          <cell r="A926" t="str">
            <v>50400196</v>
          </cell>
        </row>
        <row r="927">
          <cell r="A927" t="str">
            <v>50400197</v>
          </cell>
        </row>
        <row r="928">
          <cell r="A928" t="str">
            <v>50400198</v>
          </cell>
        </row>
        <row r="929">
          <cell r="A929" t="str">
            <v>50400199</v>
          </cell>
        </row>
        <row r="930">
          <cell r="A930" t="str">
            <v>50400200</v>
          </cell>
        </row>
        <row r="931">
          <cell r="A931" t="str">
            <v>50400201</v>
          </cell>
        </row>
        <row r="932">
          <cell r="A932" t="str">
            <v>50400211</v>
          </cell>
        </row>
        <row r="933">
          <cell r="A933" t="str">
            <v>50400221</v>
          </cell>
        </row>
        <row r="934">
          <cell r="A934" t="str">
            <v>50400222</v>
          </cell>
        </row>
        <row r="935">
          <cell r="A935" t="str">
            <v>50400223</v>
          </cell>
        </row>
        <row r="936">
          <cell r="A936" t="str">
            <v>50400224</v>
          </cell>
        </row>
        <row r="937">
          <cell r="A937" t="str">
            <v>50400225</v>
          </cell>
        </row>
        <row r="938">
          <cell r="A938" t="str">
            <v>50400226</v>
          </cell>
        </row>
        <row r="939">
          <cell r="A939" t="str">
            <v>50400227</v>
          </cell>
        </row>
        <row r="940">
          <cell r="A940" t="str">
            <v>50400228</v>
          </cell>
        </row>
        <row r="941">
          <cell r="A941" t="str">
            <v>50400229</v>
          </cell>
        </row>
        <row r="942">
          <cell r="A942" t="str">
            <v>50400230</v>
          </cell>
        </row>
        <row r="943">
          <cell r="A943" t="str">
            <v>50400231</v>
          </cell>
        </row>
        <row r="944">
          <cell r="A944" t="str">
            <v>50400232</v>
          </cell>
        </row>
        <row r="945">
          <cell r="A945" t="str">
            <v>50400233</v>
          </cell>
        </row>
        <row r="946">
          <cell r="A946" t="str">
            <v>50400234</v>
          </cell>
        </row>
        <row r="947">
          <cell r="A947" t="str">
            <v>50400235</v>
          </cell>
        </row>
        <row r="948">
          <cell r="A948" t="str">
            <v>50400236</v>
          </cell>
        </row>
        <row r="949">
          <cell r="A949" t="str">
            <v>50500001</v>
          </cell>
        </row>
        <row r="950">
          <cell r="A950" t="str">
            <v>50500002</v>
          </cell>
        </row>
        <row r="951">
          <cell r="A951" t="str">
            <v>50500003</v>
          </cell>
        </row>
        <row r="952">
          <cell r="A952" t="str">
            <v>50500004</v>
          </cell>
        </row>
        <row r="953">
          <cell r="A953" t="str">
            <v>50500005</v>
          </cell>
        </row>
        <row r="954">
          <cell r="A954" t="str">
            <v>50500006</v>
          </cell>
        </row>
        <row r="955">
          <cell r="A955" t="str">
            <v>50500007</v>
          </cell>
        </row>
        <row r="956">
          <cell r="A956" t="str">
            <v>50600001</v>
          </cell>
        </row>
        <row r="957">
          <cell r="A957" t="str">
            <v>50600002</v>
          </cell>
        </row>
        <row r="958">
          <cell r="A958" t="str">
            <v>50600003</v>
          </cell>
        </row>
        <row r="959">
          <cell r="A959" t="str">
            <v>50600004</v>
          </cell>
        </row>
        <row r="960">
          <cell r="A960" t="str">
            <v>50600005</v>
          </cell>
        </row>
        <row r="961">
          <cell r="A961" t="str">
            <v>50600006</v>
          </cell>
        </row>
        <row r="962">
          <cell r="A962" t="str">
            <v>50600007</v>
          </cell>
        </row>
        <row r="963">
          <cell r="A963" t="str">
            <v>50600008</v>
          </cell>
        </row>
        <row r="964">
          <cell r="A964" t="str">
            <v>50600009</v>
          </cell>
        </row>
        <row r="965">
          <cell r="A965" t="str">
            <v>50600010</v>
          </cell>
        </row>
        <row r="966">
          <cell r="A966" t="str">
            <v>50600011</v>
          </cell>
        </row>
        <row r="967">
          <cell r="A967" t="str">
            <v>50600012</v>
          </cell>
        </row>
        <row r="968">
          <cell r="A968" t="str">
            <v>50600013</v>
          </cell>
        </row>
        <row r="969">
          <cell r="A969" t="str">
            <v>50600014</v>
          </cell>
        </row>
        <row r="970">
          <cell r="A970" t="str">
            <v>50600015</v>
          </cell>
        </row>
        <row r="971">
          <cell r="A971" t="str">
            <v>50600016</v>
          </cell>
        </row>
        <row r="972">
          <cell r="A972" t="str">
            <v>50600017</v>
          </cell>
        </row>
        <row r="973">
          <cell r="A973" t="str">
            <v>50600021</v>
          </cell>
        </row>
        <row r="974">
          <cell r="A974" t="str">
            <v>50600022</v>
          </cell>
        </row>
        <row r="975">
          <cell r="A975" t="str">
            <v>50600023</v>
          </cell>
        </row>
        <row r="976">
          <cell r="A976" t="str">
            <v>50600024</v>
          </cell>
        </row>
        <row r="977">
          <cell r="A977" t="str">
            <v>50600025</v>
          </cell>
        </row>
        <row r="978">
          <cell r="A978" t="str">
            <v>50600026</v>
          </cell>
        </row>
        <row r="979">
          <cell r="A979" t="str">
            <v>50600041</v>
          </cell>
        </row>
        <row r="980">
          <cell r="A980" t="str">
            <v>50600042</v>
          </cell>
        </row>
        <row r="981">
          <cell r="A981" t="str">
            <v>50600043</v>
          </cell>
        </row>
        <row r="982">
          <cell r="A982" t="str">
            <v>50600044</v>
          </cell>
        </row>
        <row r="983">
          <cell r="A983" t="str">
            <v>50600061</v>
          </cell>
        </row>
        <row r="984">
          <cell r="A984" t="str">
            <v>50600062</v>
          </cell>
        </row>
        <row r="985">
          <cell r="A985" t="str">
            <v>50600063</v>
          </cell>
        </row>
        <row r="986">
          <cell r="A986" t="str">
            <v>50600064</v>
          </cell>
        </row>
        <row r="987">
          <cell r="A987" t="str">
            <v>50600065</v>
          </cell>
        </row>
        <row r="988">
          <cell r="A988" t="str">
            <v>50600066</v>
          </cell>
        </row>
        <row r="989">
          <cell r="A989" t="str">
            <v>50600067</v>
          </cell>
        </row>
        <row r="990">
          <cell r="A990" t="str">
            <v>50600081</v>
          </cell>
        </row>
        <row r="991">
          <cell r="A991" t="str">
            <v>50600082</v>
          </cell>
        </row>
        <row r="992">
          <cell r="A992" t="str">
            <v>50600101</v>
          </cell>
        </row>
        <row r="993">
          <cell r="A993" t="str">
            <v>50600102</v>
          </cell>
        </row>
        <row r="994">
          <cell r="A994" t="str">
            <v>50600103</v>
          </cell>
        </row>
        <row r="995">
          <cell r="A995" t="str">
            <v>50600104</v>
          </cell>
        </row>
        <row r="996">
          <cell r="A996" t="str">
            <v>50600105</v>
          </cell>
        </row>
        <row r="997">
          <cell r="A997" t="str">
            <v>50600106</v>
          </cell>
        </row>
        <row r="998">
          <cell r="A998" t="str">
            <v>50600107</v>
          </cell>
        </row>
        <row r="999">
          <cell r="A999" t="str">
            <v>50600108</v>
          </cell>
        </row>
        <row r="1000">
          <cell r="A1000" t="str">
            <v>50600109</v>
          </cell>
        </row>
        <row r="1001">
          <cell r="A1001" t="str">
            <v>50600110</v>
          </cell>
        </row>
        <row r="1002">
          <cell r="A1002" t="str">
            <v>50600111</v>
          </cell>
        </row>
        <row r="1003">
          <cell r="A1003" t="str">
            <v>50600112</v>
          </cell>
        </row>
        <row r="1004">
          <cell r="A1004" t="str">
            <v>50600113</v>
          </cell>
        </row>
        <row r="1005">
          <cell r="A1005" t="str">
            <v>50600117</v>
          </cell>
        </row>
        <row r="1006">
          <cell r="A1006" t="str">
            <v>50600121</v>
          </cell>
        </row>
        <row r="1007">
          <cell r="A1007" t="str">
            <v>50600122</v>
          </cell>
        </row>
        <row r="1008">
          <cell r="A1008" t="str">
            <v>50600123</v>
          </cell>
        </row>
        <row r="1009">
          <cell r="A1009" t="str">
            <v>50600141</v>
          </cell>
        </row>
        <row r="1010">
          <cell r="A1010" t="str">
            <v>50600142</v>
          </cell>
        </row>
        <row r="1011">
          <cell r="A1011" t="str">
            <v>50600143</v>
          </cell>
        </row>
        <row r="1012">
          <cell r="A1012" t="str">
            <v>50600144</v>
          </cell>
        </row>
        <row r="1013">
          <cell r="A1013" t="str">
            <v>50600145</v>
          </cell>
        </row>
        <row r="1014">
          <cell r="A1014" t="str">
            <v>50600146</v>
          </cell>
        </row>
        <row r="1015">
          <cell r="A1015" t="str">
            <v>50600147</v>
          </cell>
        </row>
        <row r="1016">
          <cell r="A1016" t="str">
            <v>50600148</v>
          </cell>
        </row>
        <row r="1017">
          <cell r="A1017" t="str">
            <v>50600149</v>
          </cell>
        </row>
        <row r="1018">
          <cell r="A1018" t="str">
            <v>50600150</v>
          </cell>
        </row>
        <row r="1019">
          <cell r="A1019" t="str">
            <v>50600161</v>
          </cell>
        </row>
        <row r="1020">
          <cell r="A1020" t="str">
            <v>50600181</v>
          </cell>
        </row>
        <row r="1021">
          <cell r="A1021" t="str">
            <v>50600182</v>
          </cell>
        </row>
        <row r="1022">
          <cell r="A1022" t="str">
            <v>50600201</v>
          </cell>
        </row>
        <row r="1023">
          <cell r="A1023" t="str">
            <v>50600202</v>
          </cell>
        </row>
        <row r="1024">
          <cell r="A1024" t="str">
            <v>50600203</v>
          </cell>
        </row>
        <row r="1025">
          <cell r="A1025" t="str">
            <v>50600204</v>
          </cell>
        </row>
        <row r="1026">
          <cell r="A1026" t="str">
            <v>50600205</v>
          </cell>
        </row>
        <row r="1027">
          <cell r="A1027" t="str">
            <v>50600206</v>
          </cell>
        </row>
        <row r="1028">
          <cell r="A1028" t="str">
            <v>50600207</v>
          </cell>
        </row>
        <row r="1029">
          <cell r="A1029" t="str">
            <v>50600208</v>
          </cell>
        </row>
        <row r="1030">
          <cell r="A1030" t="str">
            <v>50600209</v>
          </cell>
        </row>
        <row r="1031">
          <cell r="A1031" t="str">
            <v>50600210</v>
          </cell>
        </row>
        <row r="1032">
          <cell r="A1032" t="str">
            <v>50600211</v>
          </cell>
        </row>
        <row r="1033">
          <cell r="A1033" t="str">
            <v>50600212</v>
          </cell>
        </row>
        <row r="1034">
          <cell r="A1034" t="str">
            <v>50600214</v>
          </cell>
        </row>
        <row r="1035">
          <cell r="A1035" t="str">
            <v>50600215</v>
          </cell>
        </row>
        <row r="1036">
          <cell r="A1036" t="str">
            <v>50600215</v>
          </cell>
        </row>
        <row r="1037">
          <cell r="A1037" t="str">
            <v>50600216</v>
          </cell>
        </row>
        <row r="1038">
          <cell r="A1038" t="str">
            <v>50600217</v>
          </cell>
        </row>
        <row r="1039">
          <cell r="A1039" t="str">
            <v>50600218</v>
          </cell>
        </row>
        <row r="1040">
          <cell r="A1040" t="str">
            <v>50600219</v>
          </cell>
        </row>
        <row r="1041">
          <cell r="A1041" t="str">
            <v>50600220</v>
          </cell>
        </row>
        <row r="1042">
          <cell r="A1042" t="str">
            <v>50600221</v>
          </cell>
        </row>
        <row r="1043">
          <cell r="A1043" t="str">
            <v>50600222</v>
          </cell>
        </row>
        <row r="1044">
          <cell r="A1044" t="str">
            <v>50600223</v>
          </cell>
        </row>
        <row r="1045">
          <cell r="A1045" t="str">
            <v>50600224</v>
          </cell>
        </row>
        <row r="1046">
          <cell r="A1046" t="str">
            <v>50600225</v>
          </cell>
        </row>
        <row r="1047">
          <cell r="A1047" t="str">
            <v>50600226</v>
          </cell>
        </row>
        <row r="1048">
          <cell r="A1048" t="str">
            <v>50600227</v>
          </cell>
        </row>
        <row r="1049">
          <cell r="A1049" t="str">
            <v>50600228</v>
          </cell>
        </row>
        <row r="1050">
          <cell r="A1050" t="str">
            <v>50600261</v>
          </cell>
        </row>
        <row r="1051">
          <cell r="A1051" t="str">
            <v>50600262</v>
          </cell>
        </row>
        <row r="1052">
          <cell r="A1052" t="str">
            <v>50600263</v>
          </cell>
        </row>
        <row r="1053">
          <cell r="A1053" t="str">
            <v>50600264</v>
          </cell>
        </row>
        <row r="1054">
          <cell r="A1054" t="str">
            <v>50600271</v>
          </cell>
        </row>
        <row r="1055">
          <cell r="A1055" t="str">
            <v>50600272</v>
          </cell>
        </row>
        <row r="1056">
          <cell r="A1056" t="str">
            <v>50600273</v>
          </cell>
        </row>
        <row r="1057">
          <cell r="A1057" t="str">
            <v>50600274</v>
          </cell>
        </row>
        <row r="1058">
          <cell r="A1058" t="str">
            <v>50600275</v>
          </cell>
        </row>
        <row r="1059">
          <cell r="A1059" t="str">
            <v>50600276</v>
          </cell>
        </row>
        <row r="1060">
          <cell r="A1060" t="str">
            <v>50600277</v>
          </cell>
        </row>
        <row r="1061">
          <cell r="A1061" t="str">
            <v>50600278</v>
          </cell>
        </row>
        <row r="1062">
          <cell r="A1062" t="str">
            <v>50600279</v>
          </cell>
        </row>
      </sheetData>
      <sheetData sheetId="10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</sheetData>
      <sheetData sheetId="1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4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5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6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  <row r="64">
          <cell r="A64" t="str">
            <v>33</v>
          </cell>
        </row>
        <row r="65">
          <cell r="A65" t="str">
            <v>33</v>
          </cell>
        </row>
        <row r="66">
          <cell r="A66" t="str">
            <v>33</v>
          </cell>
        </row>
        <row r="67">
          <cell r="A67" t="str">
            <v>33</v>
          </cell>
        </row>
        <row r="68">
          <cell r="A68" t="str">
            <v>33</v>
          </cell>
        </row>
        <row r="69">
          <cell r="A69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 t="str">
            <v xml:space="preserve"> </v>
          </cell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 t="str">
            <v xml:space="preserve"> </v>
          </cell>
          <cell r="AM44" t="str">
            <v xml:space="preserve"> </v>
          </cell>
          <cell r="AS44" t="str">
            <v xml:space="preserve"> </v>
          </cell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 t="str">
            <v xml:space="preserve"> </v>
          </cell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 t="str">
            <v xml:space="preserve"> </v>
          </cell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Q212"/>
  <sheetViews>
    <sheetView zoomScale="70" zoomScaleNormal="70" workbookViewId="0">
      <pane ySplit="3" topLeftCell="A124" activePane="bottomLeft" state="frozen"/>
      <selection pane="bottomLeft" activeCell="B1" sqref="B1"/>
    </sheetView>
  </sheetViews>
  <sheetFormatPr defaultColWidth="8.90625" defaultRowHeight="14.5" x14ac:dyDescent="0.35"/>
  <cols>
    <col min="1" max="1" width="27.453125" style="1" customWidth="1"/>
    <col min="2" max="2" width="9.453125" style="1" bestFit="1" customWidth="1"/>
    <col min="3" max="13" width="9.08984375" style="1" bestFit="1" customWidth="1"/>
    <col min="14" max="14" width="13.36328125" style="1" customWidth="1"/>
    <col min="15" max="15" width="1.6328125" style="1" customWidth="1"/>
    <col min="16" max="16384" width="8.90625" style="1"/>
  </cols>
  <sheetData>
    <row r="1" spans="1:16" x14ac:dyDescent="0.35">
      <c r="A1" s="3" t="s">
        <v>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6" x14ac:dyDescent="0.35">
      <c r="A2" s="1" t="s">
        <v>85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6" ht="15.65" customHeight="1" x14ac:dyDescent="0.3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4"/>
    </row>
    <row r="5" spans="1:16" s="2" customFormat="1" x14ac:dyDescent="0.35">
      <c r="A5" s="9" t="s">
        <v>14</v>
      </c>
      <c r="B5" s="10">
        <f t="shared" ref="B5:M5" si="0">SUM(B6:B7)</f>
        <v>7619.4482509159834</v>
      </c>
      <c r="C5" s="10">
        <f t="shared" si="0"/>
        <v>7224.3023415320331</v>
      </c>
      <c r="D5" s="10">
        <f t="shared" si="0"/>
        <v>6870.0230645853517</v>
      </c>
      <c r="E5" s="10">
        <f t="shared" si="0"/>
        <v>7815.914736806606</v>
      </c>
      <c r="F5" s="10">
        <f t="shared" si="0"/>
        <v>8233.4755375151999</v>
      </c>
      <c r="G5" s="10">
        <f t="shared" si="0"/>
        <v>7596.8792096389116</v>
      </c>
      <c r="H5" s="10">
        <f t="shared" si="0"/>
        <v>8769.1099760000016</v>
      </c>
      <c r="I5" s="10">
        <f t="shared" si="0"/>
        <v>8498.049198354307</v>
      </c>
      <c r="J5" s="10">
        <f t="shared" si="0"/>
        <v>8442.1756946414371</v>
      </c>
      <c r="K5" s="10">
        <f t="shared" si="0"/>
        <v>8242.1086181600003</v>
      </c>
      <c r="L5" s="10">
        <f t="shared" si="0"/>
        <v>7836.3005412799994</v>
      </c>
      <c r="M5" s="10">
        <f t="shared" si="0"/>
        <v>7566.6910208623995</v>
      </c>
      <c r="N5" s="10">
        <f>SUM(B5:M5)</f>
        <v>94714.47819029224</v>
      </c>
      <c r="P5" s="1" t="s">
        <v>61</v>
      </c>
    </row>
    <row r="6" spans="1:16" x14ac:dyDescent="0.35">
      <c r="A6" s="5" t="s">
        <v>15</v>
      </c>
      <c r="B6" s="8">
        <v>2904.7860139722798</v>
      </c>
      <c r="C6" s="8">
        <v>2754.4503289203089</v>
      </c>
      <c r="D6" s="8">
        <v>2424.3210080843396</v>
      </c>
      <c r="E6" s="8">
        <v>2767.1447268380184</v>
      </c>
      <c r="F6" s="8">
        <v>2927.6178277359995</v>
      </c>
      <c r="G6" s="8">
        <v>2460.4194197995207</v>
      </c>
      <c r="H6" s="8">
        <v>3157.9027600000004</v>
      </c>
      <c r="I6" s="8">
        <v>3107.217252161915</v>
      </c>
      <c r="J6" s="8">
        <v>2899.6425922558324</v>
      </c>
      <c r="K6" s="8">
        <v>2829.8233457599999</v>
      </c>
      <c r="L6" s="8">
        <v>2690.1553020799997</v>
      </c>
      <c r="M6" s="8">
        <v>2609.1784283023999</v>
      </c>
      <c r="N6" s="8">
        <f t="shared" ref="N6:N7" si="1">SUM(B6:M6)</f>
        <v>33532.659005910617</v>
      </c>
    </row>
    <row r="7" spans="1:16" x14ac:dyDescent="0.35">
      <c r="A7" s="5" t="s">
        <v>16</v>
      </c>
      <c r="B7" s="8">
        <v>4714.6622369437036</v>
      </c>
      <c r="C7" s="8">
        <v>4469.8520126117237</v>
      </c>
      <c r="D7" s="8">
        <v>4445.7020565010125</v>
      </c>
      <c r="E7" s="8">
        <v>5048.7700099685881</v>
      </c>
      <c r="F7" s="8">
        <v>5305.8577097792004</v>
      </c>
      <c r="G7" s="8">
        <v>5136.4597898393913</v>
      </c>
      <c r="H7" s="8">
        <v>5611.2072160000007</v>
      </c>
      <c r="I7" s="8">
        <v>5390.8319461923929</v>
      </c>
      <c r="J7" s="8">
        <v>5542.5331023856052</v>
      </c>
      <c r="K7" s="8">
        <v>5412.2852724000013</v>
      </c>
      <c r="L7" s="8">
        <v>5146.1452392000001</v>
      </c>
      <c r="M7" s="8">
        <v>4957.5125925599996</v>
      </c>
      <c r="N7" s="8">
        <f t="shared" si="1"/>
        <v>61181.819184381624</v>
      </c>
    </row>
    <row r="8" spans="1:16" s="2" customFormat="1" x14ac:dyDescent="0.35">
      <c r="A8" s="9" t="s">
        <v>17</v>
      </c>
      <c r="B8" s="10">
        <f>SUM(B9:B11)</f>
        <v>537.50000001155615</v>
      </c>
      <c r="C8" s="10">
        <f t="shared" ref="C8:M8" si="2">SUM(C9:C11)</f>
        <v>532.50000001144872</v>
      </c>
      <c r="D8" s="10">
        <f t="shared" si="2"/>
        <v>537.50000001155615</v>
      </c>
      <c r="E8" s="10">
        <f t="shared" si="2"/>
        <v>537.50000001155627</v>
      </c>
      <c r="F8" s="10">
        <f t="shared" si="2"/>
        <v>537.50000001155627</v>
      </c>
      <c r="G8" s="10">
        <f t="shared" si="2"/>
        <v>537.50000001155627</v>
      </c>
      <c r="H8" s="10">
        <f t="shared" si="2"/>
        <v>610.00000001311491</v>
      </c>
      <c r="I8" s="10">
        <f t="shared" si="2"/>
        <v>625.00000001343756</v>
      </c>
      <c r="J8" s="10">
        <f t="shared" si="2"/>
        <v>625.00000001343744</v>
      </c>
      <c r="K8" s="10">
        <f t="shared" si="2"/>
        <v>625.00000001343756</v>
      </c>
      <c r="L8" s="10">
        <f t="shared" si="2"/>
        <v>625.00000001343744</v>
      </c>
      <c r="M8" s="10">
        <f t="shared" si="2"/>
        <v>620.0000000133299</v>
      </c>
      <c r="N8" s="10">
        <f>SUM(B8:M8)</f>
        <v>6950.0000001494245</v>
      </c>
    </row>
    <row r="9" spans="1:16" x14ac:dyDescent="0.35">
      <c r="A9" s="5" t="s">
        <v>15</v>
      </c>
      <c r="B9" s="8">
        <v>192.50000000413874</v>
      </c>
      <c r="C9" s="8">
        <v>187.50000000403122</v>
      </c>
      <c r="D9" s="8">
        <v>192.50000000413874</v>
      </c>
      <c r="E9" s="8">
        <v>190.00000000408502</v>
      </c>
      <c r="F9" s="8">
        <v>185.0000000039775</v>
      </c>
      <c r="G9" s="8">
        <v>155.0000000033325</v>
      </c>
      <c r="H9" s="8">
        <v>130.00000000279499</v>
      </c>
      <c r="I9" s="8">
        <v>135.00000000290248</v>
      </c>
      <c r="J9" s="8">
        <v>145.00000000311749</v>
      </c>
      <c r="K9" s="8">
        <v>110.000000002365</v>
      </c>
      <c r="L9" s="8">
        <v>120.00000000257998</v>
      </c>
      <c r="M9" s="8">
        <v>120.00000000257998</v>
      </c>
      <c r="N9" s="8">
        <f t="shared" ref="N9:N11" si="3">SUM(B9:M9)</f>
        <v>1862.5000000400435</v>
      </c>
    </row>
    <row r="10" spans="1:16" x14ac:dyDescent="0.35">
      <c r="A10" s="5" t="s">
        <v>16</v>
      </c>
      <c r="B10" s="8">
        <v>345.00000000741744</v>
      </c>
      <c r="C10" s="8">
        <v>345.00000000741744</v>
      </c>
      <c r="D10" s="8">
        <v>345.00000000741744</v>
      </c>
      <c r="E10" s="8">
        <v>347.50000000747127</v>
      </c>
      <c r="F10" s="8">
        <v>352.50000000757871</v>
      </c>
      <c r="G10" s="8">
        <v>382.50000000822376</v>
      </c>
      <c r="H10" s="8">
        <v>480.00000001031992</v>
      </c>
      <c r="I10" s="8">
        <v>490.00000001053508</v>
      </c>
      <c r="J10" s="8">
        <v>480.00000001031998</v>
      </c>
      <c r="K10" s="8">
        <v>515.00000001107253</v>
      </c>
      <c r="L10" s="8">
        <v>505.00000001085749</v>
      </c>
      <c r="M10" s="8">
        <v>500.00000001074994</v>
      </c>
      <c r="N10" s="8">
        <f t="shared" si="3"/>
        <v>5087.5000001093813</v>
      </c>
    </row>
    <row r="11" spans="1:16" x14ac:dyDescent="0.35">
      <c r="A11" s="5" t="s">
        <v>68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f t="shared" si="3"/>
        <v>0</v>
      </c>
    </row>
    <row r="12" spans="1:16" s="2" customFormat="1" x14ac:dyDescent="0.35">
      <c r="A12" s="9" t="s">
        <v>18</v>
      </c>
      <c r="B12" s="11">
        <f t="shared" ref="B12:N12" si="4">B5/B8</f>
        <v>14.175717675817985</v>
      </c>
      <c r="C12" s="11">
        <f t="shared" si="4"/>
        <v>13.566764960331852</v>
      </c>
      <c r="D12" s="11">
        <f t="shared" si="4"/>
        <v>12.781438259418879</v>
      </c>
      <c r="E12" s="11">
        <f t="shared" si="4"/>
        <v>14.541236719327561</v>
      </c>
      <c r="F12" s="11">
        <f t="shared" si="4"/>
        <v>15.318094022954753</v>
      </c>
      <c r="G12" s="11">
        <f t="shared" si="4"/>
        <v>14.13372876181503</v>
      </c>
      <c r="H12" s="11">
        <f t="shared" si="4"/>
        <v>14.375590124281093</v>
      </c>
      <c r="I12" s="11">
        <f t="shared" si="4"/>
        <v>13.596878717074556</v>
      </c>
      <c r="J12" s="11">
        <f t="shared" si="4"/>
        <v>13.50748111113589</v>
      </c>
      <c r="K12" s="11">
        <f t="shared" si="4"/>
        <v>13.18737378877247</v>
      </c>
      <c r="L12" s="11">
        <f t="shared" si="4"/>
        <v>12.538080865778431</v>
      </c>
      <c r="M12" s="11">
        <f t="shared" si="4"/>
        <v>12.204340355967286</v>
      </c>
      <c r="N12" s="11">
        <f t="shared" si="4"/>
        <v>13.627982473130343</v>
      </c>
    </row>
    <row r="13" spans="1:16" s="2" customFormat="1" x14ac:dyDescent="0.35">
      <c r="A13" s="9" t="s">
        <v>19</v>
      </c>
      <c r="B13" s="10">
        <f>SUM(B14:B16)</f>
        <v>541.75000001155615</v>
      </c>
      <c r="C13" s="10">
        <f t="shared" ref="C13:M13" si="5">SUM(C14:C16)</f>
        <v>536.75000001144849</v>
      </c>
      <c r="D13" s="10">
        <f t="shared" si="5"/>
        <v>541.75000001155615</v>
      </c>
      <c r="E13" s="10">
        <f t="shared" si="5"/>
        <v>551.75000001155638</v>
      </c>
      <c r="F13" s="10">
        <f t="shared" si="5"/>
        <v>551.75000001155627</v>
      </c>
      <c r="G13" s="10">
        <f t="shared" si="5"/>
        <v>551.75000001155627</v>
      </c>
      <c r="H13" s="10">
        <f t="shared" si="5"/>
        <v>635.75000001311491</v>
      </c>
      <c r="I13" s="10">
        <f t="shared" si="5"/>
        <v>637.75000001343756</v>
      </c>
      <c r="J13" s="10">
        <f t="shared" si="5"/>
        <v>637.75000001343744</v>
      </c>
      <c r="K13" s="10">
        <f t="shared" si="5"/>
        <v>637.75000001343756</v>
      </c>
      <c r="L13" s="10">
        <f t="shared" si="5"/>
        <v>637.75000001343744</v>
      </c>
      <c r="M13" s="10">
        <f t="shared" si="5"/>
        <v>637.7500000133299</v>
      </c>
      <c r="N13" s="10">
        <f>SUM(B13:M13)</f>
        <v>7100.0000001494254</v>
      </c>
    </row>
    <row r="14" spans="1:16" x14ac:dyDescent="0.35">
      <c r="A14" s="5" t="s">
        <v>15</v>
      </c>
      <c r="B14" s="8">
        <v>192.50000000413874</v>
      </c>
      <c r="C14" s="8">
        <v>187.50000000403122</v>
      </c>
      <c r="D14" s="8">
        <v>192.50000000413874</v>
      </c>
      <c r="E14" s="8">
        <v>190.00000000408502</v>
      </c>
      <c r="F14" s="8">
        <v>185.0000000039775</v>
      </c>
      <c r="G14" s="8">
        <v>155.00000000333253</v>
      </c>
      <c r="H14" s="8">
        <v>130.00000000279499</v>
      </c>
      <c r="I14" s="8">
        <v>135.00000000290248</v>
      </c>
      <c r="J14" s="8">
        <v>145.00000000311749</v>
      </c>
      <c r="K14" s="8">
        <v>110.00000000236497</v>
      </c>
      <c r="L14" s="8">
        <v>120.00000000257998</v>
      </c>
      <c r="M14" s="8">
        <v>120.00000000257998</v>
      </c>
      <c r="N14" s="8">
        <f t="shared" ref="N14:N16" si="6">SUM(B14:M14)</f>
        <v>1862.5000000400439</v>
      </c>
    </row>
    <row r="15" spans="1:16" x14ac:dyDescent="0.35">
      <c r="A15" s="5" t="s">
        <v>16</v>
      </c>
      <c r="B15" s="8">
        <v>345.00000000741744</v>
      </c>
      <c r="C15" s="8">
        <v>345.00000000741733</v>
      </c>
      <c r="D15" s="8">
        <v>345.00000000741738</v>
      </c>
      <c r="E15" s="8">
        <v>349.00000000747139</v>
      </c>
      <c r="F15" s="8">
        <v>354.00000000757876</v>
      </c>
      <c r="G15" s="8">
        <v>384.00000000822376</v>
      </c>
      <c r="H15" s="8">
        <v>493.00000001031987</v>
      </c>
      <c r="I15" s="8">
        <v>490.00000001053502</v>
      </c>
      <c r="J15" s="8">
        <v>480.00000001031998</v>
      </c>
      <c r="K15" s="8">
        <v>515.00000001107253</v>
      </c>
      <c r="L15" s="8">
        <v>505.00000001085743</v>
      </c>
      <c r="M15" s="8">
        <v>505.00000001074989</v>
      </c>
      <c r="N15" s="8">
        <f t="shared" si="6"/>
        <v>5110.0000001093813</v>
      </c>
    </row>
    <row r="16" spans="1:16" x14ac:dyDescent="0.35">
      <c r="A16" s="5" t="s">
        <v>68</v>
      </c>
      <c r="B16" s="8">
        <v>4.25</v>
      </c>
      <c r="C16" s="8">
        <v>4.25</v>
      </c>
      <c r="D16" s="8">
        <v>4.25</v>
      </c>
      <c r="E16" s="8">
        <v>12.75</v>
      </c>
      <c r="F16" s="8">
        <v>12.75</v>
      </c>
      <c r="G16" s="8">
        <v>12.75</v>
      </c>
      <c r="H16" s="8">
        <v>12.75</v>
      </c>
      <c r="I16" s="8">
        <v>12.75</v>
      </c>
      <c r="J16" s="8">
        <v>12.75</v>
      </c>
      <c r="K16" s="8">
        <v>12.75</v>
      </c>
      <c r="L16" s="8">
        <v>12.75</v>
      </c>
      <c r="M16" s="8">
        <v>12.75</v>
      </c>
      <c r="N16" s="8">
        <f t="shared" si="6"/>
        <v>127.5</v>
      </c>
    </row>
    <row r="17" spans="1:14" s="2" customFormat="1" x14ac:dyDescent="0.35">
      <c r="A17" s="9" t="s">
        <v>20</v>
      </c>
      <c r="B17" s="11">
        <f t="shared" ref="B17:N17" si="7">B5/B13</f>
        <v>14.064509922941305</v>
      </c>
      <c r="C17" s="11">
        <f t="shared" si="7"/>
        <v>13.459342974155462</v>
      </c>
      <c r="D17" s="11">
        <f t="shared" si="7"/>
        <v>12.681168554570938</v>
      </c>
      <c r="E17" s="11">
        <f t="shared" si="7"/>
        <v>14.16568144384758</v>
      </c>
      <c r="F17" s="11">
        <f t="shared" si="7"/>
        <v>14.922474920421843</v>
      </c>
      <c r="G17" s="11">
        <f t="shared" si="7"/>
        <v>13.768698159455907</v>
      </c>
      <c r="H17" s="11">
        <f t="shared" si="7"/>
        <v>13.793330673722538</v>
      </c>
      <c r="I17" s="11">
        <f t="shared" si="7"/>
        <v>13.325047743120738</v>
      </c>
      <c r="J17" s="11">
        <f t="shared" si="7"/>
        <v>13.23743738841797</v>
      </c>
      <c r="K17" s="11">
        <f t="shared" si="7"/>
        <v>12.923729702840198</v>
      </c>
      <c r="L17" s="11">
        <f t="shared" si="7"/>
        <v>12.287417547808527</v>
      </c>
      <c r="M17" s="11">
        <f t="shared" si="7"/>
        <v>11.864666437795758</v>
      </c>
      <c r="N17" s="11">
        <f t="shared" si="7"/>
        <v>13.340067350464633</v>
      </c>
    </row>
    <row r="18" spans="1:14" s="2" customFormat="1" x14ac:dyDescent="0.35">
      <c r="A18" s="9" t="s">
        <v>21</v>
      </c>
      <c r="B18" s="10">
        <v>154.98219503174565</v>
      </c>
      <c r="C18" s="10">
        <v>150.19218160128071</v>
      </c>
      <c r="D18" s="10">
        <v>153.4445563810246</v>
      </c>
      <c r="E18" s="10">
        <v>142.73183471385479</v>
      </c>
      <c r="F18" s="10">
        <v>131.89202032321668</v>
      </c>
      <c r="G18" s="10">
        <v>90.256715538018611</v>
      </c>
      <c r="H18" s="10">
        <v>45.052828901866903</v>
      </c>
      <c r="I18" s="10">
        <v>60.104109115298094</v>
      </c>
      <c r="J18" s="10">
        <v>62.623267929485316</v>
      </c>
      <c r="K18" s="10">
        <v>73.637876407635943</v>
      </c>
      <c r="L18" s="10">
        <v>78.465631870437093</v>
      </c>
      <c r="M18" s="10">
        <v>85.419934164545566</v>
      </c>
      <c r="N18" s="10">
        <f>SUM(B18:M18)</f>
        <v>1228.8031519784099</v>
      </c>
    </row>
    <row r="19" spans="1:14" x14ac:dyDescent="0.35">
      <c r="A19" s="5" t="s">
        <v>60</v>
      </c>
      <c r="B19" s="8">
        <v>6066.6995236616567</v>
      </c>
      <c r="C19" s="8">
        <v>6061.0989599236254</v>
      </c>
      <c r="D19" s="8">
        <v>6072.9613669119926</v>
      </c>
      <c r="E19" s="8">
        <v>6113.1736688237306</v>
      </c>
      <c r="F19" s="8">
        <v>6106.3251425473118</v>
      </c>
      <c r="G19" s="8">
        <v>6216.0563483357264</v>
      </c>
      <c r="H19" s="8">
        <v>6397.4706275743638</v>
      </c>
      <c r="I19" s="8">
        <v>6374.5334781205074</v>
      </c>
      <c r="J19" s="8">
        <v>6369.4630224845687</v>
      </c>
      <c r="K19" s="8">
        <v>6395.7373996868109</v>
      </c>
      <c r="L19" s="8">
        <v>6207.9868019311343</v>
      </c>
      <c r="M19" s="8">
        <v>6224.9984283843123</v>
      </c>
      <c r="N19" s="8">
        <f>SUMPRODUCT(B19:M19,$B$18:$M$18)/SUM($B$18:$M$18)</f>
        <v>6169.7769053579887</v>
      </c>
    </row>
    <row r="20" spans="1:14" x14ac:dyDescent="0.35">
      <c r="A20" s="5" t="s">
        <v>22</v>
      </c>
      <c r="B20" s="7">
        <v>0.79938883027914631</v>
      </c>
      <c r="C20" s="7">
        <v>0.79960478901948973</v>
      </c>
      <c r="D20" s="7">
        <v>0.80630914143077848</v>
      </c>
      <c r="E20" s="7">
        <v>0.8023832108405784</v>
      </c>
      <c r="F20" s="7">
        <v>0.79513307340060657</v>
      </c>
      <c r="G20" s="7">
        <v>0.79813521543026744</v>
      </c>
      <c r="H20" s="7">
        <v>0.80005679709031075</v>
      </c>
      <c r="I20" s="7">
        <v>0.80071013621505049</v>
      </c>
      <c r="J20" s="7">
        <v>0.80424058075694882</v>
      </c>
      <c r="K20" s="7">
        <v>0.87778388186624534</v>
      </c>
      <c r="L20" s="7">
        <v>0.8910313898112916</v>
      </c>
      <c r="M20" s="7">
        <v>0.79704817292407448</v>
      </c>
      <c r="N20" s="7">
        <f t="shared" ref="N20:N23" si="8">SUMPRODUCT(B20:M20,$B$18:$M$18)/SUM($B$18:$M$18)</f>
        <v>0.81080180973763216</v>
      </c>
    </row>
    <row r="21" spans="1:14" x14ac:dyDescent="0.35">
      <c r="A21" s="5" t="s">
        <v>23</v>
      </c>
      <c r="B21" s="7">
        <v>8.593191295227772</v>
      </c>
      <c r="C21" s="7">
        <v>8.57234620886004</v>
      </c>
      <c r="D21" s="7">
        <v>8.465250519512912</v>
      </c>
      <c r="E21" s="7">
        <v>8.3496537003307214</v>
      </c>
      <c r="F21" s="7">
        <v>8.4544990866224978</v>
      </c>
      <c r="G21" s="7">
        <v>8.0611615745190282</v>
      </c>
      <c r="H21" s="7">
        <v>8.0877488091247116</v>
      </c>
      <c r="I21" s="7">
        <v>8.0139288328177987</v>
      </c>
      <c r="J21" s="7">
        <v>8.0939060328843269</v>
      </c>
      <c r="K21" s="7">
        <v>8.3113444802935348</v>
      </c>
      <c r="L21" s="7">
        <v>8.6583469356862057</v>
      </c>
      <c r="M21" s="7">
        <v>8.1211955802377105</v>
      </c>
      <c r="N21" s="7">
        <f t="shared" si="8"/>
        <v>8.3745644868486551</v>
      </c>
    </row>
    <row r="22" spans="1:14" x14ac:dyDescent="0.35">
      <c r="A22" s="5" t="s">
        <v>24</v>
      </c>
      <c r="B22" s="7">
        <v>8.4967581002306591</v>
      </c>
      <c r="C22" s="7">
        <v>8.6035878182729011</v>
      </c>
      <c r="D22" s="7">
        <v>8.5701167448006466</v>
      </c>
      <c r="E22" s="7">
        <v>8.295886974501947</v>
      </c>
      <c r="F22" s="7">
        <v>8.4360235925821563</v>
      </c>
      <c r="G22" s="7">
        <v>8.1042226801207473</v>
      </c>
      <c r="H22" s="7">
        <v>7.1124622582611954</v>
      </c>
      <c r="I22" s="7">
        <v>7.0457454723190676</v>
      </c>
      <c r="J22" s="7">
        <v>7.1276118781950286</v>
      </c>
      <c r="K22" s="7">
        <v>7.1603036855222175</v>
      </c>
      <c r="L22" s="7">
        <v>7.2146756054694317</v>
      </c>
      <c r="M22" s="7">
        <v>7.540279131288111</v>
      </c>
      <c r="N22" s="7">
        <f t="shared" si="8"/>
        <v>8.0403443049370615</v>
      </c>
    </row>
    <row r="23" spans="1:14" x14ac:dyDescent="0.35">
      <c r="A23" s="5" t="s">
        <v>25</v>
      </c>
      <c r="B23" s="7">
        <v>13.522120419071236</v>
      </c>
      <c r="C23" s="7">
        <v>13.628950137113483</v>
      </c>
      <c r="D23" s="7">
        <v>13.595479063641227</v>
      </c>
      <c r="E23" s="7">
        <v>13.321249293342527</v>
      </c>
      <c r="F23" s="7">
        <v>13.461385911422735</v>
      </c>
      <c r="G23" s="7">
        <v>13.129584998961327</v>
      </c>
      <c r="H23" s="7">
        <v>12.137824577101776</v>
      </c>
      <c r="I23" s="7">
        <v>12.071107791159649</v>
      </c>
      <c r="J23" s="7">
        <v>12.152974197035608</v>
      </c>
      <c r="K23" s="7">
        <v>12.185666004362798</v>
      </c>
      <c r="L23" s="7">
        <v>12.240037924310013</v>
      </c>
      <c r="M23" s="7">
        <v>12.565641450128691</v>
      </c>
      <c r="N23" s="7">
        <f t="shared" si="8"/>
        <v>13.065706623777643</v>
      </c>
    </row>
    <row r="24" spans="1:14" s="2" customFormat="1" x14ac:dyDescent="0.35">
      <c r="A24" s="9" t="s">
        <v>26</v>
      </c>
      <c r="B24" s="10">
        <v>37.517804972393101</v>
      </c>
      <c r="C24" s="10">
        <v>37.307818402750534</v>
      </c>
      <c r="D24" s="10">
        <v>39.055443623114158</v>
      </c>
      <c r="E24" s="10">
        <v>47.268165290230215</v>
      </c>
      <c r="F24" s="10">
        <v>53.107979680760806</v>
      </c>
      <c r="G24" s="10">
        <v>64.74328446531392</v>
      </c>
      <c r="H24" s="10">
        <v>84.947171100928088</v>
      </c>
      <c r="I24" s="10">
        <v>74.895890887604395</v>
      </c>
      <c r="J24" s="10">
        <v>82.376732073632169</v>
      </c>
      <c r="K24" s="10">
        <v>36.362123594729042</v>
      </c>
      <c r="L24" s="10">
        <v>41.534368132142887</v>
      </c>
      <c r="M24" s="10">
        <v>34.580065838034407</v>
      </c>
      <c r="N24" s="10">
        <f>SUM(B24:M24)</f>
        <v>633.69684806163377</v>
      </c>
    </row>
    <row r="25" spans="1:14" x14ac:dyDescent="0.35">
      <c r="A25" s="5" t="s">
        <v>60</v>
      </c>
      <c r="B25" s="8">
        <v>5995.4057681473259</v>
      </c>
      <c r="C25" s="8">
        <v>6102.8668263893796</v>
      </c>
      <c r="D25" s="8">
        <v>6012.8802747593891</v>
      </c>
      <c r="E25" s="8">
        <v>5956.2490886453397</v>
      </c>
      <c r="F25" s="8">
        <v>5900.9820142427507</v>
      </c>
      <c r="G25" s="8">
        <v>5903.8514241921393</v>
      </c>
      <c r="H25" s="8">
        <v>5953.1500966248623</v>
      </c>
      <c r="I25" s="8">
        <v>5935.2902531242025</v>
      </c>
      <c r="J25" s="8">
        <v>5994.0693909965221</v>
      </c>
      <c r="K25" s="8">
        <v>5972.6070218426266</v>
      </c>
      <c r="L25" s="8">
        <v>5974.5066679245583</v>
      </c>
      <c r="M25" s="8">
        <v>5973.0937532392509</v>
      </c>
      <c r="N25" s="8">
        <f>SUMPRODUCT(B25:M25,$B$24:$M$24)/SUM($B$24:$M$24)</f>
        <v>5965.7827396699631</v>
      </c>
    </row>
    <row r="26" spans="1:14" x14ac:dyDescent="0.35">
      <c r="A26" s="5" t="s">
        <v>22</v>
      </c>
      <c r="B26" s="7">
        <v>2.4295613389229067</v>
      </c>
      <c r="C26" s="7">
        <v>2.4050655472408091</v>
      </c>
      <c r="D26" s="7">
        <v>2.5318666130721192</v>
      </c>
      <c r="E26" s="7">
        <v>2.5966145443649666</v>
      </c>
      <c r="F26" s="7">
        <v>2.6452674432660652</v>
      </c>
      <c r="G26" s="7">
        <v>2.7646956869678796</v>
      </c>
      <c r="H26" s="7">
        <v>2.7577905061835821</v>
      </c>
      <c r="I26" s="7">
        <v>2.7055365434574292</v>
      </c>
      <c r="J26" s="7">
        <v>2.643182170730336</v>
      </c>
      <c r="K26" s="7">
        <v>2.4886633195301315</v>
      </c>
      <c r="L26" s="7">
        <v>2.384214949856013</v>
      </c>
      <c r="M26" s="7">
        <v>1.9721835230281968</v>
      </c>
      <c r="N26" s="7">
        <f t="shared" ref="N26:N29" si="9">SUMPRODUCT(B26:M26,$B$24:$M$24)/SUM($B$24:$M$24)</f>
        <v>2.5790489447985023</v>
      </c>
    </row>
    <row r="27" spans="1:14" x14ac:dyDescent="0.35">
      <c r="A27" s="5" t="s">
        <v>23</v>
      </c>
      <c r="B27" s="7">
        <v>13.650338133390873</v>
      </c>
      <c r="C27" s="7">
        <v>13.072659982013985</v>
      </c>
      <c r="D27" s="7">
        <v>13.536180359290373</v>
      </c>
      <c r="E27" s="7">
        <v>14.197738944160342</v>
      </c>
      <c r="F27" s="7">
        <v>14.748210087127436</v>
      </c>
      <c r="G27" s="7">
        <v>14.555829258716642</v>
      </c>
      <c r="H27" s="7">
        <v>13.682948785674105</v>
      </c>
      <c r="I27" s="7">
        <v>14.423529656510109</v>
      </c>
      <c r="J27" s="7">
        <v>13.830266694421123</v>
      </c>
      <c r="K27" s="7">
        <v>13.802136340491229</v>
      </c>
      <c r="L27" s="7">
        <v>13.963262263577962</v>
      </c>
      <c r="M27" s="7">
        <v>13.239604954281964</v>
      </c>
      <c r="N27" s="7">
        <f t="shared" si="9"/>
        <v>13.960595439757462</v>
      </c>
    </row>
    <row r="28" spans="1:14" x14ac:dyDescent="0.35">
      <c r="A28" s="5" t="s">
        <v>24</v>
      </c>
      <c r="B28" s="7">
        <v>6.0446714187122899</v>
      </c>
      <c r="C28" s="7">
        <v>6.0271092018648948</v>
      </c>
      <c r="D28" s="7">
        <v>6.0381378037085476</v>
      </c>
      <c r="E28" s="7">
        <v>6.0670306006769152</v>
      </c>
      <c r="F28" s="7">
        <v>6.0650681974266973</v>
      </c>
      <c r="G28" s="7">
        <v>7.0545207424561021</v>
      </c>
      <c r="H28" s="7">
        <v>6.8576284528796458</v>
      </c>
      <c r="I28" s="7">
        <v>6.9141155703557073</v>
      </c>
      <c r="J28" s="7">
        <v>7.1513479824037924</v>
      </c>
      <c r="K28" s="7">
        <v>7.5030577897811339</v>
      </c>
      <c r="L28" s="7">
        <v>7.5101273468544756</v>
      </c>
      <c r="M28" s="7">
        <v>7.123713872317385</v>
      </c>
      <c r="N28" s="7">
        <f t="shared" si="9"/>
        <v>6.7439986369460003</v>
      </c>
    </row>
    <row r="29" spans="1:14" x14ac:dyDescent="0.35">
      <c r="A29" s="5" t="s">
        <v>25</v>
      </c>
      <c r="B29" s="7">
        <v>11.070033737552869</v>
      </c>
      <c r="C29" s="7">
        <v>11.052471520705474</v>
      </c>
      <c r="D29" s="7">
        <v>11.063500122549128</v>
      </c>
      <c r="E29" s="7">
        <v>11.092392919517495</v>
      </c>
      <c r="F29" s="7">
        <v>11.090430516267276</v>
      </c>
      <c r="G29" s="7">
        <v>12.07988306129668</v>
      </c>
      <c r="H29" s="7">
        <v>11.882990771720229</v>
      </c>
      <c r="I29" s="7">
        <v>11.939477889196286</v>
      </c>
      <c r="J29" s="7">
        <v>12.176710301244373</v>
      </c>
      <c r="K29" s="7">
        <v>12.528420108621715</v>
      </c>
      <c r="L29" s="7">
        <v>12.535489665695055</v>
      </c>
      <c r="M29" s="7">
        <v>12.149076191157965</v>
      </c>
      <c r="N29" s="7">
        <f t="shared" si="9"/>
        <v>11.769360955786579</v>
      </c>
    </row>
    <row r="30" spans="1:14" s="2" customFormat="1" x14ac:dyDescent="0.35">
      <c r="A30" s="9" t="s">
        <v>27</v>
      </c>
      <c r="B30" s="10">
        <v>3.3845712783206716</v>
      </c>
      <c r="C30" s="10">
        <v>2.1986171307373499</v>
      </c>
      <c r="D30" s="10">
        <v>2.3031177893122021</v>
      </c>
      <c r="E30" s="10">
        <v>2.7672070184371251</v>
      </c>
      <c r="F30" s="10">
        <v>1.8758652434621963</v>
      </c>
      <c r="G30" s="10">
        <v>1.1105574718538087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f>SUM(B30:M30)</f>
        <v>13.639935932123354</v>
      </c>
    </row>
    <row r="31" spans="1:14" x14ac:dyDescent="0.35">
      <c r="A31" s="5" t="s">
        <v>60</v>
      </c>
      <c r="B31" s="8">
        <v>5821.8830389301438</v>
      </c>
      <c r="C31" s="8">
        <v>5816.4870718851098</v>
      </c>
      <c r="D31" s="8">
        <v>5824.2204187161951</v>
      </c>
      <c r="E31" s="8">
        <v>5826.2222569118403</v>
      </c>
      <c r="F31" s="8">
        <v>5821.6227744855487</v>
      </c>
      <c r="G31" s="8">
        <v>5824.0809155002926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f>SUMPRODUCT(B31:M31,$B$30:$M$30)/SUM($B$30:$M$30)</f>
        <v>5822.4314107916898</v>
      </c>
    </row>
    <row r="32" spans="1:14" x14ac:dyDescent="0.35">
      <c r="A32" s="5" t="s">
        <v>22</v>
      </c>
      <c r="B32" s="7">
        <v>0.89812632418464311</v>
      </c>
      <c r="C32" s="7">
        <v>0.89994493621741711</v>
      </c>
      <c r="D32" s="7">
        <v>0.90129646914644679</v>
      </c>
      <c r="E32" s="7">
        <v>0.90153153628846394</v>
      </c>
      <c r="F32" s="7">
        <v>0.9029212669795168</v>
      </c>
      <c r="G32" s="7">
        <v>0.90325731755353178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f t="shared" ref="N32:N35" si="10">SUMPRODUCT(B32:M32,$B$30:$M$30)/SUM($B$30:$M$30)</f>
        <v>0.90072278104426418</v>
      </c>
    </row>
    <row r="33" spans="1:14" x14ac:dyDescent="0.35">
      <c r="A33" s="5" t="s">
        <v>23</v>
      </c>
      <c r="B33" s="7">
        <v>8.66424594683774</v>
      </c>
      <c r="C33" s="7">
        <v>8.6537904008900739</v>
      </c>
      <c r="D33" s="7">
        <v>8.6423872541014521</v>
      </c>
      <c r="E33" s="7">
        <v>8.5289327371516634</v>
      </c>
      <c r="F33" s="7">
        <v>8.5159534696087835</v>
      </c>
      <c r="G33" s="7">
        <v>8.5014971668605828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f t="shared" si="10"/>
        <v>8.5977728246687075</v>
      </c>
    </row>
    <row r="34" spans="1:14" x14ac:dyDescent="0.35">
      <c r="A34" s="5" t="s">
        <v>24</v>
      </c>
      <c r="B34" s="7">
        <v>11.332980559812546</v>
      </c>
      <c r="C34" s="7">
        <v>11.33686874989186</v>
      </c>
      <c r="D34" s="7">
        <v>11.369267800815926</v>
      </c>
      <c r="E34" s="7">
        <v>11.35012826840938</v>
      </c>
      <c r="F34" s="7">
        <v>11.399581208015936</v>
      </c>
      <c r="G34" s="7">
        <v>11.357707284097838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f t="shared" si="10"/>
        <v>11.354385937535314</v>
      </c>
    </row>
    <row r="35" spans="1:14" x14ac:dyDescent="0.35">
      <c r="A35" s="5" t="s">
        <v>25</v>
      </c>
      <c r="B35" s="7">
        <v>16.332980559812547</v>
      </c>
      <c r="C35" s="7">
        <v>16.33686874989186</v>
      </c>
      <c r="D35" s="7">
        <v>16.369267800815926</v>
      </c>
      <c r="E35" s="7">
        <v>16.350128268409382</v>
      </c>
      <c r="F35" s="7">
        <v>16.399581208015938</v>
      </c>
      <c r="G35" s="7">
        <v>16.357707284097838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f t="shared" si="10"/>
        <v>16.354385937535316</v>
      </c>
    </row>
    <row r="36" spans="1:14" s="2" customFormat="1" x14ac:dyDescent="0.35">
      <c r="A36" s="9" t="s">
        <v>28</v>
      </c>
      <c r="B36" s="10">
        <v>2.521882492117089</v>
      </c>
      <c r="C36" s="10">
        <v>7.2154785630134359</v>
      </c>
      <c r="D36" s="10">
        <v>26.720101190114498</v>
      </c>
      <c r="E36" s="10">
        <v>6.3272232517840097</v>
      </c>
      <c r="F36" s="10">
        <v>12.63017381605996</v>
      </c>
      <c r="G36" s="10">
        <v>4.808785062682797</v>
      </c>
      <c r="H36" s="10">
        <v>12.094950861320664</v>
      </c>
      <c r="I36" s="10">
        <v>14.998053056294571</v>
      </c>
      <c r="J36" s="10">
        <v>83.697272769729182</v>
      </c>
      <c r="K36" s="10">
        <v>94.400599271572034</v>
      </c>
      <c r="L36" s="10">
        <v>71.335320101362981</v>
      </c>
      <c r="M36" s="10">
        <v>85.965623698155213</v>
      </c>
      <c r="N36" s="10">
        <f>SUM(B36:M36)</f>
        <v>422.7154641342064</v>
      </c>
    </row>
    <row r="37" spans="1:14" x14ac:dyDescent="0.35">
      <c r="A37" s="5" t="s">
        <v>60</v>
      </c>
      <c r="B37" s="8">
        <v>6013.7439830402591</v>
      </c>
      <c r="C37" s="8">
        <v>5958.5718837654094</v>
      </c>
      <c r="D37" s="8">
        <v>6011.5142410181879</v>
      </c>
      <c r="E37" s="8">
        <v>6033.7912126391166</v>
      </c>
      <c r="F37" s="8">
        <v>5987.1311344722953</v>
      </c>
      <c r="G37" s="8">
        <v>6002.8141464546325</v>
      </c>
      <c r="H37" s="8">
        <v>6036.2059277468388</v>
      </c>
      <c r="I37" s="8">
        <v>6005.6296270049379</v>
      </c>
      <c r="J37" s="8">
        <v>5996.4182585771696</v>
      </c>
      <c r="K37" s="8">
        <v>6012.5831882377197</v>
      </c>
      <c r="L37" s="8">
        <v>6026.6617065098399</v>
      </c>
      <c r="M37" s="8">
        <v>6027.4417066915366</v>
      </c>
      <c r="N37" s="8">
        <f>SUMPRODUCT(B37:M37,$B$36:$M$36)/SUM($N$36)</f>
        <v>6013.6725198079248</v>
      </c>
    </row>
    <row r="38" spans="1:14" x14ac:dyDescent="0.35">
      <c r="A38" s="5" t="s">
        <v>22</v>
      </c>
      <c r="B38" s="7">
        <v>1.5719258596243288</v>
      </c>
      <c r="C38" s="7">
        <v>1.5704927756355485</v>
      </c>
      <c r="D38" s="7">
        <v>1.5645054910609499</v>
      </c>
      <c r="E38" s="7">
        <v>1.5541280998263451</v>
      </c>
      <c r="F38" s="7">
        <v>1.5514425548091835</v>
      </c>
      <c r="G38" s="7">
        <v>1.5490809371241008</v>
      </c>
      <c r="H38" s="7">
        <v>1.5706205123520396</v>
      </c>
      <c r="I38" s="7">
        <v>1.5667220713882541</v>
      </c>
      <c r="J38" s="7">
        <v>1.5492652356708461</v>
      </c>
      <c r="K38" s="7">
        <v>1.5532509789014217</v>
      </c>
      <c r="L38" s="7">
        <v>1.5598161852155374</v>
      </c>
      <c r="M38" s="7">
        <v>1.5724278212094895</v>
      </c>
      <c r="N38" s="7">
        <f t="shared" ref="N38:N41" si="11">SUMPRODUCT(B38:M38,$B$36:$M$36)/SUM($N$36)</f>
        <v>1.5594733437535224</v>
      </c>
    </row>
    <row r="39" spans="1:14" x14ac:dyDescent="0.35">
      <c r="A39" s="5" t="s">
        <v>23</v>
      </c>
      <c r="B39" s="7">
        <v>6.0748081545659556</v>
      </c>
      <c r="C39" s="7">
        <v>6.1530970205235906</v>
      </c>
      <c r="D39" s="7">
        <v>6.1792075534550124</v>
      </c>
      <c r="E39" s="7">
        <v>5.1976319992471325</v>
      </c>
      <c r="F39" s="7">
        <v>5.2945573330686697</v>
      </c>
      <c r="G39" s="7">
        <v>5.2369339714032916</v>
      </c>
      <c r="H39" s="7">
        <v>5.1052577356075943</v>
      </c>
      <c r="I39" s="7">
        <v>5.3674074588461043</v>
      </c>
      <c r="J39" s="7">
        <v>5.3569250734287994</v>
      </c>
      <c r="K39" s="7">
        <v>5.1696910445757469</v>
      </c>
      <c r="L39" s="7">
        <v>5.1649102507825946</v>
      </c>
      <c r="M39" s="7">
        <v>5.3009891296063767</v>
      </c>
      <c r="N39" s="7">
        <f t="shared" si="11"/>
        <v>5.3287414331663765</v>
      </c>
    </row>
    <row r="40" spans="1:14" x14ac:dyDescent="0.35">
      <c r="A40" s="5" t="s">
        <v>24</v>
      </c>
      <c r="B40" s="7">
        <v>10.127325083840056</v>
      </c>
      <c r="C40" s="7">
        <v>10.233783513685028</v>
      </c>
      <c r="D40" s="7">
        <v>10.532646696345953</v>
      </c>
      <c r="E40" s="7">
        <v>10.352599613583598</v>
      </c>
      <c r="F40" s="7">
        <v>10.781853659182515</v>
      </c>
      <c r="G40" s="7">
        <v>10.481305172848286</v>
      </c>
      <c r="H40" s="7">
        <v>10.365902833746919</v>
      </c>
      <c r="I40" s="7">
        <v>10.468448068692119</v>
      </c>
      <c r="J40" s="7">
        <v>10.443603705511876</v>
      </c>
      <c r="K40" s="7">
        <v>10.274017908609304</v>
      </c>
      <c r="L40" s="7">
        <v>10.24039726981246</v>
      </c>
      <c r="M40" s="7">
        <v>9.9507726321549459</v>
      </c>
      <c r="N40" s="7">
        <f t="shared" si="11"/>
        <v>10.279206642306004</v>
      </c>
    </row>
    <row r="41" spans="1:14" x14ac:dyDescent="0.35">
      <c r="A41" s="5" t="s">
        <v>25</v>
      </c>
      <c r="B41" s="7">
        <v>15.127325083840059</v>
      </c>
      <c r="C41" s="7">
        <v>15.233783513685026</v>
      </c>
      <c r="D41" s="7">
        <v>15.532646696345955</v>
      </c>
      <c r="E41" s="7">
        <v>15.352599613583596</v>
      </c>
      <c r="F41" s="7">
        <v>15.781853659182515</v>
      </c>
      <c r="G41" s="7">
        <v>15.481305172848288</v>
      </c>
      <c r="H41" s="7">
        <v>15.365902833746915</v>
      </c>
      <c r="I41" s="7">
        <v>15.468448068692121</v>
      </c>
      <c r="J41" s="7">
        <v>15.443603705511876</v>
      </c>
      <c r="K41" s="7">
        <v>15.274017908609304</v>
      </c>
      <c r="L41" s="7">
        <v>15.240397269812457</v>
      </c>
      <c r="M41" s="7">
        <v>14.950772632154948</v>
      </c>
      <c r="N41" s="7">
        <f t="shared" si="11"/>
        <v>15.279206642306002</v>
      </c>
    </row>
    <row r="42" spans="1:14" s="2" customFormat="1" x14ac:dyDescent="0.35">
      <c r="A42" s="9" t="s">
        <v>29</v>
      </c>
      <c r="B42" s="10">
        <v>339.09354623697971</v>
      </c>
      <c r="C42" s="10">
        <v>335.58590431366656</v>
      </c>
      <c r="D42" s="10">
        <v>315.97678102799074</v>
      </c>
      <c r="E42" s="10">
        <v>339.90556973725023</v>
      </c>
      <c r="F42" s="10">
        <v>339.49396094805661</v>
      </c>
      <c r="G42" s="10">
        <v>378.08065747368715</v>
      </c>
      <c r="H42" s="10">
        <v>480.90504914899924</v>
      </c>
      <c r="I42" s="10">
        <v>475.00194695424045</v>
      </c>
      <c r="J42" s="10">
        <v>396.3027272405908</v>
      </c>
      <c r="K42" s="10">
        <v>420.59940073950054</v>
      </c>
      <c r="L42" s="10">
        <v>433.6646799094944</v>
      </c>
      <c r="M42" s="10">
        <v>419.03437631259465</v>
      </c>
      <c r="N42" s="10">
        <f>SUM(B42:M42)</f>
        <v>4673.6446000430515</v>
      </c>
    </row>
    <row r="43" spans="1:14" x14ac:dyDescent="0.35">
      <c r="A43" s="5" t="s">
        <v>60</v>
      </c>
      <c r="B43" s="8">
        <v>5916.7972906941595</v>
      </c>
      <c r="C43" s="8">
        <v>5925.4345063142891</v>
      </c>
      <c r="D43" s="8">
        <v>5916.7949036737691</v>
      </c>
      <c r="E43" s="8">
        <v>5912.980952840614</v>
      </c>
      <c r="F43" s="8">
        <v>5924.7514756611617</v>
      </c>
      <c r="G43" s="8">
        <v>5924.6892633555917</v>
      </c>
      <c r="H43" s="8">
        <v>5904.229432754244</v>
      </c>
      <c r="I43" s="8">
        <v>5885.0998442747577</v>
      </c>
      <c r="J43" s="8">
        <v>5912.8315469654126</v>
      </c>
      <c r="K43" s="8">
        <v>5911.5993544817393</v>
      </c>
      <c r="L43" s="8">
        <v>5931.5837237163742</v>
      </c>
      <c r="M43" s="8">
        <v>5905.9087610383558</v>
      </c>
      <c r="N43" s="8">
        <f>SUMPRODUCT(B43:M43,$B$43:$M$43)/SUM($B$43:$M$43)</f>
        <v>5914.4155370661638</v>
      </c>
    </row>
    <row r="44" spans="1:14" x14ac:dyDescent="0.35">
      <c r="A44" s="5" t="s">
        <v>22</v>
      </c>
      <c r="B44" s="7">
        <v>2.4966476929177563</v>
      </c>
      <c r="C44" s="7">
        <v>2.3877689379253044</v>
      </c>
      <c r="D44" s="7">
        <v>2.3757583063015502</v>
      </c>
      <c r="E44" s="7">
        <v>2.4775564096655827</v>
      </c>
      <c r="F44" s="7">
        <v>2.374329394428345</v>
      </c>
      <c r="G44" s="7">
        <v>2.3234040146916115</v>
      </c>
      <c r="H44" s="7">
        <v>2.4257585660475254</v>
      </c>
      <c r="I44" s="7">
        <v>2.4636130645651053</v>
      </c>
      <c r="J44" s="7">
        <v>2.4167182192891019</v>
      </c>
      <c r="K44" s="7">
        <v>2.4357905437595275</v>
      </c>
      <c r="L44" s="7">
        <v>2.3205566532405477</v>
      </c>
      <c r="M44" s="7">
        <v>2.4316069716957789</v>
      </c>
      <c r="N44" s="7">
        <f t="shared" ref="N44:N47" si="12">SUMPRODUCT(B44:M44,$B$43:$M$43)/SUM($B$43:$M$43)</f>
        <v>2.4107218075517403</v>
      </c>
    </row>
    <row r="45" spans="1:14" x14ac:dyDescent="0.35">
      <c r="A45" s="5" t="s">
        <v>23</v>
      </c>
      <c r="B45" s="7">
        <v>5.9842872271090917</v>
      </c>
      <c r="C45" s="7">
        <v>5.6662583965414441</v>
      </c>
      <c r="D45" s="7">
        <v>5.7800832870181598</v>
      </c>
      <c r="E45" s="7">
        <v>5.6993194464212262</v>
      </c>
      <c r="F45" s="7">
        <v>5.5739932443182454</v>
      </c>
      <c r="G45" s="7">
        <v>5.7147496734423422</v>
      </c>
      <c r="H45" s="7">
        <v>5.7034798554012829</v>
      </c>
      <c r="I45" s="7">
        <v>5.9277179055499509</v>
      </c>
      <c r="J45" s="7">
        <v>5.6702116883273499</v>
      </c>
      <c r="K45" s="7">
        <v>5.6370679249355851</v>
      </c>
      <c r="L45" s="7">
        <v>5.5901854958066695</v>
      </c>
      <c r="M45" s="7">
        <v>5.6938518419828652</v>
      </c>
      <c r="N45" s="7">
        <f t="shared" si="12"/>
        <v>5.7199741396739743</v>
      </c>
    </row>
    <row r="46" spans="1:14" x14ac:dyDescent="0.35">
      <c r="A46" s="5" t="s">
        <v>24</v>
      </c>
      <c r="B46" s="7">
        <v>10.283641671440318</v>
      </c>
      <c r="C46" s="7">
        <v>10.556237677028596</v>
      </c>
      <c r="D46" s="7">
        <v>10.683766753314643</v>
      </c>
      <c r="E46" s="7">
        <v>10.487339002148291</v>
      </c>
      <c r="F46" s="7">
        <v>10.689785351050897</v>
      </c>
      <c r="G46" s="7">
        <v>10.72389304702777</v>
      </c>
      <c r="H46" s="7">
        <v>10.619717599103479</v>
      </c>
      <c r="I46" s="7">
        <v>10.523637825608192</v>
      </c>
      <c r="J46" s="7">
        <v>10.478050145007465</v>
      </c>
      <c r="K46" s="7">
        <v>10.497093228274611</v>
      </c>
      <c r="L46" s="7">
        <v>10.552452127746783</v>
      </c>
      <c r="M46" s="7">
        <v>10.601733003407114</v>
      </c>
      <c r="N46" s="7">
        <f t="shared" si="12"/>
        <v>10.558154609501265</v>
      </c>
    </row>
    <row r="47" spans="1:14" x14ac:dyDescent="0.35">
      <c r="A47" s="5" t="s">
        <v>25</v>
      </c>
      <c r="B47" s="7">
        <v>15.283641671440318</v>
      </c>
      <c r="C47" s="7">
        <v>15.556237677028594</v>
      </c>
      <c r="D47" s="7">
        <v>15.683766753314643</v>
      </c>
      <c r="E47" s="7">
        <v>15.487339002148289</v>
      </c>
      <c r="F47" s="7">
        <v>15.689785351050896</v>
      </c>
      <c r="G47" s="7">
        <v>15.72389304702777</v>
      </c>
      <c r="H47" s="7">
        <v>15.619717599103481</v>
      </c>
      <c r="I47" s="7">
        <v>15.523637825608189</v>
      </c>
      <c r="J47" s="7">
        <v>15.478050145007463</v>
      </c>
      <c r="K47" s="7">
        <v>15.497093228274609</v>
      </c>
      <c r="L47" s="7">
        <v>15.552452127746781</v>
      </c>
      <c r="M47" s="7">
        <v>15.601733003407109</v>
      </c>
      <c r="N47" s="7">
        <f t="shared" si="12"/>
        <v>15.558154609501264</v>
      </c>
    </row>
    <row r="48" spans="1:14" s="2" customFormat="1" x14ac:dyDescent="0.35">
      <c r="A48" s="9" t="s">
        <v>68</v>
      </c>
      <c r="B48" s="10">
        <v>4.25</v>
      </c>
      <c r="C48" s="10">
        <v>4.25</v>
      </c>
      <c r="D48" s="10">
        <v>4.25</v>
      </c>
      <c r="E48" s="10">
        <v>12.75</v>
      </c>
      <c r="F48" s="10">
        <v>12.75</v>
      </c>
      <c r="G48" s="10">
        <v>12.75</v>
      </c>
      <c r="H48" s="10">
        <v>12.75</v>
      </c>
      <c r="I48" s="10">
        <v>12.75</v>
      </c>
      <c r="J48" s="10">
        <v>12.75</v>
      </c>
      <c r="K48" s="10">
        <v>12.75</v>
      </c>
      <c r="L48" s="10">
        <v>12.75</v>
      </c>
      <c r="M48" s="10">
        <v>12.75</v>
      </c>
      <c r="N48" s="10">
        <f>SUM(B48:M48)</f>
        <v>127.5</v>
      </c>
    </row>
    <row r="49" spans="1:16" x14ac:dyDescent="0.35">
      <c r="A49" s="5" t="s">
        <v>60</v>
      </c>
      <c r="B49" s="8">
        <v>3146.067415730337</v>
      </c>
      <c r="C49" s="8">
        <v>3146.067415730337</v>
      </c>
      <c r="D49" s="8">
        <v>3146.067415730337</v>
      </c>
      <c r="E49" s="8">
        <v>3146.067415730337</v>
      </c>
      <c r="F49" s="8">
        <v>3146.067415730337</v>
      </c>
      <c r="G49" s="8">
        <v>3146.067415730337</v>
      </c>
      <c r="H49" s="8">
        <v>3146.067415730337</v>
      </c>
      <c r="I49" s="8">
        <v>3146.067415730337</v>
      </c>
      <c r="J49" s="8">
        <v>3146.067415730337</v>
      </c>
      <c r="K49" s="8">
        <v>3146.067415730337</v>
      </c>
      <c r="L49" s="8">
        <v>3146.067415730337</v>
      </c>
      <c r="M49" s="8">
        <v>3146.067415730337</v>
      </c>
      <c r="N49" s="8">
        <f>SUMPRODUCT(B49:M49,$B$48:$M$48)/SUM($B$48:$M$48)</f>
        <v>3146.0674157303379</v>
      </c>
    </row>
    <row r="50" spans="1:16" x14ac:dyDescent="0.35">
      <c r="A50" s="5" t="s">
        <v>22</v>
      </c>
      <c r="B50" s="7">
        <v>2</v>
      </c>
      <c r="C50" s="7">
        <v>2</v>
      </c>
      <c r="D50" s="7">
        <v>2</v>
      </c>
      <c r="E50" s="7">
        <v>2</v>
      </c>
      <c r="F50" s="7">
        <v>2</v>
      </c>
      <c r="G50" s="7">
        <v>2</v>
      </c>
      <c r="H50" s="7">
        <v>2</v>
      </c>
      <c r="I50" s="7">
        <v>2</v>
      </c>
      <c r="J50" s="7">
        <v>2</v>
      </c>
      <c r="K50" s="7">
        <v>2</v>
      </c>
      <c r="L50" s="7">
        <v>2</v>
      </c>
      <c r="M50" s="7">
        <v>2</v>
      </c>
      <c r="N50" s="7">
        <f t="shared" ref="N50:N53" si="13">SUMPRODUCT(B50:M50,$B$48:$M$48)/SUM($B$48:$M$48)</f>
        <v>2</v>
      </c>
    </row>
    <row r="51" spans="1:16" x14ac:dyDescent="0.35">
      <c r="A51" s="5" t="s">
        <v>23</v>
      </c>
      <c r="B51" s="7">
        <v>40</v>
      </c>
      <c r="C51" s="7">
        <v>40</v>
      </c>
      <c r="D51" s="7">
        <v>40</v>
      </c>
      <c r="E51" s="7">
        <v>40</v>
      </c>
      <c r="F51" s="7">
        <v>40</v>
      </c>
      <c r="G51" s="7">
        <v>40</v>
      </c>
      <c r="H51" s="7">
        <v>40</v>
      </c>
      <c r="I51" s="7">
        <v>40</v>
      </c>
      <c r="J51" s="7">
        <v>40</v>
      </c>
      <c r="K51" s="7">
        <v>40</v>
      </c>
      <c r="L51" s="7">
        <v>40</v>
      </c>
      <c r="M51" s="7">
        <v>40</v>
      </c>
      <c r="N51" s="7">
        <f t="shared" si="13"/>
        <v>40</v>
      </c>
    </row>
    <row r="52" spans="1:16" x14ac:dyDescent="0.35">
      <c r="A52" s="5" t="s">
        <v>24</v>
      </c>
      <c r="B52" s="7">
        <v>11</v>
      </c>
      <c r="C52" s="7">
        <v>11</v>
      </c>
      <c r="D52" s="7">
        <v>11</v>
      </c>
      <c r="E52" s="7">
        <v>11</v>
      </c>
      <c r="F52" s="7">
        <v>11</v>
      </c>
      <c r="G52" s="7">
        <v>11</v>
      </c>
      <c r="H52" s="7">
        <v>11</v>
      </c>
      <c r="I52" s="7">
        <v>11</v>
      </c>
      <c r="J52" s="7">
        <v>11</v>
      </c>
      <c r="K52" s="7">
        <v>11</v>
      </c>
      <c r="L52" s="7">
        <v>11</v>
      </c>
      <c r="M52" s="7">
        <v>11</v>
      </c>
      <c r="N52" s="7">
        <f t="shared" si="13"/>
        <v>11</v>
      </c>
    </row>
    <row r="53" spans="1:16" x14ac:dyDescent="0.35">
      <c r="A53" s="5" t="s">
        <v>25</v>
      </c>
      <c r="B53" s="7">
        <v>20</v>
      </c>
      <c r="C53" s="7">
        <v>20</v>
      </c>
      <c r="D53" s="7">
        <v>20</v>
      </c>
      <c r="E53" s="7">
        <v>20</v>
      </c>
      <c r="F53" s="7">
        <v>20</v>
      </c>
      <c r="G53" s="7">
        <v>20</v>
      </c>
      <c r="H53" s="7">
        <v>20</v>
      </c>
      <c r="I53" s="7">
        <v>20</v>
      </c>
      <c r="J53" s="7">
        <v>20</v>
      </c>
      <c r="K53" s="7">
        <v>20</v>
      </c>
      <c r="L53" s="7">
        <v>20</v>
      </c>
      <c r="M53" s="7">
        <v>20</v>
      </c>
      <c r="N53" s="7">
        <f t="shared" si="13"/>
        <v>20</v>
      </c>
    </row>
    <row r="54" spans="1:16" x14ac:dyDescent="0.3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6" x14ac:dyDescent="0.35">
      <c r="A55" s="6" t="s">
        <v>31</v>
      </c>
      <c r="B55" s="6" t="s">
        <v>1</v>
      </c>
      <c r="C55" s="6" t="s">
        <v>2</v>
      </c>
      <c r="D55" s="6" t="s">
        <v>3</v>
      </c>
      <c r="E55" s="6" t="s">
        <v>4</v>
      </c>
      <c r="F55" s="6" t="s">
        <v>5</v>
      </c>
      <c r="G55" s="6" t="s">
        <v>6</v>
      </c>
      <c r="H55" s="6" t="s">
        <v>7</v>
      </c>
      <c r="I55" s="6" t="s">
        <v>8</v>
      </c>
      <c r="J55" s="6" t="s">
        <v>9</v>
      </c>
      <c r="K55" s="6" t="s">
        <v>10</v>
      </c>
      <c r="L55" s="6" t="s">
        <v>11</v>
      </c>
      <c r="M55" s="6" t="s">
        <v>12</v>
      </c>
      <c r="N55" s="6" t="s">
        <v>13</v>
      </c>
      <c r="O55" s="4"/>
    </row>
    <row r="56" spans="1:16" s="2" customFormat="1" x14ac:dyDescent="0.35">
      <c r="A56" s="9" t="s">
        <v>14</v>
      </c>
      <c r="B56" s="10">
        <f t="shared" ref="B56:N56" si="14">SUM(B57:B59)</f>
        <v>4195</v>
      </c>
      <c r="C56" s="10">
        <f t="shared" si="14"/>
        <v>4015</v>
      </c>
      <c r="D56" s="10">
        <f t="shared" si="14"/>
        <v>4020</v>
      </c>
      <c r="E56" s="10">
        <f t="shared" si="14"/>
        <v>4250</v>
      </c>
      <c r="F56" s="10">
        <f t="shared" si="14"/>
        <v>4410</v>
      </c>
      <c r="G56" s="10">
        <f t="shared" si="14"/>
        <v>4660</v>
      </c>
      <c r="H56" s="10">
        <f t="shared" si="14"/>
        <v>4720</v>
      </c>
      <c r="I56" s="10">
        <f t="shared" si="14"/>
        <v>5055</v>
      </c>
      <c r="J56" s="10">
        <f t="shared" si="14"/>
        <v>4740</v>
      </c>
      <c r="K56" s="10">
        <f t="shared" si="14"/>
        <v>3990</v>
      </c>
      <c r="L56" s="10">
        <f t="shared" si="14"/>
        <v>3805</v>
      </c>
      <c r="M56" s="10">
        <f t="shared" si="14"/>
        <v>3790</v>
      </c>
      <c r="N56" s="10">
        <f t="shared" si="14"/>
        <v>51650</v>
      </c>
      <c r="P56" s="1" t="s">
        <v>61</v>
      </c>
    </row>
    <row r="57" spans="1:16" x14ac:dyDescent="0.35">
      <c r="A57" s="5" t="s">
        <v>57</v>
      </c>
      <c r="B57" s="8">
        <v>2025</v>
      </c>
      <c r="C57" s="8">
        <v>1905</v>
      </c>
      <c r="D57" s="8">
        <v>1870</v>
      </c>
      <c r="E57" s="8">
        <v>2010</v>
      </c>
      <c r="F57" s="8">
        <v>2110</v>
      </c>
      <c r="G57" s="8">
        <v>2210</v>
      </c>
      <c r="H57" s="8">
        <v>2320</v>
      </c>
      <c r="I57" s="8">
        <v>2305</v>
      </c>
      <c r="J57" s="8">
        <v>2240</v>
      </c>
      <c r="K57" s="8">
        <v>1890</v>
      </c>
      <c r="L57" s="8">
        <v>1745</v>
      </c>
      <c r="M57" s="8">
        <v>1770</v>
      </c>
      <c r="N57" s="8">
        <f t="shared" ref="N57:N59" si="15">SUM(B57:M57)</f>
        <v>24400</v>
      </c>
    </row>
    <row r="58" spans="1:16" x14ac:dyDescent="0.35">
      <c r="A58" s="5" t="s">
        <v>56</v>
      </c>
      <c r="B58" s="8">
        <v>890</v>
      </c>
      <c r="C58" s="8">
        <v>810</v>
      </c>
      <c r="D58" s="8">
        <v>750</v>
      </c>
      <c r="E58" s="8">
        <v>940</v>
      </c>
      <c r="F58" s="8">
        <v>950</v>
      </c>
      <c r="G58" s="8">
        <v>950</v>
      </c>
      <c r="H58" s="8">
        <v>1000</v>
      </c>
      <c r="I58" s="8">
        <v>1050</v>
      </c>
      <c r="J58" s="8">
        <v>950</v>
      </c>
      <c r="K58" s="8">
        <v>900</v>
      </c>
      <c r="L58" s="8">
        <v>860</v>
      </c>
      <c r="M58" s="8">
        <v>950</v>
      </c>
      <c r="N58" s="8">
        <f t="shared" si="15"/>
        <v>11000</v>
      </c>
    </row>
    <row r="59" spans="1:16" x14ac:dyDescent="0.35">
      <c r="A59" s="5" t="s">
        <v>55</v>
      </c>
      <c r="B59" s="8">
        <v>1280</v>
      </c>
      <c r="C59" s="8">
        <v>1300</v>
      </c>
      <c r="D59" s="8">
        <v>1400</v>
      </c>
      <c r="E59" s="8">
        <v>1300</v>
      </c>
      <c r="F59" s="8">
        <v>1350</v>
      </c>
      <c r="G59" s="8">
        <v>1500</v>
      </c>
      <c r="H59" s="8">
        <v>1400</v>
      </c>
      <c r="I59" s="8">
        <v>1700</v>
      </c>
      <c r="J59" s="8">
        <v>1550</v>
      </c>
      <c r="K59" s="8">
        <v>1200</v>
      </c>
      <c r="L59" s="8">
        <v>1200</v>
      </c>
      <c r="M59" s="8">
        <v>1070</v>
      </c>
      <c r="N59" s="8">
        <f t="shared" si="15"/>
        <v>16250</v>
      </c>
    </row>
    <row r="60" spans="1:16" s="2" customFormat="1" x14ac:dyDescent="0.35">
      <c r="A60" s="9" t="s">
        <v>17</v>
      </c>
      <c r="B60" s="10">
        <f t="shared" ref="B60:N60" si="16">SUM(B61:B63)</f>
        <v>200</v>
      </c>
      <c r="C60" s="10">
        <f t="shared" si="16"/>
        <v>215</v>
      </c>
      <c r="D60" s="10">
        <f t="shared" si="16"/>
        <v>217</v>
      </c>
      <c r="E60" s="10">
        <f t="shared" si="16"/>
        <v>255</v>
      </c>
      <c r="F60" s="10">
        <f t="shared" si="16"/>
        <v>285</v>
      </c>
      <c r="G60" s="10">
        <f t="shared" si="16"/>
        <v>315</v>
      </c>
      <c r="H60" s="10">
        <f t="shared" si="16"/>
        <v>310</v>
      </c>
      <c r="I60" s="10">
        <f t="shared" si="16"/>
        <v>335.38697316446883</v>
      </c>
      <c r="J60" s="10">
        <f t="shared" si="16"/>
        <v>307</v>
      </c>
      <c r="K60" s="10">
        <f t="shared" si="16"/>
        <v>300</v>
      </c>
      <c r="L60" s="10">
        <f t="shared" si="16"/>
        <v>281</v>
      </c>
      <c r="M60" s="10">
        <f t="shared" si="16"/>
        <v>280</v>
      </c>
      <c r="N60" s="10">
        <f t="shared" si="16"/>
        <v>3300.3869731644691</v>
      </c>
    </row>
    <row r="61" spans="1:16" x14ac:dyDescent="0.35">
      <c r="A61" s="5" t="s">
        <v>57</v>
      </c>
      <c r="B61" s="8">
        <v>130</v>
      </c>
      <c r="C61" s="8">
        <v>145</v>
      </c>
      <c r="D61" s="8">
        <v>150</v>
      </c>
      <c r="E61" s="8">
        <v>160</v>
      </c>
      <c r="F61" s="8">
        <v>170</v>
      </c>
      <c r="G61" s="8">
        <v>200</v>
      </c>
      <c r="H61" s="8">
        <v>195</v>
      </c>
      <c r="I61" s="8">
        <v>210</v>
      </c>
      <c r="J61" s="8">
        <v>210</v>
      </c>
      <c r="K61" s="8">
        <v>195</v>
      </c>
      <c r="L61" s="8">
        <v>180</v>
      </c>
      <c r="M61" s="8">
        <v>185</v>
      </c>
      <c r="N61" s="8">
        <f t="shared" ref="N61:N63" si="17">SUM(B61:M61)</f>
        <v>2130</v>
      </c>
    </row>
    <row r="62" spans="1:16" x14ac:dyDescent="0.35">
      <c r="A62" s="5" t="s">
        <v>56</v>
      </c>
      <c r="B62" s="8">
        <v>45</v>
      </c>
      <c r="C62" s="8">
        <v>40</v>
      </c>
      <c r="D62" s="8">
        <v>37</v>
      </c>
      <c r="E62" s="8">
        <v>45</v>
      </c>
      <c r="F62" s="8">
        <v>50</v>
      </c>
      <c r="G62" s="8">
        <v>50</v>
      </c>
      <c r="H62" s="8">
        <v>50</v>
      </c>
      <c r="I62" s="8">
        <v>55</v>
      </c>
      <c r="J62" s="8">
        <v>47</v>
      </c>
      <c r="K62" s="8">
        <v>45</v>
      </c>
      <c r="L62" s="8">
        <v>41</v>
      </c>
      <c r="M62" s="8">
        <v>45</v>
      </c>
      <c r="N62" s="8">
        <f t="shared" si="17"/>
        <v>550</v>
      </c>
    </row>
    <row r="63" spans="1:16" x14ac:dyDescent="0.35">
      <c r="A63" s="5" t="s">
        <v>55</v>
      </c>
      <c r="B63" s="8">
        <v>25</v>
      </c>
      <c r="C63" s="8">
        <v>30</v>
      </c>
      <c r="D63" s="8">
        <v>30</v>
      </c>
      <c r="E63" s="8">
        <v>50</v>
      </c>
      <c r="F63" s="8">
        <v>65</v>
      </c>
      <c r="G63" s="8">
        <v>65</v>
      </c>
      <c r="H63" s="8">
        <v>65</v>
      </c>
      <c r="I63" s="8">
        <v>70.386973164468827</v>
      </c>
      <c r="J63" s="8">
        <v>50</v>
      </c>
      <c r="K63" s="8">
        <v>60</v>
      </c>
      <c r="L63" s="8">
        <v>60</v>
      </c>
      <c r="M63" s="8">
        <v>50</v>
      </c>
      <c r="N63" s="8">
        <f t="shared" si="17"/>
        <v>620.38697316446883</v>
      </c>
    </row>
    <row r="64" spans="1:16" s="2" customFormat="1" x14ac:dyDescent="0.35">
      <c r="A64" s="9" t="s">
        <v>32</v>
      </c>
      <c r="B64" s="11">
        <f t="shared" ref="B64:N64" si="18">B56/B60</f>
        <v>20.975000000000001</v>
      </c>
      <c r="C64" s="11">
        <f t="shared" si="18"/>
        <v>18.674418604651162</v>
      </c>
      <c r="D64" s="11">
        <f t="shared" si="18"/>
        <v>18.525345622119815</v>
      </c>
      <c r="E64" s="11">
        <f t="shared" si="18"/>
        <v>16.666666666666668</v>
      </c>
      <c r="F64" s="11">
        <f t="shared" si="18"/>
        <v>15.473684210526315</v>
      </c>
      <c r="G64" s="11">
        <f t="shared" si="18"/>
        <v>14.793650793650794</v>
      </c>
      <c r="H64" s="11">
        <f t="shared" si="18"/>
        <v>15.225806451612904</v>
      </c>
      <c r="I64" s="11">
        <f t="shared" si="18"/>
        <v>15.072141748096765</v>
      </c>
      <c r="J64" s="11">
        <f t="shared" si="18"/>
        <v>15.439739413680782</v>
      </c>
      <c r="K64" s="11">
        <f t="shared" si="18"/>
        <v>13.3</v>
      </c>
      <c r="L64" s="11">
        <f t="shared" si="18"/>
        <v>13.540925266903914</v>
      </c>
      <c r="M64" s="11">
        <f t="shared" si="18"/>
        <v>13.535714285714286</v>
      </c>
      <c r="N64" s="11">
        <f t="shared" si="18"/>
        <v>15.649679998123696</v>
      </c>
    </row>
    <row r="65" spans="1:15" s="2" customFormat="1" x14ac:dyDescent="0.35">
      <c r="A65" s="9" t="s">
        <v>33</v>
      </c>
      <c r="B65" s="10">
        <f>SUM(B66:B68)</f>
        <v>217</v>
      </c>
      <c r="C65" s="10">
        <f t="shared" ref="C65:N65" si="19">SUM(C66:C68)</f>
        <v>235</v>
      </c>
      <c r="D65" s="10">
        <f t="shared" si="19"/>
        <v>258</v>
      </c>
      <c r="E65" s="10">
        <f t="shared" si="19"/>
        <v>257</v>
      </c>
      <c r="F65" s="10">
        <f t="shared" si="19"/>
        <v>290</v>
      </c>
      <c r="G65" s="10">
        <f t="shared" si="19"/>
        <v>305</v>
      </c>
      <c r="H65" s="10">
        <f t="shared" si="19"/>
        <v>315</v>
      </c>
      <c r="I65" s="10">
        <f t="shared" si="19"/>
        <v>320</v>
      </c>
      <c r="J65" s="10">
        <f t="shared" si="19"/>
        <v>285</v>
      </c>
      <c r="K65" s="10">
        <f t="shared" si="19"/>
        <v>253</v>
      </c>
      <c r="L65" s="10">
        <f t="shared" si="19"/>
        <v>242</v>
      </c>
      <c r="M65" s="10">
        <f t="shared" si="19"/>
        <v>253</v>
      </c>
      <c r="N65" s="10">
        <f t="shared" si="19"/>
        <v>3230</v>
      </c>
    </row>
    <row r="66" spans="1:15" x14ac:dyDescent="0.35">
      <c r="A66" s="5" t="s">
        <v>35</v>
      </c>
      <c r="B66" s="8">
        <f>B73</f>
        <v>110</v>
      </c>
      <c r="C66" s="8">
        <f t="shared" ref="C66:M66" si="20">C73</f>
        <v>130</v>
      </c>
      <c r="D66" s="8">
        <f t="shared" si="20"/>
        <v>130</v>
      </c>
      <c r="E66" s="8">
        <f t="shared" si="20"/>
        <v>140</v>
      </c>
      <c r="F66" s="8">
        <f t="shared" si="20"/>
        <v>150</v>
      </c>
      <c r="G66" s="8">
        <f t="shared" si="20"/>
        <v>170</v>
      </c>
      <c r="H66" s="8">
        <f t="shared" si="20"/>
        <v>170</v>
      </c>
      <c r="I66" s="8">
        <f t="shared" si="20"/>
        <v>150</v>
      </c>
      <c r="J66" s="8">
        <f t="shared" si="20"/>
        <v>155</v>
      </c>
      <c r="K66" s="8">
        <f t="shared" si="20"/>
        <v>115</v>
      </c>
      <c r="L66" s="8">
        <f t="shared" si="20"/>
        <v>115</v>
      </c>
      <c r="M66" s="8">
        <f t="shared" si="20"/>
        <v>95</v>
      </c>
      <c r="N66" s="8">
        <f t="shared" ref="N66:N71" si="21">SUM(B66:M66)</f>
        <v>1630</v>
      </c>
    </row>
    <row r="67" spans="1:15" x14ac:dyDescent="0.35">
      <c r="A67" s="5" t="s">
        <v>39</v>
      </c>
      <c r="B67" s="8">
        <f>B79</f>
        <v>100</v>
      </c>
      <c r="C67" s="8">
        <f t="shared" ref="C67:M67" si="22">C79</f>
        <v>100</v>
      </c>
      <c r="D67" s="8">
        <f t="shared" si="22"/>
        <v>120</v>
      </c>
      <c r="E67" s="8">
        <f t="shared" si="22"/>
        <v>110</v>
      </c>
      <c r="F67" s="8">
        <f t="shared" si="22"/>
        <v>130</v>
      </c>
      <c r="G67" s="8">
        <f t="shared" si="22"/>
        <v>120</v>
      </c>
      <c r="H67" s="8">
        <f t="shared" si="22"/>
        <v>130</v>
      </c>
      <c r="I67" s="8">
        <f t="shared" si="22"/>
        <v>150</v>
      </c>
      <c r="J67" s="8">
        <f t="shared" si="22"/>
        <v>120</v>
      </c>
      <c r="K67" s="8">
        <f t="shared" si="22"/>
        <v>130</v>
      </c>
      <c r="L67" s="8">
        <f t="shared" si="22"/>
        <v>120</v>
      </c>
      <c r="M67" s="8">
        <f t="shared" si="22"/>
        <v>150</v>
      </c>
      <c r="N67" s="8">
        <f t="shared" si="21"/>
        <v>1480</v>
      </c>
    </row>
    <row r="68" spans="1:15" x14ac:dyDescent="0.35">
      <c r="A68" s="5" t="s">
        <v>41</v>
      </c>
      <c r="B68" s="8">
        <f>B85</f>
        <v>7</v>
      </c>
      <c r="C68" s="8">
        <f t="shared" ref="C68:M68" si="23">C85</f>
        <v>5</v>
      </c>
      <c r="D68" s="8">
        <f t="shared" si="23"/>
        <v>8</v>
      </c>
      <c r="E68" s="8">
        <f t="shared" si="23"/>
        <v>7</v>
      </c>
      <c r="F68" s="8">
        <f t="shared" si="23"/>
        <v>10</v>
      </c>
      <c r="G68" s="8">
        <f t="shared" si="23"/>
        <v>15</v>
      </c>
      <c r="H68" s="8">
        <f t="shared" si="23"/>
        <v>15</v>
      </c>
      <c r="I68" s="8">
        <f t="shared" si="23"/>
        <v>20</v>
      </c>
      <c r="J68" s="8">
        <f t="shared" si="23"/>
        <v>10</v>
      </c>
      <c r="K68" s="8">
        <f t="shared" si="23"/>
        <v>8</v>
      </c>
      <c r="L68" s="8">
        <f t="shared" si="23"/>
        <v>7</v>
      </c>
      <c r="M68" s="8">
        <f t="shared" si="23"/>
        <v>8</v>
      </c>
      <c r="N68" s="8">
        <f t="shared" si="21"/>
        <v>120</v>
      </c>
    </row>
    <row r="69" spans="1:15" x14ac:dyDescent="0.35">
      <c r="A69" s="9" t="s">
        <v>58</v>
      </c>
      <c r="B69" s="10">
        <f>B70+B71</f>
        <v>139.1</v>
      </c>
      <c r="C69" s="10">
        <f t="shared" ref="C69:M69" si="24">C70+C71</f>
        <v>139.4</v>
      </c>
      <c r="D69" s="10">
        <f t="shared" si="24"/>
        <v>138.6</v>
      </c>
      <c r="E69" s="10">
        <f t="shared" si="24"/>
        <v>138.1</v>
      </c>
      <c r="F69" s="10">
        <f t="shared" si="24"/>
        <v>139</v>
      </c>
      <c r="G69" s="10">
        <f t="shared" si="24"/>
        <v>138.30000000000001</v>
      </c>
      <c r="H69" s="10">
        <f t="shared" si="24"/>
        <v>138.5</v>
      </c>
      <c r="I69" s="10">
        <f t="shared" si="24"/>
        <v>137.69999999999999</v>
      </c>
      <c r="J69" s="10">
        <f t="shared" si="24"/>
        <v>145.6</v>
      </c>
      <c r="K69" s="10">
        <f t="shared" si="24"/>
        <v>146.19999999999999</v>
      </c>
      <c r="L69" s="10">
        <f t="shared" si="24"/>
        <v>138.30000000000001</v>
      </c>
      <c r="M69" s="10">
        <f t="shared" si="24"/>
        <v>137.69999999999999</v>
      </c>
      <c r="N69" s="10">
        <f>SUM(B69:M69)</f>
        <v>1676.5</v>
      </c>
      <c r="O69" s="2"/>
    </row>
    <row r="70" spans="1:15" x14ac:dyDescent="0.35">
      <c r="A70" s="5" t="s">
        <v>53</v>
      </c>
      <c r="B70" s="8">
        <f>B91</f>
        <v>56.6</v>
      </c>
      <c r="C70" s="8">
        <f t="shared" ref="C70:M70" si="25">C91</f>
        <v>56.9</v>
      </c>
      <c r="D70" s="8">
        <f t="shared" si="25"/>
        <v>56.1</v>
      </c>
      <c r="E70" s="8">
        <f t="shared" si="25"/>
        <v>55.6</v>
      </c>
      <c r="F70" s="8">
        <f t="shared" si="25"/>
        <v>56.5</v>
      </c>
      <c r="G70" s="8">
        <f t="shared" si="25"/>
        <v>55.8</v>
      </c>
      <c r="H70" s="8">
        <f t="shared" si="25"/>
        <v>56</v>
      </c>
      <c r="I70" s="8">
        <f t="shared" si="25"/>
        <v>55.2</v>
      </c>
      <c r="J70" s="8">
        <f t="shared" si="25"/>
        <v>55.6</v>
      </c>
      <c r="K70" s="8">
        <f t="shared" si="25"/>
        <v>56.2</v>
      </c>
      <c r="L70" s="8">
        <f t="shared" si="25"/>
        <v>55.8</v>
      </c>
      <c r="M70" s="8">
        <f t="shared" si="25"/>
        <v>55.2</v>
      </c>
      <c r="N70" s="8">
        <f t="shared" si="21"/>
        <v>671.5</v>
      </c>
    </row>
    <row r="71" spans="1:15" x14ac:dyDescent="0.35">
      <c r="A71" s="5" t="s">
        <v>54</v>
      </c>
      <c r="B71" s="8">
        <f>B97</f>
        <v>82.5</v>
      </c>
      <c r="C71" s="8">
        <f t="shared" ref="C71:M71" si="26">C97</f>
        <v>82.5</v>
      </c>
      <c r="D71" s="8">
        <f t="shared" si="26"/>
        <v>82.5</v>
      </c>
      <c r="E71" s="8">
        <f t="shared" si="26"/>
        <v>82.5</v>
      </c>
      <c r="F71" s="8">
        <f t="shared" si="26"/>
        <v>82.5</v>
      </c>
      <c r="G71" s="8">
        <f t="shared" si="26"/>
        <v>82.5</v>
      </c>
      <c r="H71" s="8">
        <f t="shared" si="26"/>
        <v>82.5</v>
      </c>
      <c r="I71" s="8">
        <f t="shared" si="26"/>
        <v>82.5</v>
      </c>
      <c r="J71" s="8">
        <f t="shared" si="26"/>
        <v>90</v>
      </c>
      <c r="K71" s="8">
        <f t="shared" si="26"/>
        <v>90</v>
      </c>
      <c r="L71" s="8">
        <f t="shared" si="26"/>
        <v>82.5</v>
      </c>
      <c r="M71" s="8">
        <f t="shared" si="26"/>
        <v>82.5</v>
      </c>
      <c r="N71" s="8">
        <f t="shared" si="21"/>
        <v>1005</v>
      </c>
    </row>
    <row r="72" spans="1:15" s="2" customFormat="1" x14ac:dyDescent="0.35">
      <c r="A72" s="9" t="s">
        <v>34</v>
      </c>
      <c r="B72" s="11">
        <f t="shared" ref="B72:N72" si="27">B56/B65</f>
        <v>19.331797235023043</v>
      </c>
      <c r="C72" s="11">
        <f t="shared" si="27"/>
        <v>17.085106382978722</v>
      </c>
      <c r="D72" s="11">
        <f t="shared" si="27"/>
        <v>15.581395348837209</v>
      </c>
      <c r="E72" s="11">
        <f t="shared" si="27"/>
        <v>16.536964980544749</v>
      </c>
      <c r="F72" s="11">
        <f t="shared" si="27"/>
        <v>15.206896551724139</v>
      </c>
      <c r="G72" s="11">
        <f t="shared" si="27"/>
        <v>15.278688524590164</v>
      </c>
      <c r="H72" s="11">
        <f t="shared" si="27"/>
        <v>14.984126984126984</v>
      </c>
      <c r="I72" s="11">
        <f t="shared" si="27"/>
        <v>15.796875</v>
      </c>
      <c r="J72" s="11">
        <f t="shared" si="27"/>
        <v>16.631578947368421</v>
      </c>
      <c r="K72" s="11">
        <f t="shared" si="27"/>
        <v>15.770750988142293</v>
      </c>
      <c r="L72" s="11">
        <f t="shared" si="27"/>
        <v>15.723140495867769</v>
      </c>
      <c r="M72" s="11">
        <f t="shared" si="27"/>
        <v>14.980237154150197</v>
      </c>
      <c r="N72" s="11">
        <f t="shared" si="27"/>
        <v>15.990712074303406</v>
      </c>
    </row>
    <row r="73" spans="1:15" s="2" customFormat="1" x14ac:dyDescent="0.35">
      <c r="A73" s="9" t="s">
        <v>35</v>
      </c>
      <c r="B73" s="10">
        <v>110</v>
      </c>
      <c r="C73" s="10">
        <v>130</v>
      </c>
      <c r="D73" s="10">
        <v>130</v>
      </c>
      <c r="E73" s="10">
        <v>140</v>
      </c>
      <c r="F73" s="10">
        <v>150</v>
      </c>
      <c r="G73" s="10">
        <v>170</v>
      </c>
      <c r="H73" s="10">
        <v>170</v>
      </c>
      <c r="I73" s="10">
        <v>150</v>
      </c>
      <c r="J73" s="10">
        <v>155</v>
      </c>
      <c r="K73" s="10">
        <v>115</v>
      </c>
      <c r="L73" s="10">
        <v>115</v>
      </c>
      <c r="M73" s="10">
        <v>95</v>
      </c>
      <c r="N73" s="10">
        <f>SUM(B73:M73)</f>
        <v>1630</v>
      </c>
    </row>
    <row r="74" spans="1:15" x14ac:dyDescent="0.35">
      <c r="A74" s="5" t="s">
        <v>60</v>
      </c>
      <c r="B74" s="8">
        <v>6331.7793828876238</v>
      </c>
      <c r="C74" s="8">
        <v>6327.6425693981791</v>
      </c>
      <c r="D74" s="8">
        <v>6345.3425138325065</v>
      </c>
      <c r="E74" s="8">
        <v>6327.8237416204238</v>
      </c>
      <c r="F74" s="8">
        <v>6373.2295595361038</v>
      </c>
      <c r="G74" s="8">
        <v>6243.3001857798381</v>
      </c>
      <c r="H74" s="8">
        <v>6268.7386978746026</v>
      </c>
      <c r="I74" s="8">
        <v>6402.2298368615757</v>
      </c>
      <c r="J74" s="8">
        <v>6455.7439711831212</v>
      </c>
      <c r="K74" s="8">
        <v>6429.1850997886104</v>
      </c>
      <c r="L74" s="8">
        <v>6453.9309387797784</v>
      </c>
      <c r="M74" s="8">
        <v>6360.7188727803714</v>
      </c>
      <c r="N74" s="8">
        <f>SUMPRODUCT(B74:M74,$B$73:$M$73)/SUM($B$73:$M$73)</f>
        <v>6355.6512817964895</v>
      </c>
    </row>
    <row r="75" spans="1:15" x14ac:dyDescent="0.35">
      <c r="A75" s="5" t="s">
        <v>36</v>
      </c>
      <c r="B75" s="7">
        <v>0.63238991761318497</v>
      </c>
      <c r="C75" s="7">
        <v>0.69248100776136201</v>
      </c>
      <c r="D75" s="7">
        <v>0.65200146322569297</v>
      </c>
      <c r="E75" s="7">
        <v>0.65479545313176901</v>
      </c>
      <c r="F75" s="7">
        <v>0.61486787827618805</v>
      </c>
      <c r="G75" s="7">
        <v>0.63759554200202295</v>
      </c>
      <c r="H75" s="7">
        <v>0.63464406615669899</v>
      </c>
      <c r="I75" s="7">
        <v>0.55063000651322802</v>
      </c>
      <c r="J75" s="7">
        <v>0.52383376576180996</v>
      </c>
      <c r="K75" s="7">
        <v>0.52785902773208504</v>
      </c>
      <c r="L75" s="7">
        <v>0.546982631574634</v>
      </c>
      <c r="M75" s="7">
        <v>0.54360501085869495</v>
      </c>
      <c r="N75" s="7">
        <f t="shared" ref="N75:N78" si="28">SUMPRODUCT(B75:M75,$B$73:$M$73)/SUM($B$73:$M$73)</f>
        <v>0.60341465782487103</v>
      </c>
    </row>
    <row r="76" spans="1:15" x14ac:dyDescent="0.35">
      <c r="A76" s="5" t="s">
        <v>37</v>
      </c>
      <c r="B76" s="7">
        <v>5.1400008226411904</v>
      </c>
      <c r="C76" s="7">
        <v>4.5591191358841403</v>
      </c>
      <c r="D76" s="7">
        <v>4.5963271300049602</v>
      </c>
      <c r="E76" s="7">
        <v>5.1237409897543804</v>
      </c>
      <c r="F76" s="7">
        <v>4.8279056232027298</v>
      </c>
      <c r="G76" s="7">
        <v>4.5406008919884</v>
      </c>
      <c r="H76" s="7">
        <v>5.46940983358121</v>
      </c>
      <c r="I76" s="7">
        <v>4.9514040687002403</v>
      </c>
      <c r="J76" s="7">
        <v>4.2318464131914997</v>
      </c>
      <c r="K76" s="7">
        <v>4.7988366524975996</v>
      </c>
      <c r="L76" s="7">
        <v>4.93003836984703</v>
      </c>
      <c r="M76" s="7">
        <v>4.9975468448450897</v>
      </c>
      <c r="N76" s="7">
        <f t="shared" si="28"/>
        <v>4.8411373574408625</v>
      </c>
    </row>
    <row r="77" spans="1:15" x14ac:dyDescent="0.35">
      <c r="A77" s="5" t="s">
        <v>38</v>
      </c>
      <c r="B77" s="7">
        <v>7.9684127195664098</v>
      </c>
      <c r="C77" s="7">
        <v>7.5073713345746302</v>
      </c>
      <c r="D77" s="7">
        <v>7.3053122036805602</v>
      </c>
      <c r="E77" s="7">
        <v>7.3141874168513201</v>
      </c>
      <c r="F77" s="7">
        <v>7.2934235711691597</v>
      </c>
      <c r="G77" s="7">
        <v>7.0845271641510301</v>
      </c>
      <c r="H77" s="7">
        <v>7.3044096894042596</v>
      </c>
      <c r="I77" s="7">
        <v>7.5575721221498098</v>
      </c>
      <c r="J77" s="7">
        <v>7.1826945652590499</v>
      </c>
      <c r="K77" s="7">
        <v>7.4774673877961497</v>
      </c>
      <c r="L77" s="7">
        <v>7.3249599667415399</v>
      </c>
      <c r="M77" s="7">
        <v>7.6231050296600698</v>
      </c>
      <c r="N77" s="7">
        <f t="shared" si="28"/>
        <v>7.386331839135952</v>
      </c>
    </row>
    <row r="78" spans="1:15" x14ac:dyDescent="0.35">
      <c r="A78" s="5" t="s">
        <v>25</v>
      </c>
      <c r="B78" s="7">
        <v>13.501773791466501</v>
      </c>
      <c r="C78" s="7">
        <v>14.506560947286875</v>
      </c>
      <c r="D78" s="7">
        <v>14.200725957541751</v>
      </c>
      <c r="E78" s="7">
        <v>13.742458193290251</v>
      </c>
      <c r="F78" s="7">
        <v>13.759598617916499</v>
      </c>
      <c r="G78" s="7">
        <v>15.888522129933875</v>
      </c>
      <c r="H78" s="7">
        <v>14.347097458553</v>
      </c>
      <c r="I78" s="7">
        <v>13.186564691276374</v>
      </c>
      <c r="J78" s="7">
        <v>13.129570168035125</v>
      </c>
      <c r="K78" s="7">
        <v>12.982684650667624</v>
      </c>
      <c r="L78" s="7">
        <v>12.464583441012387</v>
      </c>
      <c r="M78" s="7">
        <v>13.528504363957126</v>
      </c>
      <c r="N78" s="7">
        <f t="shared" si="28"/>
        <v>13.846499085482177</v>
      </c>
    </row>
    <row r="79" spans="1:15" s="2" customFormat="1" x14ac:dyDescent="0.35">
      <c r="A79" s="9" t="s">
        <v>39</v>
      </c>
      <c r="B79" s="10">
        <v>100</v>
      </c>
      <c r="C79" s="10">
        <v>100</v>
      </c>
      <c r="D79" s="10">
        <v>120</v>
      </c>
      <c r="E79" s="10">
        <v>110</v>
      </c>
      <c r="F79" s="10">
        <v>130</v>
      </c>
      <c r="G79" s="10">
        <v>120</v>
      </c>
      <c r="H79" s="10">
        <v>130</v>
      </c>
      <c r="I79" s="10">
        <v>150</v>
      </c>
      <c r="J79" s="10">
        <v>120</v>
      </c>
      <c r="K79" s="10">
        <v>130</v>
      </c>
      <c r="L79" s="10">
        <v>120</v>
      </c>
      <c r="M79" s="10">
        <v>150</v>
      </c>
      <c r="N79" s="10">
        <f>SUM(B79:M79)</f>
        <v>1480</v>
      </c>
    </row>
    <row r="80" spans="1:15" x14ac:dyDescent="0.35">
      <c r="A80" s="5" t="s">
        <v>60</v>
      </c>
      <c r="B80" s="8">
        <v>6528.8012797245638</v>
      </c>
      <c r="C80" s="8">
        <v>6523.4410485998433</v>
      </c>
      <c r="D80" s="8">
        <v>6602.1856468823917</v>
      </c>
      <c r="E80" s="8">
        <v>6481.08549184607</v>
      </c>
      <c r="F80" s="8">
        <v>6487.5273811442139</v>
      </c>
      <c r="G80" s="8">
        <v>6515.571438084402</v>
      </c>
      <c r="H80" s="8">
        <v>6445.0322974685605</v>
      </c>
      <c r="I80" s="8">
        <v>6472.1448439150581</v>
      </c>
      <c r="J80" s="8">
        <v>6412.4032320438118</v>
      </c>
      <c r="K80" s="8">
        <v>6476.7335262632087</v>
      </c>
      <c r="L80" s="8">
        <v>6460.6228119435345</v>
      </c>
      <c r="M80" s="8">
        <v>6423.295236099113</v>
      </c>
      <c r="N80" s="8">
        <f>SUMPRODUCT(B80:M80,$B$79:$M$79)/SUM($B$79:$M$79)</f>
        <v>6482.8119871932486</v>
      </c>
    </row>
    <row r="81" spans="1:16" x14ac:dyDescent="0.35">
      <c r="A81" s="5" t="s">
        <v>40</v>
      </c>
      <c r="B81" s="7">
        <v>1.8419030452067799</v>
      </c>
      <c r="C81" s="7">
        <v>2.1453577261518602</v>
      </c>
      <c r="D81" s="7">
        <v>1.7213436922084799</v>
      </c>
      <c r="E81" s="7">
        <v>1.7720411434008401</v>
      </c>
      <c r="F81" s="7">
        <v>1.7757748411372201</v>
      </c>
      <c r="G81" s="7">
        <v>2.0870683125705898</v>
      </c>
      <c r="H81" s="7">
        <v>1.81379341991147</v>
      </c>
      <c r="I81" s="7">
        <v>1.82869354084894</v>
      </c>
      <c r="J81" s="7">
        <v>1.84821414527398</v>
      </c>
      <c r="K81" s="7">
        <v>1.8968173866107201</v>
      </c>
      <c r="L81" s="7">
        <v>1.81902940099376</v>
      </c>
      <c r="M81" s="7">
        <v>1.9904988877701799</v>
      </c>
      <c r="N81" s="7">
        <f t="shared" ref="N81:N84" si="29">SUMPRODUCT(B81:M81,$B$79:$M$79)/SUM($B$79:$M$79)</f>
        <v>1.8762420726514626</v>
      </c>
    </row>
    <row r="82" spans="1:16" x14ac:dyDescent="0.35">
      <c r="A82" s="5" t="s">
        <v>37</v>
      </c>
      <c r="B82" s="7">
        <v>6.7257045938398603</v>
      </c>
      <c r="C82" s="7">
        <v>7.6729169335237897</v>
      </c>
      <c r="D82" s="7">
        <v>55.9656466134116</v>
      </c>
      <c r="E82" s="7">
        <v>5.9370559464232704</v>
      </c>
      <c r="F82" s="7">
        <v>5.2917712925480398</v>
      </c>
      <c r="G82" s="7">
        <v>7.3265169057402604</v>
      </c>
      <c r="H82" s="7">
        <v>5.9374765556133804</v>
      </c>
      <c r="I82" s="7">
        <v>5.9831573658387596</v>
      </c>
      <c r="J82" s="7">
        <v>6.0080331869390102</v>
      </c>
      <c r="K82" s="7">
        <v>6.0190798405328803</v>
      </c>
      <c r="L82" s="7">
        <v>6.0931431583968196</v>
      </c>
      <c r="M82" s="7">
        <v>5.9789559137233397</v>
      </c>
      <c r="N82" s="7">
        <f t="shared" si="29"/>
        <v>10.254553163544609</v>
      </c>
    </row>
    <row r="83" spans="1:16" x14ac:dyDescent="0.35">
      <c r="A83" s="5" t="s">
        <v>38</v>
      </c>
      <c r="B83" s="7">
        <v>7.2396068035292096</v>
      </c>
      <c r="C83" s="7">
        <v>7.1179754392605297</v>
      </c>
      <c r="D83" s="7">
        <v>6.70650535542008</v>
      </c>
      <c r="E83" s="7">
        <v>6.8833177652101698</v>
      </c>
      <c r="F83" s="7">
        <v>6.7128750919537499</v>
      </c>
      <c r="G83" s="7">
        <v>6.6876777458339998</v>
      </c>
      <c r="H83" s="7">
        <v>6.6455047447535698</v>
      </c>
      <c r="I83" s="7">
        <v>6.3583254552017303</v>
      </c>
      <c r="J83" s="7">
        <v>6.7263937642713101</v>
      </c>
      <c r="K83" s="7">
        <v>6.4663362167734801</v>
      </c>
      <c r="L83" s="7">
        <v>6.2063255544558302</v>
      </c>
      <c r="M83" s="7">
        <v>6.1537235204866203</v>
      </c>
      <c r="N83" s="7">
        <f t="shared" si="29"/>
        <v>6.6257918257808086</v>
      </c>
    </row>
    <row r="84" spans="1:16" x14ac:dyDescent="0.35">
      <c r="A84" s="5" t="s">
        <v>25</v>
      </c>
      <c r="B84" s="7">
        <v>11.802556881451491</v>
      </c>
      <c r="C84" s="7">
        <v>10.616484809103152</v>
      </c>
      <c r="D84" s="7">
        <v>10.666707929638552</v>
      </c>
      <c r="E84" s="7">
        <v>11.538927408118219</v>
      </c>
      <c r="F84" s="7">
        <v>11.478201392020001</v>
      </c>
      <c r="G84" s="7">
        <v>10.023203001736388</v>
      </c>
      <c r="H84" s="7">
        <v>11.71496750954244</v>
      </c>
      <c r="I84" s="7">
        <v>11.1861149948812</v>
      </c>
      <c r="J84" s="7">
        <v>11.92604943552946</v>
      </c>
      <c r="K84" s="7">
        <v>11.484406114408591</v>
      </c>
      <c r="L84" s="7">
        <v>11.08083488825698</v>
      </c>
      <c r="M84" s="7">
        <v>11.4168335968786</v>
      </c>
      <c r="N84" s="7">
        <f t="shared" si="29"/>
        <v>11.252249091491917</v>
      </c>
    </row>
    <row r="85" spans="1:16" s="2" customFormat="1" x14ac:dyDescent="0.35">
      <c r="A85" s="9" t="s">
        <v>64</v>
      </c>
      <c r="B85" s="10">
        <v>7</v>
      </c>
      <c r="C85" s="10">
        <v>5</v>
      </c>
      <c r="D85" s="10">
        <v>8</v>
      </c>
      <c r="E85" s="10">
        <v>7</v>
      </c>
      <c r="F85" s="10">
        <v>10</v>
      </c>
      <c r="G85" s="10">
        <v>15</v>
      </c>
      <c r="H85" s="10">
        <v>15</v>
      </c>
      <c r="I85" s="10">
        <v>20</v>
      </c>
      <c r="J85" s="10">
        <v>10</v>
      </c>
      <c r="K85" s="10">
        <v>8</v>
      </c>
      <c r="L85" s="10">
        <v>7</v>
      </c>
      <c r="M85" s="10">
        <v>8</v>
      </c>
      <c r="N85" s="10">
        <f>SUM(B85:M85)</f>
        <v>120</v>
      </c>
    </row>
    <row r="86" spans="1:16" x14ac:dyDescent="0.35">
      <c r="A86" s="5" t="s">
        <v>60</v>
      </c>
      <c r="B86" s="8">
        <v>3581.7630737660656</v>
      </c>
      <c r="C86" s="8">
        <v>3599.0009409474374</v>
      </c>
      <c r="D86" s="8">
        <v>4341.3047199482971</v>
      </c>
      <c r="E86" s="8">
        <v>3587.2262601626016</v>
      </c>
      <c r="F86" s="8">
        <v>3651.2002116062845</v>
      </c>
      <c r="G86" s="8">
        <v>5641.0448876583969</v>
      </c>
      <c r="H86" s="8">
        <v>5567.1957616646541</v>
      </c>
      <c r="I86" s="8">
        <v>5442.612127455508</v>
      </c>
      <c r="J86" s="8">
        <v>5422.5221928173087</v>
      </c>
      <c r="K86" s="8">
        <v>5471.7948296685745</v>
      </c>
      <c r="L86" s="8">
        <v>5388.1089836950741</v>
      </c>
      <c r="M86" s="8">
        <v>5438.948456537958</v>
      </c>
      <c r="N86" s="8">
        <f>SUMPRODUCT(B86:M86,$B$85:$M$85)/SUM($B$85:$M$85)</f>
        <v>4963.534610921115</v>
      </c>
    </row>
    <row r="87" spans="1:16" x14ac:dyDescent="0.35">
      <c r="A87" s="5" t="s">
        <v>42</v>
      </c>
      <c r="B87" s="7">
        <v>1.1599999999999999</v>
      </c>
      <c r="C87" s="7">
        <v>1.1499999999999999</v>
      </c>
      <c r="D87" s="7">
        <v>1.44</v>
      </c>
      <c r="E87" s="7">
        <v>0.51</v>
      </c>
      <c r="F87" s="7">
        <v>0.5</v>
      </c>
      <c r="G87" s="7">
        <v>1.45</v>
      </c>
      <c r="H87" s="7">
        <v>1.5216666666666649</v>
      </c>
      <c r="I87" s="7">
        <v>1.5933333333333299</v>
      </c>
      <c r="J87" s="7">
        <v>1.61333333333333</v>
      </c>
      <c r="K87" s="7">
        <v>1.5833333333333299</v>
      </c>
      <c r="L87" s="7">
        <v>1.5533333333333299</v>
      </c>
      <c r="M87" s="7">
        <v>1.61333333333333</v>
      </c>
      <c r="N87" s="7">
        <f t="shared" ref="N87:N90" si="30">SUMPRODUCT(B87:M87,$B$85:$M$85)/SUM($B$85:$M$85)</f>
        <v>1.3581805555555537</v>
      </c>
    </row>
    <row r="88" spans="1:16" x14ac:dyDescent="0.35">
      <c r="A88" s="5" t="s">
        <v>37</v>
      </c>
      <c r="B88" s="7">
        <v>13.6</v>
      </c>
      <c r="C88" s="7">
        <v>13.18</v>
      </c>
      <c r="D88" s="7">
        <v>12.69</v>
      </c>
      <c r="E88" s="7">
        <v>14.445</v>
      </c>
      <c r="F88" s="7">
        <v>14.2</v>
      </c>
      <c r="G88" s="7">
        <v>6.835</v>
      </c>
      <c r="H88" s="7">
        <v>8.9933333333333252</v>
      </c>
      <c r="I88" s="7">
        <v>11.15166666666665</v>
      </c>
      <c r="J88" s="7">
        <v>11.1416666666666</v>
      </c>
      <c r="K88" s="7">
        <v>11.011666666666599</v>
      </c>
      <c r="L88" s="7">
        <v>11.171666666666599</v>
      </c>
      <c r="M88" s="7">
        <v>11.9816666666666</v>
      </c>
      <c r="N88" s="7">
        <f t="shared" si="30"/>
        <v>11.164652777777754</v>
      </c>
    </row>
    <row r="89" spans="1:16" x14ac:dyDescent="0.35">
      <c r="A89" s="5" t="s">
        <v>38</v>
      </c>
      <c r="B89" s="7">
        <v>7.41</v>
      </c>
      <c r="C89" s="7">
        <v>7.54</v>
      </c>
      <c r="D89" s="7">
        <v>7.16</v>
      </c>
      <c r="E89" s="7">
        <v>6.52</v>
      </c>
      <c r="F89" s="7">
        <v>6.43</v>
      </c>
      <c r="G89" s="7">
        <v>6.09</v>
      </c>
      <c r="H89" s="7">
        <v>6.1266666666666652</v>
      </c>
      <c r="I89" s="7">
        <v>6.1633333333333304</v>
      </c>
      <c r="J89" s="7">
        <v>6.1633333333333304</v>
      </c>
      <c r="K89" s="7">
        <v>6.1633333333333304</v>
      </c>
      <c r="L89" s="7">
        <v>6.1633333333333304</v>
      </c>
      <c r="M89" s="7">
        <v>6.1633333333333304</v>
      </c>
      <c r="N89" s="7">
        <f t="shared" si="30"/>
        <v>6.3891388888888878</v>
      </c>
    </row>
    <row r="90" spans="1:16" x14ac:dyDescent="0.35">
      <c r="A90" s="5" t="s">
        <v>25</v>
      </c>
      <c r="B90" s="7">
        <v>13.89</v>
      </c>
      <c r="C90" s="7">
        <v>14.11</v>
      </c>
      <c r="D90" s="7">
        <v>14.411999999999999</v>
      </c>
      <c r="E90" s="7">
        <v>13.208</v>
      </c>
      <c r="F90" s="7">
        <v>13.587999999999999</v>
      </c>
      <c r="G90" s="7">
        <v>13.532</v>
      </c>
      <c r="H90" s="7">
        <v>13.394666666666662</v>
      </c>
      <c r="I90" s="7">
        <v>14.053333333333327</v>
      </c>
      <c r="J90" s="7">
        <v>14.0233333333333</v>
      </c>
      <c r="K90" s="7">
        <v>13.983333333333301</v>
      </c>
      <c r="L90" s="7">
        <v>14.453333333333299</v>
      </c>
      <c r="M90" s="7">
        <v>14.053333333333301</v>
      </c>
      <c r="N90" s="7">
        <f t="shared" si="30"/>
        <v>13.850655555555546</v>
      </c>
    </row>
    <row r="91" spans="1:16" hidden="1" x14ac:dyDescent="0.35">
      <c r="A91" s="28" t="s">
        <v>53</v>
      </c>
      <c r="B91" s="29">
        <v>56.6</v>
      </c>
      <c r="C91" s="29">
        <v>56.9</v>
      </c>
      <c r="D91" s="29">
        <v>56.1</v>
      </c>
      <c r="E91" s="29">
        <v>55.6</v>
      </c>
      <c r="F91" s="29">
        <v>56.5</v>
      </c>
      <c r="G91" s="29">
        <v>55.8</v>
      </c>
      <c r="H91" s="29">
        <v>56</v>
      </c>
      <c r="I91" s="29">
        <v>55.2</v>
      </c>
      <c r="J91" s="29">
        <v>55.6</v>
      </c>
      <c r="K91" s="29">
        <v>56.2</v>
      </c>
      <c r="L91" s="29">
        <v>55.8</v>
      </c>
      <c r="M91" s="29">
        <v>55.2</v>
      </c>
      <c r="N91" s="29">
        <f>SUM(B91:M91)</f>
        <v>671.5</v>
      </c>
      <c r="O91" s="2"/>
      <c r="P91"/>
    </row>
    <row r="92" spans="1:16" hidden="1" x14ac:dyDescent="0.35">
      <c r="A92" s="5" t="s">
        <v>60</v>
      </c>
      <c r="B92" s="8">
        <v>6322</v>
      </c>
      <c r="C92" s="8">
        <v>6322</v>
      </c>
      <c r="D92" s="8">
        <v>6322</v>
      </c>
      <c r="E92" s="8">
        <v>6322</v>
      </c>
      <c r="F92" s="8">
        <v>6322</v>
      </c>
      <c r="G92" s="8">
        <v>6322</v>
      </c>
      <c r="H92" s="8">
        <v>6322</v>
      </c>
      <c r="I92" s="8">
        <v>6322</v>
      </c>
      <c r="J92" s="8">
        <v>6322</v>
      </c>
      <c r="K92" s="8">
        <v>6322</v>
      </c>
      <c r="L92" s="8">
        <v>6322</v>
      </c>
      <c r="M92" s="8">
        <v>6322</v>
      </c>
      <c r="N92" s="8">
        <v>6322</v>
      </c>
      <c r="P92"/>
    </row>
    <row r="93" spans="1:16" hidden="1" x14ac:dyDescent="0.35">
      <c r="A93" s="5" t="s">
        <v>66</v>
      </c>
      <c r="B93" s="7">
        <v>0.6</v>
      </c>
      <c r="C93" s="7">
        <v>0.6</v>
      </c>
      <c r="D93" s="7">
        <v>0.6</v>
      </c>
      <c r="E93" s="7">
        <v>0.6</v>
      </c>
      <c r="F93" s="7">
        <v>0.6</v>
      </c>
      <c r="G93" s="7">
        <v>0.6</v>
      </c>
      <c r="H93" s="7">
        <v>0.6</v>
      </c>
      <c r="I93" s="7">
        <v>0.6</v>
      </c>
      <c r="J93" s="7">
        <v>0.6</v>
      </c>
      <c r="K93" s="7">
        <v>0.6</v>
      </c>
      <c r="L93" s="7">
        <v>0.6</v>
      </c>
      <c r="M93" s="7">
        <v>0.6</v>
      </c>
      <c r="N93" s="7">
        <v>0.6</v>
      </c>
      <c r="P93"/>
    </row>
    <row r="94" spans="1:16" hidden="1" x14ac:dyDescent="0.35">
      <c r="A94" s="5" t="s">
        <v>67</v>
      </c>
      <c r="B94" s="7">
        <v>7</v>
      </c>
      <c r="C94" s="7">
        <v>7</v>
      </c>
      <c r="D94" s="7">
        <v>7</v>
      </c>
      <c r="E94" s="7">
        <v>7</v>
      </c>
      <c r="F94" s="7">
        <v>7</v>
      </c>
      <c r="G94" s="7">
        <v>7</v>
      </c>
      <c r="H94" s="7">
        <v>7</v>
      </c>
      <c r="I94" s="7">
        <v>7</v>
      </c>
      <c r="J94" s="7">
        <v>7</v>
      </c>
      <c r="K94" s="7">
        <v>7</v>
      </c>
      <c r="L94" s="7">
        <v>7</v>
      </c>
      <c r="M94" s="7">
        <v>7</v>
      </c>
      <c r="N94" s="7">
        <v>7</v>
      </c>
      <c r="P94"/>
    </row>
    <row r="95" spans="1:16" hidden="1" x14ac:dyDescent="0.35">
      <c r="A95" s="5" t="s">
        <v>38</v>
      </c>
      <c r="B95" s="7">
        <v>12</v>
      </c>
      <c r="C95" s="7">
        <v>12</v>
      </c>
      <c r="D95" s="7">
        <v>12</v>
      </c>
      <c r="E95" s="7">
        <v>12</v>
      </c>
      <c r="F95" s="7">
        <v>12</v>
      </c>
      <c r="G95" s="7">
        <v>12</v>
      </c>
      <c r="H95" s="7">
        <v>12</v>
      </c>
      <c r="I95" s="7">
        <v>12</v>
      </c>
      <c r="J95" s="7">
        <v>12</v>
      </c>
      <c r="K95" s="7">
        <v>12</v>
      </c>
      <c r="L95" s="7">
        <v>12</v>
      </c>
      <c r="M95" s="7">
        <v>12</v>
      </c>
      <c r="N95" s="7">
        <v>12</v>
      </c>
      <c r="P95"/>
    </row>
    <row r="96" spans="1:16" hidden="1" x14ac:dyDescent="0.35">
      <c r="A96" s="5" t="s">
        <v>25</v>
      </c>
      <c r="B96" s="7">
        <v>14</v>
      </c>
      <c r="C96" s="7">
        <v>14</v>
      </c>
      <c r="D96" s="7">
        <v>14</v>
      </c>
      <c r="E96" s="7">
        <v>14</v>
      </c>
      <c r="F96" s="7">
        <v>14</v>
      </c>
      <c r="G96" s="7">
        <v>14</v>
      </c>
      <c r="H96" s="7">
        <v>14</v>
      </c>
      <c r="I96" s="7">
        <v>14</v>
      </c>
      <c r="J96" s="7">
        <v>14</v>
      </c>
      <c r="K96" s="7">
        <v>14</v>
      </c>
      <c r="L96" s="7">
        <v>14</v>
      </c>
      <c r="M96" s="7">
        <v>14</v>
      </c>
      <c r="N96" s="7">
        <v>14</v>
      </c>
      <c r="P96"/>
    </row>
    <row r="97" spans="1:16" hidden="1" x14ac:dyDescent="0.35">
      <c r="A97" s="28" t="s">
        <v>54</v>
      </c>
      <c r="B97" s="29">
        <v>82.5</v>
      </c>
      <c r="C97" s="29">
        <v>82.5</v>
      </c>
      <c r="D97" s="29">
        <v>82.5</v>
      </c>
      <c r="E97" s="29">
        <v>82.5</v>
      </c>
      <c r="F97" s="29">
        <v>82.5</v>
      </c>
      <c r="G97" s="29">
        <v>82.5</v>
      </c>
      <c r="H97" s="29">
        <v>82.5</v>
      </c>
      <c r="I97" s="29">
        <v>82.5</v>
      </c>
      <c r="J97" s="29">
        <v>90</v>
      </c>
      <c r="K97" s="29">
        <v>90</v>
      </c>
      <c r="L97" s="29">
        <v>82.5</v>
      </c>
      <c r="M97" s="29">
        <v>82.5</v>
      </c>
      <c r="N97" s="29">
        <f>SUM(B97:M97)</f>
        <v>1005</v>
      </c>
      <c r="O97" s="2"/>
      <c r="P97"/>
    </row>
    <row r="98" spans="1:16" hidden="1" x14ac:dyDescent="0.35">
      <c r="A98" s="5" t="s">
        <v>60</v>
      </c>
      <c r="B98" s="8">
        <v>5400</v>
      </c>
      <c r="C98" s="8">
        <v>5400</v>
      </c>
      <c r="D98" s="8">
        <v>5400</v>
      </c>
      <c r="E98" s="8">
        <v>5400</v>
      </c>
      <c r="F98" s="8">
        <v>5400</v>
      </c>
      <c r="G98" s="8">
        <v>5400</v>
      </c>
      <c r="H98" s="8">
        <v>5400</v>
      </c>
      <c r="I98" s="8">
        <v>5400</v>
      </c>
      <c r="J98" s="8">
        <v>5400</v>
      </c>
      <c r="K98" s="8">
        <v>5400</v>
      </c>
      <c r="L98" s="8">
        <v>5400</v>
      </c>
      <c r="M98" s="8">
        <v>5400</v>
      </c>
      <c r="N98" s="8">
        <v>5400</v>
      </c>
      <c r="P98"/>
    </row>
    <row r="99" spans="1:16" hidden="1" x14ac:dyDescent="0.35">
      <c r="A99" s="5" t="s">
        <v>42</v>
      </c>
      <c r="B99" s="7">
        <v>1</v>
      </c>
      <c r="C99" s="7">
        <v>1</v>
      </c>
      <c r="D99" s="7">
        <v>1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P99"/>
    </row>
    <row r="100" spans="1:16" hidden="1" x14ac:dyDescent="0.35">
      <c r="A100" s="5" t="s">
        <v>67</v>
      </c>
      <c r="B100" s="7">
        <v>6</v>
      </c>
      <c r="C100" s="7">
        <v>6</v>
      </c>
      <c r="D100" s="7">
        <v>6</v>
      </c>
      <c r="E100" s="7">
        <v>6</v>
      </c>
      <c r="F100" s="7">
        <v>6</v>
      </c>
      <c r="G100" s="7">
        <v>6</v>
      </c>
      <c r="H100" s="7">
        <v>6</v>
      </c>
      <c r="I100" s="7">
        <v>6</v>
      </c>
      <c r="J100" s="7">
        <v>6</v>
      </c>
      <c r="K100" s="7">
        <v>6</v>
      </c>
      <c r="L100" s="7">
        <v>6</v>
      </c>
      <c r="M100" s="7">
        <v>6</v>
      </c>
      <c r="N100" s="7">
        <v>6</v>
      </c>
      <c r="P100"/>
    </row>
    <row r="101" spans="1:16" hidden="1" x14ac:dyDescent="0.35">
      <c r="A101" s="5" t="s">
        <v>38</v>
      </c>
      <c r="B101" s="7">
        <v>15</v>
      </c>
      <c r="C101" s="7">
        <v>15</v>
      </c>
      <c r="D101" s="7">
        <v>15</v>
      </c>
      <c r="E101" s="7">
        <v>15</v>
      </c>
      <c r="F101" s="7">
        <v>15</v>
      </c>
      <c r="G101" s="7">
        <v>15</v>
      </c>
      <c r="H101" s="7">
        <v>15</v>
      </c>
      <c r="I101" s="7">
        <v>15</v>
      </c>
      <c r="J101" s="7">
        <v>15</v>
      </c>
      <c r="K101" s="7">
        <v>15</v>
      </c>
      <c r="L101" s="7">
        <v>15</v>
      </c>
      <c r="M101" s="7">
        <v>15</v>
      </c>
      <c r="N101" s="7">
        <v>15</v>
      </c>
      <c r="P101"/>
    </row>
    <row r="102" spans="1:16" hidden="1" x14ac:dyDescent="0.35">
      <c r="A102" s="5" t="s">
        <v>25</v>
      </c>
      <c r="B102" s="7">
        <v>24</v>
      </c>
      <c r="C102" s="7">
        <v>24</v>
      </c>
      <c r="D102" s="7">
        <v>24</v>
      </c>
      <c r="E102" s="7">
        <v>24</v>
      </c>
      <c r="F102" s="7">
        <v>24</v>
      </c>
      <c r="G102" s="7">
        <v>24</v>
      </c>
      <c r="H102" s="7">
        <v>24</v>
      </c>
      <c r="I102" s="7">
        <v>24</v>
      </c>
      <c r="J102" s="7">
        <v>24</v>
      </c>
      <c r="K102" s="7">
        <v>24</v>
      </c>
      <c r="L102" s="7">
        <v>24</v>
      </c>
      <c r="M102" s="7">
        <v>24</v>
      </c>
      <c r="N102" s="7">
        <v>24</v>
      </c>
      <c r="P102"/>
    </row>
    <row r="104" spans="1:16" x14ac:dyDescent="0.35">
      <c r="A104" s="6" t="s">
        <v>48</v>
      </c>
      <c r="B104" s="6" t="s">
        <v>1</v>
      </c>
      <c r="C104" s="6" t="s">
        <v>2</v>
      </c>
      <c r="D104" s="6" t="s">
        <v>3</v>
      </c>
      <c r="E104" s="6" t="s">
        <v>4</v>
      </c>
      <c r="F104" s="6" t="s">
        <v>5</v>
      </c>
      <c r="G104" s="6" t="s">
        <v>6</v>
      </c>
      <c r="H104" s="6" t="s">
        <v>7</v>
      </c>
      <c r="I104" s="6" t="s">
        <v>8</v>
      </c>
      <c r="J104" s="6" t="s">
        <v>9</v>
      </c>
      <c r="K104" s="6" t="s">
        <v>10</v>
      </c>
      <c r="L104" s="6" t="s">
        <v>11</v>
      </c>
      <c r="M104" s="6" t="s">
        <v>12</v>
      </c>
      <c r="N104" s="6" t="s">
        <v>13</v>
      </c>
      <c r="O104" s="4"/>
    </row>
    <row r="105" spans="1:16" s="2" customFormat="1" x14ac:dyDescent="0.35">
      <c r="A105" s="9" t="s">
        <v>14</v>
      </c>
      <c r="B105" s="10">
        <f>SUM(B106:B108)</f>
        <v>7995</v>
      </c>
      <c r="C105" s="10">
        <f t="shared" ref="C105:N105" si="31">SUM(C106:C108)</f>
        <v>7084</v>
      </c>
      <c r="D105" s="10">
        <f t="shared" si="31"/>
        <v>7619</v>
      </c>
      <c r="E105" s="10">
        <f t="shared" si="31"/>
        <v>7232</v>
      </c>
      <c r="F105" s="10">
        <f t="shared" si="31"/>
        <v>7571</v>
      </c>
      <c r="G105" s="10">
        <f t="shared" si="31"/>
        <v>7592.9999999999991</v>
      </c>
      <c r="H105" s="10">
        <f t="shared" si="31"/>
        <v>8096.9999999999982</v>
      </c>
      <c r="I105" s="10">
        <f t="shared" si="31"/>
        <v>8330</v>
      </c>
      <c r="J105" s="10">
        <f t="shared" si="31"/>
        <v>7698</v>
      </c>
      <c r="K105" s="10">
        <f t="shared" si="31"/>
        <v>7481.9999999999991</v>
      </c>
      <c r="L105" s="10">
        <f t="shared" si="31"/>
        <v>6860</v>
      </c>
      <c r="M105" s="10">
        <f t="shared" si="31"/>
        <v>7389.0000000000009</v>
      </c>
      <c r="N105" s="10">
        <f t="shared" si="31"/>
        <v>90950</v>
      </c>
      <c r="P105" s="1" t="s">
        <v>61</v>
      </c>
    </row>
    <row r="106" spans="1:16" x14ac:dyDescent="0.35">
      <c r="A106" s="5" t="s">
        <v>30</v>
      </c>
      <c r="B106" s="8">
        <v>2085</v>
      </c>
      <c r="C106" s="8">
        <v>1783.9999999999998</v>
      </c>
      <c r="D106" s="8">
        <v>1974</v>
      </c>
      <c r="E106" s="8">
        <v>1997</v>
      </c>
      <c r="F106" s="8">
        <v>1991</v>
      </c>
      <c r="G106" s="8">
        <v>1967.9999999999993</v>
      </c>
      <c r="H106" s="8">
        <v>2131.9999999999986</v>
      </c>
      <c r="I106" s="8">
        <v>2305.0000000000009</v>
      </c>
      <c r="J106" s="8">
        <v>2063</v>
      </c>
      <c r="K106" s="8">
        <v>2061.9999999999991</v>
      </c>
      <c r="L106" s="8">
        <v>1755</v>
      </c>
      <c r="M106" s="8">
        <v>1884.0000000000009</v>
      </c>
      <c r="N106" s="8">
        <f>SUM(B106:M106)</f>
        <v>24000</v>
      </c>
    </row>
    <row r="107" spans="1:16" x14ac:dyDescent="0.35">
      <c r="A107" s="5" t="s">
        <v>57</v>
      </c>
      <c r="B107" s="8">
        <v>4250</v>
      </c>
      <c r="C107" s="8">
        <v>3810</v>
      </c>
      <c r="D107" s="8">
        <v>4105</v>
      </c>
      <c r="E107" s="8">
        <v>4235</v>
      </c>
      <c r="F107" s="8">
        <v>4480</v>
      </c>
      <c r="G107" s="8">
        <v>4475</v>
      </c>
      <c r="H107" s="8">
        <v>4785</v>
      </c>
      <c r="I107" s="8">
        <v>4825</v>
      </c>
      <c r="J107" s="8">
        <v>4495</v>
      </c>
      <c r="K107" s="8">
        <v>4420</v>
      </c>
      <c r="L107" s="8">
        <v>4115</v>
      </c>
      <c r="M107" s="8">
        <v>4455</v>
      </c>
      <c r="N107" s="8">
        <f t="shared" ref="N107:N108" si="32">SUM(B107:M107)</f>
        <v>52450</v>
      </c>
    </row>
    <row r="108" spans="1:16" x14ac:dyDescent="0.35">
      <c r="A108" s="5" t="s">
        <v>45</v>
      </c>
      <c r="B108" s="8">
        <v>1660</v>
      </c>
      <c r="C108" s="8">
        <v>1490</v>
      </c>
      <c r="D108" s="8">
        <v>1540</v>
      </c>
      <c r="E108" s="8">
        <v>1000</v>
      </c>
      <c r="F108" s="8">
        <v>1100</v>
      </c>
      <c r="G108" s="8">
        <v>1150</v>
      </c>
      <c r="H108" s="8">
        <v>1180</v>
      </c>
      <c r="I108" s="8">
        <v>1200</v>
      </c>
      <c r="J108" s="8">
        <v>1140</v>
      </c>
      <c r="K108" s="8">
        <v>1000</v>
      </c>
      <c r="L108" s="8">
        <v>990</v>
      </c>
      <c r="M108" s="8">
        <v>1050</v>
      </c>
      <c r="N108" s="8">
        <f t="shared" si="32"/>
        <v>14500</v>
      </c>
    </row>
    <row r="109" spans="1:16" s="2" customFormat="1" x14ac:dyDescent="0.35">
      <c r="A109" s="9" t="s">
        <v>17</v>
      </c>
      <c r="B109" s="10">
        <f t="shared" ref="B109:M109" si="33">SUM(B110:B112)</f>
        <v>684</v>
      </c>
      <c r="C109" s="10">
        <f t="shared" si="33"/>
        <v>657.99999999999989</v>
      </c>
      <c r="D109" s="10">
        <f t="shared" si="33"/>
        <v>685.5</v>
      </c>
      <c r="E109" s="10">
        <f t="shared" si="33"/>
        <v>564</v>
      </c>
      <c r="F109" s="10">
        <f t="shared" si="33"/>
        <v>663</v>
      </c>
      <c r="G109" s="10">
        <f t="shared" si="33"/>
        <v>712</v>
      </c>
      <c r="H109" s="10">
        <f t="shared" si="33"/>
        <v>745</v>
      </c>
      <c r="I109" s="10">
        <f t="shared" si="33"/>
        <v>751.99999999999989</v>
      </c>
      <c r="J109" s="10">
        <f t="shared" si="33"/>
        <v>704</v>
      </c>
      <c r="K109" s="10">
        <f t="shared" si="33"/>
        <v>627.5</v>
      </c>
      <c r="L109" s="10">
        <f t="shared" si="33"/>
        <v>589</v>
      </c>
      <c r="M109" s="10">
        <f t="shared" si="33"/>
        <v>616</v>
      </c>
      <c r="N109" s="10">
        <f>SUM(B109:M109)</f>
        <v>8000</v>
      </c>
    </row>
    <row r="110" spans="1:16" x14ac:dyDescent="0.35">
      <c r="A110" s="5" t="s">
        <v>30</v>
      </c>
      <c r="B110" s="8">
        <v>194</v>
      </c>
      <c r="C110" s="8">
        <v>187.99999999999989</v>
      </c>
      <c r="D110" s="8">
        <v>185.49999999999994</v>
      </c>
      <c r="E110" s="8">
        <v>155.99999999999997</v>
      </c>
      <c r="F110" s="8">
        <v>195.99999999999994</v>
      </c>
      <c r="G110" s="8">
        <v>211.99999999999994</v>
      </c>
      <c r="H110" s="8">
        <v>245</v>
      </c>
      <c r="I110" s="8">
        <v>251.99999999999989</v>
      </c>
      <c r="J110" s="8">
        <v>234.00000000000006</v>
      </c>
      <c r="K110" s="8">
        <v>192.49999999999994</v>
      </c>
      <c r="L110" s="8">
        <v>168.99999999999994</v>
      </c>
      <c r="M110" s="8">
        <v>176</v>
      </c>
      <c r="N110" s="8">
        <f>SUM(B110:M110)</f>
        <v>2399.9999999999995</v>
      </c>
    </row>
    <row r="111" spans="1:16" x14ac:dyDescent="0.35">
      <c r="A111" s="5" t="s">
        <v>57</v>
      </c>
      <c r="B111" s="8">
        <v>360</v>
      </c>
      <c r="C111" s="8">
        <v>350</v>
      </c>
      <c r="D111" s="8">
        <v>375</v>
      </c>
      <c r="E111" s="8">
        <v>335</v>
      </c>
      <c r="F111" s="8">
        <v>380</v>
      </c>
      <c r="G111" s="8">
        <v>415</v>
      </c>
      <c r="H111" s="8">
        <v>375</v>
      </c>
      <c r="I111" s="8">
        <v>400</v>
      </c>
      <c r="J111" s="8">
        <v>370</v>
      </c>
      <c r="K111" s="8">
        <v>350</v>
      </c>
      <c r="L111" s="8">
        <v>340</v>
      </c>
      <c r="M111" s="8">
        <v>350</v>
      </c>
      <c r="N111" s="8">
        <f t="shared" ref="N111:N112" si="34">SUM(B111:M111)</f>
        <v>4400</v>
      </c>
    </row>
    <row r="112" spans="1:16" x14ac:dyDescent="0.35">
      <c r="A112" s="5" t="s">
        <v>45</v>
      </c>
      <c r="B112" s="8">
        <v>130</v>
      </c>
      <c r="C112" s="8">
        <v>120</v>
      </c>
      <c r="D112" s="8">
        <v>125</v>
      </c>
      <c r="E112" s="8">
        <v>73</v>
      </c>
      <c r="F112" s="8">
        <v>87</v>
      </c>
      <c r="G112" s="8">
        <v>85</v>
      </c>
      <c r="H112" s="8">
        <v>125</v>
      </c>
      <c r="I112" s="8">
        <v>100</v>
      </c>
      <c r="J112" s="8">
        <v>100</v>
      </c>
      <c r="K112" s="8">
        <v>85</v>
      </c>
      <c r="L112" s="8">
        <v>80</v>
      </c>
      <c r="M112" s="8">
        <v>90</v>
      </c>
      <c r="N112" s="8">
        <f t="shared" si="34"/>
        <v>1200</v>
      </c>
    </row>
    <row r="113" spans="1:14" s="2" customFormat="1" x14ac:dyDescent="0.35">
      <c r="A113" s="9" t="s">
        <v>43</v>
      </c>
      <c r="B113" s="11">
        <f t="shared" ref="B113:N113" si="35">B105/B109</f>
        <v>11.68859649122807</v>
      </c>
      <c r="C113" s="11">
        <f t="shared" si="35"/>
        <v>10.765957446808512</v>
      </c>
      <c r="D113" s="11">
        <f t="shared" si="35"/>
        <v>11.114514952589351</v>
      </c>
      <c r="E113" s="11">
        <f t="shared" si="35"/>
        <v>12.822695035460994</v>
      </c>
      <c r="F113" s="11">
        <f t="shared" si="35"/>
        <v>11.419306184012067</v>
      </c>
      <c r="G113" s="11">
        <f t="shared" si="35"/>
        <v>10.664325842696629</v>
      </c>
      <c r="H113" s="11">
        <f t="shared" si="35"/>
        <v>10.868456375838925</v>
      </c>
      <c r="I113" s="11">
        <f t="shared" si="35"/>
        <v>11.077127659574471</v>
      </c>
      <c r="J113" s="11">
        <f t="shared" si="35"/>
        <v>10.934659090909092</v>
      </c>
      <c r="K113" s="11">
        <f t="shared" si="35"/>
        <v>11.923505976095615</v>
      </c>
      <c r="L113" s="11">
        <f t="shared" si="35"/>
        <v>11.646859083191851</v>
      </c>
      <c r="M113" s="11">
        <f t="shared" si="35"/>
        <v>11.995129870129871</v>
      </c>
      <c r="N113" s="11">
        <f t="shared" si="35"/>
        <v>11.36875</v>
      </c>
    </row>
    <row r="114" spans="1:14" s="2" customFormat="1" x14ac:dyDescent="0.35">
      <c r="A114" s="9" t="s">
        <v>34</v>
      </c>
      <c r="B114" s="11">
        <f t="shared" ref="B114:N114" si="36">B105/B115</f>
        <v>11.421428571428571</v>
      </c>
      <c r="C114" s="11">
        <f t="shared" si="36"/>
        <v>10.119999999999999</v>
      </c>
      <c r="D114" s="11">
        <f t="shared" si="36"/>
        <v>10.884285714285713</v>
      </c>
      <c r="E114" s="11">
        <f t="shared" si="36"/>
        <v>11.126153846153846</v>
      </c>
      <c r="F114" s="11">
        <f t="shared" si="36"/>
        <v>11.647692307692308</v>
      </c>
      <c r="G114" s="11">
        <f t="shared" si="36"/>
        <v>11.681538461538461</v>
      </c>
      <c r="H114" s="11">
        <f t="shared" si="36"/>
        <v>11.567142857142855</v>
      </c>
      <c r="I114" s="11">
        <f t="shared" si="36"/>
        <v>11.732394366197184</v>
      </c>
      <c r="J114" s="11">
        <f t="shared" si="36"/>
        <v>10.997142857142856</v>
      </c>
      <c r="K114" s="11">
        <f t="shared" si="36"/>
        <v>11.336363636363634</v>
      </c>
      <c r="L114" s="11">
        <f t="shared" si="36"/>
        <v>10.71875</v>
      </c>
      <c r="M114" s="11">
        <f t="shared" si="36"/>
        <v>11.545312500000001</v>
      </c>
      <c r="N114" s="11">
        <f t="shared" si="36"/>
        <v>11.228395061728396</v>
      </c>
    </row>
    <row r="115" spans="1:14" s="2" customFormat="1" x14ac:dyDescent="0.35">
      <c r="A115" s="9" t="s">
        <v>49</v>
      </c>
      <c r="B115" s="10">
        <f>B116+B122</f>
        <v>700</v>
      </c>
      <c r="C115" s="10">
        <f t="shared" ref="C115:N115" si="37">C116+C122</f>
        <v>700</v>
      </c>
      <c r="D115" s="10">
        <f t="shared" si="37"/>
        <v>700</v>
      </c>
      <c r="E115" s="10">
        <f t="shared" si="37"/>
        <v>650</v>
      </c>
      <c r="F115" s="10">
        <f t="shared" si="37"/>
        <v>650</v>
      </c>
      <c r="G115" s="10">
        <f t="shared" si="37"/>
        <v>650</v>
      </c>
      <c r="H115" s="10">
        <f t="shared" si="37"/>
        <v>700</v>
      </c>
      <c r="I115" s="10">
        <f t="shared" si="37"/>
        <v>710</v>
      </c>
      <c r="J115" s="10">
        <f t="shared" si="37"/>
        <v>700</v>
      </c>
      <c r="K115" s="10">
        <f t="shared" si="37"/>
        <v>660</v>
      </c>
      <c r="L115" s="10">
        <f t="shared" si="37"/>
        <v>640</v>
      </c>
      <c r="M115" s="10">
        <f t="shared" si="37"/>
        <v>640</v>
      </c>
      <c r="N115" s="10">
        <f t="shared" si="37"/>
        <v>8100</v>
      </c>
    </row>
    <row r="116" spans="1:14" s="2" customFormat="1" x14ac:dyDescent="0.35">
      <c r="A116" s="9" t="s">
        <v>89</v>
      </c>
      <c r="B116" s="10">
        <v>400</v>
      </c>
      <c r="C116" s="10">
        <v>480</v>
      </c>
      <c r="D116" s="10">
        <v>480</v>
      </c>
      <c r="E116" s="10">
        <v>465</v>
      </c>
      <c r="F116" s="10">
        <v>465</v>
      </c>
      <c r="G116" s="10">
        <v>460</v>
      </c>
      <c r="H116" s="10">
        <v>500</v>
      </c>
      <c r="I116" s="10">
        <v>490</v>
      </c>
      <c r="J116" s="10">
        <v>480</v>
      </c>
      <c r="K116" s="10">
        <v>460</v>
      </c>
      <c r="L116" s="10">
        <v>440</v>
      </c>
      <c r="M116" s="10">
        <v>440</v>
      </c>
      <c r="N116" s="10">
        <f>SUM(B116:M116)</f>
        <v>5560</v>
      </c>
    </row>
    <row r="117" spans="1:14" x14ac:dyDescent="0.35">
      <c r="A117" s="5" t="s">
        <v>60</v>
      </c>
      <c r="B117" s="8">
        <v>6030.4357814927362</v>
      </c>
      <c r="C117" s="8">
        <v>5774.2276646849386</v>
      </c>
      <c r="D117" s="8">
        <v>5860.9708116608763</v>
      </c>
      <c r="E117" s="8">
        <v>5868.1864226528614</v>
      </c>
      <c r="F117" s="8">
        <v>5954.6027202388759</v>
      </c>
      <c r="G117" s="8">
        <v>5916.1255336096965</v>
      </c>
      <c r="H117" s="8">
        <v>5984.1869808979909</v>
      </c>
      <c r="I117" s="8">
        <v>5944.3265998459783</v>
      </c>
      <c r="J117" s="8">
        <v>5921.0085428423181</v>
      </c>
      <c r="K117" s="8">
        <v>5916.7362162196005</v>
      </c>
      <c r="L117" s="8">
        <v>5898.2909887133328</v>
      </c>
      <c r="M117" s="8">
        <v>5928.9325032790275</v>
      </c>
      <c r="N117" s="8">
        <f>SUMPRODUCT(B117:M117,$B$116:$M$116)/SUM($B$116:$M$116)</f>
        <v>5915.2264206877153</v>
      </c>
    </row>
    <row r="118" spans="1:14" x14ac:dyDescent="0.35">
      <c r="A118" s="5" t="s">
        <v>22</v>
      </c>
      <c r="B118" s="7">
        <v>0.53158467391584474</v>
      </c>
      <c r="C118" s="7">
        <v>0.52888776957649841</v>
      </c>
      <c r="D118" s="7">
        <v>0.51140210533143016</v>
      </c>
      <c r="E118" s="7">
        <v>0.47876764008773132</v>
      </c>
      <c r="F118" s="7">
        <v>0.51889295774581812</v>
      </c>
      <c r="G118" s="7">
        <v>0.54684188086311158</v>
      </c>
      <c r="H118" s="7">
        <v>0.61559945024075446</v>
      </c>
      <c r="I118" s="7">
        <v>0.65164339698113882</v>
      </c>
      <c r="J118" s="7">
        <v>0.57082928603597893</v>
      </c>
      <c r="K118" s="7">
        <v>0.61027739358512456</v>
      </c>
      <c r="L118" s="7">
        <v>0.68842584286686559</v>
      </c>
      <c r="M118" s="7">
        <v>0.67517043062076731</v>
      </c>
      <c r="N118" s="7">
        <f t="shared" ref="N118:N121" si="38">SUMPRODUCT(B118:M118,$B$116:$M$116)/SUM($B$116:$M$116)</f>
        <v>0.57720242104926189</v>
      </c>
    </row>
    <row r="119" spans="1:14" x14ac:dyDescent="0.35">
      <c r="A119" s="5" t="s">
        <v>23</v>
      </c>
      <c r="B119" s="7">
        <v>4.5798126626659954</v>
      </c>
      <c r="C119" s="7">
        <v>4.3819201459010451</v>
      </c>
      <c r="D119" s="7">
        <v>4.7059230060586206</v>
      </c>
      <c r="E119" s="7">
        <v>4.7159271838283319</v>
      </c>
      <c r="F119" s="7">
        <v>4.4700417129915948</v>
      </c>
      <c r="G119" s="7">
        <v>4.6727263311539593</v>
      </c>
      <c r="H119" s="7">
        <v>5.1675000848450257</v>
      </c>
      <c r="I119" s="7">
        <v>5.2806866728952429</v>
      </c>
      <c r="J119" s="7">
        <v>5.376416049039725</v>
      </c>
      <c r="K119" s="7">
        <v>5.2082429049172614</v>
      </c>
      <c r="L119" s="7">
        <v>4.9554984587139774</v>
      </c>
      <c r="M119" s="7">
        <v>5.0376142722205035</v>
      </c>
      <c r="N119" s="7">
        <f t="shared" si="38"/>
        <v>4.8848465793008069</v>
      </c>
    </row>
    <row r="120" spans="1:14" x14ac:dyDescent="0.35">
      <c r="A120" s="5" t="s">
        <v>38</v>
      </c>
      <c r="B120" s="7">
        <v>11.532529614702808</v>
      </c>
      <c r="C120" s="7">
        <v>12.161691848905418</v>
      </c>
      <c r="D120" s="7">
        <v>11.768774375470745</v>
      </c>
      <c r="E120" s="7">
        <v>10.98217037670126</v>
      </c>
      <c r="F120" s="7">
        <v>11.996304820089939</v>
      </c>
      <c r="G120" s="7">
        <v>11.373388092536571</v>
      </c>
      <c r="H120" s="7">
        <v>10.851380733454274</v>
      </c>
      <c r="I120" s="7">
        <v>11.259921803513318</v>
      </c>
      <c r="J120" s="7">
        <v>11.128284461914429</v>
      </c>
      <c r="K120" s="7">
        <v>11.312911978882918</v>
      </c>
      <c r="L120" s="7">
        <v>11.810253610966651</v>
      </c>
      <c r="M120" s="7">
        <v>11.519677357231016</v>
      </c>
      <c r="N120" s="7">
        <f t="shared" si="38"/>
        <v>11.469446555956317</v>
      </c>
    </row>
    <row r="121" spans="1:14" x14ac:dyDescent="0.35">
      <c r="A121" s="5" t="s">
        <v>25</v>
      </c>
      <c r="B121" s="7">
        <v>16.073115860649153</v>
      </c>
      <c r="C121" s="7">
        <v>18.344657603302554</v>
      </c>
      <c r="D121" s="7">
        <v>16.11386576058236</v>
      </c>
      <c r="E121" s="7">
        <v>15.281800435496748</v>
      </c>
      <c r="F121" s="7">
        <v>15.684993194579956</v>
      </c>
      <c r="G121" s="7">
        <v>15.034525665926573</v>
      </c>
      <c r="H121" s="7">
        <v>13.98671336913484</v>
      </c>
      <c r="I121" s="7">
        <v>14.31000661999747</v>
      </c>
      <c r="J121" s="7">
        <v>14.291295324058144</v>
      </c>
      <c r="K121" s="7">
        <v>14.463594053767407</v>
      </c>
      <c r="L121" s="7">
        <v>14.864978729110646</v>
      </c>
      <c r="M121" s="7">
        <v>14.548488178736108</v>
      </c>
      <c r="N121" s="7">
        <f t="shared" si="38"/>
        <v>15.241913451679135</v>
      </c>
    </row>
    <row r="122" spans="1:14" s="2" customFormat="1" x14ac:dyDescent="0.35">
      <c r="A122" s="9" t="s">
        <v>90</v>
      </c>
      <c r="B122" s="10">
        <v>300</v>
      </c>
      <c r="C122" s="10">
        <v>220</v>
      </c>
      <c r="D122" s="10">
        <v>220</v>
      </c>
      <c r="E122" s="10">
        <v>185</v>
      </c>
      <c r="F122" s="10">
        <v>185</v>
      </c>
      <c r="G122" s="10">
        <v>190</v>
      </c>
      <c r="H122" s="10">
        <v>200</v>
      </c>
      <c r="I122" s="10">
        <v>220</v>
      </c>
      <c r="J122" s="10">
        <v>220</v>
      </c>
      <c r="K122" s="10">
        <v>200</v>
      </c>
      <c r="L122" s="10">
        <v>200</v>
      </c>
      <c r="M122" s="10">
        <v>200</v>
      </c>
      <c r="N122" s="10">
        <f>SUM(B122:M122)</f>
        <v>2540</v>
      </c>
    </row>
    <row r="123" spans="1:14" x14ac:dyDescent="0.35">
      <c r="A123" s="5" t="s">
        <v>60</v>
      </c>
      <c r="B123" s="8">
        <v>5978.3054556265597</v>
      </c>
      <c r="C123" s="8">
        <v>5788.4873674777928</v>
      </c>
      <c r="D123" s="8">
        <v>5780.4749200608012</v>
      </c>
      <c r="E123" s="8">
        <v>5757.1238943170265</v>
      </c>
      <c r="F123" s="8">
        <v>5689.0305770952909</v>
      </c>
      <c r="G123" s="8">
        <v>5723.4268887854187</v>
      </c>
      <c r="H123" s="8">
        <v>5710.0662701682413</v>
      </c>
      <c r="I123" s="8">
        <v>5767.3036052663256</v>
      </c>
      <c r="J123" s="8">
        <v>5816.7183587027257</v>
      </c>
      <c r="K123" s="8">
        <v>5783.9440068778431</v>
      </c>
      <c r="L123" s="8">
        <v>5714.3881793197588</v>
      </c>
      <c r="M123" s="8">
        <v>5899.7670661427646</v>
      </c>
      <c r="N123" s="8">
        <f>SUMPRODUCT(B123:M123,$B$122:$M$122)/SUM($N$122)</f>
        <v>5792.8232136227871</v>
      </c>
    </row>
    <row r="124" spans="1:14" x14ac:dyDescent="0.35">
      <c r="A124" s="5" t="s">
        <v>22</v>
      </c>
      <c r="B124" s="7">
        <v>1.787024420543599</v>
      </c>
      <c r="C124" s="7">
        <v>1.8050807511941165</v>
      </c>
      <c r="D124" s="7">
        <v>1.753484658353373</v>
      </c>
      <c r="E124" s="7">
        <v>1.7530000378904598</v>
      </c>
      <c r="F124" s="7">
        <v>1.7123074495204251</v>
      </c>
      <c r="G124" s="7">
        <v>1.7853721095868915</v>
      </c>
      <c r="H124" s="7">
        <v>1.8238815961156631</v>
      </c>
      <c r="I124" s="7">
        <v>1.7419960155643373</v>
      </c>
      <c r="J124" s="7">
        <v>1.7014004656420247</v>
      </c>
      <c r="K124" s="7">
        <v>1.7605879730997038</v>
      </c>
      <c r="L124" s="7">
        <v>1.767814198414398</v>
      </c>
      <c r="M124" s="7">
        <v>1.7232917279280713</v>
      </c>
      <c r="N124" s="7">
        <f t="shared" ref="N124:N127" si="39">SUMPRODUCT(B124:M124,$B$122:$M$122)/SUM($N$122)</f>
        <v>1.7606128453673298</v>
      </c>
    </row>
    <row r="125" spans="1:14" x14ac:dyDescent="0.35">
      <c r="A125" s="5" t="s">
        <v>23</v>
      </c>
      <c r="B125" s="7">
        <v>4.7301044978019764</v>
      </c>
      <c r="C125" s="7">
        <v>5.5271121039826419</v>
      </c>
      <c r="D125" s="7">
        <v>5.5457883214480397</v>
      </c>
      <c r="E125" s="7">
        <v>5.7432540624021691</v>
      </c>
      <c r="F125" s="7">
        <v>6.1338157267673825</v>
      </c>
      <c r="G125" s="7">
        <v>6.4531615243414668</v>
      </c>
      <c r="H125" s="7">
        <v>6.4437425567786066</v>
      </c>
      <c r="I125" s="7">
        <v>6.2121469296871501</v>
      </c>
      <c r="J125" s="7">
        <v>5.7608226161450142</v>
      </c>
      <c r="K125" s="7">
        <v>5.8895183832541882</v>
      </c>
      <c r="L125" s="7">
        <v>6.1089249013580069</v>
      </c>
      <c r="M125" s="7">
        <v>5.1119700187862556</v>
      </c>
      <c r="N125" s="7">
        <f t="shared" si="39"/>
        <v>5.7572096518405811</v>
      </c>
    </row>
    <row r="126" spans="1:14" x14ac:dyDescent="0.35">
      <c r="A126" s="5" t="s">
        <v>38</v>
      </c>
      <c r="B126" s="7">
        <v>11.089447843541894</v>
      </c>
      <c r="C126" s="7">
        <v>10.939007756939889</v>
      </c>
      <c r="D126" s="7">
        <v>11.103271057993588</v>
      </c>
      <c r="E126" s="7">
        <v>10.753087747400615</v>
      </c>
      <c r="F126" s="7">
        <v>10.931757250593529</v>
      </c>
      <c r="G126" s="7">
        <v>10.542872135234294</v>
      </c>
      <c r="H126" s="7">
        <v>10.926300465614883</v>
      </c>
      <c r="I126" s="7">
        <v>10.532727609486793</v>
      </c>
      <c r="J126" s="7">
        <v>10.519638665180322</v>
      </c>
      <c r="K126" s="7">
        <v>10.608982288782695</v>
      </c>
      <c r="L126" s="7">
        <v>10.409757384707607</v>
      </c>
      <c r="M126" s="7">
        <v>10.300642053236681</v>
      </c>
      <c r="N126" s="7">
        <f t="shared" si="39"/>
        <v>10.736864071482877</v>
      </c>
    </row>
    <row r="127" spans="1:14" x14ac:dyDescent="0.35">
      <c r="A127" s="5" t="s">
        <v>25</v>
      </c>
      <c r="B127" s="7">
        <v>14.77672590471496</v>
      </c>
      <c r="C127" s="7">
        <v>14.788491878026898</v>
      </c>
      <c r="D127" s="7">
        <v>14.968616021907097</v>
      </c>
      <c r="E127" s="7">
        <v>14.622565939548902</v>
      </c>
      <c r="F127" s="7">
        <v>15.039201128192587</v>
      </c>
      <c r="G127" s="7">
        <v>14.452434531645325</v>
      </c>
      <c r="H127" s="7">
        <v>14.766174108649652</v>
      </c>
      <c r="I127" s="7">
        <v>14.301752611637571</v>
      </c>
      <c r="J127" s="7">
        <v>14.225128330536242</v>
      </c>
      <c r="K127" s="7">
        <v>14.404258385302949</v>
      </c>
      <c r="L127" s="7">
        <v>14.445124735031138</v>
      </c>
      <c r="M127" s="7">
        <v>13.747354344462451</v>
      </c>
      <c r="N127" s="7">
        <f t="shared" si="39"/>
        <v>14.551758700752847</v>
      </c>
    </row>
    <row r="129" spans="1:16" x14ac:dyDescent="0.35">
      <c r="A129" s="6" t="s">
        <v>44</v>
      </c>
      <c r="B129" s="6" t="s">
        <v>1</v>
      </c>
      <c r="C129" s="6" t="s">
        <v>2</v>
      </c>
      <c r="D129" s="6" t="s">
        <v>3</v>
      </c>
      <c r="E129" s="6" t="s">
        <v>4</v>
      </c>
      <c r="F129" s="6" t="s">
        <v>5</v>
      </c>
      <c r="G129" s="6" t="s">
        <v>6</v>
      </c>
      <c r="H129" s="6" t="s">
        <v>7</v>
      </c>
      <c r="I129" s="6" t="s">
        <v>8</v>
      </c>
      <c r="J129" s="6" t="s">
        <v>9</v>
      </c>
      <c r="K129" s="6" t="s">
        <v>10</v>
      </c>
      <c r="L129" s="6" t="s">
        <v>11</v>
      </c>
      <c r="M129" s="6" t="s">
        <v>12</v>
      </c>
      <c r="N129" s="6" t="s">
        <v>13</v>
      </c>
      <c r="O129" s="4"/>
    </row>
    <row r="130" spans="1:16" s="2" customFormat="1" x14ac:dyDescent="0.35">
      <c r="A130" s="9" t="s">
        <v>14</v>
      </c>
      <c r="B130" s="10">
        <f t="shared" ref="B130:N130" si="40">SUM(B131:B131)</f>
        <v>103.00700003222835</v>
      </c>
      <c r="C130" s="10">
        <f t="shared" si="40"/>
        <v>93.069999998767926</v>
      </c>
      <c r="D130" s="10">
        <f t="shared" si="40"/>
        <v>98.05900000904235</v>
      </c>
      <c r="E130" s="10">
        <f t="shared" si="40"/>
        <v>280.62450003328621</v>
      </c>
      <c r="F130" s="10">
        <f t="shared" si="40"/>
        <v>579.37850009221097</v>
      </c>
      <c r="G130" s="10">
        <f t="shared" si="40"/>
        <v>448.88900009712</v>
      </c>
      <c r="H130" s="10">
        <f t="shared" si="40"/>
        <v>536.382999964639</v>
      </c>
      <c r="I130" s="10">
        <f t="shared" si="40"/>
        <v>575.345000118852</v>
      </c>
      <c r="J130" s="10">
        <f t="shared" si="40"/>
        <v>590.09399996139598</v>
      </c>
      <c r="K130" s="10">
        <f t="shared" si="40"/>
        <v>632.10300000592349</v>
      </c>
      <c r="L130" s="10">
        <f t="shared" si="40"/>
        <v>557.71999993702639</v>
      </c>
      <c r="M130" s="10">
        <f t="shared" si="40"/>
        <v>543.93500004792293</v>
      </c>
      <c r="N130" s="10">
        <f t="shared" si="40"/>
        <v>5038.6080002984163</v>
      </c>
      <c r="P130" s="1" t="s">
        <v>61</v>
      </c>
    </row>
    <row r="131" spans="1:16" x14ac:dyDescent="0.35">
      <c r="A131" s="5" t="s">
        <v>65</v>
      </c>
      <c r="B131" s="8">
        <v>103.00700003222835</v>
      </c>
      <c r="C131" s="8">
        <v>93.069999998767926</v>
      </c>
      <c r="D131" s="8">
        <v>98.05900000904235</v>
      </c>
      <c r="E131" s="8">
        <v>280.62450003328621</v>
      </c>
      <c r="F131" s="8">
        <v>579.37850009221097</v>
      </c>
      <c r="G131" s="8">
        <v>448.88900009712</v>
      </c>
      <c r="H131" s="8">
        <v>536.382999964639</v>
      </c>
      <c r="I131" s="8">
        <v>575.345000118852</v>
      </c>
      <c r="J131" s="8">
        <v>590.09399996139598</v>
      </c>
      <c r="K131" s="8">
        <v>632.10300000592349</v>
      </c>
      <c r="L131" s="8">
        <v>557.71999993702639</v>
      </c>
      <c r="M131" s="8">
        <v>543.93500004792293</v>
      </c>
      <c r="N131" s="8">
        <f>SUM(B131:M131)</f>
        <v>5038.6080002984163</v>
      </c>
    </row>
    <row r="132" spans="1:16" s="2" customFormat="1" x14ac:dyDescent="0.35">
      <c r="A132" s="9" t="s">
        <v>17</v>
      </c>
      <c r="B132" s="10">
        <f t="shared" ref="B132:N132" si="41">SUM(B133:B133)</f>
        <v>0</v>
      </c>
      <c r="C132" s="10">
        <f t="shared" si="41"/>
        <v>0</v>
      </c>
      <c r="D132" s="10">
        <f t="shared" si="41"/>
        <v>0</v>
      </c>
      <c r="E132" s="10">
        <f t="shared" si="41"/>
        <v>0</v>
      </c>
      <c r="F132" s="10">
        <f t="shared" si="41"/>
        <v>20</v>
      </c>
      <c r="G132" s="10">
        <f t="shared" si="41"/>
        <v>37</v>
      </c>
      <c r="H132" s="10">
        <f t="shared" si="41"/>
        <v>51</v>
      </c>
      <c r="I132" s="10">
        <f t="shared" si="41"/>
        <v>60</v>
      </c>
      <c r="J132" s="10">
        <f t="shared" si="41"/>
        <v>70</v>
      </c>
      <c r="K132" s="10">
        <f t="shared" si="41"/>
        <v>75</v>
      </c>
      <c r="L132" s="10">
        <f t="shared" si="41"/>
        <v>68</v>
      </c>
      <c r="M132" s="10">
        <f t="shared" si="41"/>
        <v>67</v>
      </c>
      <c r="N132" s="10">
        <f t="shared" si="41"/>
        <v>448</v>
      </c>
    </row>
    <row r="133" spans="1:16" x14ac:dyDescent="0.35">
      <c r="A133" s="5" t="s">
        <v>65</v>
      </c>
      <c r="B133" s="8">
        <v>0</v>
      </c>
      <c r="C133" s="8">
        <v>0</v>
      </c>
      <c r="D133" s="8">
        <v>0</v>
      </c>
      <c r="E133" s="8">
        <v>0</v>
      </c>
      <c r="F133" s="8">
        <v>20</v>
      </c>
      <c r="G133" s="8">
        <v>37</v>
      </c>
      <c r="H133" s="8">
        <v>51</v>
      </c>
      <c r="I133" s="8">
        <v>60</v>
      </c>
      <c r="J133" s="8">
        <v>70</v>
      </c>
      <c r="K133" s="8">
        <v>75</v>
      </c>
      <c r="L133" s="8">
        <v>68</v>
      </c>
      <c r="M133" s="8">
        <v>67</v>
      </c>
      <c r="N133" s="8">
        <f>SUM(B133:M133)</f>
        <v>448</v>
      </c>
    </row>
    <row r="134" spans="1:16" s="2" customFormat="1" x14ac:dyDescent="0.35">
      <c r="A134" s="9" t="s">
        <v>43</v>
      </c>
      <c r="B134" s="11">
        <f t="shared" ref="B134:M134" si="42">IFERROR(B130/B132,0)</f>
        <v>0</v>
      </c>
      <c r="C134" s="11">
        <f t="shared" si="42"/>
        <v>0</v>
      </c>
      <c r="D134" s="11">
        <f t="shared" si="42"/>
        <v>0</v>
      </c>
      <c r="E134" s="11">
        <f t="shared" si="42"/>
        <v>0</v>
      </c>
      <c r="F134" s="11">
        <f t="shared" si="42"/>
        <v>28.968925004610547</v>
      </c>
      <c r="G134" s="11">
        <f t="shared" si="42"/>
        <v>12.132135137760001</v>
      </c>
      <c r="H134" s="11">
        <f t="shared" si="42"/>
        <v>10.517313724796843</v>
      </c>
      <c r="I134" s="11">
        <f t="shared" si="42"/>
        <v>9.5890833353142</v>
      </c>
      <c r="J134" s="11">
        <f t="shared" si="42"/>
        <v>8.4299142851628002</v>
      </c>
      <c r="K134" s="11">
        <f t="shared" si="42"/>
        <v>8.4280400000789797</v>
      </c>
      <c r="L134" s="11">
        <f t="shared" si="42"/>
        <v>8.2017647049562701</v>
      </c>
      <c r="M134" s="11">
        <f t="shared" si="42"/>
        <v>8.1184328365361633</v>
      </c>
      <c r="N134" s="11">
        <f>N130/N132</f>
        <v>11.246892857808964</v>
      </c>
    </row>
    <row r="135" spans="1:16" s="2" customFormat="1" x14ac:dyDescent="0.35">
      <c r="A135" s="9" t="s">
        <v>34</v>
      </c>
      <c r="B135" s="11">
        <f>IFERROR(B130/B137,0)</f>
        <v>0</v>
      </c>
      <c r="C135" s="11">
        <f t="shared" ref="C135:M135" si="43">IFERROR(C130/C137,0)</f>
        <v>0</v>
      </c>
      <c r="D135" s="11">
        <f t="shared" si="43"/>
        <v>0</v>
      </c>
      <c r="E135" s="11">
        <f t="shared" si="43"/>
        <v>0</v>
      </c>
      <c r="F135" s="11">
        <f t="shared" si="43"/>
        <v>32.187694449567275</v>
      </c>
      <c r="G135" s="11">
        <f t="shared" si="43"/>
        <v>12.825400002774858</v>
      </c>
      <c r="H135" s="11">
        <f t="shared" si="43"/>
        <v>10.727659999292779</v>
      </c>
      <c r="I135" s="11">
        <f t="shared" si="43"/>
        <v>9.9197413813595166</v>
      </c>
      <c r="J135" s="11">
        <f t="shared" si="43"/>
        <v>8.6778529406087639</v>
      </c>
      <c r="K135" s="11">
        <f t="shared" si="43"/>
        <v>8.7792083334156032</v>
      </c>
      <c r="L135" s="11">
        <f t="shared" si="43"/>
        <v>8.4503030293488841</v>
      </c>
      <c r="M135" s="11">
        <f t="shared" si="43"/>
        <v>8.2414393946654982</v>
      </c>
      <c r="N135" s="11">
        <f t="shared" ref="N135" si="44">N130/N137</f>
        <v>11.63650808383006</v>
      </c>
    </row>
    <row r="136" spans="1:16" s="2" customFormat="1" x14ac:dyDescent="0.35">
      <c r="A136" s="9" t="s">
        <v>46</v>
      </c>
      <c r="B136" s="10">
        <v>14.6</v>
      </c>
      <c r="C136" s="10">
        <v>14.6</v>
      </c>
      <c r="D136" s="10">
        <v>7.3</v>
      </c>
      <c r="E136" s="10">
        <v>7.3</v>
      </c>
      <c r="F136" s="10">
        <v>21.9</v>
      </c>
      <c r="G136" s="10">
        <v>36.5</v>
      </c>
      <c r="H136" s="10">
        <v>43.8</v>
      </c>
      <c r="I136" s="10">
        <v>58.4</v>
      </c>
      <c r="J136" s="10">
        <v>58.4</v>
      </c>
      <c r="K136" s="10">
        <v>58.4</v>
      </c>
      <c r="L136" s="10">
        <v>58.4</v>
      </c>
      <c r="M136" s="10">
        <v>51.1</v>
      </c>
      <c r="N136" s="10">
        <f>SUM(B136:M136)</f>
        <v>430.7</v>
      </c>
    </row>
    <row r="137" spans="1:16" s="2" customFormat="1" x14ac:dyDescent="0.35">
      <c r="A137" s="9" t="s">
        <v>50</v>
      </c>
      <c r="B137" s="10">
        <v>0</v>
      </c>
      <c r="C137" s="10">
        <v>0</v>
      </c>
      <c r="D137" s="10">
        <v>0</v>
      </c>
      <c r="E137" s="10">
        <v>0</v>
      </c>
      <c r="F137" s="10">
        <v>18</v>
      </c>
      <c r="G137" s="10">
        <v>35</v>
      </c>
      <c r="H137" s="10">
        <v>50</v>
      </c>
      <c r="I137" s="10">
        <v>58</v>
      </c>
      <c r="J137" s="10">
        <v>68</v>
      </c>
      <c r="K137" s="10">
        <v>72</v>
      </c>
      <c r="L137" s="10">
        <v>66</v>
      </c>
      <c r="M137" s="10">
        <v>66</v>
      </c>
      <c r="N137" s="10">
        <f>SUM(B137:M137)</f>
        <v>433</v>
      </c>
    </row>
    <row r="138" spans="1:16" x14ac:dyDescent="0.35">
      <c r="A138" s="5" t="s">
        <v>60</v>
      </c>
      <c r="B138" s="8">
        <v>0</v>
      </c>
      <c r="C138" s="8">
        <v>0</v>
      </c>
      <c r="D138" s="8">
        <v>0</v>
      </c>
      <c r="E138" s="8">
        <v>0</v>
      </c>
      <c r="F138" s="8">
        <v>4442.3524630978109</v>
      </c>
      <c r="G138" s="8">
        <v>4414.0197341055573</v>
      </c>
      <c r="H138" s="8">
        <v>4416.3842473113355</v>
      </c>
      <c r="I138" s="8">
        <v>4432.5862004850405</v>
      </c>
      <c r="J138" s="8">
        <v>4408.9259713034116</v>
      </c>
      <c r="K138" s="8">
        <v>4423.0871583211037</v>
      </c>
      <c r="L138" s="8">
        <v>4453.7859806142369</v>
      </c>
      <c r="M138" s="8">
        <v>4407.9044655308044</v>
      </c>
      <c r="N138" s="8">
        <f>SUMPRODUCT(B138:M138,$B$137:$M$137)/SUM($B$137:$M$137)</f>
        <v>4423.7945910311291</v>
      </c>
    </row>
    <row r="139" spans="1:16" x14ac:dyDescent="0.35">
      <c r="A139" s="5" t="s">
        <v>22</v>
      </c>
      <c r="B139" s="7">
        <v>0</v>
      </c>
      <c r="C139" s="7">
        <v>0</v>
      </c>
      <c r="D139" s="7">
        <v>0</v>
      </c>
      <c r="E139" s="7">
        <v>0</v>
      </c>
      <c r="F139" s="7">
        <v>0.38873573353044444</v>
      </c>
      <c r="G139" s="7">
        <v>0.35403485131504908</v>
      </c>
      <c r="H139" s="7">
        <v>0.38863711531936274</v>
      </c>
      <c r="I139" s="7">
        <v>0.37485738989539719</v>
      </c>
      <c r="J139" s="7">
        <v>0.36433237274630625</v>
      </c>
      <c r="K139" s="7">
        <v>0.35476496479555497</v>
      </c>
      <c r="L139" s="7">
        <v>0.3569313165491026</v>
      </c>
      <c r="M139" s="7">
        <v>0.38385933871926886</v>
      </c>
      <c r="N139" s="7">
        <f t="shared" ref="N139:N142" si="45">SUMPRODUCT(B139:M139,$B$137:$M$137)/SUM($B$137:$M$137)</f>
        <v>0.36898824350858472</v>
      </c>
    </row>
    <row r="140" spans="1:16" x14ac:dyDescent="0.35">
      <c r="A140" s="5" t="s">
        <v>23</v>
      </c>
      <c r="B140" s="7">
        <v>0</v>
      </c>
      <c r="C140" s="7">
        <v>0</v>
      </c>
      <c r="D140" s="7">
        <v>0</v>
      </c>
      <c r="E140" s="7">
        <v>0</v>
      </c>
      <c r="F140" s="7">
        <v>4.3469189899646095</v>
      </c>
      <c r="G140" s="7">
        <v>4.2775242942804486</v>
      </c>
      <c r="H140" s="7">
        <v>4.5771833228759133</v>
      </c>
      <c r="I140" s="7">
        <v>4.410710810024324</v>
      </c>
      <c r="J140" s="7">
        <v>4.3137913551427269</v>
      </c>
      <c r="K140" s="7">
        <v>4.437983464347746</v>
      </c>
      <c r="L140" s="7">
        <v>4.3733361138806135</v>
      </c>
      <c r="M140" s="7">
        <v>4.6218111106752566</v>
      </c>
      <c r="N140" s="7">
        <f t="shared" si="45"/>
        <v>4.4323109091173567</v>
      </c>
    </row>
    <row r="141" spans="1:16" x14ac:dyDescent="0.35">
      <c r="A141" s="5" t="s">
        <v>38</v>
      </c>
      <c r="B141" s="7">
        <v>0</v>
      </c>
      <c r="C141" s="7">
        <v>0</v>
      </c>
      <c r="D141" s="7">
        <v>0</v>
      </c>
      <c r="E141" s="7">
        <v>0</v>
      </c>
      <c r="F141" s="7">
        <v>17.434023703251668</v>
      </c>
      <c r="G141" s="7">
        <v>17.203780063089837</v>
      </c>
      <c r="H141" s="7">
        <v>17.033950729465953</v>
      </c>
      <c r="I141" s="7">
        <v>16.871627410791572</v>
      </c>
      <c r="J141" s="7">
        <v>16.977285235598046</v>
      </c>
      <c r="K141" s="7">
        <v>16.725080655028712</v>
      </c>
      <c r="L141" s="7">
        <v>16.935726676875372</v>
      </c>
      <c r="M141" s="7">
        <v>16.762054197985886</v>
      </c>
      <c r="N141" s="7">
        <f t="shared" si="45"/>
        <v>16.92589236972162</v>
      </c>
    </row>
    <row r="142" spans="1:16" x14ac:dyDescent="0.35">
      <c r="A142" s="5" t="s">
        <v>25</v>
      </c>
      <c r="B142" s="7">
        <v>0</v>
      </c>
      <c r="C142" s="7">
        <v>0</v>
      </c>
      <c r="D142" s="7">
        <v>0</v>
      </c>
      <c r="E142" s="7">
        <v>0</v>
      </c>
      <c r="F142" s="7">
        <v>30.186701266561656</v>
      </c>
      <c r="G142" s="7">
        <v>30.265561275012825</v>
      </c>
      <c r="H142" s="7">
        <v>30.334870236874433</v>
      </c>
      <c r="I142" s="7">
        <v>30.21975773859311</v>
      </c>
      <c r="J142" s="7">
        <v>30.233061449365842</v>
      </c>
      <c r="K142" s="7">
        <v>30.245087481798901</v>
      </c>
      <c r="L142" s="7">
        <v>30.178269906357734</v>
      </c>
      <c r="M142" s="7">
        <v>30.227936505165239</v>
      </c>
      <c r="N142" s="7">
        <f t="shared" si="45"/>
        <v>30.236602375317773</v>
      </c>
    </row>
    <row r="144" spans="1:16" x14ac:dyDescent="0.35">
      <c r="A144" s="6" t="s">
        <v>52</v>
      </c>
      <c r="B144" s="6" t="s">
        <v>1</v>
      </c>
      <c r="C144" s="6" t="s">
        <v>2</v>
      </c>
      <c r="D144" s="6" t="s">
        <v>3</v>
      </c>
      <c r="E144" s="6" t="s">
        <v>4</v>
      </c>
      <c r="F144" s="6" t="s">
        <v>5</v>
      </c>
      <c r="G144" s="6" t="s">
        <v>6</v>
      </c>
      <c r="H144" s="6" t="s">
        <v>7</v>
      </c>
      <c r="I144" s="6" t="s">
        <v>8</v>
      </c>
      <c r="J144" s="6" t="s">
        <v>9</v>
      </c>
      <c r="K144" s="6" t="s">
        <v>10</v>
      </c>
      <c r="L144" s="6" t="s">
        <v>11</v>
      </c>
      <c r="M144" s="6" t="s">
        <v>12</v>
      </c>
      <c r="N144" s="6" t="s">
        <v>13</v>
      </c>
      <c r="O144" s="4"/>
    </row>
    <row r="145" spans="1:17" x14ac:dyDescent="0.35">
      <c r="A145" s="9" t="s">
        <v>14</v>
      </c>
      <c r="B145" s="10">
        <f t="shared" ref="B145:N145" si="46">SUM(B146:B146)</f>
        <v>630</v>
      </c>
      <c r="C145" s="10">
        <f t="shared" si="46"/>
        <v>580</v>
      </c>
      <c r="D145" s="10">
        <f t="shared" si="46"/>
        <v>630</v>
      </c>
      <c r="E145" s="10">
        <f t="shared" si="46"/>
        <v>610</v>
      </c>
      <c r="F145" s="10">
        <f t="shared" si="46"/>
        <v>700</v>
      </c>
      <c r="G145" s="10">
        <f t="shared" si="46"/>
        <v>675</v>
      </c>
      <c r="H145" s="10">
        <f t="shared" si="46"/>
        <v>745</v>
      </c>
      <c r="I145" s="10">
        <f t="shared" si="46"/>
        <v>790</v>
      </c>
      <c r="J145" s="10">
        <f t="shared" si="46"/>
        <v>785</v>
      </c>
      <c r="K145" s="10">
        <f t="shared" si="46"/>
        <v>880</v>
      </c>
      <c r="L145" s="10">
        <f t="shared" si="46"/>
        <v>705</v>
      </c>
      <c r="M145" s="10">
        <f t="shared" si="46"/>
        <v>770</v>
      </c>
      <c r="N145" s="10">
        <f t="shared" si="46"/>
        <v>8500</v>
      </c>
      <c r="O145" s="2"/>
      <c r="P145" s="1" t="s">
        <v>61</v>
      </c>
      <c r="Q145"/>
    </row>
    <row r="146" spans="1:17" x14ac:dyDescent="0.35">
      <c r="A146" s="5" t="s">
        <v>71</v>
      </c>
      <c r="B146" s="8">
        <v>630</v>
      </c>
      <c r="C146" s="8">
        <v>580</v>
      </c>
      <c r="D146" s="8">
        <v>630</v>
      </c>
      <c r="E146" s="8">
        <v>610</v>
      </c>
      <c r="F146" s="8">
        <v>700</v>
      </c>
      <c r="G146" s="8">
        <v>675</v>
      </c>
      <c r="H146" s="8">
        <v>745</v>
      </c>
      <c r="I146" s="8">
        <v>790</v>
      </c>
      <c r="J146" s="8">
        <v>785</v>
      </c>
      <c r="K146" s="8">
        <v>880</v>
      </c>
      <c r="L146" s="8">
        <v>705</v>
      </c>
      <c r="M146" s="8">
        <v>770</v>
      </c>
      <c r="N146" s="8">
        <f>SUM(B146:M146)</f>
        <v>8500</v>
      </c>
      <c r="Q146"/>
    </row>
    <row r="147" spans="1:17" x14ac:dyDescent="0.35">
      <c r="A147" s="9" t="s">
        <v>17</v>
      </c>
      <c r="B147" s="10">
        <f>SUM(B148:B149)</f>
        <v>184</v>
      </c>
      <c r="C147" s="10">
        <f t="shared" ref="C147:M147" si="47">SUM(C148:C149)</f>
        <v>166</v>
      </c>
      <c r="D147" s="10">
        <f t="shared" si="47"/>
        <v>182</v>
      </c>
      <c r="E147" s="10">
        <f t="shared" si="47"/>
        <v>175</v>
      </c>
      <c r="F147" s="10">
        <f t="shared" si="47"/>
        <v>180</v>
      </c>
      <c r="G147" s="10">
        <f t="shared" si="47"/>
        <v>175</v>
      </c>
      <c r="H147" s="10">
        <f t="shared" si="47"/>
        <v>160</v>
      </c>
      <c r="I147" s="10">
        <f t="shared" si="47"/>
        <v>160</v>
      </c>
      <c r="J147" s="10">
        <f t="shared" si="47"/>
        <v>160</v>
      </c>
      <c r="K147" s="10">
        <f t="shared" si="47"/>
        <v>196</v>
      </c>
      <c r="L147" s="10">
        <f t="shared" si="47"/>
        <v>175</v>
      </c>
      <c r="M147" s="10">
        <f t="shared" si="47"/>
        <v>187</v>
      </c>
      <c r="N147" s="10">
        <f>SUM(B147:M147)</f>
        <v>2100</v>
      </c>
      <c r="O147" s="2"/>
      <c r="Q147"/>
    </row>
    <row r="148" spans="1:17" x14ac:dyDescent="0.35">
      <c r="A148" s="5" t="s">
        <v>71</v>
      </c>
      <c r="B148" s="8">
        <v>119</v>
      </c>
      <c r="C148" s="8">
        <v>108</v>
      </c>
      <c r="D148" s="8">
        <v>118</v>
      </c>
      <c r="E148" s="8">
        <v>114</v>
      </c>
      <c r="F148" s="8">
        <v>131</v>
      </c>
      <c r="G148" s="8">
        <v>127</v>
      </c>
      <c r="H148" s="8">
        <v>125</v>
      </c>
      <c r="I148" s="8">
        <v>124</v>
      </c>
      <c r="J148" s="8">
        <v>126</v>
      </c>
      <c r="K148" s="8">
        <v>139</v>
      </c>
      <c r="L148" s="8">
        <v>114</v>
      </c>
      <c r="M148" s="8">
        <v>122</v>
      </c>
      <c r="N148" s="8">
        <f>SUM(B148:M148)</f>
        <v>1467</v>
      </c>
      <c r="Q148"/>
    </row>
    <row r="149" spans="1:17" x14ac:dyDescent="0.35">
      <c r="A149" s="5" t="s">
        <v>72</v>
      </c>
      <c r="B149" s="8">
        <v>65</v>
      </c>
      <c r="C149" s="8">
        <v>58</v>
      </c>
      <c r="D149" s="8">
        <v>64</v>
      </c>
      <c r="E149" s="8">
        <v>61</v>
      </c>
      <c r="F149" s="8">
        <v>49</v>
      </c>
      <c r="G149" s="8">
        <v>48</v>
      </c>
      <c r="H149" s="8">
        <v>35</v>
      </c>
      <c r="I149" s="8">
        <v>36</v>
      </c>
      <c r="J149" s="8">
        <v>34</v>
      </c>
      <c r="K149" s="8">
        <v>57</v>
      </c>
      <c r="L149" s="8">
        <v>61</v>
      </c>
      <c r="M149" s="8">
        <v>65</v>
      </c>
      <c r="N149" s="8">
        <f>SUM(B149:M149)</f>
        <v>633</v>
      </c>
      <c r="Q149"/>
    </row>
    <row r="150" spans="1:17" x14ac:dyDescent="0.35">
      <c r="A150" s="9" t="s">
        <v>43</v>
      </c>
      <c r="B150" s="11">
        <f t="shared" ref="B150:N150" si="48">B145/B147</f>
        <v>3.4239130434782608</v>
      </c>
      <c r="C150" s="11">
        <f t="shared" si="48"/>
        <v>3.4939759036144578</v>
      </c>
      <c r="D150" s="11">
        <f t="shared" si="48"/>
        <v>3.4615384615384617</v>
      </c>
      <c r="E150" s="11">
        <f t="shared" si="48"/>
        <v>3.4857142857142858</v>
      </c>
      <c r="F150" s="11">
        <f t="shared" si="48"/>
        <v>3.8888888888888888</v>
      </c>
      <c r="G150" s="11">
        <f t="shared" si="48"/>
        <v>3.8571428571428572</v>
      </c>
      <c r="H150" s="11">
        <f t="shared" si="48"/>
        <v>4.65625</v>
      </c>
      <c r="I150" s="11">
        <f t="shared" si="48"/>
        <v>4.9375</v>
      </c>
      <c r="J150" s="11">
        <f t="shared" si="48"/>
        <v>4.90625</v>
      </c>
      <c r="K150" s="11">
        <f t="shared" si="48"/>
        <v>4.4897959183673466</v>
      </c>
      <c r="L150" s="11">
        <f t="shared" si="48"/>
        <v>4.0285714285714285</v>
      </c>
      <c r="M150" s="11">
        <f t="shared" si="48"/>
        <v>4.117647058823529</v>
      </c>
      <c r="N150" s="11">
        <f t="shared" si="48"/>
        <v>4.0476190476190474</v>
      </c>
      <c r="O150" s="2"/>
      <c r="Q150"/>
    </row>
    <row r="151" spans="1:17" x14ac:dyDescent="0.35">
      <c r="A151" s="9" t="s">
        <v>34</v>
      </c>
      <c r="B151" s="11">
        <f t="shared" ref="B151:N151" si="49">B145/B152</f>
        <v>3.15</v>
      </c>
      <c r="C151" s="11">
        <f t="shared" si="49"/>
        <v>3.2222222222222223</v>
      </c>
      <c r="D151" s="11">
        <f t="shared" si="49"/>
        <v>3.3157894736842106</v>
      </c>
      <c r="E151" s="11">
        <f t="shared" si="49"/>
        <v>3.4857142857142858</v>
      </c>
      <c r="F151" s="11">
        <f t="shared" si="49"/>
        <v>3.8888888888888888</v>
      </c>
      <c r="G151" s="11">
        <f t="shared" si="49"/>
        <v>3.8571428571428572</v>
      </c>
      <c r="H151" s="11">
        <f t="shared" si="49"/>
        <v>8.2777777777777786</v>
      </c>
      <c r="I151" s="11">
        <f t="shared" si="49"/>
        <v>15.8</v>
      </c>
      <c r="J151" s="11">
        <f t="shared" si="49"/>
        <v>8.7222222222222214</v>
      </c>
      <c r="K151" s="11">
        <f t="shared" si="49"/>
        <v>4.1904761904761907</v>
      </c>
      <c r="L151" s="11">
        <f t="shared" si="49"/>
        <v>2.7115384615384617</v>
      </c>
      <c r="M151" s="11">
        <f t="shared" si="49"/>
        <v>3.0800000000000005</v>
      </c>
      <c r="N151" s="11">
        <f t="shared" si="49"/>
        <v>4.1463414634146343</v>
      </c>
      <c r="O151" s="2"/>
      <c r="Q151"/>
    </row>
    <row r="152" spans="1:17" x14ac:dyDescent="0.35">
      <c r="A152" s="9" t="s">
        <v>47</v>
      </c>
      <c r="B152" s="10">
        <v>200</v>
      </c>
      <c r="C152" s="10">
        <v>180</v>
      </c>
      <c r="D152" s="10">
        <v>190</v>
      </c>
      <c r="E152" s="10">
        <v>175</v>
      </c>
      <c r="F152" s="10">
        <v>180</v>
      </c>
      <c r="G152" s="10">
        <v>175</v>
      </c>
      <c r="H152" s="10">
        <v>90</v>
      </c>
      <c r="I152" s="10">
        <v>50</v>
      </c>
      <c r="J152" s="10">
        <v>90</v>
      </c>
      <c r="K152" s="10">
        <v>210</v>
      </c>
      <c r="L152" s="10">
        <v>260</v>
      </c>
      <c r="M152" s="10">
        <v>249.99999999999994</v>
      </c>
      <c r="N152" s="10">
        <f>SUM(B152:M152)</f>
        <v>2050</v>
      </c>
      <c r="O152" s="2"/>
      <c r="Q152"/>
    </row>
    <row r="153" spans="1:17" x14ac:dyDescent="0.35">
      <c r="A153" s="5" t="s">
        <v>60</v>
      </c>
      <c r="B153" s="8">
        <v>3597.7503671421059</v>
      </c>
      <c r="C153" s="8">
        <v>3594.5295983597939</v>
      </c>
      <c r="D153" s="8">
        <v>3663.6762112802235</v>
      </c>
      <c r="E153" s="8">
        <v>3731.5322801509137</v>
      </c>
      <c r="F153" s="8">
        <v>3747.0876814215917</v>
      </c>
      <c r="G153" s="8">
        <v>3753.0309161867781</v>
      </c>
      <c r="H153" s="8">
        <v>3709.984204356359</v>
      </c>
      <c r="I153" s="8">
        <v>3710.8590506722767</v>
      </c>
      <c r="J153" s="8">
        <v>3754.9789133429726</v>
      </c>
      <c r="K153" s="8">
        <v>3802.4689892377123</v>
      </c>
      <c r="L153" s="8">
        <v>3810.8051584828913</v>
      </c>
      <c r="M153" s="8">
        <v>3790.9104124565929</v>
      </c>
      <c r="N153" s="8">
        <f>SUMPRODUCT(B153:M153,$B$152:$M$152)/SUM($B$152:$M$152)</f>
        <v>3727.5040431597959</v>
      </c>
      <c r="O153" s="12"/>
      <c r="Q153"/>
    </row>
    <row r="154" spans="1:17" x14ac:dyDescent="0.35">
      <c r="A154" s="5" t="s">
        <v>22</v>
      </c>
      <c r="B154" s="7">
        <v>0.11568840145536496</v>
      </c>
      <c r="C154" s="7">
        <v>0.11701098805931437</v>
      </c>
      <c r="D154" s="7">
        <v>0.15581461251661183</v>
      </c>
      <c r="E154" s="7">
        <v>0.15133328051441322</v>
      </c>
      <c r="F154" s="7">
        <v>0.1530200312436015</v>
      </c>
      <c r="G154" s="7">
        <v>0.14876311698128147</v>
      </c>
      <c r="H154" s="7">
        <v>0.16963776317458534</v>
      </c>
      <c r="I154" s="7">
        <v>0.16909766793837699</v>
      </c>
      <c r="J154" s="7">
        <v>0.15832888187436817</v>
      </c>
      <c r="K154" s="7">
        <v>0.16553178492157389</v>
      </c>
      <c r="L154" s="7">
        <v>0.17247668907568034</v>
      </c>
      <c r="M154" s="7">
        <v>0.16287235032822131</v>
      </c>
      <c r="N154" s="7">
        <f t="shared" ref="N154:N157" si="50">SUMPRODUCT(B154:M154,$B$152:$M$152)/SUM($B$152:$M$152)</f>
        <v>0.15227341108882345</v>
      </c>
      <c r="Q154"/>
    </row>
    <row r="155" spans="1:17" x14ac:dyDescent="0.35">
      <c r="A155" s="5" t="s">
        <v>23</v>
      </c>
      <c r="B155" s="7">
        <v>10.145655446148792</v>
      </c>
      <c r="C155" s="7">
        <v>10.213899366234628</v>
      </c>
      <c r="D155" s="7">
        <v>9.4791856634986438</v>
      </c>
      <c r="E155" s="7">
        <v>8.2664499592751319</v>
      </c>
      <c r="F155" s="7">
        <v>7.9720279699913643</v>
      </c>
      <c r="G155" s="7">
        <v>8.1086561189791855</v>
      </c>
      <c r="H155" s="7">
        <v>9.7174821161794043</v>
      </c>
      <c r="I155" s="7">
        <v>9.7409059080640557</v>
      </c>
      <c r="J155" s="7">
        <v>8.5788059169355098</v>
      </c>
      <c r="K155" s="7">
        <v>6.4455548017586262</v>
      </c>
      <c r="L155" s="7">
        <v>5.4512092871833024</v>
      </c>
      <c r="M155" s="7">
        <v>5.9085709909776138</v>
      </c>
      <c r="N155" s="7">
        <f t="shared" si="50"/>
        <v>7.9761081652071226</v>
      </c>
      <c r="Q155"/>
    </row>
    <row r="156" spans="1:17" x14ac:dyDescent="0.35">
      <c r="A156" s="5" t="s">
        <v>38</v>
      </c>
      <c r="B156" s="7">
        <v>27.273778837579599</v>
      </c>
      <c r="C156" s="7">
        <v>27.292035739913089</v>
      </c>
      <c r="D156" s="7">
        <v>26.977085197877386</v>
      </c>
      <c r="E156" s="7">
        <v>25.124250417061894</v>
      </c>
      <c r="F156" s="7">
        <v>25.063917620785851</v>
      </c>
      <c r="G156" s="7">
        <v>24.254236087634794</v>
      </c>
      <c r="H156" s="7">
        <v>31.602710692812558</v>
      </c>
      <c r="I156" s="7">
        <v>31.478110610095825</v>
      </c>
      <c r="J156" s="7">
        <v>27.521644009129027</v>
      </c>
      <c r="K156" s="7">
        <v>26.441746202974993</v>
      </c>
      <c r="L156" s="7">
        <v>28.914291423592488</v>
      </c>
      <c r="M156" s="7">
        <v>29.04220061352094</v>
      </c>
      <c r="N156" s="7">
        <f t="shared" si="50"/>
        <v>27.254555501550691</v>
      </c>
      <c r="Q156"/>
    </row>
    <row r="157" spans="1:17" x14ac:dyDescent="0.35">
      <c r="A157" s="5" t="s">
        <v>25</v>
      </c>
      <c r="B157" s="7">
        <v>37.918497409869865</v>
      </c>
      <c r="C157" s="7">
        <v>37.923033965371602</v>
      </c>
      <c r="D157" s="7">
        <v>38.042986000504257</v>
      </c>
      <c r="E157" s="7">
        <v>37.950930536574255</v>
      </c>
      <c r="F157" s="7">
        <v>37.978955656242384</v>
      </c>
      <c r="G157" s="7">
        <v>38.073810954498576</v>
      </c>
      <c r="H157" s="7">
        <v>37.71754115883973</v>
      </c>
      <c r="I157" s="7">
        <v>37.733817466441451</v>
      </c>
      <c r="J157" s="7">
        <v>37.863692065067184</v>
      </c>
      <c r="K157" s="7">
        <v>38.416454448307448</v>
      </c>
      <c r="L157" s="7">
        <v>39.068495470080975</v>
      </c>
      <c r="M157" s="7">
        <v>39.167627929178792</v>
      </c>
      <c r="N157" s="7">
        <f t="shared" si="50"/>
        <v>38.285233081479049</v>
      </c>
      <c r="Q157"/>
    </row>
    <row r="158" spans="1:17" x14ac:dyDescent="0.35">
      <c r="Q158"/>
    </row>
    <row r="159" spans="1:17" x14ac:dyDescent="0.35">
      <c r="A159" s="6" t="s">
        <v>51</v>
      </c>
      <c r="B159" s="6" t="s">
        <v>1</v>
      </c>
      <c r="C159" s="6" t="s">
        <v>2</v>
      </c>
      <c r="D159" s="6" t="s">
        <v>3</v>
      </c>
      <c r="E159" s="6" t="s">
        <v>4</v>
      </c>
      <c r="F159" s="6" t="s">
        <v>5</v>
      </c>
      <c r="G159" s="6" t="s">
        <v>6</v>
      </c>
      <c r="H159" s="6" t="s">
        <v>7</v>
      </c>
      <c r="I159" s="6" t="s">
        <v>8</v>
      </c>
      <c r="J159" s="6" t="s">
        <v>9</v>
      </c>
      <c r="K159" s="6" t="s">
        <v>10</v>
      </c>
      <c r="L159" s="6" t="s">
        <v>11</v>
      </c>
      <c r="M159" s="6" t="s">
        <v>12</v>
      </c>
      <c r="N159" s="6" t="s">
        <v>13</v>
      </c>
      <c r="Q159"/>
    </row>
    <row r="160" spans="1:17" x14ac:dyDescent="0.35">
      <c r="A160" s="9" t="s">
        <v>14</v>
      </c>
      <c r="B160" s="10">
        <f t="shared" ref="B160:N160" si="51">SUM(B161:B161)</f>
        <v>767.63357127100005</v>
      </c>
      <c r="C160" s="10">
        <f t="shared" si="51"/>
        <v>734.79306200000008</v>
      </c>
      <c r="D160" s="10">
        <f t="shared" si="51"/>
        <v>815.14623877999998</v>
      </c>
      <c r="E160" s="10">
        <f t="shared" si="51"/>
        <v>831.02725012000008</v>
      </c>
      <c r="F160" s="10">
        <f t="shared" si="51"/>
        <v>859.47085252000011</v>
      </c>
      <c r="G160" s="10">
        <f t="shared" si="51"/>
        <v>916.35805732000006</v>
      </c>
      <c r="H160" s="10">
        <f t="shared" si="51"/>
        <v>1023.2017091352002</v>
      </c>
      <c r="I160" s="10">
        <f t="shared" si="51"/>
        <v>1020.3857924976001</v>
      </c>
      <c r="J160" s="10">
        <f t="shared" si="51"/>
        <v>1007.9938630520001</v>
      </c>
      <c r="K160" s="10">
        <f t="shared" si="51"/>
        <v>961.32265211400011</v>
      </c>
      <c r="L160" s="10">
        <f t="shared" si="51"/>
        <v>867.19803117200013</v>
      </c>
      <c r="M160" s="10">
        <f t="shared" si="51"/>
        <v>903.65561854819998</v>
      </c>
      <c r="N160" s="10">
        <f t="shared" si="51"/>
        <v>10708.18669853</v>
      </c>
      <c r="P160" s="1" t="s">
        <v>61</v>
      </c>
      <c r="Q160"/>
    </row>
    <row r="161" spans="1:17" x14ac:dyDescent="0.35">
      <c r="A161" s="5" t="s">
        <v>59</v>
      </c>
      <c r="B161" s="8">
        <v>767.63357127100005</v>
      </c>
      <c r="C161" s="8">
        <v>734.79306200000008</v>
      </c>
      <c r="D161" s="8">
        <v>815.14623877999998</v>
      </c>
      <c r="E161" s="8">
        <v>831.02725012000008</v>
      </c>
      <c r="F161" s="8">
        <v>859.47085252000011</v>
      </c>
      <c r="G161" s="8">
        <v>916.35805732000006</v>
      </c>
      <c r="H161" s="8">
        <v>1023.2017091352002</v>
      </c>
      <c r="I161" s="8">
        <v>1020.3857924976001</v>
      </c>
      <c r="J161" s="8">
        <v>1007.9938630520001</v>
      </c>
      <c r="K161" s="8">
        <v>961.32265211400011</v>
      </c>
      <c r="L161" s="8">
        <v>867.19803117200013</v>
      </c>
      <c r="M161" s="8">
        <v>903.65561854819998</v>
      </c>
      <c r="N161" s="8">
        <f>SUM(B161:M161)</f>
        <v>10708.18669853</v>
      </c>
      <c r="Q161"/>
    </row>
    <row r="162" spans="1:17" x14ac:dyDescent="0.35">
      <c r="A162" s="9" t="s">
        <v>17</v>
      </c>
      <c r="B162" s="10">
        <f t="shared" ref="B162:N162" si="52">SUM(B163:B163)</f>
        <v>40.602095820000009</v>
      </c>
      <c r="C162" s="10">
        <f t="shared" si="52"/>
        <v>37.593129600000012</v>
      </c>
      <c r="D162" s="10">
        <f t="shared" si="52"/>
        <v>41.629648580742867</v>
      </c>
      <c r="E162" s="10">
        <f t="shared" si="52"/>
        <v>45.553518102857154</v>
      </c>
      <c r="F162" s="10">
        <f t="shared" si="52"/>
        <v>50.25352550400001</v>
      </c>
      <c r="G162" s="10">
        <f t="shared" si="52"/>
        <v>55.254104701714297</v>
      </c>
      <c r="H162" s="10">
        <f t="shared" si="52"/>
        <v>61.454155932000013</v>
      </c>
      <c r="I162" s="10">
        <f t="shared" si="52"/>
        <v>61.231030158857159</v>
      </c>
      <c r="J162" s="10">
        <f t="shared" si="52"/>
        <v>61.114388533714298</v>
      </c>
      <c r="K162" s="10">
        <f t="shared" si="52"/>
        <v>55.889463240000005</v>
      </c>
      <c r="L162" s="10">
        <f t="shared" si="52"/>
        <v>46.816006268571442</v>
      </c>
      <c r="M162" s="10">
        <f t="shared" si="52"/>
        <v>48.608826084000015</v>
      </c>
      <c r="N162" s="10">
        <f t="shared" si="52"/>
        <v>605.9998925264573</v>
      </c>
      <c r="Q162"/>
    </row>
    <row r="163" spans="1:17" x14ac:dyDescent="0.35">
      <c r="A163" s="5" t="s">
        <v>59</v>
      </c>
      <c r="B163" s="8">
        <v>40.602095820000009</v>
      </c>
      <c r="C163" s="8">
        <v>37.593129600000012</v>
      </c>
      <c r="D163" s="8">
        <v>41.629648580742867</v>
      </c>
      <c r="E163" s="8">
        <v>45.553518102857154</v>
      </c>
      <c r="F163" s="8">
        <v>50.25352550400001</v>
      </c>
      <c r="G163" s="8">
        <v>55.254104701714297</v>
      </c>
      <c r="H163" s="8">
        <v>61.454155932000013</v>
      </c>
      <c r="I163" s="8">
        <v>61.231030158857159</v>
      </c>
      <c r="J163" s="8">
        <v>61.114388533714298</v>
      </c>
      <c r="K163" s="8">
        <v>55.889463240000005</v>
      </c>
      <c r="L163" s="8">
        <v>46.816006268571442</v>
      </c>
      <c r="M163" s="8">
        <v>48.608826084000015</v>
      </c>
      <c r="N163" s="8">
        <f>SUM(B163:M163)</f>
        <v>605.9998925264573</v>
      </c>
      <c r="Q163"/>
    </row>
    <row r="164" spans="1:17" x14ac:dyDescent="0.35">
      <c r="A164" s="9" t="s">
        <v>43</v>
      </c>
      <c r="B164" s="11">
        <f t="shared" ref="B164:N164" si="53">B160/B162</f>
        <v>18.906254856254854</v>
      </c>
      <c r="C164" s="11">
        <f t="shared" si="53"/>
        <v>19.545940170940167</v>
      </c>
      <c r="D164" s="11">
        <f t="shared" si="53"/>
        <v>19.58090607464489</v>
      </c>
      <c r="E164" s="11">
        <f t="shared" si="53"/>
        <v>18.24287749287749</v>
      </c>
      <c r="F164" s="11">
        <f t="shared" si="53"/>
        <v>17.102697649572647</v>
      </c>
      <c r="G164" s="11">
        <f t="shared" si="53"/>
        <v>16.584434084434083</v>
      </c>
      <c r="H164" s="11">
        <f t="shared" si="53"/>
        <v>16.649837486457205</v>
      </c>
      <c r="I164" s="11">
        <f t="shared" si="53"/>
        <v>16.664521074532335</v>
      </c>
      <c r="J164" s="11">
        <f t="shared" si="53"/>
        <v>16.493560473012526</v>
      </c>
      <c r="K164" s="11">
        <f t="shared" si="53"/>
        <v>17.200427350427351</v>
      </c>
      <c r="L164" s="11">
        <f t="shared" si="53"/>
        <v>18.523537146614068</v>
      </c>
      <c r="M164" s="11">
        <f t="shared" si="53"/>
        <v>18.590360873694202</v>
      </c>
      <c r="N164" s="11">
        <f t="shared" si="53"/>
        <v>17.6702782138901</v>
      </c>
      <c r="Q164"/>
    </row>
    <row r="165" spans="1:17" x14ac:dyDescent="0.35">
      <c r="A165" s="9" t="s">
        <v>34</v>
      </c>
      <c r="B165" s="11">
        <f t="shared" ref="B165:N165" si="54">B160/B166</f>
        <v>23.988549102218752</v>
      </c>
      <c r="C165" s="11">
        <f t="shared" si="54"/>
        <v>26.242609357142861</v>
      </c>
      <c r="D165" s="11">
        <f t="shared" si="54"/>
        <v>20.378655969499999</v>
      </c>
      <c r="E165" s="11">
        <f t="shared" si="54"/>
        <v>20.775681253000002</v>
      </c>
      <c r="F165" s="11">
        <f t="shared" si="54"/>
        <v>17.189417050400003</v>
      </c>
      <c r="G165" s="11">
        <f t="shared" si="54"/>
        <v>16.661055587636366</v>
      </c>
      <c r="H165" s="11">
        <f t="shared" si="54"/>
        <v>17.053361818920003</v>
      </c>
      <c r="I165" s="11">
        <f t="shared" si="54"/>
        <v>17.006429874960002</v>
      </c>
      <c r="J165" s="11">
        <f t="shared" si="54"/>
        <v>17.999890411642859</v>
      </c>
      <c r="K165" s="11">
        <f t="shared" si="54"/>
        <v>16.022044201900002</v>
      </c>
      <c r="L165" s="11">
        <f t="shared" si="54"/>
        <v>15.767236930400003</v>
      </c>
      <c r="M165" s="11">
        <f t="shared" si="54"/>
        <v>16.430102155421817</v>
      </c>
      <c r="N165" s="11">
        <f t="shared" si="54"/>
        <v>18.118759219170897</v>
      </c>
      <c r="Q165"/>
    </row>
    <row r="166" spans="1:17" x14ac:dyDescent="0.35">
      <c r="A166" s="9" t="s">
        <v>47</v>
      </c>
      <c r="B166" s="10">
        <v>32</v>
      </c>
      <c r="C166" s="10">
        <v>28</v>
      </c>
      <c r="D166" s="10">
        <v>40</v>
      </c>
      <c r="E166" s="10">
        <v>40</v>
      </c>
      <c r="F166" s="10">
        <v>50</v>
      </c>
      <c r="G166" s="10">
        <v>55</v>
      </c>
      <c r="H166" s="10">
        <v>60</v>
      </c>
      <c r="I166" s="10">
        <v>60</v>
      </c>
      <c r="J166" s="10">
        <v>56</v>
      </c>
      <c r="K166" s="10">
        <v>60</v>
      </c>
      <c r="L166" s="10">
        <v>55</v>
      </c>
      <c r="M166" s="10">
        <v>55</v>
      </c>
      <c r="N166" s="10">
        <f>SUM(B166:M166)</f>
        <v>591</v>
      </c>
      <c r="Q166"/>
    </row>
    <row r="167" spans="1:17" x14ac:dyDescent="0.35">
      <c r="A167" s="5" t="s">
        <v>60</v>
      </c>
      <c r="B167" s="8">
        <v>6898.8055211012088</v>
      </c>
      <c r="C167" s="8">
        <v>6898.8055211012088</v>
      </c>
      <c r="D167" s="8">
        <v>6898.8055211012088</v>
      </c>
      <c r="E167" s="8">
        <v>7061.2454757811793</v>
      </c>
      <c r="F167" s="8">
        <v>7061.2454757811793</v>
      </c>
      <c r="G167" s="8">
        <v>7061.2454757811793</v>
      </c>
      <c r="H167" s="8">
        <v>6892.9577927232394</v>
      </c>
      <c r="I167" s="8">
        <v>6892.9577927232394</v>
      </c>
      <c r="J167" s="8">
        <v>6930.9673816488739</v>
      </c>
      <c r="K167" s="8">
        <v>6803.0068098119236</v>
      </c>
      <c r="L167" s="8">
        <v>6804.9227840377098</v>
      </c>
      <c r="M167" s="8">
        <v>6822.1665520697816</v>
      </c>
      <c r="N167" s="8">
        <f>SUMPRODUCT(B167:M167,$B$166:$M$166)/SUM($B$166:$M$166)</f>
        <v>6914.924833624611</v>
      </c>
      <c r="Q167"/>
    </row>
    <row r="168" spans="1:17" x14ac:dyDescent="0.35">
      <c r="A168" s="5" t="s">
        <v>22</v>
      </c>
      <c r="B168" s="7">
        <v>1.2251228312281599</v>
      </c>
      <c r="C168" s="7">
        <v>1.12512283122816</v>
      </c>
      <c r="D168" s="7">
        <v>1.0112151228312201</v>
      </c>
      <c r="E168" s="7">
        <v>0.95954914928243795</v>
      </c>
      <c r="F168" s="7">
        <v>0.95954914928243795</v>
      </c>
      <c r="G168" s="7">
        <v>0.91395491492824299</v>
      </c>
      <c r="H168" s="7">
        <v>0.84902995532530001</v>
      </c>
      <c r="I168" s="7">
        <v>0.85954914928243797</v>
      </c>
      <c r="J168" s="7">
        <v>0.87490299553200002</v>
      </c>
      <c r="K168" s="7">
        <v>1.07512283122816</v>
      </c>
      <c r="L168" s="7">
        <v>1.0128512283122799</v>
      </c>
      <c r="M168" s="7">
        <v>1.0815122831228099</v>
      </c>
      <c r="N168" s="7">
        <f t="shared" ref="N168:N171" si="55">SUMPRODUCT(B168:M168,$B$166:$M$166)/SUM($B$166:$M$166)</f>
        <v>0.97967782668745695</v>
      </c>
      <c r="Q168"/>
    </row>
    <row r="169" spans="1:17" x14ac:dyDescent="0.35">
      <c r="A169" s="5" t="s">
        <v>23</v>
      </c>
      <c r="B169" s="7">
        <v>3.7895032807479305</v>
      </c>
      <c r="C169" s="7">
        <v>3.7895032807479305</v>
      </c>
      <c r="D169" s="7">
        <v>3.7895032807479305</v>
      </c>
      <c r="E169" s="7">
        <v>3.6003350251516499</v>
      </c>
      <c r="F169" s="7">
        <v>3.6003350251516499</v>
      </c>
      <c r="G169" s="7">
        <v>3.6003350251516499</v>
      </c>
      <c r="H169" s="7">
        <v>3.8710642165922149</v>
      </c>
      <c r="I169" s="7">
        <v>3.8710642165922149</v>
      </c>
      <c r="J169" s="7">
        <v>3.8710642165922149</v>
      </c>
      <c r="K169" s="7">
        <v>3.7895032807479305</v>
      </c>
      <c r="L169" s="7">
        <v>3.7895032807479305</v>
      </c>
      <c r="M169" s="7">
        <v>3.7895032807479305</v>
      </c>
      <c r="N169" s="7">
        <f t="shared" si="55"/>
        <v>3.7673803156838583</v>
      </c>
      <c r="Q169"/>
    </row>
    <row r="170" spans="1:17" x14ac:dyDescent="0.35">
      <c r="A170" s="5" t="s">
        <v>25</v>
      </c>
      <c r="B170" s="7">
        <v>8.7195491818423871</v>
      </c>
      <c r="C170" s="7">
        <v>8.7195491818423871</v>
      </c>
      <c r="D170" s="7">
        <v>8.7195491818423871</v>
      </c>
      <c r="E170" s="7">
        <v>7.3393185382452959</v>
      </c>
      <c r="F170" s="7">
        <v>7.3393185382452959</v>
      </c>
      <c r="G170" s="7">
        <v>7.3393185382452959</v>
      </c>
      <c r="H170" s="7">
        <v>9.7584776408271328</v>
      </c>
      <c r="I170" s="7">
        <v>9.7584776408271328</v>
      </c>
      <c r="J170" s="7">
        <v>9.7584776408271328</v>
      </c>
      <c r="K170" s="7">
        <v>8.7195491818423871</v>
      </c>
      <c r="L170" s="7">
        <v>8.7195491818423871</v>
      </c>
      <c r="M170" s="7">
        <v>8.7195491818423871</v>
      </c>
      <c r="N170" s="7">
        <f t="shared" si="55"/>
        <v>8.6903071606236697</v>
      </c>
      <c r="Q170"/>
    </row>
    <row r="171" spans="1:17" x14ac:dyDescent="0.35">
      <c r="A171" s="5" t="s">
        <v>38</v>
      </c>
      <c r="B171" s="7">
        <v>4.7164104927112831</v>
      </c>
      <c r="C171" s="7">
        <v>4.7164104927112831</v>
      </c>
      <c r="D171" s="7">
        <v>4.7164104927112831</v>
      </c>
      <c r="E171" s="7">
        <v>4.4046786506879778</v>
      </c>
      <c r="F171" s="7">
        <v>4.4046786506879778</v>
      </c>
      <c r="G171" s="7">
        <v>4.4046786506879778</v>
      </c>
      <c r="H171" s="7">
        <v>5.0328878476112884</v>
      </c>
      <c r="I171" s="7">
        <v>5.0328878476112884</v>
      </c>
      <c r="J171" s="7">
        <v>5.0328878476112884</v>
      </c>
      <c r="K171" s="7">
        <v>4.7164104927112831</v>
      </c>
      <c r="L171" s="7">
        <v>4.7164104927112831</v>
      </c>
      <c r="M171" s="7">
        <v>4.7164104927112831</v>
      </c>
      <c r="N171" s="7">
        <f t="shared" si="55"/>
        <v>4.734175124469358</v>
      </c>
      <c r="Q171"/>
    </row>
    <row r="173" spans="1:17" x14ac:dyDescent="0.35">
      <c r="A173" s="6" t="s">
        <v>86</v>
      </c>
      <c r="B173" s="6" t="s">
        <v>1</v>
      </c>
      <c r="C173" s="6" t="s">
        <v>2</v>
      </c>
      <c r="D173" s="6" t="s">
        <v>3</v>
      </c>
      <c r="E173" s="6" t="s">
        <v>4</v>
      </c>
      <c r="F173" s="6" t="s">
        <v>5</v>
      </c>
      <c r="G173" s="6" t="s">
        <v>6</v>
      </c>
      <c r="H173" s="6" t="s">
        <v>7</v>
      </c>
      <c r="I173" s="6" t="s">
        <v>8</v>
      </c>
      <c r="J173" s="6" t="s">
        <v>9</v>
      </c>
      <c r="K173" s="6" t="s">
        <v>10</v>
      </c>
      <c r="L173" s="6" t="s">
        <v>11</v>
      </c>
      <c r="M173" s="6" t="s">
        <v>12</v>
      </c>
      <c r="N173" s="6" t="s">
        <v>13</v>
      </c>
      <c r="Q173"/>
    </row>
    <row r="174" spans="1:17" x14ac:dyDescent="0.35">
      <c r="A174" s="9" t="s">
        <v>14</v>
      </c>
      <c r="B174" s="10">
        <f t="shared" ref="B174:N174" si="56">SUM(B175:B175)</f>
        <v>0</v>
      </c>
      <c r="C174" s="10">
        <f t="shared" si="56"/>
        <v>0</v>
      </c>
      <c r="D174" s="10">
        <f t="shared" si="56"/>
        <v>129</v>
      </c>
      <c r="E174" s="10">
        <f t="shared" si="56"/>
        <v>535</v>
      </c>
      <c r="F174" s="10">
        <f t="shared" si="56"/>
        <v>542</v>
      </c>
      <c r="G174" s="10">
        <f t="shared" si="56"/>
        <v>543</v>
      </c>
      <c r="H174" s="10">
        <f t="shared" si="56"/>
        <v>586</v>
      </c>
      <c r="I174" s="10">
        <f t="shared" si="56"/>
        <v>594</v>
      </c>
      <c r="J174" s="10">
        <f t="shared" si="56"/>
        <v>578</v>
      </c>
      <c r="K174" s="10">
        <f t="shared" si="56"/>
        <v>752</v>
      </c>
      <c r="L174" s="10">
        <f t="shared" si="56"/>
        <v>682</v>
      </c>
      <c r="M174" s="10">
        <f t="shared" si="56"/>
        <v>742.5</v>
      </c>
      <c r="N174" s="10">
        <f t="shared" si="56"/>
        <v>5683.5</v>
      </c>
      <c r="P174" s="1" t="s">
        <v>61</v>
      </c>
      <c r="Q174"/>
    </row>
    <row r="175" spans="1:17" x14ac:dyDescent="0.35">
      <c r="A175" s="5" t="s">
        <v>59</v>
      </c>
      <c r="B175" s="8">
        <v>0</v>
      </c>
      <c r="C175" s="8">
        <v>0</v>
      </c>
      <c r="D175" s="8">
        <v>129</v>
      </c>
      <c r="E175" s="8">
        <v>535</v>
      </c>
      <c r="F175" s="8">
        <v>542</v>
      </c>
      <c r="G175" s="8">
        <v>543</v>
      </c>
      <c r="H175" s="8">
        <v>586</v>
      </c>
      <c r="I175" s="8">
        <v>594</v>
      </c>
      <c r="J175" s="8">
        <v>578</v>
      </c>
      <c r="K175" s="8">
        <v>752</v>
      </c>
      <c r="L175" s="8">
        <v>682</v>
      </c>
      <c r="M175" s="8">
        <v>742.5</v>
      </c>
      <c r="N175" s="8">
        <f>SUM(B175:M175)</f>
        <v>5683.5</v>
      </c>
      <c r="Q175"/>
    </row>
    <row r="176" spans="1:17" x14ac:dyDescent="0.35">
      <c r="A176" s="9" t="s">
        <v>17</v>
      </c>
      <c r="B176" s="10">
        <f t="shared" ref="B176:N176" si="57">SUM(B177:B177)</f>
        <v>0</v>
      </c>
      <c r="C176" s="10">
        <f t="shared" si="57"/>
        <v>0</v>
      </c>
      <c r="D176" s="10">
        <f t="shared" si="57"/>
        <v>0</v>
      </c>
      <c r="E176" s="10">
        <f t="shared" si="57"/>
        <v>0</v>
      </c>
      <c r="F176" s="10">
        <f t="shared" si="57"/>
        <v>25</v>
      </c>
      <c r="G176" s="10">
        <f t="shared" si="57"/>
        <v>55</v>
      </c>
      <c r="H176" s="10">
        <f t="shared" si="57"/>
        <v>60</v>
      </c>
      <c r="I176" s="10">
        <f t="shared" si="57"/>
        <v>60</v>
      </c>
      <c r="J176" s="10">
        <f t="shared" si="57"/>
        <v>55</v>
      </c>
      <c r="K176" s="10">
        <f t="shared" si="57"/>
        <v>65</v>
      </c>
      <c r="L176" s="10">
        <f t="shared" si="57"/>
        <v>65</v>
      </c>
      <c r="M176" s="10">
        <f t="shared" si="57"/>
        <v>65</v>
      </c>
      <c r="N176" s="10">
        <f t="shared" si="57"/>
        <v>450</v>
      </c>
      <c r="Q176"/>
    </row>
    <row r="177" spans="1:17" x14ac:dyDescent="0.35">
      <c r="A177" s="5" t="s">
        <v>59</v>
      </c>
      <c r="B177" s="8">
        <v>0</v>
      </c>
      <c r="C177" s="8">
        <v>0</v>
      </c>
      <c r="D177" s="8">
        <v>0</v>
      </c>
      <c r="E177" s="8">
        <v>0</v>
      </c>
      <c r="F177" s="8">
        <v>25</v>
      </c>
      <c r="G177" s="8">
        <v>55</v>
      </c>
      <c r="H177" s="8">
        <v>60</v>
      </c>
      <c r="I177" s="8">
        <v>60</v>
      </c>
      <c r="J177" s="8">
        <v>55</v>
      </c>
      <c r="K177" s="8">
        <v>65</v>
      </c>
      <c r="L177" s="8">
        <v>65</v>
      </c>
      <c r="M177" s="8">
        <v>65</v>
      </c>
      <c r="N177" s="8">
        <f>SUM(B177:M177)</f>
        <v>450</v>
      </c>
      <c r="Q177"/>
    </row>
    <row r="178" spans="1:17" x14ac:dyDescent="0.35">
      <c r="A178" s="9" t="s">
        <v>43</v>
      </c>
      <c r="B178" s="11" t="e">
        <f t="shared" ref="B178:N178" si="58">B174/B176</f>
        <v>#DIV/0!</v>
      </c>
      <c r="C178" s="11" t="e">
        <f t="shared" si="58"/>
        <v>#DIV/0!</v>
      </c>
      <c r="D178" s="11" t="e">
        <f t="shared" si="58"/>
        <v>#DIV/0!</v>
      </c>
      <c r="E178" s="11" t="e">
        <f t="shared" si="58"/>
        <v>#DIV/0!</v>
      </c>
      <c r="F178" s="11">
        <f t="shared" si="58"/>
        <v>21.68</v>
      </c>
      <c r="G178" s="11">
        <f t="shared" si="58"/>
        <v>9.872727272727273</v>
      </c>
      <c r="H178" s="11">
        <f t="shared" si="58"/>
        <v>9.7666666666666675</v>
      </c>
      <c r="I178" s="11">
        <f t="shared" si="58"/>
        <v>9.9</v>
      </c>
      <c r="J178" s="11">
        <f t="shared" si="58"/>
        <v>10.50909090909091</v>
      </c>
      <c r="K178" s="11">
        <f t="shared" si="58"/>
        <v>11.569230769230769</v>
      </c>
      <c r="L178" s="11">
        <f t="shared" si="58"/>
        <v>10.492307692307692</v>
      </c>
      <c r="M178" s="11">
        <f t="shared" si="58"/>
        <v>11.423076923076923</v>
      </c>
      <c r="N178" s="11">
        <f t="shared" si="58"/>
        <v>12.63</v>
      </c>
      <c r="Q178"/>
    </row>
    <row r="179" spans="1:17" x14ac:dyDescent="0.35">
      <c r="A179" s="9" t="s">
        <v>34</v>
      </c>
      <c r="B179" s="11" t="e">
        <f t="shared" ref="B179:N179" si="59">B174/B180</f>
        <v>#DIV/0!</v>
      </c>
      <c r="C179" s="11" t="e">
        <f t="shared" si="59"/>
        <v>#DIV/0!</v>
      </c>
      <c r="D179" s="11" t="e">
        <f t="shared" si="59"/>
        <v>#DIV/0!</v>
      </c>
      <c r="E179" s="11" t="e">
        <f t="shared" si="59"/>
        <v>#DIV/0!</v>
      </c>
      <c r="F179" s="10">
        <f t="shared" si="59"/>
        <v>31.882352941176471</v>
      </c>
      <c r="G179" s="11">
        <f t="shared" si="59"/>
        <v>14.675675675675675</v>
      </c>
      <c r="H179" s="11">
        <f t="shared" si="59"/>
        <v>14.65</v>
      </c>
      <c r="I179" s="11">
        <f t="shared" si="59"/>
        <v>14.85</v>
      </c>
      <c r="J179" s="11">
        <f t="shared" si="59"/>
        <v>15.621621621621621</v>
      </c>
      <c r="K179" s="11">
        <f t="shared" si="59"/>
        <v>17.488372093023255</v>
      </c>
      <c r="L179" s="11">
        <f t="shared" si="59"/>
        <v>15.86046511627907</v>
      </c>
      <c r="M179" s="11">
        <f t="shared" si="59"/>
        <v>17.267441860465116</v>
      </c>
      <c r="N179" s="11">
        <f t="shared" si="59"/>
        <v>18.945</v>
      </c>
      <c r="Q179"/>
    </row>
    <row r="180" spans="1:17" x14ac:dyDescent="0.35">
      <c r="A180" s="9" t="s">
        <v>47</v>
      </c>
      <c r="B180" s="10">
        <v>0</v>
      </c>
      <c r="C180" s="10">
        <v>0</v>
      </c>
      <c r="D180" s="10">
        <v>0</v>
      </c>
      <c r="E180" s="10">
        <v>0</v>
      </c>
      <c r="F180" s="10">
        <v>17</v>
      </c>
      <c r="G180" s="10">
        <v>37</v>
      </c>
      <c r="H180" s="10">
        <v>40</v>
      </c>
      <c r="I180" s="10">
        <v>40</v>
      </c>
      <c r="J180" s="10">
        <v>37</v>
      </c>
      <c r="K180" s="10">
        <v>43</v>
      </c>
      <c r="L180" s="10">
        <v>43</v>
      </c>
      <c r="M180" s="10">
        <v>43</v>
      </c>
      <c r="N180" s="10">
        <f>SUM(B180:M180)</f>
        <v>300</v>
      </c>
      <c r="Q180"/>
    </row>
    <row r="181" spans="1:17" x14ac:dyDescent="0.35">
      <c r="A181" s="5" t="s">
        <v>87</v>
      </c>
      <c r="B181" s="8">
        <v>0</v>
      </c>
      <c r="C181" s="8">
        <v>0</v>
      </c>
      <c r="D181" s="8">
        <v>0</v>
      </c>
      <c r="E181" s="8">
        <v>0</v>
      </c>
      <c r="F181" s="8">
        <v>6479.8735513063575</v>
      </c>
      <c r="G181" s="8">
        <v>6587.4532361428255</v>
      </c>
      <c r="H181" s="8">
        <v>6598.4996530979815</v>
      </c>
      <c r="I181" s="8">
        <v>6640.8571020106665</v>
      </c>
      <c r="J181" s="8">
        <v>6546.9131928299039</v>
      </c>
      <c r="K181" s="8">
        <v>6622.554164152155</v>
      </c>
      <c r="L181" s="8">
        <v>6577.0751977468653</v>
      </c>
      <c r="M181" s="8">
        <v>6514.6913723446387</v>
      </c>
      <c r="N181" s="8">
        <f>SUMPRODUCT(B181:M181,$B$166:$M$166)/SUM($B$166:$M$166)</f>
        <v>5016.4002721866818</v>
      </c>
      <c r="Q181"/>
    </row>
    <row r="182" spans="1:17" x14ac:dyDescent="0.35">
      <c r="A182" s="5" t="s">
        <v>22</v>
      </c>
      <c r="B182" s="7">
        <v>0</v>
      </c>
      <c r="C182" s="7">
        <v>0</v>
      </c>
      <c r="D182" s="7">
        <v>0</v>
      </c>
      <c r="E182" s="7">
        <v>0</v>
      </c>
      <c r="F182" s="7">
        <v>1.1963137977016487</v>
      </c>
      <c r="G182" s="7">
        <v>1.2297945486871629</v>
      </c>
      <c r="H182" s="7">
        <v>1.1899371525763407</v>
      </c>
      <c r="I182" s="7">
        <v>1.1598452095168732</v>
      </c>
      <c r="J182" s="7">
        <v>1.043069152154005</v>
      </c>
      <c r="K182" s="7">
        <v>1.0998599026215141</v>
      </c>
      <c r="L182" s="7">
        <v>1.0171850237389215</v>
      </c>
      <c r="M182" s="7">
        <v>0.99868824240130705</v>
      </c>
      <c r="N182" s="7">
        <f t="shared" ref="N182:N185" si="60">SUMPRODUCT(B182:M182,$B$166:$M$166)/SUM($B$166:$M$166)</f>
        <v>0.85231442995617068</v>
      </c>
      <c r="Q182"/>
    </row>
    <row r="183" spans="1:17" x14ac:dyDescent="0.35">
      <c r="A183" s="5" t="s">
        <v>23</v>
      </c>
      <c r="B183" s="7">
        <v>0</v>
      </c>
      <c r="C183" s="7">
        <v>0</v>
      </c>
      <c r="D183" s="7">
        <v>0</v>
      </c>
      <c r="E183" s="7">
        <v>0</v>
      </c>
      <c r="F183" s="7">
        <v>6.1898218520392891</v>
      </c>
      <c r="G183" s="7">
        <v>6.1677029274238109</v>
      </c>
      <c r="H183" s="7">
        <v>6.5216776272949577</v>
      </c>
      <c r="I183" s="7">
        <v>6.2198206941014229</v>
      </c>
      <c r="J183" s="7">
        <v>5.4980496011602895</v>
      </c>
      <c r="K183" s="7">
        <v>6.2002253394155238</v>
      </c>
      <c r="L183" s="7">
        <v>5.4953496668146338</v>
      </c>
      <c r="M183" s="7">
        <v>5.9413443801343009</v>
      </c>
      <c r="N183" s="7">
        <f t="shared" si="60"/>
        <v>4.6059680600780979</v>
      </c>
      <c r="Q183"/>
    </row>
    <row r="184" spans="1:17" x14ac:dyDescent="0.35">
      <c r="A184" s="5" t="s">
        <v>38</v>
      </c>
      <c r="B184" s="7"/>
      <c r="C184" s="7"/>
      <c r="D184" s="7"/>
      <c r="E184" s="7">
        <v>0</v>
      </c>
      <c r="F184" s="7">
        <v>8.6260324569665645</v>
      </c>
      <c r="G184" s="7">
        <v>7.4000020850870269</v>
      </c>
      <c r="H184" s="7">
        <v>6.7387324662647368</v>
      </c>
      <c r="I184" s="7">
        <v>6.6265738034878963</v>
      </c>
      <c r="J184" s="7">
        <v>8.5113001863496525</v>
      </c>
      <c r="K184" s="7">
        <v>6.8655051550811086</v>
      </c>
      <c r="L184" s="7">
        <v>8.0494777521544147</v>
      </c>
      <c r="M184" s="7">
        <v>8.4500340109166245</v>
      </c>
      <c r="N184" s="7">
        <f t="shared" si="60"/>
        <v>5.8143085963157821</v>
      </c>
      <c r="Q184"/>
    </row>
    <row r="185" spans="1:17" x14ac:dyDescent="0.35">
      <c r="A185" s="5" t="s">
        <v>25</v>
      </c>
      <c r="B185" s="7">
        <v>0</v>
      </c>
      <c r="C185" s="7">
        <v>0</v>
      </c>
      <c r="D185" s="7">
        <v>0</v>
      </c>
      <c r="E185" s="7">
        <v>0</v>
      </c>
      <c r="F185" s="7">
        <v>14.780549266908384</v>
      </c>
      <c r="G185" s="7">
        <v>14.414034145582065</v>
      </c>
      <c r="H185" s="7">
        <v>14.368264087092488</v>
      </c>
      <c r="I185" s="7">
        <v>14.399810935412955</v>
      </c>
      <c r="J185" s="7">
        <v>15.000279257794638</v>
      </c>
      <c r="K185" s="7">
        <v>14.384707966561351</v>
      </c>
      <c r="L185" s="7">
        <v>15.075931068448858</v>
      </c>
      <c r="M185" s="7">
        <v>15.09520006903829</v>
      </c>
      <c r="N185" s="7">
        <f t="shared" si="60"/>
        <v>11.20202059508415</v>
      </c>
      <c r="Q185"/>
    </row>
    <row r="186" spans="1:17" x14ac:dyDescent="0.35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spans="1:17" x14ac:dyDescent="0.35">
      <c r="E187" s="12"/>
      <c r="H187" s="12"/>
      <c r="K187" s="12"/>
      <c r="N187" s="12"/>
    </row>
    <row r="188" spans="1:17" x14ac:dyDescent="0.35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spans="1:17" x14ac:dyDescent="0.35">
      <c r="D189" s="12"/>
      <c r="E189" s="12"/>
      <c r="G189" s="12"/>
      <c r="H189" s="12"/>
      <c r="J189" s="12"/>
      <c r="K189" s="12"/>
      <c r="M189" s="12"/>
      <c r="N189" s="12"/>
    </row>
    <row r="190" spans="1:17" x14ac:dyDescent="0.35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spans="1:17" x14ac:dyDescent="0.35">
      <c r="E191" s="12"/>
      <c r="H191" s="12"/>
      <c r="K191" s="12"/>
      <c r="N191" s="12"/>
    </row>
    <row r="192" spans="1:17" x14ac:dyDescent="0.35">
      <c r="B192" s="12"/>
      <c r="C192" s="12"/>
      <c r="D192" s="12"/>
      <c r="E192" s="13"/>
      <c r="F192" s="12"/>
      <c r="G192" s="12"/>
      <c r="H192" s="13"/>
      <c r="I192" s="12"/>
      <c r="J192" s="12"/>
      <c r="K192" s="13"/>
      <c r="L192" s="12"/>
      <c r="M192" s="12"/>
      <c r="N192" s="13"/>
    </row>
    <row r="193" spans="2:13" x14ac:dyDescent="0.35">
      <c r="D193" s="12"/>
      <c r="G193" s="12"/>
      <c r="J193" s="12"/>
      <c r="M193" s="12"/>
    </row>
    <row r="196" spans="2:13" x14ac:dyDescent="0.35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spans="2:13" x14ac:dyDescent="0.35">
      <c r="D197" s="12"/>
      <c r="G197" s="12"/>
      <c r="J197" s="12"/>
      <c r="M197" s="12"/>
    </row>
    <row r="200" spans="2:13" x14ac:dyDescent="0.35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2:13" x14ac:dyDescent="0.35">
      <c r="D201" s="12"/>
      <c r="G201" s="12"/>
      <c r="J201" s="12"/>
      <c r="M201" s="12"/>
    </row>
    <row r="206" spans="2:13" x14ac:dyDescent="0.35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2:13" x14ac:dyDescent="0.35">
      <c r="D207" s="12"/>
      <c r="G207" s="12"/>
      <c r="J207" s="12"/>
      <c r="M207" s="12"/>
    </row>
    <row r="211" spans="2:13" x14ac:dyDescent="0.35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spans="2:13" x14ac:dyDescent="0.35">
      <c r="D212" s="12"/>
      <c r="G212" s="12"/>
      <c r="J212" s="12"/>
      <c r="M212" s="12"/>
    </row>
  </sheetData>
  <pageMargins left="0.7" right="0.7" top="0.75" bottom="0.75" header="0.3" footer="0.3"/>
  <pageSetup paperSize="9" orientation="portrait" r:id="rId1"/>
  <ignoredErrors>
    <ignoredError sqref="N12 N17 N13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Q185"/>
  <sheetViews>
    <sheetView zoomScale="70" zoomScaleNormal="70" workbookViewId="0">
      <pane xSplit="1" ySplit="4" topLeftCell="B177" activePane="bottomRight" state="frozen"/>
      <selection pane="topRight" activeCell="B1" sqref="B1"/>
      <selection pane="bottomLeft" activeCell="A5" sqref="A5"/>
      <selection pane="bottomRight" activeCell="D195" sqref="D195"/>
    </sheetView>
  </sheetViews>
  <sheetFormatPr defaultColWidth="8.90625" defaultRowHeight="14.5" x14ac:dyDescent="0.35"/>
  <cols>
    <col min="1" max="1" width="27.453125" style="1" customWidth="1"/>
    <col min="2" max="13" width="11.81640625" style="1" bestFit="1" customWidth="1"/>
    <col min="14" max="14" width="13.36328125" style="1" customWidth="1"/>
    <col min="15" max="15" width="1.6328125" style="1" customWidth="1"/>
    <col min="16" max="16" width="13.6328125" style="1" customWidth="1"/>
    <col min="17" max="17" width="0" style="1" hidden="1" customWidth="1"/>
    <col min="18" max="16384" width="8.90625" style="1"/>
  </cols>
  <sheetData>
    <row r="1" spans="1:17" x14ac:dyDescent="0.35">
      <c r="A1" s="3" t="s">
        <v>91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7" x14ac:dyDescent="0.3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7" ht="15.65" customHeight="1" x14ac:dyDescent="0.35">
      <c r="B3" s="4" t="s">
        <v>88</v>
      </c>
      <c r="C3" s="4" t="s">
        <v>88</v>
      </c>
      <c r="D3" s="4" t="s">
        <v>88</v>
      </c>
      <c r="E3" s="4" t="s">
        <v>88</v>
      </c>
      <c r="F3" s="4" t="s">
        <v>62</v>
      </c>
      <c r="G3" s="4" t="s">
        <v>62</v>
      </c>
      <c r="H3" s="4" t="s">
        <v>62</v>
      </c>
      <c r="I3" s="4" t="s">
        <v>62</v>
      </c>
      <c r="J3" s="4" t="s">
        <v>62</v>
      </c>
      <c r="K3" s="4" t="s">
        <v>62</v>
      </c>
      <c r="L3" s="4" t="s">
        <v>62</v>
      </c>
      <c r="M3" s="4" t="s">
        <v>62</v>
      </c>
      <c r="N3" s="4" t="s">
        <v>62</v>
      </c>
      <c r="O3" s="4"/>
      <c r="P3" s="4"/>
    </row>
    <row r="4" spans="1:17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4"/>
      <c r="P4" s="6" t="s">
        <v>84</v>
      </c>
    </row>
    <row r="5" spans="1:17" s="2" customFormat="1" x14ac:dyDescent="0.35">
      <c r="A5" s="9" t="s">
        <v>14</v>
      </c>
      <c r="B5" s="10">
        <f t="shared" ref="B5:M5" si="0">SUM(B6:B7)</f>
        <v>6763.0375890000014</v>
      </c>
      <c r="C5" s="10">
        <f t="shared" si="0"/>
        <v>7421.6152662000004</v>
      </c>
      <c r="D5" s="10">
        <f t="shared" si="0"/>
        <v>6667.022282599999</v>
      </c>
      <c r="E5" s="10">
        <f t="shared" si="0"/>
        <v>6380.9102722916177</v>
      </c>
      <c r="F5" s="10">
        <f t="shared" si="0"/>
        <v>8427.9132163369541</v>
      </c>
      <c r="G5" s="10">
        <f t="shared" si="0"/>
        <v>7640.6139919246343</v>
      </c>
      <c r="H5" s="10">
        <f t="shared" si="0"/>
        <v>8789.246788800001</v>
      </c>
      <c r="I5" s="10">
        <f t="shared" si="0"/>
        <v>8512.6790073979319</v>
      </c>
      <c r="J5" s="10">
        <f t="shared" si="0"/>
        <v>8487.7924339737674</v>
      </c>
      <c r="K5" s="10">
        <f t="shared" si="0"/>
        <v>8759.4617613734808</v>
      </c>
      <c r="L5" s="10">
        <f t="shared" si="0"/>
        <v>8814.2806109394733</v>
      </c>
      <c r="M5" s="10">
        <f t="shared" si="0"/>
        <v>8533.4633517775619</v>
      </c>
      <c r="N5" s="10">
        <f>SUM(B5:M5)</f>
        <v>95198.036572615412</v>
      </c>
      <c r="P5" s="10">
        <f>'Budget 2025'!N5</f>
        <v>94714.47819029224</v>
      </c>
      <c r="Q5" s="27">
        <f>N5/P5</f>
        <v>1.0051054325754891</v>
      </c>
    </row>
    <row r="6" spans="1:17" x14ac:dyDescent="0.35">
      <c r="A6" s="5" t="s">
        <v>15</v>
      </c>
      <c r="B6" s="30">
        <v>2244.6940840000002</v>
      </c>
      <c r="C6" s="30">
        <v>2827.0689547000002</v>
      </c>
      <c r="D6" s="30">
        <v>2295.7417960000002</v>
      </c>
      <c r="E6" s="30">
        <v>1946.607894291617</v>
      </c>
      <c r="F6" s="8">
        <v>2953.7157442226685</v>
      </c>
      <c r="G6" s="8">
        <v>2717.2507121960716</v>
      </c>
      <c r="H6" s="8">
        <v>3223.0037328000003</v>
      </c>
      <c r="I6" s="8">
        <v>3121.8470612055389</v>
      </c>
      <c r="J6" s="8">
        <v>2945.2593315881622</v>
      </c>
      <c r="K6" s="8">
        <v>3171.8912170028921</v>
      </c>
      <c r="L6" s="8">
        <v>3162.2305317992405</v>
      </c>
      <c r="M6" s="8">
        <v>3070.0459192773301</v>
      </c>
      <c r="N6" s="8">
        <f t="shared" ref="N6:N7" si="1">SUM(B6:M6)</f>
        <v>33679.356979083524</v>
      </c>
      <c r="P6" s="8">
        <f>'Budget 2025'!N6</f>
        <v>33532.659005910617</v>
      </c>
    </row>
    <row r="7" spans="1:17" x14ac:dyDescent="0.35">
      <c r="A7" s="5" t="s">
        <v>16</v>
      </c>
      <c r="B7" s="30">
        <v>4518.3435050000007</v>
      </c>
      <c r="C7" s="30">
        <v>4594.5463115000002</v>
      </c>
      <c r="D7" s="30">
        <v>4371.2804865999988</v>
      </c>
      <c r="E7" s="30">
        <v>4434.3023780000003</v>
      </c>
      <c r="F7" s="8">
        <v>5474.197472114286</v>
      </c>
      <c r="G7" s="8">
        <v>4923.3632797285627</v>
      </c>
      <c r="H7" s="8">
        <v>5566.2430560000012</v>
      </c>
      <c r="I7" s="8">
        <v>5390.8319461923929</v>
      </c>
      <c r="J7" s="8">
        <v>5542.5331023856052</v>
      </c>
      <c r="K7" s="8">
        <v>5587.5705443705883</v>
      </c>
      <c r="L7" s="8">
        <v>5652.0500791402328</v>
      </c>
      <c r="M7" s="8">
        <v>5463.4174325002323</v>
      </c>
      <c r="N7" s="8">
        <f t="shared" si="1"/>
        <v>61518.679593531902</v>
      </c>
      <c r="P7" s="8">
        <f>'Budget 2025'!N7</f>
        <v>61181.819184381624</v>
      </c>
    </row>
    <row r="8" spans="1:17" s="2" customFormat="1" x14ac:dyDescent="0.35">
      <c r="A8" s="9" t="s">
        <v>17</v>
      </c>
      <c r="B8" s="10">
        <f>SUM(B9:B11)</f>
        <v>542.83357399999977</v>
      </c>
      <c r="C8" s="10">
        <f t="shared" ref="C8:N8" si="2">SUM(C9:C11)</f>
        <v>554.119505</v>
      </c>
      <c r="D8" s="10">
        <f t="shared" si="2"/>
        <v>482.78671800000012</v>
      </c>
      <c r="E8" s="10">
        <f t="shared" si="2"/>
        <v>444.51200610661351</v>
      </c>
      <c r="F8" s="10">
        <f t="shared" si="2"/>
        <v>570.02057688350862</v>
      </c>
      <c r="G8" s="10">
        <f t="shared" si="2"/>
        <v>582.50000001252386</v>
      </c>
      <c r="H8" s="10">
        <f t="shared" si="2"/>
        <v>610.00000001311491</v>
      </c>
      <c r="I8" s="10">
        <f t="shared" si="2"/>
        <v>660.00000001418994</v>
      </c>
      <c r="J8" s="10">
        <f t="shared" si="2"/>
        <v>660.00000001418994</v>
      </c>
      <c r="K8" s="10">
        <f t="shared" si="2"/>
        <v>660.00000001419005</v>
      </c>
      <c r="L8" s="10">
        <f t="shared" si="2"/>
        <v>660.00000001419005</v>
      </c>
      <c r="M8" s="10">
        <f t="shared" si="2"/>
        <v>620.72761994330847</v>
      </c>
      <c r="N8" s="10">
        <f t="shared" si="2"/>
        <v>7047.5000000158288</v>
      </c>
      <c r="P8" s="10">
        <f>'Budget 2025'!N8</f>
        <v>6950.0000001494245</v>
      </c>
      <c r="Q8" s="27">
        <f>N8/P8</f>
        <v>1.0140287769588932</v>
      </c>
    </row>
    <row r="9" spans="1:17" x14ac:dyDescent="0.35">
      <c r="A9" s="5" t="s">
        <v>15</v>
      </c>
      <c r="B9" s="30">
        <v>158.42587471319851</v>
      </c>
      <c r="C9" s="30">
        <v>192.5856716189881</v>
      </c>
      <c r="D9" s="30">
        <v>141.12356905548722</v>
      </c>
      <c r="E9" s="30">
        <v>88.560643702912401</v>
      </c>
      <c r="F9" s="8">
        <v>165.15203282457853</v>
      </c>
      <c r="G9" s="8">
        <v>140.00000000301</v>
      </c>
      <c r="H9" s="8">
        <v>165.00000000354746</v>
      </c>
      <c r="I9" s="8">
        <v>165.00000000354748</v>
      </c>
      <c r="J9" s="8">
        <v>130.00000000279499</v>
      </c>
      <c r="K9" s="8">
        <v>130.00000000279499</v>
      </c>
      <c r="L9" s="8">
        <v>130.00000000279499</v>
      </c>
      <c r="M9" s="8">
        <v>126.65220807318751</v>
      </c>
      <c r="N9" s="8">
        <f t="shared" ref="N9:N11" si="3">SUM(B9:M9)</f>
        <v>1732.5000000068421</v>
      </c>
      <c r="P9" s="8">
        <f>'Budget 2025'!N9</f>
        <v>1862.5000000400435</v>
      </c>
    </row>
    <row r="10" spans="1:17" x14ac:dyDescent="0.35">
      <c r="A10" s="5" t="s">
        <v>16</v>
      </c>
      <c r="B10" s="30">
        <v>384.40769928680129</v>
      </c>
      <c r="C10" s="30">
        <v>361.5338333810119</v>
      </c>
      <c r="D10" s="30">
        <v>341.6631489445129</v>
      </c>
      <c r="E10" s="30">
        <v>355.95136240370113</v>
      </c>
      <c r="F10" s="8">
        <v>404.86854405893013</v>
      </c>
      <c r="G10" s="8">
        <v>442.50000000951383</v>
      </c>
      <c r="H10" s="8">
        <v>445.00000000956743</v>
      </c>
      <c r="I10" s="8">
        <v>495.00000001064251</v>
      </c>
      <c r="J10" s="8">
        <v>530.00000001139495</v>
      </c>
      <c r="K10" s="8">
        <v>530.00000001139506</v>
      </c>
      <c r="L10" s="8">
        <v>530.00000001139506</v>
      </c>
      <c r="M10" s="8">
        <v>494.075411870121</v>
      </c>
      <c r="N10" s="8">
        <f t="shared" si="3"/>
        <v>5315.0000000089867</v>
      </c>
      <c r="P10" s="8">
        <f>'Budget 2025'!N10</f>
        <v>5087.5000001093813</v>
      </c>
    </row>
    <row r="11" spans="1:17" x14ac:dyDescent="0.35">
      <c r="A11" s="5" t="s">
        <v>70</v>
      </c>
      <c r="B11" s="30">
        <v>0</v>
      </c>
      <c r="C11" s="30">
        <v>0</v>
      </c>
      <c r="D11" s="30">
        <v>0</v>
      </c>
      <c r="E11" s="30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f t="shared" si="3"/>
        <v>0</v>
      </c>
      <c r="P11" s="8">
        <f>'Budget 2025'!N11</f>
        <v>0</v>
      </c>
    </row>
    <row r="12" spans="1:17" s="2" customFormat="1" x14ac:dyDescent="0.35">
      <c r="A12" s="9" t="s">
        <v>18</v>
      </c>
      <c r="B12" s="11">
        <f t="shared" ref="B12:N12" si="4">B5/B8</f>
        <v>12.458768051439655</v>
      </c>
      <c r="C12" s="11">
        <f t="shared" si="4"/>
        <v>13.393528289894794</v>
      </c>
      <c r="D12" s="11">
        <f t="shared" si="4"/>
        <v>13.809456710447442</v>
      </c>
      <c r="E12" s="11">
        <f t="shared" si="4"/>
        <v>14.354865975793677</v>
      </c>
      <c r="F12" s="11">
        <f t="shared" si="4"/>
        <v>14.78527891469313</v>
      </c>
      <c r="G12" s="11">
        <f t="shared" si="4"/>
        <v>13.116933891434094</v>
      </c>
      <c r="H12" s="11">
        <f t="shared" si="4"/>
        <v>14.408601292804972</v>
      </c>
      <c r="I12" s="11">
        <f t="shared" si="4"/>
        <v>12.897998495780167</v>
      </c>
      <c r="J12" s="11">
        <f t="shared" si="4"/>
        <v>12.860291566350424</v>
      </c>
      <c r="K12" s="11">
        <f t="shared" si="4"/>
        <v>13.271911759371442</v>
      </c>
      <c r="L12" s="11">
        <f t="shared" si="4"/>
        <v>13.354970622348432</v>
      </c>
      <c r="M12" s="11">
        <f t="shared" si="4"/>
        <v>13.747516749064477</v>
      </c>
      <c r="N12" s="11">
        <f t="shared" si="4"/>
        <v>13.508057690301751</v>
      </c>
      <c r="P12" s="11">
        <f>'Budget 2025'!N12</f>
        <v>13.627982473130343</v>
      </c>
    </row>
    <row r="13" spans="1:17" s="2" customFormat="1" x14ac:dyDescent="0.35">
      <c r="A13" s="9" t="s">
        <v>19</v>
      </c>
      <c r="B13" s="10">
        <f>SUM(B14:B16)</f>
        <v>612.68292599999972</v>
      </c>
      <c r="C13" s="10">
        <f t="shared" ref="C13:M13" si="5">SUM(C14:C16)</f>
        <v>584.91494499999999</v>
      </c>
      <c r="D13" s="10">
        <f t="shared" si="5"/>
        <v>501.01073500000018</v>
      </c>
      <c r="E13" s="10">
        <f t="shared" si="5"/>
        <v>479.30494752121433</v>
      </c>
      <c r="F13" s="10">
        <f t="shared" si="5"/>
        <v>584.25</v>
      </c>
      <c r="G13" s="10">
        <f t="shared" si="5"/>
        <v>584.25000001252386</v>
      </c>
      <c r="H13" s="10">
        <f>SUM(H14:H16)</f>
        <v>625.7500000131148</v>
      </c>
      <c r="I13" s="10">
        <f t="shared" si="5"/>
        <v>672.75000001418994</v>
      </c>
      <c r="J13" s="10">
        <f t="shared" si="5"/>
        <v>672.75000001418982</v>
      </c>
      <c r="K13" s="10">
        <f t="shared" si="5"/>
        <v>642.00000001418994</v>
      </c>
      <c r="L13" s="10">
        <f t="shared" si="5"/>
        <v>642.00000001418994</v>
      </c>
      <c r="M13" s="10">
        <f t="shared" si="5"/>
        <v>533.33644639638726</v>
      </c>
      <c r="N13" s="10">
        <f>SUM(B13:M13)</f>
        <v>7134.9999999999991</v>
      </c>
      <c r="P13" s="10">
        <f>'Budget 2025'!N13</f>
        <v>7100.0000001494254</v>
      </c>
    </row>
    <row r="14" spans="1:17" x14ac:dyDescent="0.35">
      <c r="A14" s="5" t="s">
        <v>15</v>
      </c>
      <c r="B14" s="30">
        <v>203.84233071319855</v>
      </c>
      <c r="C14" s="30">
        <v>213.15935261898807</v>
      </c>
      <c r="D14" s="30">
        <v>151.07620705548723</v>
      </c>
      <c r="E14" s="30">
        <v>100.53441410291239</v>
      </c>
      <c r="F14" s="8">
        <v>165</v>
      </c>
      <c r="G14" s="8">
        <v>148.50000000301</v>
      </c>
      <c r="H14" s="8">
        <v>175.00000000354746</v>
      </c>
      <c r="I14" s="8">
        <v>165.00000000354748</v>
      </c>
      <c r="J14" s="8">
        <v>130.00000000279499</v>
      </c>
      <c r="K14" s="8">
        <v>115.00000000279501</v>
      </c>
      <c r="L14" s="8">
        <v>115.00000000279501</v>
      </c>
      <c r="M14" s="8">
        <v>47.887695490923505</v>
      </c>
      <c r="N14" s="8">
        <f t="shared" ref="N14:N15" si="6">SUM(B14:M14)</f>
        <v>1729.9999999999998</v>
      </c>
      <c r="P14" s="8">
        <f>'Budget 2025'!N14</f>
        <v>1862.5000000400439</v>
      </c>
    </row>
    <row r="15" spans="1:17" x14ac:dyDescent="0.35">
      <c r="A15" s="5" t="s">
        <v>16</v>
      </c>
      <c r="B15" s="30">
        <v>408.8405952868012</v>
      </c>
      <c r="C15" s="30">
        <v>371.75559238101187</v>
      </c>
      <c r="D15" s="30">
        <v>349.93452794451292</v>
      </c>
      <c r="E15" s="30">
        <v>378.57866440370123</v>
      </c>
      <c r="F15" s="8">
        <v>415</v>
      </c>
      <c r="G15" s="8">
        <v>431.50000000951383</v>
      </c>
      <c r="H15" s="8">
        <v>446.50000000956737</v>
      </c>
      <c r="I15" s="8">
        <v>495.00000001064245</v>
      </c>
      <c r="J15" s="8">
        <v>530.00000001139483</v>
      </c>
      <c r="K15" s="8">
        <v>514.25000001139495</v>
      </c>
      <c r="L15" s="8">
        <v>514.25000001139495</v>
      </c>
      <c r="M15" s="8">
        <v>472.69875090546373</v>
      </c>
      <c r="N15" s="8">
        <f t="shared" si="6"/>
        <v>5328.3081309853997</v>
      </c>
      <c r="P15" s="8">
        <f>'Budget 2025'!N15</f>
        <v>5110.0000001093813</v>
      </c>
    </row>
    <row r="16" spans="1:17" x14ac:dyDescent="0.35">
      <c r="A16" s="5" t="s">
        <v>68</v>
      </c>
      <c r="B16" s="30">
        <v>0</v>
      </c>
      <c r="C16" s="30">
        <v>0</v>
      </c>
      <c r="D16" s="30">
        <v>0</v>
      </c>
      <c r="E16" s="30">
        <v>0.19186901460068298</v>
      </c>
      <c r="F16" s="14">
        <v>4.25</v>
      </c>
      <c r="G16" s="14">
        <v>4.25</v>
      </c>
      <c r="H16" s="14">
        <v>4.25</v>
      </c>
      <c r="I16" s="14">
        <v>12.75</v>
      </c>
      <c r="J16" s="14">
        <v>12.75</v>
      </c>
      <c r="K16" s="14">
        <v>12.75</v>
      </c>
      <c r="L16" s="14">
        <v>12.75</v>
      </c>
      <c r="M16" s="14">
        <v>12.75</v>
      </c>
      <c r="N16" s="8">
        <f>SUM(B16:M16)</f>
        <v>76.691869014600684</v>
      </c>
      <c r="P16" s="14">
        <f>'Budget 2025'!N48</f>
        <v>127.5</v>
      </c>
    </row>
    <row r="17" spans="1:16" s="2" customFormat="1" x14ac:dyDescent="0.35">
      <c r="A17" s="9" t="s">
        <v>20</v>
      </c>
      <c r="B17" s="11">
        <f>B5/B13</f>
        <v>11.03839735367459</v>
      </c>
      <c r="C17" s="11">
        <f t="shared" ref="C17:N17" si="7">C5/C13</f>
        <v>12.688366624313216</v>
      </c>
      <c r="D17" s="11">
        <f t="shared" si="7"/>
        <v>13.307144571662715</v>
      </c>
      <c r="E17" s="11">
        <f t="shared" si="7"/>
        <v>13.312840406282671</v>
      </c>
      <c r="F17" s="11">
        <f t="shared" si="7"/>
        <v>14.425183083161238</v>
      </c>
      <c r="G17" s="11">
        <f t="shared" si="7"/>
        <v>13.077644829714766</v>
      </c>
      <c r="H17" s="11">
        <f t="shared" si="7"/>
        <v>14.045939734104341</v>
      </c>
      <c r="I17" s="11">
        <f t="shared" si="7"/>
        <v>12.653554823067081</v>
      </c>
      <c r="J17" s="11">
        <f t="shared" si="7"/>
        <v>12.616562517717934</v>
      </c>
      <c r="K17" s="11">
        <f t="shared" si="7"/>
        <v>13.644021434859615</v>
      </c>
      <c r="L17" s="11">
        <f t="shared" si="7"/>
        <v>13.729409051004133</v>
      </c>
      <c r="M17" s="11">
        <f t="shared" si="7"/>
        <v>16.000150391813474</v>
      </c>
      <c r="N17" s="11">
        <f t="shared" si="7"/>
        <v>13.342401762104474</v>
      </c>
      <c r="P17" s="11">
        <f>'Budget 2025'!N17</f>
        <v>13.340067350464633</v>
      </c>
    </row>
    <row r="18" spans="1:16" s="2" customFormat="1" x14ac:dyDescent="0.35">
      <c r="A18" s="9" t="s">
        <v>21</v>
      </c>
      <c r="B18" s="10">
        <v>146.18254208761763</v>
      </c>
      <c r="C18" s="10">
        <v>147.46076008666739</v>
      </c>
      <c r="D18" s="10">
        <v>104.99952079300986</v>
      </c>
      <c r="E18" s="10">
        <v>70.128193511949377</v>
      </c>
      <c r="F18" s="10">
        <v>130</v>
      </c>
      <c r="G18" s="10">
        <v>71.061875888291155</v>
      </c>
      <c r="H18" s="10">
        <v>103.46868190144048</v>
      </c>
      <c r="I18" s="10">
        <v>88.95430534439059</v>
      </c>
      <c r="J18" s="10">
        <v>60.509719918717295</v>
      </c>
      <c r="K18" s="10">
        <v>66.095478323792321</v>
      </c>
      <c r="L18" s="10">
        <v>66.452916359207734</v>
      </c>
      <c r="M18" s="10">
        <v>47.887695490923505</v>
      </c>
      <c r="N18" s="10">
        <f>SUM(B18:M18)</f>
        <v>1103.2016897060075</v>
      </c>
      <c r="P18" s="10">
        <f>'Budget 2025'!N18</f>
        <v>1228.8031519784099</v>
      </c>
    </row>
    <row r="19" spans="1:16" x14ac:dyDescent="0.35">
      <c r="A19" s="5" t="s">
        <v>60</v>
      </c>
      <c r="B19" s="30">
        <v>6193.987914326698</v>
      </c>
      <c r="C19" s="30">
        <v>6105.8161591164117</v>
      </c>
      <c r="D19" s="30">
        <v>6211.2744424291841</v>
      </c>
      <c r="E19" s="30">
        <v>6152.082852086849</v>
      </c>
      <c r="F19" s="8">
        <v>6008.2956853948162</v>
      </c>
      <c r="G19" s="8">
        <v>6195.4139077720674</v>
      </c>
      <c r="H19" s="8">
        <v>6259.432599748352</v>
      </c>
      <c r="I19" s="8">
        <v>6230.9729034301172</v>
      </c>
      <c r="J19" s="8">
        <v>6374.9064664787247</v>
      </c>
      <c r="K19" s="8">
        <v>6400.5599852047535</v>
      </c>
      <c r="L19" s="8">
        <v>6233.1865730090576</v>
      </c>
      <c r="M19" s="8">
        <v>6244.135263737111</v>
      </c>
      <c r="N19" s="14">
        <f>SUMPRODUCT(B19:M19,$B$18:$M$18)/SUM($B$18:$M$18)</f>
        <v>6195.3515698780648</v>
      </c>
      <c r="P19" s="8">
        <f>'Budget 2025'!N19</f>
        <v>6169.7769053579887</v>
      </c>
    </row>
    <row r="20" spans="1:16" x14ac:dyDescent="0.35">
      <c r="A20" s="5" t="s">
        <v>22</v>
      </c>
      <c r="B20" s="31">
        <v>0.61677596776492993</v>
      </c>
      <c r="C20" s="31">
        <v>0.68122223090752754</v>
      </c>
      <c r="D20" s="31">
        <v>0.59905827586206906</v>
      </c>
      <c r="E20" s="31">
        <v>0.64019198272624844</v>
      </c>
      <c r="F20" s="7">
        <v>0.8860665022562072</v>
      </c>
      <c r="G20" s="7">
        <v>0.79806691070009383</v>
      </c>
      <c r="H20" s="7">
        <v>0.80275322422381945</v>
      </c>
      <c r="I20" s="7">
        <v>0.80158131604474203</v>
      </c>
      <c r="J20" s="7">
        <v>0.79960709449365663</v>
      </c>
      <c r="K20" s="7">
        <v>0.84666532265911298</v>
      </c>
      <c r="L20" s="7">
        <v>0.86800879420536958</v>
      </c>
      <c r="M20" s="7">
        <v>0.75911701222491024</v>
      </c>
      <c r="N20" s="15">
        <f t="shared" ref="N20:N23" si="8">SUMPRODUCT(B20:M20,$B$18:$M$18)/SUM($B$18:$M$18)</f>
        <v>0.74606058781844209</v>
      </c>
      <c r="P20" s="7">
        <f>'Budget 2025'!N20</f>
        <v>0.81080180973763216</v>
      </c>
    </row>
    <row r="21" spans="1:16" x14ac:dyDescent="0.35">
      <c r="A21" s="5" t="s">
        <v>23</v>
      </c>
      <c r="B21" s="31">
        <v>8.4183399989495094</v>
      </c>
      <c r="C21" s="31">
        <v>8.3936009536465264</v>
      </c>
      <c r="D21" s="31">
        <v>8.4815141379310361</v>
      </c>
      <c r="E21" s="31">
        <v>7.9869977469019915</v>
      </c>
      <c r="F21" s="7">
        <v>8.9674719926429827</v>
      </c>
      <c r="G21" s="7">
        <v>8.2745159805577675</v>
      </c>
      <c r="H21" s="7">
        <v>8.4062057331963462</v>
      </c>
      <c r="I21" s="7">
        <v>8.25064241003553</v>
      </c>
      <c r="J21" s="7">
        <v>7.9678795986958537</v>
      </c>
      <c r="K21" s="7">
        <v>8.2594088393337142</v>
      </c>
      <c r="L21" s="7">
        <v>8.3090155835096251</v>
      </c>
      <c r="M21" s="7">
        <v>7.7956903203313397</v>
      </c>
      <c r="N21" s="15">
        <f t="shared" si="8"/>
        <v>8.3665686229189085</v>
      </c>
      <c r="P21" s="7">
        <f>'Budget 2025'!N21</f>
        <v>8.3745644868486551</v>
      </c>
    </row>
    <row r="22" spans="1:16" x14ac:dyDescent="0.35">
      <c r="A22" s="5" t="s">
        <v>24</v>
      </c>
      <c r="B22" s="31">
        <v>8.6372077946439969</v>
      </c>
      <c r="C22" s="31">
        <v>9.424192370827793</v>
      </c>
      <c r="D22" s="31">
        <v>8.7141910344827593</v>
      </c>
      <c r="E22" s="31">
        <v>9.2338941043935421</v>
      </c>
      <c r="F22" s="7">
        <v>8.8974814372542408</v>
      </c>
      <c r="G22" s="7">
        <v>8.4669602549748575</v>
      </c>
      <c r="H22" s="7">
        <v>8.1639926388328092</v>
      </c>
      <c r="I22" s="7">
        <v>7.84787277471231</v>
      </c>
      <c r="J22" s="7">
        <v>7.1238158744048095</v>
      </c>
      <c r="K22" s="7">
        <v>7.1464322749333675</v>
      </c>
      <c r="L22" s="7">
        <v>7.0760958093370601</v>
      </c>
      <c r="M22" s="7">
        <v>7.6334263744243485</v>
      </c>
      <c r="N22" s="15">
        <f t="shared" si="8"/>
        <v>8.3894010511136301</v>
      </c>
      <c r="P22" s="7">
        <f>'Budget 2025'!N22</f>
        <v>8.0403443049370615</v>
      </c>
    </row>
    <row r="23" spans="1:16" x14ac:dyDescent="0.35">
      <c r="A23" s="5" t="s">
        <v>25</v>
      </c>
      <c r="B23" s="31">
        <v>11.489526228511828</v>
      </c>
      <c r="C23" s="31">
        <v>12.325214883139218</v>
      </c>
      <c r="D23" s="31">
        <v>11.133918275862067</v>
      </c>
      <c r="E23" s="31">
        <v>12.344041963950433</v>
      </c>
      <c r="F23" s="7">
        <v>13.791150488666544</v>
      </c>
      <c r="G23" s="7">
        <v>13.492322573815438</v>
      </c>
      <c r="H23" s="7">
        <v>13.189354957673388</v>
      </c>
      <c r="I23" s="7">
        <v>12.873235093552889</v>
      </c>
      <c r="J23" s="7">
        <v>12.149178193245387</v>
      </c>
      <c r="K23" s="7">
        <v>12.171794593773944</v>
      </c>
      <c r="L23" s="7">
        <v>12.101458128177637</v>
      </c>
      <c r="M23" s="7">
        <v>12.658788693264929</v>
      </c>
      <c r="N23" s="15">
        <f t="shared" si="8"/>
        <v>12.457604818569182</v>
      </c>
      <c r="P23" s="7">
        <f>'Budget 2025'!N23</f>
        <v>13.065706623777643</v>
      </c>
    </row>
    <row r="24" spans="1:16" s="2" customFormat="1" x14ac:dyDescent="0.35">
      <c r="A24" s="9" t="s">
        <v>26</v>
      </c>
      <c r="B24" s="10">
        <v>57.659788625580923</v>
      </c>
      <c r="C24" s="10">
        <v>65.69859253232066</v>
      </c>
      <c r="D24" s="10">
        <v>46.076686262477367</v>
      </c>
      <c r="E24" s="10">
        <v>30.406220590963024</v>
      </c>
      <c r="F24" s="10">
        <v>35</v>
      </c>
      <c r="G24" s="10">
        <v>77.43812411471886</v>
      </c>
      <c r="H24" s="10">
        <v>71.531318102106994</v>
      </c>
      <c r="I24" s="10">
        <v>76.045694659156894</v>
      </c>
      <c r="J24" s="10">
        <v>69.49028008407771</v>
      </c>
      <c r="K24" s="10">
        <v>48.904521679002677</v>
      </c>
      <c r="L24" s="10">
        <v>48.547083643587264</v>
      </c>
      <c r="M24" s="10">
        <v>0</v>
      </c>
      <c r="N24" s="10">
        <f>SUM(B24:M24)</f>
        <v>626.79831029399236</v>
      </c>
      <c r="P24" s="10">
        <f>'Budget 2025'!N24</f>
        <v>633.69684806163377</v>
      </c>
    </row>
    <row r="25" spans="1:16" x14ac:dyDescent="0.35">
      <c r="A25" s="5" t="s">
        <v>60</v>
      </c>
      <c r="B25" s="30">
        <v>5947.3931547538068</v>
      </c>
      <c r="C25" s="30">
        <v>5939.4464545088622</v>
      </c>
      <c r="D25" s="30">
        <v>6026.7648460035543</v>
      </c>
      <c r="E25" s="30">
        <v>5928.2234409265629</v>
      </c>
      <c r="F25" s="8">
        <v>5964.6040312888654</v>
      </c>
      <c r="G25" s="8">
        <v>5905.9183378672869</v>
      </c>
      <c r="H25" s="8">
        <v>5962.1308007127254</v>
      </c>
      <c r="I25" s="8">
        <v>5928.4410894385146</v>
      </c>
      <c r="J25" s="8">
        <v>6005.5198212395453</v>
      </c>
      <c r="K25" s="8">
        <v>5894.1649028748798</v>
      </c>
      <c r="L25" s="8">
        <v>5910.5740203081423</v>
      </c>
      <c r="M25" s="8">
        <v>0</v>
      </c>
      <c r="N25" s="14">
        <f>SUMPRODUCT(B25:M25,$B$24:$M$24)/SUM($B$24:$M$24)</f>
        <v>5946.1240422293895</v>
      </c>
      <c r="P25" s="8">
        <f>'Budget 2025'!N25</f>
        <v>5965.7827396699631</v>
      </c>
    </row>
    <row r="26" spans="1:16" x14ac:dyDescent="0.35">
      <c r="A26" s="5" t="s">
        <v>22</v>
      </c>
      <c r="B26" s="31">
        <v>1.9789487701409629</v>
      </c>
      <c r="C26" s="31">
        <v>2.2887476533852658</v>
      </c>
      <c r="D26" s="31">
        <v>2.1709775263240609</v>
      </c>
      <c r="E26" s="31">
        <v>1.9301201688860021</v>
      </c>
      <c r="F26" s="7">
        <v>2.5411798136747681</v>
      </c>
      <c r="G26" s="7">
        <v>2.7715287432151658</v>
      </c>
      <c r="H26" s="7">
        <v>2.7609278934247246</v>
      </c>
      <c r="I26" s="7">
        <v>2.6979270179969594</v>
      </c>
      <c r="J26" s="7">
        <v>2.6091247654732062</v>
      </c>
      <c r="K26" s="7">
        <v>2.6713147126834249</v>
      </c>
      <c r="L26" s="7">
        <v>2.6349422802667357</v>
      </c>
      <c r="M26" s="7">
        <v>0</v>
      </c>
      <c r="N26" s="15">
        <f t="shared" ref="N26:N28" si="9">SUMPRODUCT(B26:M26,$B$24:$M$24)/SUM($B$24:$M$24)</f>
        <v>2.5036461006329445</v>
      </c>
      <c r="P26" s="7">
        <f>'Budget 2025'!N26</f>
        <v>2.5790489447985023</v>
      </c>
    </row>
    <row r="27" spans="1:16" x14ac:dyDescent="0.35">
      <c r="A27" s="5" t="s">
        <v>23</v>
      </c>
      <c r="B27" s="31">
        <v>12.398871535373901</v>
      </c>
      <c r="C27" s="31">
        <v>11.628956260855835</v>
      </c>
      <c r="D27" s="31">
        <v>11.380258525852586</v>
      </c>
      <c r="E27" s="31">
        <v>12.152458590451443</v>
      </c>
      <c r="F27" s="7">
        <v>13.234938468936134</v>
      </c>
      <c r="G27" s="7">
        <v>14.510181576946358</v>
      </c>
      <c r="H27" s="7">
        <v>13.509719746036961</v>
      </c>
      <c r="I27" s="7">
        <v>14.370514408518144</v>
      </c>
      <c r="J27" s="7">
        <v>13.324646891323814</v>
      </c>
      <c r="K27" s="7">
        <v>14.771804222944612</v>
      </c>
      <c r="L27" s="7">
        <v>14.891747642867728</v>
      </c>
      <c r="M27" s="7">
        <v>0</v>
      </c>
      <c r="N27" s="15">
        <f t="shared" si="9"/>
        <v>13.385705503504562</v>
      </c>
      <c r="P27" s="7">
        <f>'Budget 2025'!N27</f>
        <v>13.960595439757462</v>
      </c>
    </row>
    <row r="28" spans="1:16" x14ac:dyDescent="0.35">
      <c r="A28" s="5" t="s">
        <v>24</v>
      </c>
      <c r="B28" s="31">
        <v>7.8249272357182269</v>
      </c>
      <c r="C28" s="31">
        <v>7.5595294489183651</v>
      </c>
      <c r="D28" s="31">
        <v>6.9977463460631784</v>
      </c>
      <c r="E28" s="31">
        <v>7.2613478402078595</v>
      </c>
      <c r="F28" s="7">
        <v>6.2776772906819067</v>
      </c>
      <c r="G28" s="7">
        <v>7.0494548441436384</v>
      </c>
      <c r="H28" s="7">
        <v>6.8342266733673309</v>
      </c>
      <c r="I28" s="7">
        <v>6.8425309975501785</v>
      </c>
      <c r="J28" s="7">
        <v>6.8309986931763298</v>
      </c>
      <c r="K28" s="7">
        <v>7.4057237488908356</v>
      </c>
      <c r="L28" s="7">
        <v>7.433341501813401</v>
      </c>
      <c r="M28" s="7">
        <v>0</v>
      </c>
      <c r="N28" s="15">
        <f t="shared" si="9"/>
        <v>7.121281439978504</v>
      </c>
      <c r="P28" s="7">
        <f>'Budget 2025'!N28</f>
        <v>6.7439986369460003</v>
      </c>
    </row>
    <row r="29" spans="1:16" x14ac:dyDescent="0.35">
      <c r="A29" s="5" t="s">
        <v>25</v>
      </c>
      <c r="B29" s="31">
        <v>10.91108071603858</v>
      </c>
      <c r="C29" s="31">
        <v>11.826968963278771</v>
      </c>
      <c r="D29" s="31">
        <v>11.261991199119912</v>
      </c>
      <c r="E29" s="31">
        <v>11.64234599978348</v>
      </c>
      <c r="F29" s="7">
        <v>10.785568294374343</v>
      </c>
      <c r="G29" s="7">
        <v>12.074817162984218</v>
      </c>
      <c r="H29" s="7">
        <v>11.859588992207909</v>
      </c>
      <c r="I29" s="7">
        <v>11.867893316390759</v>
      </c>
      <c r="J29" s="7">
        <v>11.85636101201691</v>
      </c>
      <c r="K29" s="7">
        <v>12.431086067731414</v>
      </c>
      <c r="L29" s="7">
        <v>12.45870382065398</v>
      </c>
      <c r="M29" s="7">
        <v>0</v>
      </c>
      <c r="N29" s="15">
        <f>SUMPRODUCT(B29:M29,$B$24:$M$24)/SUM($B$24:$M$24)</f>
        <v>11.772707239111467</v>
      </c>
      <c r="P29" s="7">
        <f>'Budget 2025'!N29</f>
        <v>11.769360955786579</v>
      </c>
    </row>
    <row r="30" spans="1:16" s="2" customFormat="1" x14ac:dyDescent="0.35">
      <c r="A30" s="9" t="s">
        <v>27</v>
      </c>
      <c r="B30" s="10">
        <v>4.151163242611708</v>
      </c>
      <c r="C30" s="10">
        <v>4.8753097413604527</v>
      </c>
      <c r="D30" s="10">
        <v>8.9720619666679973</v>
      </c>
      <c r="E30" s="10">
        <v>7.4826072386839222</v>
      </c>
      <c r="F30" s="10">
        <v>10</v>
      </c>
      <c r="G30" s="10">
        <v>1.9294767252181797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f>SUM(B30:M30)</f>
        <v>37.410618914542255</v>
      </c>
      <c r="P30" s="10">
        <f>'Budget 2025'!N30</f>
        <v>13.639935932123354</v>
      </c>
    </row>
    <row r="31" spans="1:16" x14ac:dyDescent="0.35">
      <c r="A31" s="5" t="s">
        <v>60</v>
      </c>
      <c r="B31" s="30">
        <v>5768.2424127002841</v>
      </c>
      <c r="C31" s="30">
        <v>5970.6106647059114</v>
      </c>
      <c r="D31" s="30">
        <v>5842.9196379868717</v>
      </c>
      <c r="E31" s="30">
        <v>6060.3314911773823</v>
      </c>
      <c r="F31" s="8">
        <v>5833.2310687669824</v>
      </c>
      <c r="G31" s="8">
        <v>5811.3441378290818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14">
        <f>SUMPRODUCT(B31:M31,$B$30:$M$30)/SUM($B$30:$M$30)</f>
        <v>5890.5407046007622</v>
      </c>
      <c r="P31" s="8">
        <f>'Budget 2025'!N31</f>
        <v>5822.4314107916898</v>
      </c>
    </row>
    <row r="32" spans="1:16" x14ac:dyDescent="0.35">
      <c r="A32" s="5" t="s">
        <v>22</v>
      </c>
      <c r="B32" s="31">
        <v>0.90470615455807502</v>
      </c>
      <c r="C32" s="31">
        <v>0.97326494377589257</v>
      </c>
      <c r="D32" s="31">
        <v>0.89969841743804124</v>
      </c>
      <c r="E32" s="31">
        <v>0.91618025751072962</v>
      </c>
      <c r="F32" s="7">
        <v>0.95114920238844147</v>
      </c>
      <c r="G32" s="7">
        <v>0.8602982642189122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15">
        <f t="shared" ref="N32:N35" si="10">SUMPRODUCT(B32:M32,$B$30:$M$30)/SUM($B$30:$M$30)</f>
        <v>0.92485867596348459</v>
      </c>
      <c r="P32" s="7">
        <f>'Budget 2025'!N32</f>
        <v>0.90072278104426418</v>
      </c>
    </row>
    <row r="33" spans="1:16" x14ac:dyDescent="0.35">
      <c r="A33" s="5" t="s">
        <v>23</v>
      </c>
      <c r="B33" s="31">
        <v>8.4980055529847291</v>
      </c>
      <c r="C33" s="31">
        <v>6.4547129611363179</v>
      </c>
      <c r="D33" s="31">
        <v>6.9734338608539863</v>
      </c>
      <c r="E33" s="31">
        <v>5.5176511900117049</v>
      </c>
      <c r="F33" s="7">
        <v>8.819985030618664</v>
      </c>
      <c r="G33" s="7">
        <v>8.7157061123365001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15">
        <f t="shared" si="10"/>
        <v>7.3672780913489806</v>
      </c>
      <c r="P33" s="7">
        <f>'Budget 2025'!N33</f>
        <v>8.5977728246687075</v>
      </c>
    </row>
    <row r="34" spans="1:16" x14ac:dyDescent="0.35">
      <c r="A34" s="5" t="s">
        <v>24</v>
      </c>
      <c r="B34" s="31">
        <v>10.861527070800557</v>
      </c>
      <c r="C34" s="31">
        <v>11.334284868810418</v>
      </c>
      <c r="D34" s="31">
        <v>10.915240370259779</v>
      </c>
      <c r="E34" s="31">
        <v>11.119527896995708</v>
      </c>
      <c r="F34" s="7">
        <v>12.2149</v>
      </c>
      <c r="G34" s="7">
        <v>11.423062972766893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15">
        <f t="shared" si="10"/>
        <v>11.378344993224594</v>
      </c>
      <c r="P34" s="7">
        <f>'Budget 2025'!N34</f>
        <v>11.354385937535314</v>
      </c>
    </row>
    <row r="35" spans="1:16" x14ac:dyDescent="0.35">
      <c r="A35" s="5" t="s">
        <v>25</v>
      </c>
      <c r="B35" s="31">
        <v>14.308472929199445</v>
      </c>
      <c r="C35" s="31">
        <v>13.9608147563622</v>
      </c>
      <c r="D35" s="31">
        <v>14.885350851000299</v>
      </c>
      <c r="E35" s="31">
        <v>13.934471322668747</v>
      </c>
      <c r="F35" s="7">
        <v>16.78490038403395</v>
      </c>
      <c r="G35" s="7">
        <v>16.423062972766893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15">
        <f t="shared" si="10"/>
        <v>15.097731800987475</v>
      </c>
      <c r="P35" s="7">
        <f>'Budget 2025'!N35</f>
        <v>16.354385937535316</v>
      </c>
    </row>
    <row r="36" spans="1:16" s="2" customFormat="1" x14ac:dyDescent="0.35">
      <c r="A36" s="9" t="s">
        <v>28</v>
      </c>
      <c r="B36" s="10">
        <v>16.38566518254413</v>
      </c>
      <c r="C36" s="10">
        <v>4.2318727287405782</v>
      </c>
      <c r="D36" s="10">
        <v>27.481460631257185</v>
      </c>
      <c r="E36" s="10">
        <v>41.321236306640401</v>
      </c>
      <c r="F36" s="10">
        <v>25</v>
      </c>
      <c r="G36" s="10">
        <v>7.8203168260359233</v>
      </c>
      <c r="H36" s="10">
        <v>35.332550720173359</v>
      </c>
      <c r="I36" s="10">
        <v>27.662425851011726</v>
      </c>
      <c r="J36" s="10">
        <v>80.262722345353424</v>
      </c>
      <c r="K36" s="10">
        <v>89.777098158023293</v>
      </c>
      <c r="L36" s="10">
        <v>74.169948672980269</v>
      </c>
      <c r="M36" s="10">
        <v>71.808993545260947</v>
      </c>
      <c r="N36" s="10">
        <f>SUM(B36:M36)</f>
        <v>501.25429096802122</v>
      </c>
      <c r="P36" s="10">
        <f>'Budget 2025'!N36</f>
        <v>422.7154641342064</v>
      </c>
    </row>
    <row r="37" spans="1:16" x14ac:dyDescent="0.35">
      <c r="A37" s="5" t="s">
        <v>60</v>
      </c>
      <c r="B37" s="30">
        <v>6095.6967316306664</v>
      </c>
      <c r="C37" s="30">
        <v>5702.0802424913845</v>
      </c>
      <c r="D37" s="30">
        <v>5950.0061155340236</v>
      </c>
      <c r="E37" s="30">
        <v>5974.4203759867623</v>
      </c>
      <c r="F37" s="8">
        <v>5852.0765853642815</v>
      </c>
      <c r="G37" s="8">
        <v>5991.2837308485105</v>
      </c>
      <c r="H37" s="8">
        <v>6020.8683585020317</v>
      </c>
      <c r="I37" s="8">
        <v>6013.3215372828208</v>
      </c>
      <c r="J37" s="8">
        <v>6007.8377665277994</v>
      </c>
      <c r="K37" s="8">
        <v>5999.97006049838</v>
      </c>
      <c r="L37" s="8">
        <v>6040.3583946135668</v>
      </c>
      <c r="M37" s="8">
        <v>6028.6325996366641</v>
      </c>
      <c r="N37" s="14">
        <f>SUMPRODUCT(B37:M37,$B$36:$M$36)/SUM($B$36:$M$36)</f>
        <v>6001.7792352167862</v>
      </c>
      <c r="P37" s="8">
        <f>'Budget 2025'!N37</f>
        <v>6013.6725198079248</v>
      </c>
    </row>
    <row r="38" spans="1:16" x14ac:dyDescent="0.35">
      <c r="A38" s="5" t="s">
        <v>22</v>
      </c>
      <c r="B38" s="31">
        <v>1.5214167643610788</v>
      </c>
      <c r="C38" s="31">
        <v>1.2568181818181818</v>
      </c>
      <c r="D38" s="31">
        <v>1.4097728602066681</v>
      </c>
      <c r="E38" s="31">
        <v>1.4839949600810158</v>
      </c>
      <c r="F38" s="7">
        <v>1.598773605283268</v>
      </c>
      <c r="G38" s="7">
        <v>1.5415472274335942</v>
      </c>
      <c r="H38" s="7">
        <v>1.5694494254547628</v>
      </c>
      <c r="I38" s="7">
        <v>1.5853858905359361</v>
      </c>
      <c r="J38" s="7">
        <v>1.574515939202813</v>
      </c>
      <c r="K38" s="7">
        <v>1.5672108577221746</v>
      </c>
      <c r="L38" s="7">
        <v>1.588759234283041</v>
      </c>
      <c r="M38" s="7">
        <v>1.5739390380193035</v>
      </c>
      <c r="N38" s="15">
        <f t="shared" ref="N38:N41" si="11">SUMPRODUCT(B38:M38,$B$36:$M$36)/SUM($B$36:$M$36)</f>
        <v>1.5552584881353992</v>
      </c>
      <c r="P38" s="7">
        <f>'Budget 2025'!N38</f>
        <v>1.5594733437535224</v>
      </c>
    </row>
    <row r="39" spans="1:16" x14ac:dyDescent="0.35">
      <c r="A39" s="5" t="s">
        <v>23</v>
      </c>
      <c r="B39" s="31">
        <v>5.1476459554513481</v>
      </c>
      <c r="C39" s="31">
        <v>7.9572727272727271</v>
      </c>
      <c r="D39" s="31">
        <v>6.2814993176057712</v>
      </c>
      <c r="E39" s="31">
        <v>5.8970893290313464</v>
      </c>
      <c r="F39" s="7">
        <v>6.9774205529882378</v>
      </c>
      <c r="G39" s="7">
        <v>5.2091521099034983</v>
      </c>
      <c r="H39" s="7">
        <v>5.1963485537700951</v>
      </c>
      <c r="I39" s="7">
        <v>5.2393469506153849</v>
      </c>
      <c r="J39" s="7">
        <v>5.4473365769855926</v>
      </c>
      <c r="K39" s="7">
        <v>5.4664290354769003</v>
      </c>
      <c r="L39" s="7">
        <v>5.213893581797878</v>
      </c>
      <c r="M39" s="7">
        <v>5.2948455213374492</v>
      </c>
      <c r="N39" s="15">
        <f t="shared" si="11"/>
        <v>5.5319976147768557</v>
      </c>
      <c r="P39" s="7">
        <f>'Budget 2025'!N39</f>
        <v>5.3287414331663765</v>
      </c>
    </row>
    <row r="40" spans="1:16" x14ac:dyDescent="0.35">
      <c r="A40" s="5" t="s">
        <v>24</v>
      </c>
      <c r="B40" s="31">
        <v>11.525389800703399</v>
      </c>
      <c r="C40" s="31">
        <v>13.017272727272728</v>
      </c>
      <c r="D40" s="31">
        <v>11.444174302983036</v>
      </c>
      <c r="E40" s="31">
        <v>12.148881561903865</v>
      </c>
      <c r="F40" s="7">
        <v>10.910862760655052</v>
      </c>
      <c r="G40" s="7">
        <v>10.574814087685745</v>
      </c>
      <c r="H40" s="7">
        <v>10.507448396157546</v>
      </c>
      <c r="I40" s="7">
        <v>10.484650441222529</v>
      </c>
      <c r="J40" s="7">
        <v>10.349522208548452</v>
      </c>
      <c r="K40" s="7">
        <v>10.246272346037005</v>
      </c>
      <c r="L40" s="7">
        <v>10.128781183323662</v>
      </c>
      <c r="M40" s="7">
        <v>9.9377827270934613</v>
      </c>
      <c r="N40" s="15">
        <f t="shared" si="11"/>
        <v>10.558789645870922</v>
      </c>
      <c r="P40" s="7">
        <f>'Budget 2025'!N40</f>
        <v>10.279206642306004</v>
      </c>
    </row>
    <row r="41" spans="1:16" x14ac:dyDescent="0.35">
      <c r="A41" s="5" t="s">
        <v>25</v>
      </c>
      <c r="B41" s="31">
        <v>13.645354630715124</v>
      </c>
      <c r="C41" s="31">
        <v>15.082727272727272</v>
      </c>
      <c r="D41" s="31">
        <v>14.292212906999417</v>
      </c>
      <c r="E41" s="31">
        <v>14.144595511174961</v>
      </c>
      <c r="F41" s="7">
        <v>15.814649356783256</v>
      </c>
      <c r="G41" s="7">
        <v>15.574814087685745</v>
      </c>
      <c r="H41" s="7">
        <v>15.507448396157546</v>
      </c>
      <c r="I41" s="7">
        <v>15.484650441222527</v>
      </c>
      <c r="J41" s="7">
        <v>15.349522208548455</v>
      </c>
      <c r="K41" s="7">
        <v>15.246272346037001</v>
      </c>
      <c r="L41" s="7">
        <v>15.128781183323662</v>
      </c>
      <c r="M41" s="7">
        <v>14.93778272709346</v>
      </c>
      <c r="N41" s="15">
        <f t="shared" si="11"/>
        <v>15.069427039654776</v>
      </c>
      <c r="P41" s="7">
        <f>'Budget 2025'!N41</f>
        <v>15.279206642306002</v>
      </c>
    </row>
    <row r="42" spans="1:16" s="2" customFormat="1" x14ac:dyDescent="0.35">
      <c r="A42" s="9" t="s">
        <v>29</v>
      </c>
      <c r="B42" s="10">
        <v>388.30376686164539</v>
      </c>
      <c r="C42" s="10">
        <v>362.6484099109108</v>
      </c>
      <c r="D42" s="10">
        <v>313.48100534658772</v>
      </c>
      <c r="E42" s="10">
        <v>329.77482085837693</v>
      </c>
      <c r="F42" s="10">
        <v>380</v>
      </c>
      <c r="G42" s="10">
        <v>421.7502064582597</v>
      </c>
      <c r="H42" s="10">
        <v>411.16744928939397</v>
      </c>
      <c r="I42" s="10">
        <v>467.33757415963066</v>
      </c>
      <c r="J42" s="10">
        <v>449.73727766604139</v>
      </c>
      <c r="K42" s="10">
        <v>424.47290185337164</v>
      </c>
      <c r="L42" s="10">
        <v>440.08005133841465</v>
      </c>
      <c r="M42" s="10">
        <v>400.88975736020274</v>
      </c>
      <c r="N42" s="10">
        <f>SUM(B42:M42)</f>
        <v>4789.643221102835</v>
      </c>
      <c r="P42" s="10">
        <f>'Budget 2025'!N42</f>
        <v>4673.6446000430515</v>
      </c>
    </row>
    <row r="43" spans="1:16" x14ac:dyDescent="0.35">
      <c r="A43" s="5" t="s">
        <v>60</v>
      </c>
      <c r="B43" s="30">
        <v>5993.4452554404252</v>
      </c>
      <c r="C43" s="30">
        <v>6000.7558555057667</v>
      </c>
      <c r="D43" s="30">
        <v>5998.3259441489454</v>
      </c>
      <c r="E43" s="30">
        <v>5980.6623548882908</v>
      </c>
      <c r="F43" s="8">
        <v>5838.9038153411775</v>
      </c>
      <c r="G43" s="8">
        <v>5913.6480818740974</v>
      </c>
      <c r="H43" s="8">
        <v>5902.4243527682665</v>
      </c>
      <c r="I43" s="8">
        <v>5889.7173392088416</v>
      </c>
      <c r="J43" s="8">
        <v>5919.1857986775476</v>
      </c>
      <c r="K43" s="8">
        <v>5911.1331103675811</v>
      </c>
      <c r="L43" s="8">
        <v>5937.8865300278676</v>
      </c>
      <c r="M43" s="8">
        <v>5904.9549501567117</v>
      </c>
      <c r="N43" s="14">
        <f>SUMPRODUCT(B43:M43,$B$42:$M$42)/SUM($B$42:$M$42)</f>
        <v>5929.4369451268731</v>
      </c>
      <c r="P43" s="8">
        <f>'Budget 2025'!N43</f>
        <v>5914.4155370661638</v>
      </c>
    </row>
    <row r="44" spans="1:16" x14ac:dyDescent="0.35">
      <c r="A44" s="5" t="s">
        <v>22</v>
      </c>
      <c r="B44" s="31">
        <v>2.2774465474765266</v>
      </c>
      <c r="C44" s="31">
        <v>2.2808085536365952</v>
      </c>
      <c r="D44" s="31">
        <v>2.3121792450411491</v>
      </c>
      <c r="E44" s="31">
        <v>2.3365918889488917</v>
      </c>
      <c r="F44" s="7">
        <v>2.3188311080889603</v>
      </c>
      <c r="G44" s="7">
        <v>2.351496757612173</v>
      </c>
      <c r="H44" s="7">
        <v>2.4369501461902519</v>
      </c>
      <c r="I44" s="7">
        <v>2.4881650598034448</v>
      </c>
      <c r="J44" s="7">
        <v>2.4457913494562749</v>
      </c>
      <c r="K44" s="7">
        <v>2.4624452823144169</v>
      </c>
      <c r="L44" s="7">
        <v>2.3388856704218246</v>
      </c>
      <c r="M44" s="7">
        <v>2.453987380986002</v>
      </c>
      <c r="N44" s="15">
        <f t="shared" ref="N44:N47" si="12">SUMPRODUCT(B44:M44,$B$42:$M$42)/SUM($B$42:$M$42)</f>
        <v>2.3807272108603956</v>
      </c>
      <c r="P44" s="7">
        <f>'Budget 2025'!N44</f>
        <v>2.4107218075517403</v>
      </c>
    </row>
    <row r="45" spans="1:16" x14ac:dyDescent="0.35">
      <c r="A45" s="5" t="s">
        <v>23</v>
      </c>
      <c r="B45" s="31">
        <v>5.966425854102563</v>
      </c>
      <c r="C45" s="31">
        <v>5.8860489423321738</v>
      </c>
      <c r="D45" s="31">
        <v>6.2336990191972967</v>
      </c>
      <c r="E45" s="31">
        <v>5.9769499898191363</v>
      </c>
      <c r="F45" s="7">
        <v>6.4545524742693985</v>
      </c>
      <c r="G45" s="7">
        <v>5.7142190984230625</v>
      </c>
      <c r="H45" s="7">
        <v>5.7059593849269277</v>
      </c>
      <c r="I45" s="7">
        <v>5.916780992407987</v>
      </c>
      <c r="J45" s="7">
        <v>5.6773927291084991</v>
      </c>
      <c r="K45" s="7">
        <v>5.7573545368151589</v>
      </c>
      <c r="L45" s="7">
        <v>5.6848759570861018</v>
      </c>
      <c r="M45" s="7">
        <v>5.7056526999366755</v>
      </c>
      <c r="N45" s="15">
        <f t="shared" si="12"/>
        <v>5.8745089573258138</v>
      </c>
      <c r="P45" s="7">
        <f>'Budget 2025'!N45</f>
        <v>5.7199741396739743</v>
      </c>
    </row>
    <row r="46" spans="1:16" x14ac:dyDescent="0.35">
      <c r="A46" s="5" t="s">
        <v>24</v>
      </c>
      <c r="B46" s="31">
        <v>11.432183440353812</v>
      </c>
      <c r="C46" s="31">
        <v>11.49045444178053</v>
      </c>
      <c r="D46" s="31">
        <v>11.114391420896254</v>
      </c>
      <c r="E46" s="31">
        <v>11.487336744660947</v>
      </c>
      <c r="F46" s="7">
        <v>10.890988389235716</v>
      </c>
      <c r="G46" s="7">
        <v>10.749510775744955</v>
      </c>
      <c r="H46" s="7">
        <v>10.628291855358745</v>
      </c>
      <c r="I46" s="7">
        <v>10.495153373077287</v>
      </c>
      <c r="J46" s="7">
        <v>10.450244595597265</v>
      </c>
      <c r="K46" s="7">
        <v>10.473157107292817</v>
      </c>
      <c r="L46" s="7">
        <v>10.47451762924713</v>
      </c>
      <c r="M46" s="7">
        <v>10.575390860840628</v>
      </c>
      <c r="N46" s="15">
        <f t="shared" si="12"/>
        <v>10.819206519330551</v>
      </c>
      <c r="P46" s="7">
        <f>'Budget 2025'!N46</f>
        <v>10.558154609501265</v>
      </c>
    </row>
    <row r="47" spans="1:16" x14ac:dyDescent="0.35">
      <c r="A47" s="5" t="s">
        <v>25</v>
      </c>
      <c r="B47" s="31">
        <v>13.742009082724026</v>
      </c>
      <c r="C47" s="31">
        <v>13.585974709326994</v>
      </c>
      <c r="D47" s="31">
        <v>13.4706462814673</v>
      </c>
      <c r="E47" s="31">
        <v>13.788683068188186</v>
      </c>
      <c r="F47" s="7">
        <v>15.806886840388094</v>
      </c>
      <c r="G47" s="7">
        <v>15.749510775744954</v>
      </c>
      <c r="H47" s="7">
        <v>15.628291855358745</v>
      </c>
      <c r="I47" s="7">
        <v>15.495153373077287</v>
      </c>
      <c r="J47" s="7">
        <v>15.450244595597264</v>
      </c>
      <c r="K47" s="7">
        <v>15.473157107292819</v>
      </c>
      <c r="L47" s="7">
        <v>15.47451762924713</v>
      </c>
      <c r="M47" s="7">
        <v>15.575390860840626</v>
      </c>
      <c r="N47" s="15">
        <f t="shared" si="12"/>
        <v>15.015685229542939</v>
      </c>
      <c r="P47" s="7">
        <f>'Budget 2025'!N47</f>
        <v>15.558154609501264</v>
      </c>
    </row>
    <row r="48" spans="1:16" s="2" customFormat="1" x14ac:dyDescent="0.35">
      <c r="A48" s="9" t="s">
        <v>68</v>
      </c>
      <c r="B48" s="10">
        <v>0</v>
      </c>
      <c r="C48" s="10">
        <v>0</v>
      </c>
      <c r="D48" s="10">
        <v>0</v>
      </c>
      <c r="E48" s="10">
        <v>0.19186901460068298</v>
      </c>
      <c r="F48" s="10">
        <v>4.25</v>
      </c>
      <c r="G48" s="10">
        <v>4.25</v>
      </c>
      <c r="H48" s="10">
        <v>4.25</v>
      </c>
      <c r="I48" s="10">
        <v>12.75</v>
      </c>
      <c r="J48" s="10">
        <v>12.75</v>
      </c>
      <c r="K48" s="10">
        <v>12.75</v>
      </c>
      <c r="L48" s="10">
        <v>12.75</v>
      </c>
      <c r="M48" s="10">
        <v>12.75</v>
      </c>
      <c r="N48" s="10">
        <f>SUM(B48:M48)</f>
        <v>76.691869014600684</v>
      </c>
      <c r="P48" s="10">
        <f>'Budget 2025'!N48</f>
        <v>127.5</v>
      </c>
    </row>
    <row r="49" spans="1:17" x14ac:dyDescent="0.35">
      <c r="A49" s="5" t="s">
        <v>60</v>
      </c>
      <c r="B49" s="30">
        <v>0</v>
      </c>
      <c r="C49" s="30">
        <v>0</v>
      </c>
      <c r="D49" s="30">
        <v>0</v>
      </c>
      <c r="E49" s="30">
        <v>3966.2693181818177</v>
      </c>
      <c r="F49" s="8">
        <v>3146.067415730337</v>
      </c>
      <c r="G49" s="8">
        <v>3146.067415730337</v>
      </c>
      <c r="H49" s="8">
        <v>3146.067415730337</v>
      </c>
      <c r="I49" s="8">
        <v>3146.067415730337</v>
      </c>
      <c r="J49" s="8">
        <v>3146.067415730337</v>
      </c>
      <c r="K49" s="8">
        <v>3146.067415730337</v>
      </c>
      <c r="L49" s="8">
        <v>3146.067415730337</v>
      </c>
      <c r="M49" s="8">
        <v>3146.067415730337</v>
      </c>
      <c r="N49" s="14">
        <f>SUMPRODUCT(B49:M49,$B$48:$M$48)/SUM($B$48:$M$48)</f>
        <v>3148.1194107177985</v>
      </c>
      <c r="P49" s="8">
        <f>'Budget 2025'!N49</f>
        <v>3146.0674157303379</v>
      </c>
    </row>
    <row r="50" spans="1:17" x14ac:dyDescent="0.35">
      <c r="A50" s="5" t="s">
        <v>22</v>
      </c>
      <c r="B50" s="31">
        <v>0</v>
      </c>
      <c r="C50" s="31">
        <v>0</v>
      </c>
      <c r="D50" s="31">
        <v>0</v>
      </c>
      <c r="E50" s="31">
        <v>0.95</v>
      </c>
      <c r="F50" s="7">
        <v>2</v>
      </c>
      <c r="G50" s="7">
        <v>2</v>
      </c>
      <c r="H50" s="7">
        <v>2</v>
      </c>
      <c r="I50" s="7">
        <v>2</v>
      </c>
      <c r="J50" s="7">
        <v>2</v>
      </c>
      <c r="K50" s="7">
        <v>2</v>
      </c>
      <c r="L50" s="7">
        <v>2</v>
      </c>
      <c r="M50" s="7">
        <v>2</v>
      </c>
      <c r="N50" s="15">
        <f t="shared" ref="N50:N53" si="13">SUMPRODUCT(B50:M50,$B$48:$M$48)/SUM($B$48:$M$48)</f>
        <v>1.9973730922466841</v>
      </c>
      <c r="P50" s="7">
        <f>'Budget 2025'!N50</f>
        <v>2</v>
      </c>
    </row>
    <row r="51" spans="1:17" x14ac:dyDescent="0.35">
      <c r="A51" s="5" t="s">
        <v>23</v>
      </c>
      <c r="B51" s="31">
        <v>0</v>
      </c>
      <c r="C51" s="31">
        <v>0</v>
      </c>
      <c r="D51" s="31">
        <v>0</v>
      </c>
      <c r="E51" s="31">
        <v>24.4</v>
      </c>
      <c r="F51" s="7">
        <v>40</v>
      </c>
      <c r="G51" s="7">
        <v>40</v>
      </c>
      <c r="H51" s="7">
        <v>40</v>
      </c>
      <c r="I51" s="7">
        <v>40</v>
      </c>
      <c r="J51" s="7">
        <v>40</v>
      </c>
      <c r="K51" s="7">
        <v>40</v>
      </c>
      <c r="L51" s="7">
        <v>40</v>
      </c>
      <c r="M51" s="7">
        <v>40</v>
      </c>
      <c r="N51" s="15">
        <f t="shared" si="13"/>
        <v>39.960971656236453</v>
      </c>
      <c r="P51" s="7">
        <f>'Budget 2025'!N51</f>
        <v>40</v>
      </c>
    </row>
    <row r="52" spans="1:17" x14ac:dyDescent="0.35">
      <c r="A52" s="5" t="s">
        <v>24</v>
      </c>
      <c r="B52" s="31">
        <v>0</v>
      </c>
      <c r="C52" s="31">
        <v>0</v>
      </c>
      <c r="D52" s="31">
        <v>0</v>
      </c>
      <c r="E52" s="31">
        <v>12</v>
      </c>
      <c r="F52" s="7">
        <v>11</v>
      </c>
      <c r="G52" s="7">
        <v>11</v>
      </c>
      <c r="H52" s="7">
        <v>11</v>
      </c>
      <c r="I52" s="7">
        <v>11</v>
      </c>
      <c r="J52" s="7">
        <v>11</v>
      </c>
      <c r="K52" s="7">
        <v>11</v>
      </c>
      <c r="L52" s="7">
        <v>11</v>
      </c>
      <c r="M52" s="7">
        <v>11</v>
      </c>
      <c r="N52" s="15">
        <f t="shared" si="13"/>
        <v>11.00250181690792</v>
      </c>
      <c r="P52" s="7">
        <f>'Budget 2025'!N52</f>
        <v>11</v>
      </c>
    </row>
    <row r="53" spans="1:17" x14ac:dyDescent="0.35">
      <c r="A53" s="5" t="s">
        <v>25</v>
      </c>
      <c r="B53" s="31">
        <v>0</v>
      </c>
      <c r="C53" s="31">
        <v>0</v>
      </c>
      <c r="D53" s="31">
        <v>0</v>
      </c>
      <c r="E53" s="31">
        <v>22.9</v>
      </c>
      <c r="F53" s="7">
        <v>20</v>
      </c>
      <c r="G53" s="7">
        <v>20</v>
      </c>
      <c r="H53" s="7">
        <v>20</v>
      </c>
      <c r="I53" s="7">
        <v>20</v>
      </c>
      <c r="J53" s="7">
        <v>20</v>
      </c>
      <c r="K53" s="7">
        <v>20</v>
      </c>
      <c r="L53" s="7">
        <v>20</v>
      </c>
      <c r="M53" s="7">
        <v>20</v>
      </c>
      <c r="N53" s="15">
        <f t="shared" si="13"/>
        <v>20.007255269032967</v>
      </c>
      <c r="P53" s="7">
        <f>'Budget 2025'!N53</f>
        <v>20</v>
      </c>
    </row>
    <row r="55" spans="1:17" x14ac:dyDescent="0.35">
      <c r="A55" s="6" t="s">
        <v>31</v>
      </c>
      <c r="B55" s="6" t="s">
        <v>1</v>
      </c>
      <c r="C55" s="6" t="s">
        <v>2</v>
      </c>
      <c r="D55" s="6" t="s">
        <v>3</v>
      </c>
      <c r="E55" s="6" t="s">
        <v>4</v>
      </c>
      <c r="F55" s="6" t="s">
        <v>5</v>
      </c>
      <c r="G55" s="6" t="s">
        <v>6</v>
      </c>
      <c r="H55" s="6" t="s">
        <v>7</v>
      </c>
      <c r="I55" s="6" t="s">
        <v>8</v>
      </c>
      <c r="J55" s="6" t="s">
        <v>9</v>
      </c>
      <c r="K55" s="6" t="s">
        <v>10</v>
      </c>
      <c r="L55" s="6" t="s">
        <v>11</v>
      </c>
      <c r="M55" s="6" t="s">
        <v>12</v>
      </c>
      <c r="N55" s="6" t="s">
        <v>13</v>
      </c>
      <c r="O55" s="4"/>
      <c r="P55" s="6" t="s">
        <v>84</v>
      </c>
    </row>
    <row r="56" spans="1:17" s="2" customFormat="1" x14ac:dyDescent="0.35">
      <c r="A56" s="9" t="s">
        <v>14</v>
      </c>
      <c r="B56" s="10">
        <f t="shared" ref="B56:N56" si="14">SUM(B57:B59)</f>
        <v>3736.1073783000002</v>
      </c>
      <c r="C56" s="10">
        <f t="shared" si="14"/>
        <v>3365.8926857000001</v>
      </c>
      <c r="D56" s="10">
        <f t="shared" si="14"/>
        <v>3574.4766829</v>
      </c>
      <c r="E56" s="10">
        <f t="shared" si="14"/>
        <v>2859.5105236999998</v>
      </c>
      <c r="F56" s="10">
        <f t="shared" si="14"/>
        <v>3690</v>
      </c>
      <c r="G56" s="10">
        <f t="shared" si="14"/>
        <v>3823.9999999999973</v>
      </c>
      <c r="H56" s="10">
        <f t="shared" si="14"/>
        <v>4516.932982450001</v>
      </c>
      <c r="I56" s="10">
        <f t="shared" si="14"/>
        <v>4711.9329824500001</v>
      </c>
      <c r="J56" s="10">
        <f t="shared" si="14"/>
        <v>4533.5683262499988</v>
      </c>
      <c r="K56" s="10">
        <f t="shared" si="14"/>
        <v>4111.9329824500001</v>
      </c>
      <c r="L56" s="10">
        <f t="shared" si="14"/>
        <v>4046.1927756880432</v>
      </c>
      <c r="M56" s="10">
        <f t="shared" si="14"/>
        <v>3929.4526801119564</v>
      </c>
      <c r="N56" s="10">
        <f t="shared" si="14"/>
        <v>46900</v>
      </c>
      <c r="P56" s="10">
        <f>'Budget 2025'!N56</f>
        <v>51650</v>
      </c>
      <c r="Q56" s="27">
        <f>N56/P56</f>
        <v>0.90803484995159733</v>
      </c>
    </row>
    <row r="57" spans="1:17" x14ac:dyDescent="0.35">
      <c r="A57" s="5" t="s">
        <v>57</v>
      </c>
      <c r="B57" s="30">
        <v>1350.2909304</v>
      </c>
      <c r="C57" s="30">
        <v>1037.3668819000002</v>
      </c>
      <c r="D57" s="30">
        <v>1287.9434149000001</v>
      </c>
      <c r="E57" s="30">
        <v>1083.7445134</v>
      </c>
      <c r="F57" s="8">
        <v>1880</v>
      </c>
      <c r="G57" s="8">
        <v>2078.0299764142828</v>
      </c>
      <c r="H57" s="8">
        <v>2660.9629588642865</v>
      </c>
      <c r="I57" s="8">
        <v>2755.9629588642861</v>
      </c>
      <c r="J57" s="8">
        <v>2745.9629588642861</v>
      </c>
      <c r="K57" s="8">
        <v>2555.9629588642861</v>
      </c>
      <c r="L57" s="8">
        <v>2520.2227521023287</v>
      </c>
      <c r="M57" s="8">
        <v>2443.5496954262439</v>
      </c>
      <c r="N57" s="8">
        <f t="shared" ref="N57:N59" si="15">SUM(B57:M57)</f>
        <v>24399.999999999996</v>
      </c>
      <c r="P57" s="8">
        <f>'Budget 2025'!N57</f>
        <v>24400</v>
      </c>
    </row>
    <row r="58" spans="1:17" x14ac:dyDescent="0.35">
      <c r="A58" s="5" t="s">
        <v>56</v>
      </c>
      <c r="B58" s="30">
        <v>1111.1510321000001</v>
      </c>
      <c r="C58" s="30">
        <v>916.39878569999996</v>
      </c>
      <c r="D58" s="30">
        <v>928.16861180000001</v>
      </c>
      <c r="E58" s="30">
        <v>747.55617540000003</v>
      </c>
      <c r="F58" s="8">
        <v>910</v>
      </c>
      <c r="G58" s="8">
        <v>900</v>
      </c>
      <c r="H58" s="8">
        <v>1000</v>
      </c>
      <c r="I58" s="8">
        <v>1050</v>
      </c>
      <c r="J58" s="8">
        <v>950</v>
      </c>
      <c r="K58" s="8">
        <v>850</v>
      </c>
      <c r="L58" s="8">
        <v>830</v>
      </c>
      <c r="M58" s="8">
        <v>806.72539499999903</v>
      </c>
      <c r="N58" s="8">
        <f t="shared" si="15"/>
        <v>11000</v>
      </c>
      <c r="P58" s="8">
        <f>'Budget 2025'!N58</f>
        <v>11000</v>
      </c>
    </row>
    <row r="59" spans="1:17" x14ac:dyDescent="0.35">
      <c r="A59" s="5" t="s">
        <v>55</v>
      </c>
      <c r="B59" s="30">
        <v>1274.6654158000001</v>
      </c>
      <c r="C59" s="30">
        <v>1412.1270181</v>
      </c>
      <c r="D59" s="30">
        <v>1358.3646561999999</v>
      </c>
      <c r="E59" s="30">
        <v>1028.2098349</v>
      </c>
      <c r="F59" s="8">
        <v>900</v>
      </c>
      <c r="G59" s="8">
        <v>845.97002358571422</v>
      </c>
      <c r="H59" s="8">
        <v>855.97002358571422</v>
      </c>
      <c r="I59" s="8">
        <v>905.97002358571422</v>
      </c>
      <c r="J59" s="8">
        <v>837.60536738571295</v>
      </c>
      <c r="K59" s="8">
        <v>705.97002358571422</v>
      </c>
      <c r="L59" s="8">
        <v>695.97002358571422</v>
      </c>
      <c r="M59" s="8">
        <v>679.1775896857132</v>
      </c>
      <c r="N59" s="8">
        <f t="shared" si="15"/>
        <v>11499.999999999998</v>
      </c>
      <c r="P59" s="8">
        <f>'Budget 2025'!N59</f>
        <v>16250</v>
      </c>
    </row>
    <row r="60" spans="1:17" s="2" customFormat="1" x14ac:dyDescent="0.35">
      <c r="A60" s="9" t="s">
        <v>17</v>
      </c>
      <c r="B60" s="10">
        <f>SUM(B61:B64)</f>
        <v>197.28444138867229</v>
      </c>
      <c r="C60" s="10">
        <f t="shared" ref="C60:M60" si="16">SUM(C61:C64)</f>
        <v>200.75357796750075</v>
      </c>
      <c r="D60" s="10">
        <f t="shared" si="16"/>
        <v>248.68881130000003</v>
      </c>
      <c r="E60" s="10">
        <f t="shared" si="16"/>
        <v>198.20231918502608</v>
      </c>
      <c r="F60" s="10">
        <f t="shared" si="16"/>
        <v>250</v>
      </c>
      <c r="G60" s="10">
        <f t="shared" si="16"/>
        <v>294.84961725527506</v>
      </c>
      <c r="H60" s="10">
        <f t="shared" si="16"/>
        <v>338.84961725527523</v>
      </c>
      <c r="I60" s="10">
        <f t="shared" si="16"/>
        <v>361.84961725527495</v>
      </c>
      <c r="J60" s="10">
        <f t="shared" si="16"/>
        <v>367.96190662714969</v>
      </c>
      <c r="K60" s="10">
        <f t="shared" si="16"/>
        <v>332.84961725527529</v>
      </c>
      <c r="L60" s="10">
        <f t="shared" si="16"/>
        <v>336.84961725527529</v>
      </c>
      <c r="M60" s="10">
        <f t="shared" si="16"/>
        <v>336.86085725527522</v>
      </c>
      <c r="N60" s="10">
        <f>SUM(B60:M60)</f>
        <v>3465.0000000000005</v>
      </c>
      <c r="P60" s="10">
        <f>'Budget 2025'!N60</f>
        <v>3300.3869731644691</v>
      </c>
      <c r="Q60" s="27">
        <f>N60/P60</f>
        <v>1.0498768866117834</v>
      </c>
    </row>
    <row r="61" spans="1:17" x14ac:dyDescent="0.35">
      <c r="A61" s="5" t="s">
        <v>57</v>
      </c>
      <c r="B61" s="30">
        <v>128.19277</v>
      </c>
      <c r="C61" s="30">
        <v>118.22784999999999</v>
      </c>
      <c r="D61" s="30">
        <v>164.35410000000002</v>
      </c>
      <c r="E61" s="30">
        <v>128.78624000000002</v>
      </c>
      <c r="F61" s="8">
        <v>155</v>
      </c>
      <c r="G61" s="8">
        <v>192.45910857142832</v>
      </c>
      <c r="H61" s="8">
        <v>208.45910857142857</v>
      </c>
      <c r="I61" s="8">
        <v>213.45910857142829</v>
      </c>
      <c r="J61" s="8">
        <v>220.45910857142857</v>
      </c>
      <c r="K61" s="8">
        <v>198.4591085714286</v>
      </c>
      <c r="L61" s="8">
        <v>202.4591085714286</v>
      </c>
      <c r="M61" s="8">
        <v>199.68438857142857</v>
      </c>
      <c r="N61" s="8">
        <f t="shared" ref="N61:N64" si="17">SUM(B61:M61)</f>
        <v>2129.9999999999991</v>
      </c>
      <c r="P61" s="8">
        <f>'Budget 2025'!N61</f>
        <v>2130</v>
      </c>
    </row>
    <row r="62" spans="1:17" x14ac:dyDescent="0.35">
      <c r="A62" s="5" t="s">
        <v>56</v>
      </c>
      <c r="B62" s="30">
        <v>31.192090000000004</v>
      </c>
      <c r="C62" s="30">
        <v>36.397179999999992</v>
      </c>
      <c r="D62" s="30">
        <v>40.624770000000005</v>
      </c>
      <c r="E62" s="30">
        <v>29.665050000000001</v>
      </c>
      <c r="F62" s="8">
        <v>45</v>
      </c>
      <c r="G62" s="8">
        <v>51.904992857142901</v>
      </c>
      <c r="H62" s="8">
        <v>51.904992857142865</v>
      </c>
      <c r="I62" s="8">
        <v>54.904992857142865</v>
      </c>
      <c r="J62" s="8">
        <v>54.904992857142865</v>
      </c>
      <c r="K62" s="8">
        <v>49.904992857142865</v>
      </c>
      <c r="L62" s="8">
        <v>49.904992857142865</v>
      </c>
      <c r="M62" s="8">
        <v>53.690952857142797</v>
      </c>
      <c r="N62" s="8">
        <f t="shared" si="17"/>
        <v>550</v>
      </c>
      <c r="P62" s="8">
        <f>'Budget 2025'!N62</f>
        <v>550</v>
      </c>
    </row>
    <row r="63" spans="1:17" x14ac:dyDescent="0.35">
      <c r="A63" s="5" t="s">
        <v>55</v>
      </c>
      <c r="B63" s="30">
        <v>37.899581388672281</v>
      </c>
      <c r="C63" s="30">
        <v>46.128547967500772</v>
      </c>
      <c r="D63" s="30">
        <v>39.361681300000001</v>
      </c>
      <c r="E63" s="30">
        <v>35.601389185026051</v>
      </c>
      <c r="F63" s="8">
        <v>50</v>
      </c>
      <c r="G63" s="8">
        <v>50.485515826703832</v>
      </c>
      <c r="H63" s="8">
        <v>78.485515826703832</v>
      </c>
      <c r="I63" s="8">
        <v>93.485515826703832</v>
      </c>
      <c r="J63" s="8">
        <v>92.5978051985783</v>
      </c>
      <c r="K63" s="8">
        <v>84.485515826703832</v>
      </c>
      <c r="L63" s="8">
        <v>84.485515826703832</v>
      </c>
      <c r="M63" s="8">
        <v>83.485515826703832</v>
      </c>
      <c r="N63" s="8">
        <f t="shared" si="17"/>
        <v>776.50210000000027</v>
      </c>
      <c r="P63" s="8">
        <f>'Budget 2025'!N63</f>
        <v>620.38697316446883</v>
      </c>
    </row>
    <row r="64" spans="1:17" x14ac:dyDescent="0.35">
      <c r="A64" s="5" t="s">
        <v>45</v>
      </c>
      <c r="B64" s="30">
        <v>0</v>
      </c>
      <c r="C64" s="30">
        <v>0</v>
      </c>
      <c r="D64" s="30">
        <v>4.3482599999999989</v>
      </c>
      <c r="E64" s="30">
        <v>4.1496400000000007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f t="shared" si="17"/>
        <v>8.4978999999999996</v>
      </c>
      <c r="P64" s="8"/>
    </row>
    <row r="65" spans="1:16" s="2" customFormat="1" x14ac:dyDescent="0.35">
      <c r="A65" s="9" t="s">
        <v>32</v>
      </c>
      <c r="B65" s="11">
        <f>B56/B60</f>
        <v>18.937668637231525</v>
      </c>
      <c r="C65" s="11">
        <f t="shared" ref="C65:N65" si="18">C56/C60</f>
        <v>16.766289895191267</v>
      </c>
      <c r="D65" s="11">
        <f t="shared" si="18"/>
        <v>14.373291119189163</v>
      </c>
      <c r="E65" s="11">
        <f t="shared" si="18"/>
        <v>14.427230394971241</v>
      </c>
      <c r="F65" s="11">
        <f t="shared" si="18"/>
        <v>14.76</v>
      </c>
      <c r="G65" s="11">
        <f t="shared" si="18"/>
        <v>12.969323262472654</v>
      </c>
      <c r="H65" s="11">
        <f t="shared" si="18"/>
        <v>13.330199452600034</v>
      </c>
      <c r="I65" s="11">
        <f t="shared" si="18"/>
        <v>13.021798995370668</v>
      </c>
      <c r="J65" s="11">
        <f t="shared" si="18"/>
        <v>12.320754525396554</v>
      </c>
      <c r="K65" s="11">
        <f t="shared" si="18"/>
        <v>12.353726035071265</v>
      </c>
      <c r="L65" s="11">
        <f t="shared" si="18"/>
        <v>12.011866923457747</v>
      </c>
      <c r="M65" s="11">
        <f t="shared" si="18"/>
        <v>11.664913258634241</v>
      </c>
      <c r="N65" s="11">
        <f t="shared" si="18"/>
        <v>13.535353535353533</v>
      </c>
      <c r="P65" s="11">
        <f>'Budget 2025'!N64</f>
        <v>15.649679998123696</v>
      </c>
    </row>
    <row r="66" spans="1:16" s="2" customFormat="1" x14ac:dyDescent="0.35">
      <c r="A66" s="9" t="s">
        <v>33</v>
      </c>
      <c r="B66" s="10">
        <f t="shared" ref="B66:N66" si="19">SUM(B67:B68)</f>
        <v>236.94320000000002</v>
      </c>
      <c r="C66" s="10">
        <f t="shared" si="19"/>
        <v>220.64958999999999</v>
      </c>
      <c r="D66" s="10">
        <f t="shared" si="19"/>
        <v>280.32180000000005</v>
      </c>
      <c r="E66" s="10">
        <f t="shared" si="19"/>
        <v>200.31362000000001</v>
      </c>
      <c r="F66" s="10">
        <f t="shared" si="19"/>
        <v>250</v>
      </c>
      <c r="G66" s="10">
        <f t="shared" si="19"/>
        <v>260</v>
      </c>
      <c r="H66" s="10">
        <f t="shared" si="19"/>
        <v>330</v>
      </c>
      <c r="I66" s="10">
        <f t="shared" si="19"/>
        <v>335</v>
      </c>
      <c r="J66" s="10">
        <f t="shared" si="19"/>
        <v>335</v>
      </c>
      <c r="K66" s="10">
        <f t="shared" si="19"/>
        <v>325</v>
      </c>
      <c r="L66" s="10">
        <f t="shared" si="19"/>
        <v>320</v>
      </c>
      <c r="M66" s="10">
        <f t="shared" si="19"/>
        <v>307.17024000000004</v>
      </c>
      <c r="N66" s="10">
        <f t="shared" si="19"/>
        <v>3400.3984500000001</v>
      </c>
      <c r="P66" s="10">
        <f>'Budget 2025'!N65</f>
        <v>3230</v>
      </c>
    </row>
    <row r="67" spans="1:16" x14ac:dyDescent="0.35">
      <c r="A67" s="5" t="s">
        <v>35</v>
      </c>
      <c r="B67" s="30">
        <v>162.67978000000002</v>
      </c>
      <c r="C67" s="30">
        <v>131.47763</v>
      </c>
      <c r="D67" s="30">
        <v>143.77029000000002</v>
      </c>
      <c r="E67" s="30">
        <v>110.81858</v>
      </c>
      <c r="F67" s="8">
        <v>110</v>
      </c>
      <c r="G67" s="8">
        <v>120</v>
      </c>
      <c r="H67" s="8">
        <v>180</v>
      </c>
      <c r="I67" s="8">
        <v>180</v>
      </c>
      <c r="J67" s="8">
        <v>185</v>
      </c>
      <c r="K67" s="8">
        <v>180</v>
      </c>
      <c r="L67" s="8">
        <v>175</v>
      </c>
      <c r="M67" s="8">
        <v>171.65217000000001</v>
      </c>
      <c r="N67" s="8">
        <f t="shared" ref="N67:N72" si="20">SUM(B67:M67)</f>
        <v>1850.3984500000001</v>
      </c>
      <c r="P67" s="8">
        <f>'Budget 2025'!N66</f>
        <v>1630</v>
      </c>
    </row>
    <row r="68" spans="1:16" x14ac:dyDescent="0.35">
      <c r="A68" s="5" t="s">
        <v>39</v>
      </c>
      <c r="B68" s="30">
        <v>74.263419999999996</v>
      </c>
      <c r="C68" s="30">
        <v>89.171959999999999</v>
      </c>
      <c r="D68" s="30">
        <v>136.55151000000001</v>
      </c>
      <c r="E68" s="30">
        <v>89.495040000000003</v>
      </c>
      <c r="F68" s="8">
        <v>140</v>
      </c>
      <c r="G68" s="8">
        <v>140</v>
      </c>
      <c r="H68" s="8">
        <v>150</v>
      </c>
      <c r="I68" s="8">
        <v>155</v>
      </c>
      <c r="J68" s="8">
        <v>150</v>
      </c>
      <c r="K68" s="8">
        <v>145</v>
      </c>
      <c r="L68" s="8">
        <v>145</v>
      </c>
      <c r="M68" s="8">
        <v>135.51806999999999</v>
      </c>
      <c r="N68" s="8">
        <f t="shared" si="20"/>
        <v>1550</v>
      </c>
      <c r="P68" s="8">
        <f>'Budget 2025'!N67</f>
        <v>1480</v>
      </c>
    </row>
    <row r="69" spans="1:16" x14ac:dyDescent="0.35">
      <c r="A69" s="5" t="s">
        <v>41</v>
      </c>
      <c r="B69" s="30">
        <v>0</v>
      </c>
      <c r="C69" s="30">
        <v>0</v>
      </c>
      <c r="D69" s="30">
        <v>0</v>
      </c>
      <c r="E69" s="30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f t="shared" si="20"/>
        <v>0</v>
      </c>
      <c r="P69" s="8">
        <f>'Budget 2025'!N68</f>
        <v>120</v>
      </c>
    </row>
    <row r="70" spans="1:16" hidden="1" x14ac:dyDescent="0.35">
      <c r="A70" s="9" t="s">
        <v>58</v>
      </c>
      <c r="B70" s="10">
        <f>B71+B72</f>
        <v>57.125659999999996</v>
      </c>
      <c r="C70" s="10">
        <f t="shared" ref="C70:M70" si="21">C71+C72</f>
        <v>53.497250000000001</v>
      </c>
      <c r="D70" s="10">
        <f t="shared" si="21"/>
        <v>58.810299999999984</v>
      </c>
      <c r="E70" s="10">
        <f t="shared" si="21"/>
        <v>75.263139999999993</v>
      </c>
      <c r="F70" s="10">
        <f t="shared" si="21"/>
        <v>125.39815</v>
      </c>
      <c r="G70" s="10">
        <f t="shared" si="21"/>
        <v>94.756160000000008</v>
      </c>
      <c r="H70" s="10">
        <f t="shared" si="21"/>
        <v>83.146400000000028</v>
      </c>
      <c r="I70" s="10">
        <f t="shared" si="21"/>
        <v>58.183650000000014</v>
      </c>
      <c r="J70" s="10">
        <f t="shared" si="21"/>
        <v>37.139549999999993</v>
      </c>
      <c r="K70" s="10">
        <f t="shared" si="21"/>
        <v>68.754850000000019</v>
      </c>
      <c r="L70" s="10">
        <f t="shared" si="21"/>
        <v>52.997440000000012</v>
      </c>
      <c r="M70" s="10">
        <f t="shared" si="21"/>
        <v>55</v>
      </c>
      <c r="N70" s="10">
        <f>SUM(B70:M70)</f>
        <v>820.07255000000009</v>
      </c>
      <c r="O70" s="2"/>
      <c r="P70" s="10">
        <f>'Budget 2025'!N69</f>
        <v>1676.5</v>
      </c>
    </row>
    <row r="71" spans="1:16" hidden="1" x14ac:dyDescent="0.35">
      <c r="A71" s="5" t="s">
        <v>53</v>
      </c>
      <c r="B71" s="30">
        <f>B86</f>
        <v>7.10975</v>
      </c>
      <c r="C71" s="30">
        <f t="shared" ref="C71:M71" si="22">C86</f>
        <v>40.527500000000003</v>
      </c>
      <c r="D71" s="30">
        <f t="shared" si="22"/>
        <v>51.952449999999985</v>
      </c>
      <c r="E71" s="30">
        <f t="shared" si="22"/>
        <v>50.126389999999994</v>
      </c>
      <c r="F71" s="8">
        <f t="shared" si="22"/>
        <v>109.9789</v>
      </c>
      <c r="G71" s="8">
        <f t="shared" si="22"/>
        <v>87.843810000000005</v>
      </c>
      <c r="H71" s="8">
        <f t="shared" si="22"/>
        <v>83.146400000000028</v>
      </c>
      <c r="I71" s="8">
        <f t="shared" si="22"/>
        <v>58.183650000000014</v>
      </c>
      <c r="J71" s="8">
        <f t="shared" si="22"/>
        <v>37.139549999999993</v>
      </c>
      <c r="K71" s="8">
        <f t="shared" si="22"/>
        <v>60.314450000000015</v>
      </c>
      <c r="L71" s="8">
        <f t="shared" si="22"/>
        <v>52.997440000000012</v>
      </c>
      <c r="M71" s="8">
        <f t="shared" si="22"/>
        <v>45</v>
      </c>
      <c r="N71" s="8">
        <f t="shared" si="20"/>
        <v>684.32029</v>
      </c>
      <c r="P71" s="8">
        <f>'Budget 2025'!N70</f>
        <v>671.5</v>
      </c>
    </row>
    <row r="72" spans="1:16" hidden="1" x14ac:dyDescent="0.35">
      <c r="A72" s="5" t="s">
        <v>54</v>
      </c>
      <c r="B72" s="30">
        <f>B92</f>
        <v>50.015909999999998</v>
      </c>
      <c r="C72" s="30">
        <f t="shared" ref="C72:M72" si="23">C92</f>
        <v>12.969749999999998</v>
      </c>
      <c r="D72" s="30">
        <f t="shared" si="23"/>
        <v>6.85785</v>
      </c>
      <c r="E72" s="30">
        <f t="shared" si="23"/>
        <v>25.136750000000003</v>
      </c>
      <c r="F72" s="8">
        <f t="shared" si="23"/>
        <v>15.41925</v>
      </c>
      <c r="G72" s="8">
        <f t="shared" si="23"/>
        <v>6.91235</v>
      </c>
      <c r="H72" s="8">
        <f t="shared" si="23"/>
        <v>0</v>
      </c>
      <c r="I72" s="8">
        <f t="shared" si="23"/>
        <v>0</v>
      </c>
      <c r="J72" s="8">
        <f t="shared" si="23"/>
        <v>0</v>
      </c>
      <c r="K72" s="8">
        <f t="shared" si="23"/>
        <v>8.4404000000000003</v>
      </c>
      <c r="L72" s="8">
        <f t="shared" si="23"/>
        <v>0</v>
      </c>
      <c r="M72" s="8">
        <f t="shared" si="23"/>
        <v>10</v>
      </c>
      <c r="N72" s="8">
        <f t="shared" si="20"/>
        <v>135.75226000000001</v>
      </c>
      <c r="P72" s="8">
        <f>'Budget 2025'!N71</f>
        <v>1005</v>
      </c>
    </row>
    <row r="73" spans="1:16" s="2" customFormat="1" x14ac:dyDescent="0.35">
      <c r="A73" s="9" t="s">
        <v>34</v>
      </c>
      <c r="B73" s="11">
        <f t="shared" ref="B73:N73" si="24">B56/B66</f>
        <v>15.767945137484427</v>
      </c>
      <c r="C73" s="11">
        <f t="shared" si="24"/>
        <v>15.254470609711989</v>
      </c>
      <c r="D73" s="11">
        <f t="shared" si="24"/>
        <v>12.751333228097135</v>
      </c>
      <c r="E73" s="11">
        <f t="shared" si="24"/>
        <v>14.275167727985744</v>
      </c>
      <c r="F73" s="11">
        <f t="shared" si="24"/>
        <v>14.76</v>
      </c>
      <c r="G73" s="11">
        <f t="shared" si="24"/>
        <v>14.707692307692298</v>
      </c>
      <c r="H73" s="11">
        <f t="shared" si="24"/>
        <v>13.687675704393943</v>
      </c>
      <c r="I73" s="11">
        <f t="shared" si="24"/>
        <v>14.065471589402986</v>
      </c>
      <c r="J73" s="11">
        <f t="shared" si="24"/>
        <v>13.533039779850743</v>
      </c>
      <c r="K73" s="11">
        <f t="shared" si="24"/>
        <v>12.652101484461539</v>
      </c>
      <c r="L73" s="11">
        <f t="shared" si="24"/>
        <v>12.644352424025135</v>
      </c>
      <c r="M73" s="11">
        <f t="shared" si="24"/>
        <v>12.792426376044618</v>
      </c>
      <c r="N73" s="11">
        <f t="shared" si="24"/>
        <v>13.792501287606456</v>
      </c>
      <c r="P73" s="11">
        <f>'Budget 2025'!N72</f>
        <v>15.990712074303406</v>
      </c>
    </row>
    <row r="74" spans="1:16" s="2" customFormat="1" x14ac:dyDescent="0.35">
      <c r="A74" s="9" t="s">
        <v>35</v>
      </c>
      <c r="B74" s="10">
        <v>162.67978000000002</v>
      </c>
      <c r="C74" s="10">
        <v>131.47763</v>
      </c>
      <c r="D74" s="10">
        <v>143.77029000000002</v>
      </c>
      <c r="E74" s="10">
        <v>110.81858</v>
      </c>
      <c r="F74" s="10">
        <v>110</v>
      </c>
      <c r="G74" s="10">
        <v>120</v>
      </c>
      <c r="H74" s="10">
        <v>180</v>
      </c>
      <c r="I74" s="10">
        <v>180</v>
      </c>
      <c r="J74" s="10">
        <v>185</v>
      </c>
      <c r="K74" s="10">
        <v>180</v>
      </c>
      <c r="L74" s="10">
        <v>175</v>
      </c>
      <c r="M74" s="10">
        <v>171.65217000000001</v>
      </c>
      <c r="N74" s="10">
        <f>SUM(B74:M74)</f>
        <v>1850.3984500000001</v>
      </c>
      <c r="P74" s="10">
        <f>'Budget 2025'!N73</f>
        <v>1630</v>
      </c>
    </row>
    <row r="75" spans="1:16" x14ac:dyDescent="0.35">
      <c r="A75" s="5" t="s">
        <v>60</v>
      </c>
      <c r="B75" s="30">
        <v>6732.4288086363313</v>
      </c>
      <c r="C75" s="30">
        <v>6572.6204638233148</v>
      </c>
      <c r="D75" s="30">
        <v>6596.2444685343407</v>
      </c>
      <c r="E75" s="30">
        <v>6621.4348514888561</v>
      </c>
      <c r="F75" s="8">
        <v>6585.4025668626591</v>
      </c>
      <c r="G75" s="8">
        <v>6524.7531044251164</v>
      </c>
      <c r="H75" s="8">
        <v>6513.6397335403617</v>
      </c>
      <c r="I75" s="8">
        <v>6527.2251676549331</v>
      </c>
      <c r="J75" s="8">
        <v>6521.3877765196085</v>
      </c>
      <c r="K75" s="8">
        <v>6410.0402200843328</v>
      </c>
      <c r="L75" s="8">
        <v>6420.6604399928783</v>
      </c>
      <c r="M75" s="8">
        <v>6410.3431106183052</v>
      </c>
      <c r="N75" s="8">
        <f>SUMPRODUCT(B75:M75,$B$74:$M$74)/SUM($B$74:$M$74)</f>
        <v>6528.5689061388357</v>
      </c>
      <c r="P75" s="8">
        <f>'Budget 2025'!N74</f>
        <v>6355.6512817964895</v>
      </c>
    </row>
    <row r="76" spans="1:16" x14ac:dyDescent="0.35">
      <c r="A76" s="5" t="s">
        <v>36</v>
      </c>
      <c r="B76" s="31">
        <v>0.62136758785397472</v>
      </c>
      <c r="C76" s="31">
        <v>0.63582598773814603</v>
      </c>
      <c r="D76" s="31">
        <v>0.77705894256234498</v>
      </c>
      <c r="E76" s="31">
        <v>0.69370662734212352</v>
      </c>
      <c r="F76" s="7">
        <v>0.73323207969555804</v>
      </c>
      <c r="G76" s="7">
        <v>0.73548072737112302</v>
      </c>
      <c r="H76" s="7">
        <v>0.76765031213562795</v>
      </c>
      <c r="I76" s="7">
        <v>0.74717018007844505</v>
      </c>
      <c r="J76" s="7">
        <v>0.73758991023638798</v>
      </c>
      <c r="K76" s="7">
        <v>0.73053140930594995</v>
      </c>
      <c r="L76" s="7">
        <v>0.65090270581935405</v>
      </c>
      <c r="M76" s="7">
        <v>0.73149371649513195</v>
      </c>
      <c r="N76" s="7">
        <f t="shared" ref="N76:N79" si="25">SUMPRODUCT(B76:M76,$B$74:$M$74)/SUM($B$74:$M$74)</f>
        <v>0.7145896379041411</v>
      </c>
      <c r="P76" s="7">
        <f>'Budget 2025'!N75</f>
        <v>0.60341465782487103</v>
      </c>
    </row>
    <row r="77" spans="1:16" x14ac:dyDescent="0.35">
      <c r="A77" s="5" t="s">
        <v>37</v>
      </c>
      <c r="B77" s="31">
        <v>3.4667263050153529</v>
      </c>
      <c r="C77" s="31">
        <v>4.5743182457352685</v>
      </c>
      <c r="D77" s="31">
        <v>4.3675199388967902</v>
      </c>
      <c r="E77" s="31">
        <v>4.7703819396252607</v>
      </c>
      <c r="F77" s="7">
        <v>4.9854469023863102</v>
      </c>
      <c r="G77" s="7">
        <v>4.8500101760957204</v>
      </c>
      <c r="H77" s="7">
        <v>5.0105834060098804</v>
      </c>
      <c r="I77" s="7">
        <v>4.7204166129621301</v>
      </c>
      <c r="J77" s="7">
        <v>4.8350523494201703</v>
      </c>
      <c r="K77" s="7">
        <v>4.7283917065718901</v>
      </c>
      <c r="L77" s="7">
        <v>4.78299583564307</v>
      </c>
      <c r="M77" s="7">
        <v>4.8392033073187397</v>
      </c>
      <c r="N77" s="7">
        <f t="shared" si="25"/>
        <v>4.6569499400967524</v>
      </c>
      <c r="P77" s="7">
        <f>'Budget 2025'!N76</f>
        <v>4.8411373574408625</v>
      </c>
    </row>
    <row r="78" spans="1:16" x14ac:dyDescent="0.35">
      <c r="A78" s="5" t="s">
        <v>38</v>
      </c>
      <c r="B78" s="31">
        <v>6.8418485158648927</v>
      </c>
      <c r="C78" s="31">
        <v>7.5668957260287177</v>
      </c>
      <c r="D78" s="31">
        <v>6.8217935631669997</v>
      </c>
      <c r="E78" s="31">
        <v>6.8812413254684266</v>
      </c>
      <c r="F78" s="7">
        <v>7.4454921285225497</v>
      </c>
      <c r="G78" s="7">
        <v>7.5769282029095297</v>
      </c>
      <c r="H78" s="7">
        <v>7.8849809692847401</v>
      </c>
      <c r="I78" s="7">
        <v>7.8674010863514301</v>
      </c>
      <c r="J78" s="7">
        <v>8.0962512421703003</v>
      </c>
      <c r="K78" s="7">
        <v>8.1518628039960408</v>
      </c>
      <c r="L78" s="7">
        <v>7.9597836682162102</v>
      </c>
      <c r="M78" s="7">
        <v>7.8900132107348497</v>
      </c>
      <c r="N78" s="7">
        <f t="shared" si="25"/>
        <v>7.6347635629521102</v>
      </c>
      <c r="P78" s="7">
        <f>'Budget 2025'!N77</f>
        <v>7.386331839135952</v>
      </c>
    </row>
    <row r="79" spans="1:16" x14ac:dyDescent="0.35">
      <c r="A79" s="5" t="s">
        <v>25</v>
      </c>
      <c r="B79" s="31">
        <v>11.173252541794611</v>
      </c>
      <c r="C79" s="31">
        <v>12.091738836971983</v>
      </c>
      <c r="D79" s="31">
        <v>12.465839606149499</v>
      </c>
      <c r="E79" s="31">
        <v>11.342955586398332</v>
      </c>
      <c r="F79" s="7">
        <v>12.244620307877501</v>
      </c>
      <c r="G79" s="7">
        <v>12.322052701179301</v>
      </c>
      <c r="H79" s="7">
        <v>11.438149145212799</v>
      </c>
      <c r="I79" s="7">
        <v>11.530350402566301</v>
      </c>
      <c r="J79" s="7">
        <v>11.7778982227345</v>
      </c>
      <c r="K79" s="7">
        <v>12.8807878991805</v>
      </c>
      <c r="L79" s="7">
        <v>12.69604656139</v>
      </c>
      <c r="M79" s="7">
        <v>12.665067399373701</v>
      </c>
      <c r="N79" s="7">
        <f t="shared" si="25"/>
        <v>12.056762670123078</v>
      </c>
      <c r="P79" s="7">
        <f>'Budget 2025'!N78</f>
        <v>13.846499085482177</v>
      </c>
    </row>
    <row r="80" spans="1:16" s="2" customFormat="1" x14ac:dyDescent="0.35">
      <c r="A80" s="9" t="s">
        <v>39</v>
      </c>
      <c r="B80" s="10">
        <v>74.263419999999996</v>
      </c>
      <c r="C80" s="10">
        <v>89.171959999999999</v>
      </c>
      <c r="D80" s="10">
        <v>136.55151000000001</v>
      </c>
      <c r="E80" s="10">
        <v>89.495040000000003</v>
      </c>
      <c r="F80" s="10">
        <v>140</v>
      </c>
      <c r="G80" s="10">
        <v>140</v>
      </c>
      <c r="H80" s="10">
        <v>150</v>
      </c>
      <c r="I80" s="10">
        <v>155</v>
      </c>
      <c r="J80" s="10">
        <v>150</v>
      </c>
      <c r="K80" s="10">
        <v>145</v>
      </c>
      <c r="L80" s="10">
        <v>145</v>
      </c>
      <c r="M80" s="10">
        <v>135.51806999999999</v>
      </c>
      <c r="N80" s="10">
        <f>SUM(B80:M80)</f>
        <v>1550</v>
      </c>
      <c r="P80" s="10">
        <f>'Budget 2025'!N79</f>
        <v>1480</v>
      </c>
    </row>
    <row r="81" spans="1:16" x14ac:dyDescent="0.35">
      <c r="A81" s="5" t="s">
        <v>60</v>
      </c>
      <c r="B81" s="30">
        <v>6697.6811591672858</v>
      </c>
      <c r="C81" s="30">
        <v>6682.5379240818311</v>
      </c>
      <c r="D81" s="30">
        <v>6375.2051752295674</v>
      </c>
      <c r="E81" s="30">
        <v>6514.9911242548424</v>
      </c>
      <c r="F81" s="8">
        <v>6527.6345063091721</v>
      </c>
      <c r="G81" s="8">
        <v>6544.5483466855949</v>
      </c>
      <c r="H81" s="8">
        <v>6519.0094376932193</v>
      </c>
      <c r="I81" s="8">
        <v>6529.4146362608371</v>
      </c>
      <c r="J81" s="8">
        <v>6531.4618867985919</v>
      </c>
      <c r="K81" s="8">
        <v>6451.3600188750888</v>
      </c>
      <c r="L81" s="8">
        <v>6501.0864147888788</v>
      </c>
      <c r="M81" s="8">
        <v>6440.0574028581323</v>
      </c>
      <c r="N81" s="8">
        <f>SUMPRODUCT(B81:M81,$B$80:$M$80)/SUM($B$80:$M$80)</f>
        <v>6514.5002886681104</v>
      </c>
      <c r="P81" s="8">
        <f>'Budget 2025'!N80</f>
        <v>6482.8119871932486</v>
      </c>
    </row>
    <row r="82" spans="1:16" x14ac:dyDescent="0.35">
      <c r="A82" s="5" t="s">
        <v>40</v>
      </c>
      <c r="B82" s="31">
        <v>1.6301900580353075</v>
      </c>
      <c r="C82" s="31">
        <v>1.4796922293816033</v>
      </c>
      <c r="D82" s="31">
        <v>1.6016478929006499</v>
      </c>
      <c r="E82" s="31">
        <v>1.6141192103264999</v>
      </c>
      <c r="F82" s="7">
        <v>1.68860771468701</v>
      </c>
      <c r="G82" s="7">
        <v>1.71725538221369</v>
      </c>
      <c r="H82" s="7">
        <v>1.7416504890628599</v>
      </c>
      <c r="I82" s="7">
        <v>1.7263583543195899</v>
      </c>
      <c r="J82" s="7">
        <v>1.7655845940212</v>
      </c>
      <c r="K82" s="7">
        <v>1.76409771577854</v>
      </c>
      <c r="L82" s="7">
        <v>1.7521448839259199</v>
      </c>
      <c r="M82" s="7">
        <v>1.7407429875040401</v>
      </c>
      <c r="N82" s="7">
        <f t="shared" ref="N82:N85" si="26">SUMPRODUCT(B82:M82,$B$80:$M$80)/SUM($B$80:$M$80)</f>
        <v>1.6983371579001549</v>
      </c>
      <c r="P82" s="7">
        <f>'Budget 2025'!N81</f>
        <v>1.8762420726514626</v>
      </c>
    </row>
    <row r="83" spans="1:16" x14ac:dyDescent="0.35">
      <c r="A83" s="5" t="s">
        <v>37</v>
      </c>
      <c r="B83" s="31">
        <v>2.9843464191303815</v>
      </c>
      <c r="C83" s="31">
        <v>3.6682929221448353</v>
      </c>
      <c r="D83" s="31">
        <v>5.3381230356324902</v>
      </c>
      <c r="E83" s="31">
        <v>5.3340234043503516</v>
      </c>
      <c r="F83" s="7">
        <v>5.6881533939868802</v>
      </c>
      <c r="G83" s="7">
        <v>5.79275706201076</v>
      </c>
      <c r="H83" s="7">
        <v>5.8244454238758996</v>
      </c>
      <c r="I83" s="7">
        <v>5.5826594133889103</v>
      </c>
      <c r="J83" s="7">
        <v>6.0944156604549997</v>
      </c>
      <c r="K83" s="7">
        <v>6.1000289666588996</v>
      </c>
      <c r="L83" s="7">
        <v>5.8408810814872902</v>
      </c>
      <c r="M83" s="7">
        <v>5.9153749480539899</v>
      </c>
      <c r="N83" s="7">
        <f t="shared" si="26"/>
        <v>5.5152096962053161</v>
      </c>
      <c r="P83" s="7">
        <f>'Budget 2025'!N82</f>
        <v>10.254553163544609</v>
      </c>
    </row>
    <row r="84" spans="1:16" x14ac:dyDescent="0.35">
      <c r="A84" s="5" t="s">
        <v>38</v>
      </c>
      <c r="B84" s="31">
        <v>6.3755446507246818</v>
      </c>
      <c r="C84" s="31">
        <v>6.3149361242504378</v>
      </c>
      <c r="D84" s="31">
        <v>6.5134369326499497</v>
      </c>
      <c r="E84" s="31">
        <v>6.5208039662334185</v>
      </c>
      <c r="F84" s="7">
        <v>6.6367388338570397</v>
      </c>
      <c r="G84" s="7">
        <v>6.5178888621543001</v>
      </c>
      <c r="H84" s="7">
        <v>6.4660968612270402</v>
      </c>
      <c r="I84" s="7">
        <v>6.64775611279219</v>
      </c>
      <c r="J84" s="7">
        <v>6.3885645540618698</v>
      </c>
      <c r="K84" s="7">
        <v>6.1948970587028498</v>
      </c>
      <c r="L84" s="7">
        <v>5.7972264003788601</v>
      </c>
      <c r="M84" s="7">
        <v>5.7872619825766298</v>
      </c>
      <c r="N84" s="7">
        <f t="shared" si="26"/>
        <v>6.3438516161811567</v>
      </c>
      <c r="P84" s="7">
        <f>'Budget 2025'!N83</f>
        <v>6.6257918257808086</v>
      </c>
    </row>
    <row r="85" spans="1:16" x14ac:dyDescent="0.35">
      <c r="A85" s="5" t="s">
        <v>25</v>
      </c>
      <c r="B85" s="31">
        <v>11.0449544225335</v>
      </c>
      <c r="C85" s="31">
        <v>10.871045849007412</v>
      </c>
      <c r="D85" s="31">
        <v>11.7658468486225</v>
      </c>
      <c r="E85" s="31">
        <v>12.110349167001655</v>
      </c>
      <c r="F85" s="7">
        <v>11.216743423077</v>
      </c>
      <c r="G85" s="7">
        <v>10.954948305329131</v>
      </c>
      <c r="H85" s="7">
        <v>11.3215043349363</v>
      </c>
      <c r="I85" s="7">
        <v>11.3205594134464</v>
      </c>
      <c r="J85" s="7">
        <v>10.64843186784149</v>
      </c>
      <c r="K85" s="7">
        <v>11.745294091972591</v>
      </c>
      <c r="L85" s="7">
        <v>11.497359601503041</v>
      </c>
      <c r="M85" s="7">
        <v>11.78964098462586</v>
      </c>
      <c r="N85" s="7">
        <f t="shared" si="26"/>
        <v>11.356256161775047</v>
      </c>
      <c r="P85" s="7">
        <f>'Budget 2025'!N84</f>
        <v>11.252249091491917</v>
      </c>
    </row>
    <row r="86" spans="1:16" hidden="1" x14ac:dyDescent="0.35">
      <c r="A86" s="9" t="s">
        <v>53</v>
      </c>
      <c r="B86" s="10">
        <v>7.10975</v>
      </c>
      <c r="C86" s="10">
        <v>40.527500000000003</v>
      </c>
      <c r="D86" s="10">
        <v>51.952449999999985</v>
      </c>
      <c r="E86" s="10">
        <v>50.126389999999994</v>
      </c>
      <c r="F86" s="10">
        <v>109.9789</v>
      </c>
      <c r="G86" s="10">
        <v>87.843810000000005</v>
      </c>
      <c r="H86" s="10">
        <v>83.146400000000028</v>
      </c>
      <c r="I86" s="10">
        <v>58.183650000000014</v>
      </c>
      <c r="J86" s="10">
        <v>37.139549999999993</v>
      </c>
      <c r="K86" s="10">
        <v>60.314450000000015</v>
      </c>
      <c r="L86" s="10">
        <v>52.997440000000012</v>
      </c>
      <c r="M86" s="10">
        <v>45</v>
      </c>
      <c r="N86" s="10">
        <f>SUM(B86:M86)</f>
        <v>684.32029</v>
      </c>
      <c r="O86" s="2"/>
      <c r="P86" s="10">
        <f>'Budget 2025'!N91</f>
        <v>671.5</v>
      </c>
    </row>
    <row r="87" spans="1:16" hidden="1" x14ac:dyDescent="0.35">
      <c r="A87" s="5" t="s">
        <v>60</v>
      </c>
      <c r="B87" s="8">
        <v>6322</v>
      </c>
      <c r="C87" s="8">
        <v>6322</v>
      </c>
      <c r="D87" s="8">
        <v>6322</v>
      </c>
      <c r="E87" s="8">
        <v>6322</v>
      </c>
      <c r="F87" s="8">
        <v>6322</v>
      </c>
      <c r="G87" s="8">
        <v>6322</v>
      </c>
      <c r="H87" s="8">
        <v>6322</v>
      </c>
      <c r="I87" s="8">
        <v>6322</v>
      </c>
      <c r="J87" s="8">
        <v>6322</v>
      </c>
      <c r="K87" s="8">
        <v>6322</v>
      </c>
      <c r="L87" s="8">
        <v>6322</v>
      </c>
      <c r="M87" s="8">
        <v>6322</v>
      </c>
      <c r="N87" s="14">
        <f>SUMPRODUCT(B87:M87,$B$86:$M$86)/SUM($B$86:$M$86)</f>
        <v>6322</v>
      </c>
      <c r="P87" s="8">
        <f>'Budget 2025'!N92</f>
        <v>6322</v>
      </c>
    </row>
    <row r="88" spans="1:16" hidden="1" x14ac:dyDescent="0.35">
      <c r="A88" s="5" t="s">
        <v>42</v>
      </c>
      <c r="B88" s="7">
        <v>0.6</v>
      </c>
      <c r="C88" s="7">
        <v>0.6</v>
      </c>
      <c r="D88" s="7">
        <v>0.6</v>
      </c>
      <c r="E88" s="7">
        <v>0.6</v>
      </c>
      <c r="F88" s="7">
        <v>0.6</v>
      </c>
      <c r="G88" s="7">
        <v>0.6</v>
      </c>
      <c r="H88" s="7">
        <v>0.6</v>
      </c>
      <c r="I88" s="7">
        <v>0.6</v>
      </c>
      <c r="J88" s="7">
        <v>0.6</v>
      </c>
      <c r="K88" s="7">
        <v>0.6</v>
      </c>
      <c r="L88" s="7">
        <v>0.6</v>
      </c>
      <c r="M88" s="7">
        <v>0.6</v>
      </c>
      <c r="N88" s="15">
        <f t="shared" ref="N88:N91" si="27">SUMPRODUCT(B88:M88,$B$86:$M$86)/SUM($B$86:$M$86)</f>
        <v>0.6</v>
      </c>
      <c r="P88" s="7">
        <f>'Budget 2025'!N93</f>
        <v>0.6</v>
      </c>
    </row>
    <row r="89" spans="1:16" hidden="1" x14ac:dyDescent="0.35">
      <c r="A89" s="5" t="s">
        <v>37</v>
      </c>
      <c r="B89" s="7">
        <v>7</v>
      </c>
      <c r="C89" s="7">
        <v>7</v>
      </c>
      <c r="D89" s="7">
        <v>7</v>
      </c>
      <c r="E89" s="7">
        <v>7</v>
      </c>
      <c r="F89" s="7">
        <v>7</v>
      </c>
      <c r="G89" s="7">
        <v>7</v>
      </c>
      <c r="H89" s="7">
        <v>7</v>
      </c>
      <c r="I89" s="7">
        <v>7</v>
      </c>
      <c r="J89" s="7">
        <v>7</v>
      </c>
      <c r="K89" s="7">
        <v>7</v>
      </c>
      <c r="L89" s="7">
        <v>7</v>
      </c>
      <c r="M89" s="7">
        <v>7</v>
      </c>
      <c r="N89" s="15">
        <f t="shared" si="27"/>
        <v>7.0000000000000009</v>
      </c>
      <c r="P89" s="7">
        <f>'Budget 2025'!N94</f>
        <v>7</v>
      </c>
    </row>
    <row r="90" spans="1:16" hidden="1" x14ac:dyDescent="0.35">
      <c r="A90" s="5" t="s">
        <v>38</v>
      </c>
      <c r="B90" s="7">
        <v>12</v>
      </c>
      <c r="C90" s="7">
        <v>12</v>
      </c>
      <c r="D90" s="7">
        <v>12</v>
      </c>
      <c r="E90" s="7">
        <v>12</v>
      </c>
      <c r="F90" s="7">
        <v>12</v>
      </c>
      <c r="G90" s="7">
        <v>12</v>
      </c>
      <c r="H90" s="7">
        <v>12</v>
      </c>
      <c r="I90" s="7">
        <v>12</v>
      </c>
      <c r="J90" s="7">
        <v>12</v>
      </c>
      <c r="K90" s="7">
        <v>12</v>
      </c>
      <c r="L90" s="7">
        <v>12</v>
      </c>
      <c r="M90" s="7">
        <v>12</v>
      </c>
      <c r="N90" s="15">
        <f t="shared" si="27"/>
        <v>12</v>
      </c>
      <c r="P90" s="7">
        <f>'Budget 2025'!N95</f>
        <v>12</v>
      </c>
    </row>
    <row r="91" spans="1:16" hidden="1" x14ac:dyDescent="0.35">
      <c r="A91" s="5" t="s">
        <v>25</v>
      </c>
      <c r="B91" s="7">
        <v>14</v>
      </c>
      <c r="C91" s="7">
        <v>14</v>
      </c>
      <c r="D91" s="7">
        <v>14</v>
      </c>
      <c r="E91" s="7">
        <v>14</v>
      </c>
      <c r="F91" s="7">
        <v>14</v>
      </c>
      <c r="G91" s="7">
        <v>14</v>
      </c>
      <c r="H91" s="7">
        <v>14</v>
      </c>
      <c r="I91" s="7">
        <v>14</v>
      </c>
      <c r="J91" s="7">
        <v>14</v>
      </c>
      <c r="K91" s="7">
        <v>14</v>
      </c>
      <c r="L91" s="7">
        <v>14</v>
      </c>
      <c r="M91" s="7">
        <v>14</v>
      </c>
      <c r="N91" s="15">
        <f t="shared" si="27"/>
        <v>14.000000000000002</v>
      </c>
      <c r="P91" s="7">
        <f>'Budget 2025'!N96</f>
        <v>14</v>
      </c>
    </row>
    <row r="92" spans="1:16" hidden="1" x14ac:dyDescent="0.35">
      <c r="A92" s="9" t="s">
        <v>54</v>
      </c>
      <c r="B92" s="10">
        <v>50.015909999999998</v>
      </c>
      <c r="C92" s="10">
        <v>12.969749999999998</v>
      </c>
      <c r="D92" s="10">
        <v>6.85785</v>
      </c>
      <c r="E92" s="10">
        <v>25.136750000000003</v>
      </c>
      <c r="F92" s="10">
        <v>15.41925</v>
      </c>
      <c r="G92" s="10">
        <v>6.91235</v>
      </c>
      <c r="H92" s="10">
        <v>0</v>
      </c>
      <c r="I92" s="10">
        <v>0</v>
      </c>
      <c r="J92" s="10">
        <v>0</v>
      </c>
      <c r="K92" s="10">
        <v>8.4404000000000003</v>
      </c>
      <c r="L92" s="10">
        <v>0</v>
      </c>
      <c r="M92" s="10">
        <v>10</v>
      </c>
      <c r="N92" s="10">
        <f>SUM(B92:M92)</f>
        <v>135.75226000000001</v>
      </c>
      <c r="O92" s="2"/>
      <c r="P92" s="10">
        <f>'Budget 2025'!N97</f>
        <v>1005</v>
      </c>
    </row>
    <row r="93" spans="1:16" hidden="1" x14ac:dyDescent="0.35">
      <c r="A93" s="5" t="s">
        <v>60</v>
      </c>
      <c r="B93" s="8">
        <v>5400</v>
      </c>
      <c r="C93" s="8">
        <v>5400</v>
      </c>
      <c r="D93" s="8">
        <v>5400</v>
      </c>
      <c r="E93" s="8">
        <v>5400</v>
      </c>
      <c r="F93" s="8">
        <v>5400</v>
      </c>
      <c r="G93" s="8">
        <v>5400</v>
      </c>
      <c r="H93" s="8">
        <v>5400</v>
      </c>
      <c r="I93" s="8">
        <v>5400</v>
      </c>
      <c r="J93" s="8">
        <v>5400</v>
      </c>
      <c r="K93" s="8">
        <v>5400</v>
      </c>
      <c r="L93" s="8">
        <v>5400</v>
      </c>
      <c r="M93" s="8">
        <v>5400</v>
      </c>
      <c r="N93" s="14">
        <f>SUMPRODUCT(B93:M93,$B$93:$M$93)/SUM($B$93:$M$93)</f>
        <v>5400</v>
      </c>
      <c r="P93" s="8">
        <f>'Budget 2025'!N98</f>
        <v>5400</v>
      </c>
    </row>
    <row r="94" spans="1:16" hidden="1" x14ac:dyDescent="0.35">
      <c r="A94" s="5" t="s">
        <v>42</v>
      </c>
      <c r="B94" s="7">
        <v>1</v>
      </c>
      <c r="C94" s="7">
        <v>1</v>
      </c>
      <c r="D94" s="7">
        <v>1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15">
        <f t="shared" ref="N94:N97" si="28">SUMPRODUCT(B94:M94,$B$93:$M$93)/SUM($B$93:$M$93)</f>
        <v>1</v>
      </c>
      <c r="P94" s="7">
        <f>'Budget 2025'!N99</f>
        <v>1</v>
      </c>
    </row>
    <row r="95" spans="1:16" hidden="1" x14ac:dyDescent="0.35">
      <c r="A95" s="5" t="s">
        <v>37</v>
      </c>
      <c r="B95" s="7">
        <v>6</v>
      </c>
      <c r="C95" s="7">
        <v>6</v>
      </c>
      <c r="D95" s="7">
        <v>6</v>
      </c>
      <c r="E95" s="7">
        <v>6</v>
      </c>
      <c r="F95" s="7">
        <v>6</v>
      </c>
      <c r="G95" s="7">
        <v>6</v>
      </c>
      <c r="H95" s="7">
        <v>6</v>
      </c>
      <c r="I95" s="7">
        <v>6</v>
      </c>
      <c r="J95" s="7">
        <v>6</v>
      </c>
      <c r="K95" s="7">
        <v>6</v>
      </c>
      <c r="L95" s="7">
        <v>6</v>
      </c>
      <c r="M95" s="7">
        <v>6</v>
      </c>
      <c r="N95" s="15">
        <f t="shared" si="28"/>
        <v>6</v>
      </c>
      <c r="P95" s="7">
        <f>'Budget 2025'!N100</f>
        <v>6</v>
      </c>
    </row>
    <row r="96" spans="1:16" hidden="1" x14ac:dyDescent="0.35">
      <c r="A96" s="5" t="s">
        <v>38</v>
      </c>
      <c r="B96" s="7">
        <v>15</v>
      </c>
      <c r="C96" s="7">
        <v>15</v>
      </c>
      <c r="D96" s="7">
        <v>15</v>
      </c>
      <c r="E96" s="7">
        <v>15</v>
      </c>
      <c r="F96" s="7">
        <v>15</v>
      </c>
      <c r="G96" s="7">
        <v>15</v>
      </c>
      <c r="H96" s="7">
        <v>15</v>
      </c>
      <c r="I96" s="7">
        <v>15</v>
      </c>
      <c r="J96" s="7">
        <v>15</v>
      </c>
      <c r="K96" s="7">
        <v>15</v>
      </c>
      <c r="L96" s="7">
        <v>15</v>
      </c>
      <c r="M96" s="7">
        <v>15</v>
      </c>
      <c r="N96" s="15">
        <f t="shared" si="28"/>
        <v>15</v>
      </c>
      <c r="P96" s="7">
        <f>'Budget 2025'!N101</f>
        <v>15</v>
      </c>
    </row>
    <row r="97" spans="1:17" hidden="1" x14ac:dyDescent="0.35">
      <c r="A97" s="5" t="s">
        <v>25</v>
      </c>
      <c r="B97" s="7">
        <v>24</v>
      </c>
      <c r="C97" s="7">
        <v>24</v>
      </c>
      <c r="D97" s="7">
        <v>24</v>
      </c>
      <c r="E97" s="7">
        <v>24</v>
      </c>
      <c r="F97" s="7">
        <v>24</v>
      </c>
      <c r="G97" s="7">
        <v>24</v>
      </c>
      <c r="H97" s="7">
        <v>24</v>
      </c>
      <c r="I97" s="7">
        <v>24</v>
      </c>
      <c r="J97" s="7">
        <v>24</v>
      </c>
      <c r="K97" s="7">
        <v>24</v>
      </c>
      <c r="L97" s="7">
        <v>24</v>
      </c>
      <c r="M97" s="7">
        <v>24</v>
      </c>
      <c r="N97" s="15">
        <f t="shared" si="28"/>
        <v>24</v>
      </c>
      <c r="P97" s="7">
        <f>'Budget 2025'!N102</f>
        <v>24</v>
      </c>
    </row>
    <row r="99" spans="1:17" x14ac:dyDescent="0.35">
      <c r="A99" s="6" t="s">
        <v>48</v>
      </c>
      <c r="B99" s="6" t="s">
        <v>1</v>
      </c>
      <c r="C99" s="6" t="s">
        <v>2</v>
      </c>
      <c r="D99" s="6" t="s">
        <v>3</v>
      </c>
      <c r="E99" s="6" t="s">
        <v>4</v>
      </c>
      <c r="F99" s="6" t="s">
        <v>5</v>
      </c>
      <c r="G99" s="6" t="s">
        <v>6</v>
      </c>
      <c r="H99" s="6" t="s">
        <v>7</v>
      </c>
      <c r="I99" s="6" t="s">
        <v>8</v>
      </c>
      <c r="J99" s="6" t="s">
        <v>9</v>
      </c>
      <c r="K99" s="6" t="s">
        <v>10</v>
      </c>
      <c r="L99" s="6" t="s">
        <v>11</v>
      </c>
      <c r="M99" s="6" t="s">
        <v>12</v>
      </c>
      <c r="N99" s="6" t="s">
        <v>13</v>
      </c>
      <c r="O99" s="4"/>
      <c r="P99" s="6" t="s">
        <v>84</v>
      </c>
    </row>
    <row r="100" spans="1:17" s="2" customFormat="1" x14ac:dyDescent="0.35">
      <c r="A100" s="9" t="s">
        <v>14</v>
      </c>
      <c r="B100" s="10">
        <f>SUM(B101:B103)</f>
        <v>7740.8130849999998</v>
      </c>
      <c r="C100" s="10">
        <f t="shared" ref="C100:N100" si="29">SUM(C101:C103)</f>
        <v>6674.4387483499995</v>
      </c>
      <c r="D100" s="10">
        <f t="shared" si="29"/>
        <v>7334.0009450000007</v>
      </c>
      <c r="E100" s="10">
        <f t="shared" si="29"/>
        <v>6431.8589449999999</v>
      </c>
      <c r="F100" s="10">
        <f t="shared" si="29"/>
        <v>8585</v>
      </c>
      <c r="G100" s="10">
        <f t="shared" si="29"/>
        <v>9076.6297400000003</v>
      </c>
      <c r="H100" s="10">
        <f t="shared" si="29"/>
        <v>8165.9726700000001</v>
      </c>
      <c r="I100" s="10">
        <f t="shared" si="29"/>
        <v>8225</v>
      </c>
      <c r="J100" s="10">
        <f t="shared" si="29"/>
        <v>8295</v>
      </c>
      <c r="K100" s="10">
        <f t="shared" si="29"/>
        <v>8114</v>
      </c>
      <c r="L100" s="10">
        <f t="shared" si="29"/>
        <v>7610</v>
      </c>
      <c r="M100" s="10">
        <f t="shared" si="29"/>
        <v>7247.2860866500023</v>
      </c>
      <c r="N100" s="10">
        <f t="shared" si="29"/>
        <v>93500.000220000002</v>
      </c>
      <c r="P100" s="10">
        <f>'Budget 2025'!N105</f>
        <v>90950</v>
      </c>
      <c r="Q100" s="27">
        <f>N100/P100</f>
        <v>1.0280373855964815</v>
      </c>
    </row>
    <row r="101" spans="1:17" x14ac:dyDescent="0.35">
      <c r="A101" s="5" t="s">
        <v>30</v>
      </c>
      <c r="B101" s="30">
        <v>1657.8773700000002</v>
      </c>
      <c r="C101" s="30">
        <v>1407.4206810000001</v>
      </c>
      <c r="D101" s="30">
        <v>1552.9195340000001</v>
      </c>
      <c r="E101" s="30">
        <v>1926.5002199999999</v>
      </c>
      <c r="F101" s="8">
        <v>2455</v>
      </c>
      <c r="G101" s="8">
        <v>2627.0273299999999</v>
      </c>
      <c r="H101" s="8">
        <v>1945.9726699999999</v>
      </c>
      <c r="I101" s="8">
        <v>2005.0000000000005</v>
      </c>
      <c r="J101" s="8">
        <v>2069.9999999999995</v>
      </c>
      <c r="K101" s="8">
        <v>2240</v>
      </c>
      <c r="L101" s="8">
        <v>2100</v>
      </c>
      <c r="M101" s="8">
        <v>2012.2824149999999</v>
      </c>
      <c r="N101" s="8">
        <f>SUM(B101:M101)</f>
        <v>24000.000220000002</v>
      </c>
      <c r="P101" s="8">
        <f>'Budget 2025'!N106</f>
        <v>24000</v>
      </c>
    </row>
    <row r="102" spans="1:17" x14ac:dyDescent="0.35">
      <c r="A102" s="5" t="s">
        <v>57</v>
      </c>
      <c r="B102" s="30">
        <v>4075.4608039999994</v>
      </c>
      <c r="C102" s="30">
        <v>3313.9760443499999</v>
      </c>
      <c r="D102" s="30">
        <v>3758.0614150000001</v>
      </c>
      <c r="E102" s="30">
        <v>3301.2629649999999</v>
      </c>
      <c r="F102" s="8">
        <v>4450</v>
      </c>
      <c r="G102" s="8">
        <v>4929.6024100000004</v>
      </c>
      <c r="H102" s="8">
        <v>5220</v>
      </c>
      <c r="I102" s="8">
        <v>5320</v>
      </c>
      <c r="J102" s="8">
        <v>5270</v>
      </c>
      <c r="K102" s="8">
        <v>5029</v>
      </c>
      <c r="L102" s="8">
        <v>5160</v>
      </c>
      <c r="M102" s="8">
        <v>5172.6363616500039</v>
      </c>
      <c r="N102" s="8">
        <f t="shared" ref="N102:N103" si="30">SUM(B102:M102)</f>
        <v>55000</v>
      </c>
      <c r="P102" s="8">
        <f>'Budget 2025'!N107</f>
        <v>52450</v>
      </c>
    </row>
    <row r="103" spans="1:17" x14ac:dyDescent="0.35">
      <c r="A103" s="5" t="s">
        <v>45</v>
      </c>
      <c r="B103" s="30">
        <v>2007.474911</v>
      </c>
      <c r="C103" s="30">
        <v>1953.042023</v>
      </c>
      <c r="D103" s="30">
        <v>2023.0199959999998</v>
      </c>
      <c r="E103" s="30">
        <v>1204.0957599999999</v>
      </c>
      <c r="F103" s="8">
        <v>1680</v>
      </c>
      <c r="G103" s="8">
        <v>1520</v>
      </c>
      <c r="H103" s="8">
        <v>1000</v>
      </c>
      <c r="I103" s="8">
        <v>900</v>
      </c>
      <c r="J103" s="8">
        <v>955</v>
      </c>
      <c r="K103" s="8">
        <v>845</v>
      </c>
      <c r="L103" s="8">
        <v>350</v>
      </c>
      <c r="M103" s="8">
        <v>62.367309999998405</v>
      </c>
      <c r="N103" s="8">
        <f t="shared" si="30"/>
        <v>14499.999999999998</v>
      </c>
      <c r="P103" s="8">
        <f>'Budget 2025'!N108</f>
        <v>14500</v>
      </c>
    </row>
    <row r="104" spans="1:17" s="2" customFormat="1" x14ac:dyDescent="0.35">
      <c r="A104" s="9" t="s">
        <v>17</v>
      </c>
      <c r="B104" s="10">
        <f t="shared" ref="B104:N104" si="31">SUM(B105:B107)</f>
        <v>737.08651599999996</v>
      </c>
      <c r="C104" s="10">
        <f t="shared" si="31"/>
        <v>743.29978599999993</v>
      </c>
      <c r="D104" s="10">
        <f t="shared" si="31"/>
        <v>904.27686199999994</v>
      </c>
      <c r="E104" s="10">
        <f t="shared" si="31"/>
        <v>705.02388599999995</v>
      </c>
      <c r="F104" s="10">
        <f t="shared" si="31"/>
        <v>675</v>
      </c>
      <c r="G104" s="10">
        <f t="shared" si="31"/>
        <v>705</v>
      </c>
      <c r="H104" s="10">
        <f t="shared" si="31"/>
        <v>670</v>
      </c>
      <c r="I104" s="10">
        <f t="shared" si="31"/>
        <v>780</v>
      </c>
      <c r="J104" s="10">
        <f t="shared" si="31"/>
        <v>600</v>
      </c>
      <c r="K104" s="10">
        <f t="shared" si="31"/>
        <v>580</v>
      </c>
      <c r="L104" s="10">
        <f t="shared" si="31"/>
        <v>565</v>
      </c>
      <c r="M104" s="10">
        <f t="shared" si="31"/>
        <v>585.31295</v>
      </c>
      <c r="N104" s="10">
        <f t="shared" si="31"/>
        <v>8250</v>
      </c>
      <c r="P104" s="10">
        <f>'Budget 2025'!N109</f>
        <v>8000</v>
      </c>
      <c r="Q104" s="27">
        <f>N104/P104</f>
        <v>1.03125</v>
      </c>
    </row>
    <row r="105" spans="1:17" x14ac:dyDescent="0.35">
      <c r="A105" s="5" t="s">
        <v>30</v>
      </c>
      <c r="B105" s="30">
        <v>144.00795199999999</v>
      </c>
      <c r="C105" s="30">
        <v>216.67156200000002</v>
      </c>
      <c r="D105" s="30">
        <v>291.63490000000002</v>
      </c>
      <c r="E105" s="30">
        <v>238.84664000000004</v>
      </c>
      <c r="F105" s="8">
        <v>185</v>
      </c>
      <c r="G105" s="8">
        <v>190</v>
      </c>
      <c r="H105" s="8">
        <v>205</v>
      </c>
      <c r="I105" s="8">
        <v>205</v>
      </c>
      <c r="J105" s="8">
        <v>195</v>
      </c>
      <c r="K105" s="8">
        <v>190</v>
      </c>
      <c r="L105" s="8">
        <v>190</v>
      </c>
      <c r="M105" s="8">
        <v>148.83894600000019</v>
      </c>
      <c r="N105" s="8">
        <f>SUM(B105:M105)</f>
        <v>2400.0000000000005</v>
      </c>
      <c r="P105" s="8">
        <f>'Budget 2025'!N110</f>
        <v>2399.9999999999995</v>
      </c>
    </row>
    <row r="106" spans="1:17" x14ac:dyDescent="0.35">
      <c r="A106" s="5" t="s">
        <v>57</v>
      </c>
      <c r="B106" s="30">
        <v>410.23883599999988</v>
      </c>
      <c r="C106" s="30">
        <v>366.34674399999994</v>
      </c>
      <c r="D106" s="30">
        <v>418.92814199999998</v>
      </c>
      <c r="E106" s="30">
        <v>215.22142599999995</v>
      </c>
      <c r="F106" s="8">
        <v>310</v>
      </c>
      <c r="G106" s="8">
        <v>400</v>
      </c>
      <c r="H106" s="8">
        <v>430</v>
      </c>
      <c r="I106" s="8">
        <v>540</v>
      </c>
      <c r="J106" s="8">
        <v>370</v>
      </c>
      <c r="K106" s="8">
        <v>360</v>
      </c>
      <c r="L106" s="8">
        <v>355</v>
      </c>
      <c r="M106" s="8">
        <v>424.26485200000002</v>
      </c>
      <c r="N106" s="8">
        <f t="shared" ref="N106:N107" si="32">SUM(B106:M106)</f>
        <v>4600</v>
      </c>
      <c r="P106" s="8">
        <f>'Budget 2025'!N111</f>
        <v>4400</v>
      </c>
    </row>
    <row r="107" spans="1:17" x14ac:dyDescent="0.35">
      <c r="A107" s="5" t="s">
        <v>45</v>
      </c>
      <c r="B107" s="30">
        <v>182.83972800000004</v>
      </c>
      <c r="C107" s="30">
        <v>160.28147999999996</v>
      </c>
      <c r="D107" s="30">
        <v>193.71382</v>
      </c>
      <c r="E107" s="30">
        <v>250.95582000000002</v>
      </c>
      <c r="F107" s="8">
        <v>180</v>
      </c>
      <c r="G107" s="8">
        <v>115</v>
      </c>
      <c r="H107" s="8">
        <v>35</v>
      </c>
      <c r="I107" s="8">
        <v>35</v>
      </c>
      <c r="J107" s="8">
        <v>35</v>
      </c>
      <c r="K107" s="8">
        <v>30</v>
      </c>
      <c r="L107" s="8">
        <v>20</v>
      </c>
      <c r="M107" s="8">
        <v>12.209151999999802</v>
      </c>
      <c r="N107" s="8">
        <f t="shared" si="32"/>
        <v>1250</v>
      </c>
      <c r="P107" s="8">
        <f>'Budget 2025'!N112</f>
        <v>1200</v>
      </c>
    </row>
    <row r="108" spans="1:17" s="2" customFormat="1" x14ac:dyDescent="0.35">
      <c r="A108" s="9" t="s">
        <v>43</v>
      </c>
      <c r="B108" s="11">
        <f t="shared" ref="B108:N108" si="33">IFERROR(B100/B104,0)</f>
        <v>10.501905701663928</v>
      </c>
      <c r="C108" s="11">
        <f t="shared" si="33"/>
        <v>8.9794708327145951</v>
      </c>
      <c r="D108" s="11">
        <f t="shared" si="33"/>
        <v>8.1103490017197863</v>
      </c>
      <c r="E108" s="11">
        <f t="shared" si="33"/>
        <v>9.1228950858552906</v>
      </c>
      <c r="F108" s="11">
        <f t="shared" si="33"/>
        <v>12.718518518518518</v>
      </c>
      <c r="G108" s="11">
        <f t="shared" si="33"/>
        <v>12.874652113475177</v>
      </c>
      <c r="H108" s="11">
        <f t="shared" si="33"/>
        <v>12.188018910447761</v>
      </c>
      <c r="I108" s="11">
        <f t="shared" si="33"/>
        <v>10.544871794871796</v>
      </c>
      <c r="J108" s="11">
        <f t="shared" si="33"/>
        <v>13.824999999999999</v>
      </c>
      <c r="K108" s="11">
        <f t="shared" si="33"/>
        <v>13.989655172413793</v>
      </c>
      <c r="L108" s="11">
        <f t="shared" si="33"/>
        <v>13.469026548672566</v>
      </c>
      <c r="M108" s="11">
        <f t="shared" si="33"/>
        <v>12.381899437984419</v>
      </c>
      <c r="N108" s="11">
        <f t="shared" si="33"/>
        <v>11.333333360000001</v>
      </c>
      <c r="P108" s="11">
        <f>'Budget 2025'!N113</f>
        <v>11.36875</v>
      </c>
    </row>
    <row r="109" spans="1:17" s="2" customFormat="1" x14ac:dyDescent="0.35">
      <c r="A109" s="9" t="s">
        <v>34</v>
      </c>
      <c r="B109" s="11">
        <f t="shared" ref="B109:N109" si="34">IFERROR(B100/B110,0)</f>
        <v>10.369454160507381</v>
      </c>
      <c r="C109" s="11">
        <f t="shared" si="34"/>
        <v>9.7156790917336799</v>
      </c>
      <c r="D109" s="11">
        <f t="shared" si="34"/>
        <v>10.345828741261522</v>
      </c>
      <c r="E109" s="11">
        <f t="shared" si="34"/>
        <v>9.5165696254649106</v>
      </c>
      <c r="F109" s="11">
        <f t="shared" si="34"/>
        <v>11.760273972602739</v>
      </c>
      <c r="G109" s="11">
        <f t="shared" si="34"/>
        <v>12.966613914285714</v>
      </c>
      <c r="H109" s="11">
        <f t="shared" si="34"/>
        <v>11.665675242857143</v>
      </c>
      <c r="I109" s="11">
        <f t="shared" si="34"/>
        <v>11.75</v>
      </c>
      <c r="J109" s="11">
        <f t="shared" si="34"/>
        <v>11.85</v>
      </c>
      <c r="K109" s="11">
        <f t="shared" si="34"/>
        <v>11.591428571428571</v>
      </c>
      <c r="L109" s="11">
        <f t="shared" si="34"/>
        <v>10.871428571428572</v>
      </c>
      <c r="M109" s="11">
        <f t="shared" si="34"/>
        <v>10.951223445521432</v>
      </c>
      <c r="N109" s="11">
        <f t="shared" si="34"/>
        <v>11.117717029726517</v>
      </c>
      <c r="P109" s="11">
        <f>'Budget 2025'!N114</f>
        <v>11.228395061728396</v>
      </c>
    </row>
    <row r="110" spans="1:17" s="2" customFormat="1" x14ac:dyDescent="0.35">
      <c r="A110" s="9" t="s">
        <v>49</v>
      </c>
      <c r="B110" s="10">
        <f>B111+B117</f>
        <v>746.50149999999996</v>
      </c>
      <c r="C110" s="10">
        <f t="shared" ref="C110:N110" si="35">C111+C117</f>
        <v>686.9760399999999</v>
      </c>
      <c r="D110" s="10">
        <f t="shared" si="35"/>
        <v>708.88481999999999</v>
      </c>
      <c r="E110" s="10">
        <f t="shared" si="35"/>
        <v>675.85897</v>
      </c>
      <c r="F110" s="10">
        <f t="shared" si="35"/>
        <v>730</v>
      </c>
      <c r="G110" s="10">
        <f t="shared" si="35"/>
        <v>700</v>
      </c>
      <c r="H110" s="10">
        <f t="shared" si="35"/>
        <v>700</v>
      </c>
      <c r="I110" s="10">
        <f t="shared" si="35"/>
        <v>700</v>
      </c>
      <c r="J110" s="10">
        <f t="shared" si="35"/>
        <v>700</v>
      </c>
      <c r="K110" s="10">
        <f t="shared" si="35"/>
        <v>700</v>
      </c>
      <c r="L110" s="10">
        <f t="shared" si="35"/>
        <v>700</v>
      </c>
      <c r="M110" s="10">
        <f t="shared" si="35"/>
        <v>661.77867000000106</v>
      </c>
      <c r="N110" s="10">
        <f t="shared" si="35"/>
        <v>8410</v>
      </c>
      <c r="P110" s="10">
        <f>'Budget 2025'!N115</f>
        <v>8100</v>
      </c>
    </row>
    <row r="111" spans="1:17" s="2" customFormat="1" x14ac:dyDescent="0.35">
      <c r="A111" s="9" t="s">
        <v>89</v>
      </c>
      <c r="B111" s="10">
        <v>625.84960000000001</v>
      </c>
      <c r="C111" s="10">
        <v>567.95553999999993</v>
      </c>
      <c r="D111" s="10">
        <v>547.06701999999996</v>
      </c>
      <c r="E111" s="10">
        <v>503.71762000000001</v>
      </c>
      <c r="F111" s="10">
        <v>420</v>
      </c>
      <c r="G111" s="10">
        <v>470</v>
      </c>
      <c r="H111" s="10">
        <v>500</v>
      </c>
      <c r="I111" s="10">
        <v>500</v>
      </c>
      <c r="J111" s="10">
        <v>500</v>
      </c>
      <c r="K111" s="10">
        <v>500</v>
      </c>
      <c r="L111" s="10">
        <v>500</v>
      </c>
      <c r="M111" s="10">
        <v>465.410220000001</v>
      </c>
      <c r="N111" s="10">
        <f>SUM(B111:M111)</f>
        <v>6100.0000000000009</v>
      </c>
      <c r="P111" s="10">
        <f>'Budget 2025'!N116</f>
        <v>5560</v>
      </c>
    </row>
    <row r="112" spans="1:17" x14ac:dyDescent="0.35">
      <c r="A112" s="5" t="s">
        <v>60</v>
      </c>
      <c r="B112" s="30">
        <v>6097.4966620771311</v>
      </c>
      <c r="C112" s="30">
        <v>6119.1855987285335</v>
      </c>
      <c r="D112" s="30">
        <v>6220.8649019951563</v>
      </c>
      <c r="E112" s="30">
        <v>6062.7438749011899</v>
      </c>
      <c r="F112" s="8">
        <v>6113.8459518854188</v>
      </c>
      <c r="G112" s="8">
        <v>6109.2477566946</v>
      </c>
      <c r="H112" s="8">
        <v>6218.3683775054851</v>
      </c>
      <c r="I112" s="8">
        <v>6271.0916397929359</v>
      </c>
      <c r="J112" s="8">
        <v>6289.6837869017172</v>
      </c>
      <c r="K112" s="8">
        <v>6259.7798956993993</v>
      </c>
      <c r="L112" s="8">
        <v>6207.0515785513626</v>
      </c>
      <c r="M112" s="8">
        <v>6251.1722344871805</v>
      </c>
      <c r="N112" s="8">
        <f>SUMPRODUCT(B112:M112,$B$111:$M$111)/SUM($B$111:$M$111)</f>
        <v>6183.6378650351871</v>
      </c>
      <c r="P112" s="8">
        <f>'Budget 2025'!N117</f>
        <v>5915.2264206877153</v>
      </c>
    </row>
    <row r="113" spans="1:17" x14ac:dyDescent="0.35">
      <c r="A113" s="5" t="s">
        <v>22</v>
      </c>
      <c r="B113" s="31">
        <v>0.54476856174772381</v>
      </c>
      <c r="C113" s="31">
        <v>0.56823755577160673</v>
      </c>
      <c r="D113" s="31">
        <v>0.47738051823407301</v>
      </c>
      <c r="E113" s="31">
        <v>0.62875019916689101</v>
      </c>
      <c r="F113" s="7">
        <v>0.55915819196064231</v>
      </c>
      <c r="G113" s="7">
        <v>0.5476992738970593</v>
      </c>
      <c r="H113" s="7">
        <v>0.54806435976863066</v>
      </c>
      <c r="I113" s="7">
        <v>0.55380387568702871</v>
      </c>
      <c r="J113" s="7">
        <v>0.5471687370667413</v>
      </c>
      <c r="K113" s="7">
        <v>0.54796426540115284</v>
      </c>
      <c r="L113" s="7">
        <v>0.56235198387946661</v>
      </c>
      <c r="M113" s="7">
        <v>0.56137419472004291</v>
      </c>
      <c r="N113" s="7">
        <f t="shared" ref="N113:N116" si="36">SUMPRODUCT(B113:M113,$B$111:$M$111)/SUM($B$111:$M$111)</f>
        <v>0.55323926941602453</v>
      </c>
      <c r="P113" s="7">
        <f>'Budget 2025'!N118</f>
        <v>0.57720242104926189</v>
      </c>
    </row>
    <row r="114" spans="1:17" x14ac:dyDescent="0.35">
      <c r="A114" s="5" t="s">
        <v>23</v>
      </c>
      <c r="B114" s="31">
        <v>4.6247036218938993</v>
      </c>
      <c r="C114" s="31">
        <v>4.6317549926095838</v>
      </c>
      <c r="D114" s="31">
        <v>3.9165292789903665</v>
      </c>
      <c r="E114" s="31">
        <v>4.3086556847699526</v>
      </c>
      <c r="F114" s="7">
        <v>3.6522715172232161</v>
      </c>
      <c r="G114" s="7">
        <v>4.1370612992517888</v>
      </c>
      <c r="H114" s="7">
        <v>3.9835381308111213</v>
      </c>
      <c r="I114" s="7">
        <v>3.985845036263727</v>
      </c>
      <c r="J114" s="7">
        <v>4.0172815789576504</v>
      </c>
      <c r="K114" s="7">
        <v>3.9347726502306353</v>
      </c>
      <c r="L114" s="7">
        <v>3.886363076641695</v>
      </c>
      <c r="M114" s="7">
        <v>3.8865265800826134</v>
      </c>
      <c r="N114" s="7">
        <f>(SUMPRODUCT(B114:M114,$B$111:$M$111)/SUM($B$111:$M$111))</f>
        <v>4.1031232595400855</v>
      </c>
      <c r="P114" s="7">
        <f>'Budget 2025'!N119</f>
        <v>4.8848465793008069</v>
      </c>
    </row>
    <row r="115" spans="1:17" x14ac:dyDescent="0.35">
      <c r="A115" s="5" t="s">
        <v>38</v>
      </c>
      <c r="B115" s="31">
        <v>10.459827963863422</v>
      </c>
      <c r="C115" s="31">
        <v>10.573971921117533</v>
      </c>
      <c r="D115" s="31">
        <v>10.575172994270675</v>
      </c>
      <c r="E115" s="31">
        <v>11.111197834085232</v>
      </c>
      <c r="F115" s="7">
        <v>11.05314292261918</v>
      </c>
      <c r="G115" s="7">
        <v>10.703651041056812</v>
      </c>
      <c r="H115" s="7">
        <v>10.866289147484975</v>
      </c>
      <c r="I115" s="7">
        <v>10.567408710488964</v>
      </c>
      <c r="J115" s="7">
        <v>10.462220545413771</v>
      </c>
      <c r="K115" s="7">
        <v>10.504538318691688</v>
      </c>
      <c r="L115" s="7">
        <v>10.936625009464969</v>
      </c>
      <c r="M115" s="7">
        <v>10.753854222428279</v>
      </c>
      <c r="N115" s="7">
        <f t="shared" si="36"/>
        <v>10.701736086234066</v>
      </c>
      <c r="P115" s="7">
        <f>'Budget 2025'!N120</f>
        <v>11.469446555956317</v>
      </c>
    </row>
    <row r="116" spans="1:17" x14ac:dyDescent="0.35">
      <c r="A116" s="5" t="s">
        <v>25</v>
      </c>
      <c r="B116" s="31">
        <v>16.139047791846501</v>
      </c>
      <c r="C116" s="31">
        <v>16.036590798701749</v>
      </c>
      <c r="D116" s="31">
        <v>15.504113514763937</v>
      </c>
      <c r="E116" s="31">
        <v>16.877892815802095</v>
      </c>
      <c r="F116" s="7">
        <v>16.348844338399527</v>
      </c>
      <c r="G116" s="7">
        <v>16.536047589753412</v>
      </c>
      <c r="H116" s="7">
        <v>14.828543368600958</v>
      </c>
      <c r="I116" s="7">
        <v>14.371555677708924</v>
      </c>
      <c r="J116" s="7">
        <v>14.227088185141715</v>
      </c>
      <c r="K116" s="7">
        <v>14.714996167080406</v>
      </c>
      <c r="L116" s="7">
        <v>15.044120805540313</v>
      </c>
      <c r="M116" s="7">
        <v>14.632044537484077</v>
      </c>
      <c r="N116" s="7">
        <f t="shared" si="36"/>
        <v>15.448144348915836</v>
      </c>
      <c r="P116" s="7">
        <f>'Budget 2025'!N121</f>
        <v>15.241913451679135</v>
      </c>
    </row>
    <row r="117" spans="1:17" s="2" customFormat="1" x14ac:dyDescent="0.35">
      <c r="A117" s="9" t="s">
        <v>90</v>
      </c>
      <c r="B117" s="10">
        <v>120.6519</v>
      </c>
      <c r="C117" s="10">
        <v>119.02050000000001</v>
      </c>
      <c r="D117" s="10">
        <v>161.81780000000003</v>
      </c>
      <c r="E117" s="10">
        <v>172.14134999999999</v>
      </c>
      <c r="F117" s="10">
        <v>310</v>
      </c>
      <c r="G117" s="10">
        <v>230</v>
      </c>
      <c r="H117" s="10">
        <v>200</v>
      </c>
      <c r="I117" s="10">
        <v>200</v>
      </c>
      <c r="J117" s="10">
        <v>200</v>
      </c>
      <c r="K117" s="10">
        <v>200</v>
      </c>
      <c r="L117" s="10">
        <v>200</v>
      </c>
      <c r="M117" s="10">
        <v>196.36845000000002</v>
      </c>
      <c r="N117" s="10">
        <f>SUM(B117:M117)</f>
        <v>2310</v>
      </c>
      <c r="P117" s="10">
        <f>'Budget 2025'!N122</f>
        <v>2540</v>
      </c>
    </row>
    <row r="118" spans="1:17" x14ac:dyDescent="0.35">
      <c r="A118" s="5" t="s">
        <v>60</v>
      </c>
      <c r="B118" s="30">
        <v>6099.4690130578811</v>
      </c>
      <c r="C118" s="30">
        <v>6066.5598806413072</v>
      </c>
      <c r="D118" s="30">
        <v>6046.9118208238369</v>
      </c>
      <c r="E118" s="30">
        <v>6012.6397188048568</v>
      </c>
      <c r="F118" s="8">
        <v>6168.2756282292175</v>
      </c>
      <c r="G118" s="8">
        <v>6167.3973272799258</v>
      </c>
      <c r="H118" s="8">
        <v>6186.8347335346207</v>
      </c>
      <c r="I118" s="8">
        <v>6185.6920454266428</v>
      </c>
      <c r="J118" s="8">
        <v>6188.2344872151416</v>
      </c>
      <c r="K118" s="8">
        <v>6188.3071562734049</v>
      </c>
      <c r="L118" s="8">
        <v>6201.3227404887102</v>
      </c>
      <c r="M118" s="8">
        <v>6210.5538021390357</v>
      </c>
      <c r="N118" s="8">
        <f>SUMPRODUCT(B118:M118,$B$117:$M$117)/SUM($B$117:$M$117)</f>
        <v>6152.2862718483193</v>
      </c>
      <c r="P118" s="8">
        <f>'Budget 2025'!N123</f>
        <v>5792.8232136227871</v>
      </c>
    </row>
    <row r="119" spans="1:17" x14ac:dyDescent="0.35">
      <c r="A119" s="5" t="s">
        <v>22</v>
      </c>
      <c r="B119" s="31">
        <v>1.9961279544590722</v>
      </c>
      <c r="C119" s="31">
        <v>1.9949662635342156</v>
      </c>
      <c r="D119" s="31">
        <v>1.9373569700124953</v>
      </c>
      <c r="E119" s="31">
        <v>1.9317556589393237</v>
      </c>
      <c r="F119" s="7">
        <v>1.9380612037492329</v>
      </c>
      <c r="G119" s="7">
        <v>1.8846043098170595</v>
      </c>
      <c r="H119" s="7">
        <v>1.8745151140098202</v>
      </c>
      <c r="I119" s="7">
        <v>1.8703964758814844</v>
      </c>
      <c r="J119" s="7">
        <v>1.8628322626131029</v>
      </c>
      <c r="K119" s="7">
        <v>1.8720743588158002</v>
      </c>
      <c r="L119" s="7">
        <v>1.8855501172853144</v>
      </c>
      <c r="M119" s="7">
        <v>1.8887705875582677</v>
      </c>
      <c r="N119" s="7">
        <f t="shared" ref="N119:N122" si="37">SUMPRODUCT(B119:M119,$B$117:$M$117)/SUM($B$117:$M$117)</f>
        <v>1.9058610238291405</v>
      </c>
      <c r="P119" s="7">
        <f>'Budget 2025'!N124</f>
        <v>1.7606128453673298</v>
      </c>
    </row>
    <row r="120" spans="1:17" x14ac:dyDescent="0.35">
      <c r="A120" s="5" t="s">
        <v>23</v>
      </c>
      <c r="B120" s="31">
        <v>4.8307037060507492</v>
      </c>
      <c r="C120" s="31">
        <v>4.7802382800980334</v>
      </c>
      <c r="D120" s="31">
        <v>6.3090045272673523</v>
      </c>
      <c r="E120" s="31">
        <v>6.1221153570451898</v>
      </c>
      <c r="F120" s="7">
        <v>5.0540366138162023</v>
      </c>
      <c r="G120" s="7">
        <v>4.9337007585344361</v>
      </c>
      <c r="H120" s="7">
        <v>4.5325450550856896</v>
      </c>
      <c r="I120" s="7">
        <v>4.5642045444479908</v>
      </c>
      <c r="J120" s="7">
        <v>4.5446186605073624</v>
      </c>
      <c r="K120" s="7">
        <v>4.5875757454063013</v>
      </c>
      <c r="L120" s="7">
        <v>4.6028072289982545</v>
      </c>
      <c r="M120" s="7">
        <v>4.5657778483712894</v>
      </c>
      <c r="N120" s="7">
        <f>(SUMPRODUCT(B120:M120,$B$117:$M$117)/SUM($B$117:$M$117))</f>
        <v>4.9311627085118923</v>
      </c>
      <c r="P120" s="7">
        <f>'Budget 2025'!N125</f>
        <v>5.7572096518405811</v>
      </c>
    </row>
    <row r="121" spans="1:17" x14ac:dyDescent="0.35">
      <c r="A121" s="5" t="s">
        <v>38</v>
      </c>
      <c r="B121" s="31">
        <v>10.559011156017789</v>
      </c>
      <c r="C121" s="31">
        <v>11.003026553086062</v>
      </c>
      <c r="D121" s="31">
        <v>10.077375752603418</v>
      </c>
      <c r="E121" s="31">
        <v>10.296401380035585</v>
      </c>
      <c r="F121" s="7">
        <v>10.070847251423357</v>
      </c>
      <c r="G121" s="7">
        <v>10.128744143703555</v>
      </c>
      <c r="H121" s="7">
        <v>10.609850956183212</v>
      </c>
      <c r="I121" s="7">
        <v>10.605700010939231</v>
      </c>
      <c r="J121" s="7">
        <v>10.62457104109774</v>
      </c>
      <c r="K121" s="7">
        <v>10.614702473923817</v>
      </c>
      <c r="L121" s="7">
        <v>10.520200587596726</v>
      </c>
      <c r="M121" s="7">
        <v>10.533115136553649</v>
      </c>
      <c r="N121" s="7">
        <f t="shared" si="37"/>
        <v>10.433608656144989</v>
      </c>
      <c r="P121" s="7">
        <f>'Budget 2025'!N126</f>
        <v>10.736864071482877</v>
      </c>
    </row>
    <row r="122" spans="1:17" x14ac:dyDescent="0.35">
      <c r="A122" s="5" t="s">
        <v>25</v>
      </c>
      <c r="B122" s="31">
        <v>15.541759210005772</v>
      </c>
      <c r="C122" s="31">
        <v>16.161000976304042</v>
      </c>
      <c r="D122" s="31">
        <v>15.264434858668292</v>
      </c>
      <c r="E122" s="31">
        <v>15.426747091382191</v>
      </c>
      <c r="F122" s="7">
        <v>13.95568268522673</v>
      </c>
      <c r="G122" s="7">
        <v>14.367612378748072</v>
      </c>
      <c r="H122" s="7">
        <v>14.518006197015591</v>
      </c>
      <c r="I122" s="7">
        <v>14.481975019100735</v>
      </c>
      <c r="J122" s="7">
        <v>14.450501595207568</v>
      </c>
      <c r="K122" s="7">
        <v>14.385858872251053</v>
      </c>
      <c r="L122" s="7">
        <v>14.240660607020253</v>
      </c>
      <c r="M122" s="7">
        <v>14.187343819093368</v>
      </c>
      <c r="N122" s="7">
        <f t="shared" si="37"/>
        <v>14.613173673266594</v>
      </c>
      <c r="P122" s="7">
        <f>'Budget 2025'!N127</f>
        <v>14.551758700752847</v>
      </c>
    </row>
    <row r="124" spans="1:17" x14ac:dyDescent="0.35">
      <c r="A124" s="6" t="s">
        <v>44</v>
      </c>
      <c r="B124" s="6" t="s">
        <v>1</v>
      </c>
      <c r="C124" s="6" t="s">
        <v>2</v>
      </c>
      <c r="D124" s="6" t="s">
        <v>3</v>
      </c>
      <c r="E124" s="6" t="s">
        <v>4</v>
      </c>
      <c r="F124" s="6" t="s">
        <v>5</v>
      </c>
      <c r="G124" s="6" t="s">
        <v>6</v>
      </c>
      <c r="H124" s="6" t="s">
        <v>7</v>
      </c>
      <c r="I124" s="6" t="s">
        <v>8</v>
      </c>
      <c r="J124" s="6" t="s">
        <v>9</v>
      </c>
      <c r="K124" s="6" t="s">
        <v>10</v>
      </c>
      <c r="L124" s="6" t="s">
        <v>11</v>
      </c>
      <c r="M124" s="6" t="s">
        <v>12</v>
      </c>
      <c r="N124" s="6" t="s">
        <v>13</v>
      </c>
      <c r="O124" s="4"/>
      <c r="P124" s="6" t="s">
        <v>84</v>
      </c>
    </row>
    <row r="125" spans="1:17" s="2" customFormat="1" x14ac:dyDescent="0.35">
      <c r="A125" s="9" t="s">
        <v>14</v>
      </c>
      <c r="B125" s="10">
        <f t="shared" ref="B125:N125" si="38">SUM(B126:B126)</f>
        <v>0</v>
      </c>
      <c r="C125" s="10">
        <f t="shared" si="38"/>
        <v>0</v>
      </c>
      <c r="D125" s="10">
        <f t="shared" si="38"/>
        <v>0</v>
      </c>
      <c r="E125" s="10">
        <f t="shared" si="38"/>
        <v>0</v>
      </c>
      <c r="F125" s="10">
        <f t="shared" si="38"/>
        <v>0</v>
      </c>
      <c r="G125" s="10">
        <f t="shared" si="38"/>
        <v>160</v>
      </c>
      <c r="H125" s="10">
        <f t="shared" si="38"/>
        <v>183</v>
      </c>
      <c r="I125" s="10">
        <f t="shared" si="38"/>
        <v>355</v>
      </c>
      <c r="J125" s="10">
        <f t="shared" si="38"/>
        <v>366</v>
      </c>
      <c r="K125" s="10">
        <f t="shared" si="38"/>
        <v>394</v>
      </c>
      <c r="L125" s="10">
        <f t="shared" si="38"/>
        <v>348</v>
      </c>
      <c r="M125" s="10">
        <f t="shared" si="38"/>
        <v>313</v>
      </c>
      <c r="N125" s="10">
        <f t="shared" si="38"/>
        <v>2119</v>
      </c>
      <c r="P125" s="10">
        <f>'Budget 2025'!N130</f>
        <v>5038.6080002984163</v>
      </c>
      <c r="Q125" s="27">
        <f>N125/P125</f>
        <v>0.42055266055118801</v>
      </c>
    </row>
    <row r="126" spans="1:17" x14ac:dyDescent="0.35">
      <c r="A126" s="5" t="s">
        <v>69</v>
      </c>
      <c r="B126" s="30">
        <v>0</v>
      </c>
      <c r="C126" s="30">
        <v>0</v>
      </c>
      <c r="D126" s="30">
        <v>0</v>
      </c>
      <c r="E126" s="30">
        <v>0</v>
      </c>
      <c r="F126" s="8">
        <v>0</v>
      </c>
      <c r="G126" s="8">
        <v>160</v>
      </c>
      <c r="H126" s="8">
        <v>183</v>
      </c>
      <c r="I126" s="8">
        <v>355</v>
      </c>
      <c r="J126" s="8">
        <v>366</v>
      </c>
      <c r="K126" s="8">
        <v>394</v>
      </c>
      <c r="L126" s="8">
        <v>348</v>
      </c>
      <c r="M126" s="8">
        <v>313</v>
      </c>
      <c r="N126" s="8">
        <f t="shared" ref="N126:N128" si="39">SUM(B126:M126)</f>
        <v>2119</v>
      </c>
      <c r="P126" s="8">
        <f>'Budget 2025'!N131</f>
        <v>5038.6080002984163</v>
      </c>
    </row>
    <row r="127" spans="1:17" s="2" customFormat="1" x14ac:dyDescent="0.35">
      <c r="A127" s="9" t="s">
        <v>17</v>
      </c>
      <c r="B127" s="10">
        <f t="shared" ref="B127:M127" si="40">SUM(B128:B128)</f>
        <v>0</v>
      </c>
      <c r="C127" s="10">
        <f t="shared" si="40"/>
        <v>0</v>
      </c>
      <c r="D127" s="10">
        <f t="shared" si="40"/>
        <v>0</v>
      </c>
      <c r="E127" s="10">
        <f t="shared" si="40"/>
        <v>0</v>
      </c>
      <c r="F127" s="10">
        <f t="shared" si="40"/>
        <v>0</v>
      </c>
      <c r="G127" s="10">
        <f t="shared" si="40"/>
        <v>0</v>
      </c>
      <c r="H127" s="10">
        <f t="shared" si="40"/>
        <v>0</v>
      </c>
      <c r="I127" s="10">
        <f t="shared" si="40"/>
        <v>2</v>
      </c>
      <c r="J127" s="10">
        <f t="shared" si="40"/>
        <v>24</v>
      </c>
      <c r="K127" s="10">
        <f t="shared" si="40"/>
        <v>59</v>
      </c>
      <c r="L127" s="10">
        <f t="shared" si="40"/>
        <v>57</v>
      </c>
      <c r="M127" s="10">
        <f t="shared" si="40"/>
        <v>58</v>
      </c>
      <c r="N127" s="10">
        <f t="shared" si="39"/>
        <v>200</v>
      </c>
      <c r="P127" s="10">
        <f>'Budget 2025'!N132</f>
        <v>448</v>
      </c>
      <c r="Q127" s="27">
        <f>N127/P127</f>
        <v>0.44642857142857145</v>
      </c>
    </row>
    <row r="128" spans="1:17" x14ac:dyDescent="0.35">
      <c r="A128" s="5" t="s">
        <v>69</v>
      </c>
      <c r="B128" s="30">
        <v>0</v>
      </c>
      <c r="C128" s="30">
        <v>0</v>
      </c>
      <c r="D128" s="30">
        <v>0</v>
      </c>
      <c r="E128" s="30">
        <v>0</v>
      </c>
      <c r="F128" s="8">
        <v>0</v>
      </c>
      <c r="G128" s="8">
        <v>0</v>
      </c>
      <c r="H128" s="8">
        <v>0</v>
      </c>
      <c r="I128" s="8">
        <v>2</v>
      </c>
      <c r="J128" s="8">
        <v>24</v>
      </c>
      <c r="K128" s="8">
        <v>59</v>
      </c>
      <c r="L128" s="8">
        <v>57</v>
      </c>
      <c r="M128" s="8">
        <v>58</v>
      </c>
      <c r="N128" s="8">
        <f t="shared" si="39"/>
        <v>200</v>
      </c>
      <c r="P128" s="8">
        <f>'Budget 2025'!N133</f>
        <v>448</v>
      </c>
    </row>
    <row r="129" spans="1:17" s="2" customFormat="1" x14ac:dyDescent="0.35">
      <c r="A129" s="9" t="s">
        <v>43</v>
      </c>
      <c r="B129" s="11">
        <f t="shared" ref="B129:M129" si="41">IFERROR(B125/B127,0)</f>
        <v>0</v>
      </c>
      <c r="C129" s="11">
        <f t="shared" si="41"/>
        <v>0</v>
      </c>
      <c r="D129" s="11">
        <f t="shared" si="41"/>
        <v>0</v>
      </c>
      <c r="E129" s="11">
        <f t="shared" si="41"/>
        <v>0</v>
      </c>
      <c r="F129" s="11">
        <f t="shared" si="41"/>
        <v>0</v>
      </c>
      <c r="G129" s="11">
        <f t="shared" si="41"/>
        <v>0</v>
      </c>
      <c r="H129" s="11">
        <f t="shared" si="41"/>
        <v>0</v>
      </c>
      <c r="I129" s="11">
        <f t="shared" si="41"/>
        <v>177.5</v>
      </c>
      <c r="J129" s="11">
        <f t="shared" si="41"/>
        <v>15.25</v>
      </c>
      <c r="K129" s="11">
        <f t="shared" si="41"/>
        <v>6.6779661016949152</v>
      </c>
      <c r="L129" s="11">
        <f t="shared" si="41"/>
        <v>6.1052631578947372</v>
      </c>
      <c r="M129" s="11">
        <f t="shared" si="41"/>
        <v>5.3965517241379306</v>
      </c>
      <c r="N129" s="11">
        <f>N125/N127</f>
        <v>10.595000000000001</v>
      </c>
      <c r="P129" s="11">
        <f>'Budget 2025'!N134</f>
        <v>11.246892857808964</v>
      </c>
    </row>
    <row r="130" spans="1:17" s="2" customFormat="1" x14ac:dyDescent="0.35">
      <c r="A130" s="9" t="s">
        <v>34</v>
      </c>
      <c r="B130" s="11">
        <f t="shared" ref="B130:M130" si="42">IFERROR(B125/B132,0)</f>
        <v>0</v>
      </c>
      <c r="C130" s="11">
        <f t="shared" si="42"/>
        <v>0</v>
      </c>
      <c r="D130" s="11">
        <f t="shared" si="42"/>
        <v>0</v>
      </c>
      <c r="E130" s="11">
        <f t="shared" si="42"/>
        <v>0</v>
      </c>
      <c r="F130" s="11">
        <f t="shared" si="42"/>
        <v>0</v>
      </c>
      <c r="G130" s="11">
        <f t="shared" si="42"/>
        <v>0</v>
      </c>
      <c r="H130" s="11">
        <f t="shared" si="42"/>
        <v>0</v>
      </c>
      <c r="I130" s="11">
        <f t="shared" si="42"/>
        <v>177.5</v>
      </c>
      <c r="J130" s="11">
        <f t="shared" si="42"/>
        <v>16.636363636363637</v>
      </c>
      <c r="K130" s="11">
        <f t="shared" si="42"/>
        <v>7.0357142857142856</v>
      </c>
      <c r="L130" s="11">
        <f t="shared" si="42"/>
        <v>6.3272727272727272</v>
      </c>
      <c r="M130" s="11">
        <f t="shared" si="42"/>
        <v>5.2166666666666668</v>
      </c>
      <c r="N130" s="11">
        <f>N125/N132</f>
        <v>10.866666666666667</v>
      </c>
      <c r="P130" s="11">
        <f>'Budget 2025'!N135</f>
        <v>11.63650808383006</v>
      </c>
    </row>
    <row r="131" spans="1:17" s="2" customFormat="1" x14ac:dyDescent="0.35">
      <c r="A131" s="9" t="s">
        <v>46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18.100000000000001</v>
      </c>
      <c r="H131" s="10">
        <v>18.100000000000001</v>
      </c>
      <c r="I131" s="10">
        <v>7.5</v>
      </c>
      <c r="J131" s="10">
        <v>29.8</v>
      </c>
      <c r="K131" s="10">
        <v>59.4</v>
      </c>
      <c r="L131" s="10">
        <v>30.5</v>
      </c>
      <c r="M131" s="10">
        <v>59.1</v>
      </c>
      <c r="N131" s="10">
        <f>SUM(B131:M131)</f>
        <v>222.5</v>
      </c>
      <c r="P131" s="10">
        <f>'Budget 2025'!N136</f>
        <v>430.7</v>
      </c>
    </row>
    <row r="132" spans="1:17" s="2" customFormat="1" x14ac:dyDescent="0.35">
      <c r="A132" s="9" t="s">
        <v>50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2</v>
      </c>
      <c r="J132" s="10">
        <v>22</v>
      </c>
      <c r="K132" s="10">
        <v>56</v>
      </c>
      <c r="L132" s="10">
        <v>55</v>
      </c>
      <c r="M132" s="10">
        <v>60</v>
      </c>
      <c r="N132" s="10">
        <f>SUM(B132:M132)</f>
        <v>195</v>
      </c>
      <c r="P132" s="10">
        <f>'Budget 2025'!N137</f>
        <v>433</v>
      </c>
    </row>
    <row r="133" spans="1:17" x14ac:dyDescent="0.35">
      <c r="A133" s="5" t="s">
        <v>60</v>
      </c>
      <c r="B133" s="30">
        <v>0</v>
      </c>
      <c r="C133" s="30">
        <v>0</v>
      </c>
      <c r="D133" s="30">
        <v>0</v>
      </c>
      <c r="E133" s="30">
        <v>0</v>
      </c>
      <c r="F133" s="8">
        <v>0</v>
      </c>
      <c r="G133" s="8">
        <v>0</v>
      </c>
      <c r="H133" s="8">
        <v>0</v>
      </c>
      <c r="I133" s="8">
        <v>4486.6140735937261</v>
      </c>
      <c r="J133" s="8">
        <v>4432.8755135949605</v>
      </c>
      <c r="K133" s="8">
        <v>4380.2803123296153</v>
      </c>
      <c r="L133" s="8">
        <v>4389.5883815118659</v>
      </c>
      <c r="M133" s="8">
        <v>4258.127827766808</v>
      </c>
      <c r="N133" s="8">
        <f>SUMPRODUCT(B133:M133,$B$132:$M$132)/SUM($B$132:$M$132)</f>
        <v>4352.3447055686984</v>
      </c>
      <c r="P133" s="8">
        <f>'Budget 2025'!N138</f>
        <v>4423.7945910311291</v>
      </c>
    </row>
    <row r="134" spans="1:17" x14ac:dyDescent="0.35">
      <c r="A134" s="5" t="s">
        <v>22</v>
      </c>
      <c r="B134" s="30">
        <v>0</v>
      </c>
      <c r="C134" s="30">
        <v>0</v>
      </c>
      <c r="D134" s="30">
        <v>0</v>
      </c>
      <c r="E134" s="30">
        <v>0</v>
      </c>
      <c r="F134" s="7">
        <v>0</v>
      </c>
      <c r="G134" s="7">
        <v>0</v>
      </c>
      <c r="H134" s="7">
        <v>0</v>
      </c>
      <c r="I134" s="7">
        <v>0.39501179024804234</v>
      </c>
      <c r="J134" s="7">
        <v>0.42589620091698116</v>
      </c>
      <c r="K134" s="7">
        <v>0.39214311815833125</v>
      </c>
      <c r="L134" s="7">
        <v>0.38832503871255264</v>
      </c>
      <c r="M134" s="7">
        <v>0.32216667917072772</v>
      </c>
      <c r="N134" s="15">
        <f t="shared" ref="N134:N137" si="43">SUMPRODUCT(B134:M134,$B$132:$M$132)/SUM($B$132:$M$132)</f>
        <v>0.37337247434343734</v>
      </c>
      <c r="P134" s="7">
        <f>'Budget 2025'!N139</f>
        <v>0.36898824350858472</v>
      </c>
    </row>
    <row r="135" spans="1:17" x14ac:dyDescent="0.35">
      <c r="A135" s="5" t="s">
        <v>23</v>
      </c>
      <c r="B135" s="30">
        <v>0</v>
      </c>
      <c r="C135" s="30">
        <v>0</v>
      </c>
      <c r="D135" s="30">
        <v>0</v>
      </c>
      <c r="E135" s="30">
        <v>0</v>
      </c>
      <c r="F135" s="7">
        <v>0</v>
      </c>
      <c r="G135" s="7">
        <v>0</v>
      </c>
      <c r="H135" s="7">
        <v>0</v>
      </c>
      <c r="I135" s="7">
        <v>5.0566813559075587</v>
      </c>
      <c r="J135" s="7">
        <v>4.8164646593450531</v>
      </c>
      <c r="K135" s="7">
        <v>5.5125069655646994</v>
      </c>
      <c r="L135" s="7">
        <v>5.0819750404427353</v>
      </c>
      <c r="M135" s="7">
        <v>5.3704318480311368</v>
      </c>
      <c r="N135" s="15">
        <f t="shared" si="43"/>
        <v>5.2641564789499906</v>
      </c>
      <c r="P135" s="7">
        <f>'Budget 2025'!N140</f>
        <v>4.4323109091173567</v>
      </c>
    </row>
    <row r="136" spans="1:17" x14ac:dyDescent="0.35">
      <c r="A136" s="5" t="s">
        <v>38</v>
      </c>
      <c r="B136" s="30">
        <v>0</v>
      </c>
      <c r="C136" s="30">
        <v>0</v>
      </c>
      <c r="D136" s="30">
        <v>0</v>
      </c>
      <c r="E136" s="30">
        <v>0</v>
      </c>
      <c r="F136" s="7">
        <v>0</v>
      </c>
      <c r="G136" s="7">
        <v>0</v>
      </c>
      <c r="H136" s="7">
        <v>0</v>
      </c>
      <c r="I136" s="7">
        <v>18.030886665072352</v>
      </c>
      <c r="J136" s="7">
        <v>16.917822881871093</v>
      </c>
      <c r="K136" s="7">
        <v>16.565185582655097</v>
      </c>
      <c r="L136" s="7">
        <v>16.450757235952526</v>
      </c>
      <c r="M136" s="7">
        <v>15.568234572735596</v>
      </c>
      <c r="N136" s="15">
        <f t="shared" si="43"/>
        <v>16.280974316418046</v>
      </c>
      <c r="P136" s="7">
        <f>'Budget 2025'!N141</f>
        <v>16.92589236972162</v>
      </c>
    </row>
    <row r="137" spans="1:17" x14ac:dyDescent="0.35">
      <c r="A137" s="5" t="s">
        <v>25</v>
      </c>
      <c r="B137" s="30">
        <v>0</v>
      </c>
      <c r="C137" s="30">
        <v>0</v>
      </c>
      <c r="D137" s="30">
        <v>0</v>
      </c>
      <c r="E137" s="30">
        <v>0</v>
      </c>
      <c r="F137" s="7">
        <v>0</v>
      </c>
      <c r="G137" s="7">
        <v>0</v>
      </c>
      <c r="H137" s="7">
        <v>0</v>
      </c>
      <c r="I137" s="7">
        <v>29.406303157371443</v>
      </c>
      <c r="J137" s="7">
        <v>29.712125382556522</v>
      </c>
      <c r="K137" s="7">
        <v>30.393887037771364</v>
      </c>
      <c r="L137" s="7">
        <v>30.274660478416536</v>
      </c>
      <c r="M137" s="7">
        <v>29.424757489545357</v>
      </c>
      <c r="N137" s="15">
        <f t="shared" si="43"/>
        <v>29.975019561701604</v>
      </c>
      <c r="P137" s="7">
        <f>'Budget 2025'!N142</f>
        <v>30.236602375317773</v>
      </c>
    </row>
    <row r="139" spans="1:17" x14ac:dyDescent="0.35">
      <c r="A139" s="6" t="s">
        <v>52</v>
      </c>
      <c r="B139" s="6" t="s">
        <v>1</v>
      </c>
      <c r="C139" s="6" t="s">
        <v>2</v>
      </c>
      <c r="D139" s="6" t="s">
        <v>3</v>
      </c>
      <c r="E139" s="6" t="s">
        <v>4</v>
      </c>
      <c r="F139" s="6" t="s">
        <v>5</v>
      </c>
      <c r="G139" s="6" t="s">
        <v>6</v>
      </c>
      <c r="H139" s="6" t="s">
        <v>7</v>
      </c>
      <c r="I139" s="6" t="s">
        <v>8</v>
      </c>
      <c r="J139" s="6" t="s">
        <v>9</v>
      </c>
      <c r="K139" s="6" t="s">
        <v>10</v>
      </c>
      <c r="L139" s="6" t="s">
        <v>11</v>
      </c>
      <c r="M139" s="6" t="s">
        <v>12</v>
      </c>
      <c r="N139" s="6" t="s">
        <v>13</v>
      </c>
      <c r="O139" s="4"/>
      <c r="P139" s="6" t="s">
        <v>84</v>
      </c>
    </row>
    <row r="140" spans="1:17" x14ac:dyDescent="0.35">
      <c r="A140" s="9" t="s">
        <v>14</v>
      </c>
      <c r="B140" s="10">
        <f>B141</f>
        <v>534.77292739999996</v>
      </c>
      <c r="C140" s="10">
        <f t="shared" ref="C140:M140" si="44">C141</f>
        <v>568.32123179999974</v>
      </c>
      <c r="D140" s="10">
        <f t="shared" si="44"/>
        <v>598.84629849999999</v>
      </c>
      <c r="E140" s="10">
        <f t="shared" si="44"/>
        <v>615.73748850000004</v>
      </c>
      <c r="F140" s="10">
        <f t="shared" si="44"/>
        <v>655</v>
      </c>
      <c r="G140" s="10">
        <f t="shared" si="44"/>
        <v>720</v>
      </c>
      <c r="H140" s="10">
        <f t="shared" si="44"/>
        <v>790</v>
      </c>
      <c r="I140" s="10">
        <f t="shared" si="44"/>
        <v>825</v>
      </c>
      <c r="J140" s="10">
        <f t="shared" si="44"/>
        <v>800</v>
      </c>
      <c r="K140" s="10">
        <f t="shared" si="44"/>
        <v>820</v>
      </c>
      <c r="L140" s="10">
        <f t="shared" si="44"/>
        <v>780</v>
      </c>
      <c r="M140" s="10">
        <f t="shared" si="44"/>
        <v>792.32205380000096</v>
      </c>
      <c r="N140" s="10">
        <f>SUM(B140:M140)</f>
        <v>8500</v>
      </c>
      <c r="O140" s="2"/>
      <c r="P140" s="10">
        <f>'Budget 2025'!N145</f>
        <v>8500</v>
      </c>
      <c r="Q140" s="27">
        <f>N140/P140</f>
        <v>1</v>
      </c>
    </row>
    <row r="141" spans="1:17" x14ac:dyDescent="0.35">
      <c r="A141" s="5" t="s">
        <v>71</v>
      </c>
      <c r="B141" s="30">
        <v>534.77292739999996</v>
      </c>
      <c r="C141" s="30">
        <v>568.32123179999974</v>
      </c>
      <c r="D141" s="30">
        <v>598.84629849999999</v>
      </c>
      <c r="E141" s="30">
        <v>615.73748850000004</v>
      </c>
      <c r="F141" s="8">
        <v>655</v>
      </c>
      <c r="G141" s="8">
        <v>720</v>
      </c>
      <c r="H141" s="8">
        <v>790</v>
      </c>
      <c r="I141" s="8">
        <v>825</v>
      </c>
      <c r="J141" s="8">
        <v>800</v>
      </c>
      <c r="K141" s="8">
        <v>820</v>
      </c>
      <c r="L141" s="8">
        <v>780</v>
      </c>
      <c r="M141" s="8">
        <v>792.32205380000096</v>
      </c>
      <c r="N141" s="8">
        <f>SUM(B141:M141)</f>
        <v>8500</v>
      </c>
      <c r="P141" s="8">
        <f>'Budget 2025'!N146</f>
        <v>8500</v>
      </c>
    </row>
    <row r="142" spans="1:17" x14ac:dyDescent="0.35">
      <c r="A142" s="9" t="s">
        <v>17</v>
      </c>
      <c r="B142" s="10">
        <f t="shared" ref="B142:N142" si="45">SUM(B143:B145)</f>
        <v>202.94750399999998</v>
      </c>
      <c r="C142" s="10">
        <f t="shared" si="45"/>
        <v>206.07165499999999</v>
      </c>
      <c r="D142" s="10">
        <f t="shared" si="45"/>
        <v>193.28730300000001</v>
      </c>
      <c r="E142" s="10">
        <f t="shared" si="45"/>
        <v>202.80895999999998</v>
      </c>
      <c r="F142" s="10">
        <f t="shared" si="45"/>
        <v>205</v>
      </c>
      <c r="G142" s="10">
        <f t="shared" si="45"/>
        <v>200</v>
      </c>
      <c r="H142" s="10">
        <f t="shared" si="45"/>
        <v>130</v>
      </c>
      <c r="I142" s="10">
        <f t="shared" si="45"/>
        <v>137</v>
      </c>
      <c r="J142" s="10">
        <f t="shared" si="45"/>
        <v>135</v>
      </c>
      <c r="K142" s="10">
        <f t="shared" si="45"/>
        <v>150</v>
      </c>
      <c r="L142" s="10">
        <f t="shared" si="45"/>
        <v>170</v>
      </c>
      <c r="M142" s="10">
        <f t="shared" si="45"/>
        <v>167.88457800000015</v>
      </c>
      <c r="N142" s="10">
        <f t="shared" si="45"/>
        <v>2100</v>
      </c>
      <c r="O142" s="2"/>
      <c r="P142" s="10">
        <f>'Budget 2025'!N147</f>
        <v>2100</v>
      </c>
      <c r="Q142" s="27">
        <f>N142/P142</f>
        <v>1</v>
      </c>
    </row>
    <row r="143" spans="1:17" x14ac:dyDescent="0.35">
      <c r="A143" s="5" t="s">
        <v>71</v>
      </c>
      <c r="B143" s="30">
        <v>159.013825</v>
      </c>
      <c r="C143" s="30">
        <v>158.03981999999999</v>
      </c>
      <c r="D143" s="30">
        <v>150.56874999999999</v>
      </c>
      <c r="E143" s="30">
        <v>160.37235999999999</v>
      </c>
      <c r="F143" s="8">
        <v>157.5</v>
      </c>
      <c r="G143" s="8">
        <v>157.5</v>
      </c>
      <c r="H143" s="8">
        <v>94.308035714285722</v>
      </c>
      <c r="I143" s="8">
        <v>97.857142857142861</v>
      </c>
      <c r="J143" s="8">
        <v>106.3125</v>
      </c>
      <c r="K143" s="8">
        <v>110</v>
      </c>
      <c r="L143" s="8">
        <v>109</v>
      </c>
      <c r="M143" s="8">
        <v>107.8235557023589</v>
      </c>
      <c r="N143" s="8">
        <f>SUM(B143:M143)</f>
        <v>1568.2959892737874</v>
      </c>
      <c r="P143" s="8">
        <f>'Budget 2025'!N148</f>
        <v>1467</v>
      </c>
    </row>
    <row r="144" spans="1:17" x14ac:dyDescent="0.35">
      <c r="A144" s="5" t="s">
        <v>72</v>
      </c>
      <c r="B144" s="30">
        <v>43.933678999999998</v>
      </c>
      <c r="C144" s="30">
        <v>48.031835000000001</v>
      </c>
      <c r="D144" s="30">
        <v>42.718553</v>
      </c>
      <c r="E144" s="30">
        <v>42.436599999999999</v>
      </c>
      <c r="F144" s="8">
        <v>47.5</v>
      </c>
      <c r="G144" s="8">
        <v>42.5</v>
      </c>
      <c r="H144" s="8">
        <v>35.691964285714285</v>
      </c>
      <c r="I144" s="8">
        <v>39.142857142857146</v>
      </c>
      <c r="J144" s="8">
        <v>28.6875</v>
      </c>
      <c r="K144" s="8">
        <v>40</v>
      </c>
      <c r="L144" s="8">
        <v>61</v>
      </c>
      <c r="M144" s="8">
        <v>60.061022297641237</v>
      </c>
      <c r="N144" s="8">
        <f t="shared" ref="N144:N145" si="46">SUM(B144:M144)</f>
        <v>531.70401072621269</v>
      </c>
      <c r="P144" s="8">
        <f>'Budget 2025'!N149</f>
        <v>633</v>
      </c>
    </row>
    <row r="145" spans="1:17" hidden="1" x14ac:dyDescent="0.35">
      <c r="A145" s="5" t="s">
        <v>74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>
        <f t="shared" si="46"/>
        <v>0</v>
      </c>
      <c r="P145" s="8"/>
    </row>
    <row r="146" spans="1:17" x14ac:dyDescent="0.35">
      <c r="A146" s="9" t="s">
        <v>43</v>
      </c>
      <c r="B146" s="11">
        <f>IFERROR(B140/B142,0)</f>
        <v>2.6350308176246404</v>
      </c>
      <c r="C146" s="11">
        <f t="shared" ref="C146:N146" si="47">C140/C142</f>
        <v>2.7578816300572719</v>
      </c>
      <c r="D146" s="11">
        <f t="shared" si="47"/>
        <v>3.0982185027435558</v>
      </c>
      <c r="E146" s="11">
        <f t="shared" si="47"/>
        <v>3.0360467727855815</v>
      </c>
      <c r="F146" s="11">
        <f t="shared" si="47"/>
        <v>3.1951219512195124</v>
      </c>
      <c r="G146" s="11">
        <f t="shared" si="47"/>
        <v>3.6</v>
      </c>
      <c r="H146" s="11">
        <f t="shared" si="47"/>
        <v>6.0769230769230766</v>
      </c>
      <c r="I146" s="11">
        <f t="shared" si="47"/>
        <v>6.0218978102189782</v>
      </c>
      <c r="J146" s="11">
        <f t="shared" si="47"/>
        <v>5.9259259259259256</v>
      </c>
      <c r="K146" s="11">
        <f t="shared" si="47"/>
        <v>5.4666666666666668</v>
      </c>
      <c r="L146" s="11">
        <f t="shared" si="47"/>
        <v>4.5882352941176467</v>
      </c>
      <c r="M146" s="11">
        <f t="shared" si="47"/>
        <v>4.7194451285454004</v>
      </c>
      <c r="N146" s="11">
        <f t="shared" si="47"/>
        <v>4.0476190476190474</v>
      </c>
      <c r="O146" s="2"/>
      <c r="P146" s="11">
        <f>'Budget 2025'!N150</f>
        <v>4.0476190476190474</v>
      </c>
    </row>
    <row r="147" spans="1:17" x14ac:dyDescent="0.35">
      <c r="A147" s="9" t="s">
        <v>34</v>
      </c>
      <c r="B147" s="11">
        <f>IFERROR(B140/B148,0)</f>
        <v>1.9919507237959937</v>
      </c>
      <c r="C147" s="11">
        <f t="shared" ref="C147:N147" si="48">C140/C148</f>
        <v>3.2809207976167176</v>
      </c>
      <c r="D147" s="11">
        <f t="shared" si="48"/>
        <v>3.3141826893276956</v>
      </c>
      <c r="E147" s="11">
        <f t="shared" si="48"/>
        <v>2.9182716546910439</v>
      </c>
      <c r="F147" s="11">
        <f t="shared" si="48"/>
        <v>3.1190476190476191</v>
      </c>
      <c r="G147" s="11">
        <f t="shared" si="48"/>
        <v>4</v>
      </c>
      <c r="H147" s="11">
        <f t="shared" si="48"/>
        <v>9.875</v>
      </c>
      <c r="I147" s="11">
        <f t="shared" si="48"/>
        <v>11.785714285714286</v>
      </c>
      <c r="J147" s="11">
        <f t="shared" si="48"/>
        <v>8</v>
      </c>
      <c r="K147" s="11">
        <f t="shared" si="48"/>
        <v>5.4113606131108529</v>
      </c>
      <c r="L147" s="11">
        <f t="shared" si="48"/>
        <v>3.6279069767441858</v>
      </c>
      <c r="M147" s="11">
        <f t="shared" si="48"/>
        <v>3.7712728103177811</v>
      </c>
      <c r="N147" s="11">
        <f t="shared" si="48"/>
        <v>4.1463414634146343</v>
      </c>
      <c r="O147" s="2"/>
      <c r="P147" s="11">
        <f>'Budget 2025'!N151</f>
        <v>4.1463414634146343</v>
      </c>
    </row>
    <row r="148" spans="1:17" x14ac:dyDescent="0.35">
      <c r="A148" s="9" t="s">
        <v>47</v>
      </c>
      <c r="B148" s="10">
        <v>268.46694600000001</v>
      </c>
      <c r="C148" s="10">
        <v>173.22004000000001</v>
      </c>
      <c r="D148" s="10">
        <v>180.69200000000001</v>
      </c>
      <c r="E148" s="10">
        <v>210.99388999999999</v>
      </c>
      <c r="F148" s="10">
        <v>210</v>
      </c>
      <c r="G148" s="10">
        <v>180</v>
      </c>
      <c r="H148" s="10">
        <v>80</v>
      </c>
      <c r="I148" s="10">
        <v>70</v>
      </c>
      <c r="J148" s="10">
        <v>100</v>
      </c>
      <c r="K148" s="10">
        <v>151.53305399999999</v>
      </c>
      <c r="L148" s="10">
        <v>215</v>
      </c>
      <c r="M148" s="10">
        <v>210.0940700000001</v>
      </c>
      <c r="N148" s="10">
        <f>SUM(B148:M148)</f>
        <v>2050</v>
      </c>
      <c r="O148" s="2"/>
      <c r="P148" s="10">
        <f>'Budget 2025'!N152</f>
        <v>2050</v>
      </c>
    </row>
    <row r="149" spans="1:17" x14ac:dyDescent="0.35">
      <c r="A149" s="5" t="s">
        <v>60</v>
      </c>
      <c r="B149" s="30">
        <v>3724.8809012552201</v>
      </c>
      <c r="C149" s="30">
        <v>3770.9785346502144</v>
      </c>
      <c r="D149" s="30">
        <v>3744.4235526449265</v>
      </c>
      <c r="E149" s="30">
        <v>3734.7558438011138</v>
      </c>
      <c r="F149" s="8">
        <v>3687.7041827801891</v>
      </c>
      <c r="G149" s="8">
        <v>3655.6698957629892</v>
      </c>
      <c r="H149" s="8">
        <v>3642.6522232603775</v>
      </c>
      <c r="I149" s="8">
        <v>3693.4620424837426</v>
      </c>
      <c r="J149" s="8">
        <v>3706.0958577005285</v>
      </c>
      <c r="K149" s="8">
        <v>3725.6166520672014</v>
      </c>
      <c r="L149" s="8">
        <v>3731.983384784683</v>
      </c>
      <c r="M149" s="8">
        <v>3735.0139784338821</v>
      </c>
      <c r="N149" s="14">
        <f>SUMPRODUCT(B149:M149,$B$148:$M$148)/SUM($B$148:$M$148)</f>
        <v>3718.2691942219553</v>
      </c>
      <c r="O149" s="12"/>
      <c r="P149" s="8">
        <f>'Budget 2025'!N153</f>
        <v>3727.5040431597959</v>
      </c>
    </row>
    <row r="150" spans="1:17" x14ac:dyDescent="0.35">
      <c r="A150" s="5" t="s">
        <v>22</v>
      </c>
      <c r="B150" s="31">
        <v>0.18178953948758228</v>
      </c>
      <c r="C150" s="31">
        <v>0.16189916060897536</v>
      </c>
      <c r="D150" s="31">
        <v>0.15271493152519808</v>
      </c>
      <c r="E150" s="31">
        <v>0.1861802189727271</v>
      </c>
      <c r="F150" s="7">
        <v>0.16137201432970405</v>
      </c>
      <c r="G150" s="7">
        <v>0.15574308644590049</v>
      </c>
      <c r="H150" s="7">
        <v>0.15580499250546226</v>
      </c>
      <c r="I150" s="7">
        <v>0.14698286412790426</v>
      </c>
      <c r="J150" s="7">
        <v>0.14624742505272814</v>
      </c>
      <c r="K150" s="7">
        <v>0.14906279668721442</v>
      </c>
      <c r="L150" s="7">
        <v>0.15983098787573785</v>
      </c>
      <c r="M150" s="7">
        <v>0.16110075993630577</v>
      </c>
      <c r="N150" s="15">
        <f t="shared" ref="N150:N153" si="49">SUMPRODUCT(B150:M150,$B$148:$M$148)/SUM($B$148:$M$148)</f>
        <v>0.16284080737524004</v>
      </c>
      <c r="P150" s="7">
        <f>'Budget 2025'!N154</f>
        <v>0.15227341108882345</v>
      </c>
    </row>
    <row r="151" spans="1:17" x14ac:dyDescent="0.35">
      <c r="A151" s="5" t="s">
        <v>23</v>
      </c>
      <c r="B151" s="31">
        <v>9.3880395190102508</v>
      </c>
      <c r="C151" s="31">
        <v>9.0395142472422201</v>
      </c>
      <c r="D151" s="31">
        <v>7.3286176647692667</v>
      </c>
      <c r="E151" s="31">
        <v>7.42950380961679</v>
      </c>
      <c r="F151" s="7">
        <v>8.4397535230982701</v>
      </c>
      <c r="G151" s="7">
        <v>8.8319386147721612</v>
      </c>
      <c r="H151" s="7">
        <v>8.9676780789253439</v>
      </c>
      <c r="I151" s="7">
        <v>8.8084506408919285</v>
      </c>
      <c r="J151" s="7">
        <v>8.9534354108807168</v>
      </c>
      <c r="K151" s="7">
        <v>7.521074441932778</v>
      </c>
      <c r="L151" s="7">
        <v>7.0687193443199092</v>
      </c>
      <c r="M151" s="7">
        <v>6.9510439671403894</v>
      </c>
      <c r="N151" s="15">
        <f t="shared" si="49"/>
        <v>8.1411177999429469</v>
      </c>
      <c r="P151" s="7">
        <f>'Budget 2025'!N155</f>
        <v>7.9761081652071226</v>
      </c>
    </row>
    <row r="152" spans="1:17" x14ac:dyDescent="0.35">
      <c r="A152" s="5" t="s">
        <v>38</v>
      </c>
      <c r="B152" s="31">
        <v>21.063572858906412</v>
      </c>
      <c r="C152" s="31">
        <v>19.287261528899752</v>
      </c>
      <c r="D152" s="31">
        <v>18.616761290985004</v>
      </c>
      <c r="E152" s="31">
        <v>20.317303551788733</v>
      </c>
      <c r="F152" s="7">
        <v>23.421717847370434</v>
      </c>
      <c r="G152" s="7">
        <v>23.472051037896016</v>
      </c>
      <c r="H152" s="7">
        <v>23.654358154505612</v>
      </c>
      <c r="I152" s="7">
        <v>22.202704348510071</v>
      </c>
      <c r="J152" s="7">
        <v>22.253699124288058</v>
      </c>
      <c r="K152" s="7">
        <v>21.203411747408296</v>
      </c>
      <c r="L152" s="7">
        <v>21.887422868887711</v>
      </c>
      <c r="M152" s="7">
        <v>21.7276615601203</v>
      </c>
      <c r="N152" s="15">
        <f>SUMPRODUCT(B152:M152,$B$148:$M$148)/SUM($B$148:$M$148)</f>
        <v>21.436899677812843</v>
      </c>
      <c r="P152" s="7">
        <f>'Budget 2025'!N156</f>
        <v>27.254555501550691</v>
      </c>
    </row>
    <row r="153" spans="1:17" x14ac:dyDescent="0.35">
      <c r="A153" s="5" t="s">
        <v>25</v>
      </c>
      <c r="B153" s="31">
        <v>38.34719394905261</v>
      </c>
      <c r="C153" s="31">
        <v>38.205865635397664</v>
      </c>
      <c r="D153" s="31">
        <v>39.115132485452676</v>
      </c>
      <c r="E153" s="31">
        <v>39.340891969116079</v>
      </c>
      <c r="F153" s="7">
        <v>38.448591561772687</v>
      </c>
      <c r="G153" s="7">
        <v>38.551009188616817</v>
      </c>
      <c r="H153" s="7">
        <v>38.587731155546095</v>
      </c>
      <c r="I153" s="7">
        <v>38.007446792859298</v>
      </c>
      <c r="J153" s="7">
        <v>37.835511640655952</v>
      </c>
      <c r="K153" s="7">
        <v>37.881757143772511</v>
      </c>
      <c r="L153" s="7">
        <v>38.086318450048367</v>
      </c>
      <c r="M153" s="7">
        <v>38.056492336375335</v>
      </c>
      <c r="N153" s="15">
        <f t="shared" si="49"/>
        <v>38.414766814104006</v>
      </c>
      <c r="P153" s="7">
        <f>'Budget 2025'!N157</f>
        <v>38.285233081479049</v>
      </c>
    </row>
    <row r="155" spans="1:17" x14ac:dyDescent="0.35">
      <c r="A155" s="6" t="s">
        <v>51</v>
      </c>
      <c r="B155" s="6" t="s">
        <v>1</v>
      </c>
      <c r="C155" s="6" t="s">
        <v>2</v>
      </c>
      <c r="D155" s="6" t="s">
        <v>3</v>
      </c>
      <c r="E155" s="6" t="s">
        <v>4</v>
      </c>
      <c r="F155" s="6" t="s">
        <v>5</v>
      </c>
      <c r="G155" s="6" t="s">
        <v>6</v>
      </c>
      <c r="H155" s="6" t="s">
        <v>7</v>
      </c>
      <c r="I155" s="6" t="s">
        <v>8</v>
      </c>
      <c r="J155" s="6" t="s">
        <v>9</v>
      </c>
      <c r="K155" s="6" t="s">
        <v>10</v>
      </c>
      <c r="L155" s="6" t="s">
        <v>11</v>
      </c>
      <c r="M155" s="6" t="s">
        <v>12</v>
      </c>
      <c r="N155" s="6" t="s">
        <v>13</v>
      </c>
      <c r="P155" s="6" t="s">
        <v>84</v>
      </c>
    </row>
    <row r="156" spans="1:17" x14ac:dyDescent="0.35">
      <c r="A156" s="9" t="s">
        <v>14</v>
      </c>
      <c r="B156" s="10">
        <f t="shared" ref="B156" si="50">SUM(B157:B157)</f>
        <v>661.74428069999999</v>
      </c>
      <c r="C156" s="10">
        <f t="shared" ref="C156" si="51">SUM(C157:C157)</f>
        <v>587.57625299999995</v>
      </c>
      <c r="D156" s="10">
        <f t="shared" ref="D156" si="52">SUM(D157:D157)</f>
        <v>862.78976650000004</v>
      </c>
      <c r="E156" s="10">
        <f t="shared" ref="E156" si="53">SUM(E157:E157)</f>
        <v>732.04360150000002</v>
      </c>
      <c r="F156" s="10">
        <f t="shared" ref="F156" si="54">SUM(F157:F157)</f>
        <v>983.41980711333781</v>
      </c>
      <c r="G156" s="10">
        <f t="shared" ref="G156" si="55">SUM(G157:G157)</f>
        <v>927.01633950666655</v>
      </c>
      <c r="H156" s="10">
        <f t="shared" ref="H156" si="56">SUM(H157:H157)</f>
        <v>1069.1564215121966</v>
      </c>
      <c r="I156" s="10">
        <f t="shared" ref="I156" si="57">SUM(I157:I157)</f>
        <v>1066.3405048745967</v>
      </c>
      <c r="J156" s="10">
        <f t="shared" ref="J156" si="58">SUM(J157:J157)</f>
        <v>1036.3003603338366</v>
      </c>
      <c r="K156" s="10">
        <f t="shared" ref="K156" si="59">SUM(K157:K157)</f>
        <v>989.62914939583356</v>
      </c>
      <c r="L156" s="10">
        <f t="shared" ref="L156" si="60">SUM(L157:L157)</f>
        <v>877.85631335866651</v>
      </c>
      <c r="M156" s="10">
        <f t="shared" ref="M156" si="61">SUM(M157:M157)</f>
        <v>914.31390073486659</v>
      </c>
      <c r="N156" s="10">
        <f t="shared" ref="N156" si="62">SUM(N157:N157)</f>
        <v>10708.186698530002</v>
      </c>
      <c r="P156" s="10">
        <f>'Budget 2025'!N160</f>
        <v>10708.18669853</v>
      </c>
      <c r="Q156" s="27">
        <f>N156/P156</f>
        <v>1.0000000000000002</v>
      </c>
    </row>
    <row r="157" spans="1:17" x14ac:dyDescent="0.35">
      <c r="A157" s="5" t="s">
        <v>55</v>
      </c>
      <c r="B157" s="30">
        <v>661.74428069999999</v>
      </c>
      <c r="C157" s="30">
        <v>587.57625299999995</v>
      </c>
      <c r="D157" s="30">
        <v>862.78976650000004</v>
      </c>
      <c r="E157" s="30">
        <v>732.04360150000002</v>
      </c>
      <c r="F157" s="8">
        <v>983.41980711333781</v>
      </c>
      <c r="G157" s="8">
        <v>927.01633950666655</v>
      </c>
      <c r="H157" s="8">
        <v>1069.1564215121966</v>
      </c>
      <c r="I157" s="8">
        <v>1066.3405048745967</v>
      </c>
      <c r="J157" s="8">
        <v>1036.3003603338366</v>
      </c>
      <c r="K157" s="8">
        <v>989.62914939583356</v>
      </c>
      <c r="L157" s="8">
        <v>877.85631335866651</v>
      </c>
      <c r="M157" s="8">
        <v>914.31390073486659</v>
      </c>
      <c r="N157" s="8">
        <f>SUM(B157:M157)</f>
        <v>10708.186698530002</v>
      </c>
      <c r="P157" s="8">
        <f>'Budget 2025'!N161</f>
        <v>10708.18669853</v>
      </c>
    </row>
    <row r="158" spans="1:17" x14ac:dyDescent="0.35">
      <c r="A158" s="9" t="s">
        <v>17</v>
      </c>
      <c r="B158" s="10">
        <f>SUM(B159:B160)</f>
        <v>36.66854</v>
      </c>
      <c r="C158" s="10">
        <f t="shared" ref="C158:N158" si="63">SUM(C159:C160)</f>
        <v>40.429600000000001</v>
      </c>
      <c r="D158" s="10">
        <f t="shared" si="63"/>
        <v>41.222171000000003</v>
      </c>
      <c r="E158" s="10">
        <f t="shared" si="63"/>
        <v>46.549130000000005</v>
      </c>
      <c r="F158" s="10">
        <f t="shared" si="63"/>
        <v>50.619880277757034</v>
      </c>
      <c r="G158" s="10">
        <f t="shared" si="63"/>
        <v>55</v>
      </c>
      <c r="H158" s="10">
        <f t="shared" si="63"/>
        <v>60</v>
      </c>
      <c r="I158" s="10">
        <f t="shared" si="63"/>
        <v>60</v>
      </c>
      <c r="J158" s="10">
        <f t="shared" si="63"/>
        <v>60</v>
      </c>
      <c r="K158" s="10">
        <f t="shared" si="63"/>
        <v>54.755339361121464</v>
      </c>
      <c r="L158" s="10">
        <f t="shared" si="63"/>
        <v>50.755339361121464</v>
      </c>
      <c r="M158" s="10">
        <f t="shared" si="63"/>
        <v>50</v>
      </c>
      <c r="N158" s="10">
        <f t="shared" si="63"/>
        <v>606</v>
      </c>
      <c r="P158" s="10">
        <f>'Budget 2025'!N162</f>
        <v>605.9998925264573</v>
      </c>
      <c r="Q158" s="27">
        <f>N158/P158</f>
        <v>1.0000001773491118</v>
      </c>
    </row>
    <row r="159" spans="1:17" x14ac:dyDescent="0.35">
      <c r="A159" s="5" t="s">
        <v>55</v>
      </c>
      <c r="B159" s="30">
        <v>36.66854</v>
      </c>
      <c r="C159" s="30">
        <v>40.429600000000001</v>
      </c>
      <c r="D159" s="30">
        <v>17.41958</v>
      </c>
      <c r="E159" s="30">
        <v>19.569130000000001</v>
      </c>
      <c r="F159" s="8">
        <v>7.6198802777570336</v>
      </c>
      <c r="G159" s="8">
        <v>55</v>
      </c>
      <c r="H159" s="8">
        <v>40</v>
      </c>
      <c r="I159" s="8">
        <v>45</v>
      </c>
      <c r="J159" s="8">
        <v>40</v>
      </c>
      <c r="K159" s="8">
        <v>54.755339361121464</v>
      </c>
      <c r="L159" s="8">
        <v>50.755339361121464</v>
      </c>
      <c r="M159" s="8">
        <v>50</v>
      </c>
      <c r="N159" s="8">
        <f>SUM(B159:M159)</f>
        <v>457.21740899999998</v>
      </c>
      <c r="P159" s="8">
        <f>'Budget 2025'!N163</f>
        <v>605.9998925264573</v>
      </c>
    </row>
    <row r="160" spans="1:17" x14ac:dyDescent="0.35">
      <c r="A160" s="5" t="s">
        <v>92</v>
      </c>
      <c r="B160" s="30"/>
      <c r="C160" s="30"/>
      <c r="D160" s="30">
        <v>23.802591</v>
      </c>
      <c r="E160" s="30">
        <v>26.98</v>
      </c>
      <c r="F160" s="8">
        <v>43</v>
      </c>
      <c r="G160" s="8">
        <v>0</v>
      </c>
      <c r="H160" s="8">
        <v>20</v>
      </c>
      <c r="I160" s="8">
        <v>15</v>
      </c>
      <c r="J160" s="8">
        <v>20</v>
      </c>
      <c r="K160" s="8">
        <v>0</v>
      </c>
      <c r="L160" s="8">
        <v>0</v>
      </c>
      <c r="M160" s="8">
        <v>0</v>
      </c>
      <c r="N160" s="8">
        <f>SUM(B160:M160)</f>
        <v>148.782591</v>
      </c>
      <c r="P160" s="8"/>
    </row>
    <row r="161" spans="1:16" x14ac:dyDescent="0.35">
      <c r="A161" s="9" t="s">
        <v>43</v>
      </c>
      <c r="B161" s="11">
        <f>IFERROR(B156/B158,0)</f>
        <v>18.046649272100826</v>
      </c>
      <c r="C161" s="11">
        <f t="shared" ref="C161:M161" si="64">IFERROR(C156/C158,0)</f>
        <v>14.533318484476718</v>
      </c>
      <c r="D161" s="11">
        <f t="shared" si="64"/>
        <v>20.930235976654409</v>
      </c>
      <c r="E161" s="11">
        <f t="shared" si="64"/>
        <v>15.726257429515867</v>
      </c>
      <c r="F161" s="11">
        <f t="shared" si="64"/>
        <v>19.427541150180552</v>
      </c>
      <c r="G161" s="11">
        <f t="shared" si="64"/>
        <v>16.854842536484846</v>
      </c>
      <c r="H161" s="11">
        <f t="shared" si="64"/>
        <v>17.819273691869945</v>
      </c>
      <c r="I161" s="11">
        <f t="shared" si="64"/>
        <v>17.772341747909945</v>
      </c>
      <c r="J161" s="11">
        <f t="shared" si="64"/>
        <v>17.271672672230611</v>
      </c>
      <c r="K161" s="11">
        <f t="shared" si="64"/>
        <v>18.073655664318846</v>
      </c>
      <c r="L161" s="11">
        <f t="shared" si="64"/>
        <v>17.29584166727301</v>
      </c>
      <c r="M161" s="11">
        <f t="shared" si="64"/>
        <v>18.286278014697331</v>
      </c>
      <c r="N161" s="11">
        <f t="shared" ref="N161" si="65">N156/N158</f>
        <v>17.670275080082511</v>
      </c>
      <c r="P161" s="11">
        <f>'Budget 2025'!N164</f>
        <v>17.6702782138901</v>
      </c>
    </row>
    <row r="162" spans="1:16" x14ac:dyDescent="0.35">
      <c r="A162" s="9" t="s">
        <v>34</v>
      </c>
      <c r="B162" s="11">
        <f>IFERROR(B156/B163,0)</f>
        <v>69.670860188563026</v>
      </c>
      <c r="C162" s="11">
        <f t="shared" ref="C162:M162" si="66">IFERROR(C156/C163,0)</f>
        <v>99.011071455652996</v>
      </c>
      <c r="D162" s="11">
        <f t="shared" si="66"/>
        <v>36.507066938879134</v>
      </c>
      <c r="E162" s="11">
        <f t="shared" si="66"/>
        <v>28.540323535202507</v>
      </c>
      <c r="F162" s="11">
        <f t="shared" si="66"/>
        <v>32.780660237111263</v>
      </c>
      <c r="G162" s="11">
        <f t="shared" si="66"/>
        <v>18.540326790133332</v>
      </c>
      <c r="H162" s="11">
        <f t="shared" si="66"/>
        <v>26.728910537804914</v>
      </c>
      <c r="I162" s="11">
        <f t="shared" si="66"/>
        <v>23.696455663879927</v>
      </c>
      <c r="J162" s="11">
        <f t="shared" si="66"/>
        <v>25.907509008345915</v>
      </c>
      <c r="K162" s="11">
        <f t="shared" si="66"/>
        <v>21.991758875462967</v>
      </c>
      <c r="L162" s="11">
        <f t="shared" si="66"/>
        <v>8.7670808536290039</v>
      </c>
      <c r="M162" s="11">
        <f t="shared" si="66"/>
        <v>5.1904390577891686</v>
      </c>
      <c r="N162" s="11">
        <f t="shared" ref="N162" si="67">N156/N163</f>
        <v>18.118759219170901</v>
      </c>
      <c r="P162" s="11">
        <f>'Budget 2025'!N165</f>
        <v>18.118759219170897</v>
      </c>
    </row>
    <row r="163" spans="1:16" x14ac:dyDescent="0.35">
      <c r="A163" s="9" t="s">
        <v>47</v>
      </c>
      <c r="B163" s="10">
        <v>9.4981500000000008</v>
      </c>
      <c r="C163" s="10">
        <v>5.93445</v>
      </c>
      <c r="D163" s="10">
        <v>23.633500000000002</v>
      </c>
      <c r="E163" s="10">
        <v>25.649450000000002</v>
      </c>
      <c r="F163" s="10">
        <v>30</v>
      </c>
      <c r="G163" s="10">
        <v>50</v>
      </c>
      <c r="H163" s="10">
        <v>40</v>
      </c>
      <c r="I163" s="10">
        <v>45</v>
      </c>
      <c r="J163" s="10">
        <v>40</v>
      </c>
      <c r="K163" s="10">
        <v>45</v>
      </c>
      <c r="L163" s="10">
        <v>100.13097038968117</v>
      </c>
      <c r="M163" s="10">
        <v>176.15347961031878</v>
      </c>
      <c r="N163" s="10">
        <f>SUM(B163:M163)</f>
        <v>591</v>
      </c>
      <c r="P163" s="10">
        <f>'Budget 2025'!N166</f>
        <v>591</v>
      </c>
    </row>
    <row r="164" spans="1:16" x14ac:dyDescent="0.35">
      <c r="A164" s="9" t="s">
        <v>73</v>
      </c>
      <c r="B164" s="10">
        <v>9.4981500000000008</v>
      </c>
      <c r="C164" s="10">
        <v>5.93445</v>
      </c>
      <c r="D164" s="10">
        <v>23.633500000000002</v>
      </c>
      <c r="E164" s="10">
        <v>25.649450000000002</v>
      </c>
      <c r="F164" s="10">
        <v>30</v>
      </c>
      <c r="G164" s="10">
        <v>50</v>
      </c>
      <c r="H164" s="10">
        <v>40</v>
      </c>
      <c r="I164" s="10">
        <v>45</v>
      </c>
      <c r="J164" s="10">
        <v>40</v>
      </c>
      <c r="K164" s="10">
        <v>45</v>
      </c>
      <c r="L164" s="10">
        <v>100.13097038968117</v>
      </c>
      <c r="M164" s="10">
        <v>176.15347961031878</v>
      </c>
      <c r="N164" s="10">
        <f>SUM(B164:M164)</f>
        <v>591</v>
      </c>
      <c r="P164" s="10">
        <f>'Budget 2025'!N166</f>
        <v>591</v>
      </c>
    </row>
    <row r="165" spans="1:16" x14ac:dyDescent="0.35">
      <c r="A165" s="5" t="s">
        <v>60</v>
      </c>
      <c r="B165" s="30">
        <v>6571.5022289184244</v>
      </c>
      <c r="C165" s="30">
        <v>6870.6132266666664</v>
      </c>
      <c r="D165" s="30">
        <v>6805.4517153590041</v>
      </c>
      <c r="E165" s="30">
        <v>6863.1036296272086</v>
      </c>
      <c r="F165" s="8">
        <v>6975.70678044342</v>
      </c>
      <c r="G165" s="8">
        <v>6876.5343152951218</v>
      </c>
      <c r="H165" s="8">
        <v>7170.0218250876351</v>
      </c>
      <c r="I165" s="8">
        <v>7132.9657536749082</v>
      </c>
      <c r="J165" s="8">
        <v>7117.8839082564318</v>
      </c>
      <c r="K165" s="8">
        <v>7078.4353775719128</v>
      </c>
      <c r="L165" s="8">
        <v>7127.0083288192236</v>
      </c>
      <c r="M165" s="8">
        <v>7098.6991920950422</v>
      </c>
      <c r="N165" s="14">
        <f>SUMPRODUCT(B165:M165,$B$163:$M$163)/SUM($B$163:$M$163)</f>
        <v>7052.933881250271</v>
      </c>
      <c r="P165" s="8">
        <f>'Budget 2025'!N167</f>
        <v>6914.924833624611</v>
      </c>
    </row>
    <row r="166" spans="1:16" x14ac:dyDescent="0.35">
      <c r="A166" s="5" t="s">
        <v>22</v>
      </c>
      <c r="B166" s="31">
        <v>1.7712264150943398</v>
      </c>
      <c r="C166" s="31">
        <v>0.82</v>
      </c>
      <c r="D166" s="31">
        <v>1.1686534698197493</v>
      </c>
      <c r="E166" s="31">
        <v>1.2243569582860536</v>
      </c>
      <c r="F166" s="7">
        <v>1.5601819207001197</v>
      </c>
      <c r="G166" s="7">
        <v>1.17</v>
      </c>
      <c r="H166" s="7">
        <v>1.2555952186996624</v>
      </c>
      <c r="I166" s="7">
        <v>1.069460249223958</v>
      </c>
      <c r="J166" s="7">
        <v>1.0169995180027542</v>
      </c>
      <c r="K166" s="7">
        <v>1.052799551608026</v>
      </c>
      <c r="L166" s="7">
        <v>1.0755020155294517</v>
      </c>
      <c r="M166" s="7">
        <v>1.1872120418875343</v>
      </c>
      <c r="N166" s="15">
        <f t="shared" ref="N166:N169" si="68">SUMPRODUCT(B166:M166,$B$163:$M$163)/SUM($B$163:$M$163)</f>
        <v>1.1662379159873872</v>
      </c>
      <c r="P166" s="7">
        <f>'Budget 2025'!N168</f>
        <v>0.97967782668745695</v>
      </c>
    </row>
    <row r="167" spans="1:16" x14ac:dyDescent="0.35">
      <c r="A167" s="5" t="s">
        <v>23</v>
      </c>
      <c r="B167" s="31">
        <v>4.8215801886792455</v>
      </c>
      <c r="C167" s="31">
        <v>2.9799999999999995</v>
      </c>
      <c r="D167" s="31">
        <v>3.39306674152584</v>
      </c>
      <c r="E167" s="31">
        <v>3.00196482107097</v>
      </c>
      <c r="F167" s="7">
        <v>3.413274914781582</v>
      </c>
      <c r="G167" s="7">
        <v>2.36</v>
      </c>
      <c r="H167" s="7">
        <v>3.3954619429861794</v>
      </c>
      <c r="I167" s="7">
        <v>3.0755568633261468</v>
      </c>
      <c r="J167" s="7">
        <v>3.1532340730946893</v>
      </c>
      <c r="K167" s="7">
        <v>3.1173763884388359</v>
      </c>
      <c r="L167" s="7">
        <v>3.2646729336162794</v>
      </c>
      <c r="M167" s="7">
        <v>3.2768937700812177</v>
      </c>
      <c r="N167" s="15">
        <f t="shared" si="68"/>
        <v>3.1909115659255285</v>
      </c>
      <c r="P167" s="7">
        <f>'Budget 2025'!N169</f>
        <v>3.7673803156838583</v>
      </c>
    </row>
    <row r="168" spans="1:16" x14ac:dyDescent="0.35">
      <c r="A168" s="5" t="s">
        <v>38</v>
      </c>
      <c r="B168" s="31">
        <v>5.7297523584905656</v>
      </c>
      <c r="C168" s="31">
        <v>6.2500000000000009</v>
      </c>
      <c r="D168" s="31">
        <v>6.5932641170299657</v>
      </c>
      <c r="E168" s="31">
        <v>5.0621123671972477</v>
      </c>
      <c r="F168" s="7">
        <v>4.9946915994209826</v>
      </c>
      <c r="G168" s="7">
        <v>6.31</v>
      </c>
      <c r="H168" s="7">
        <v>5.0174225521153462</v>
      </c>
      <c r="I168" s="7">
        <v>4.733128422884052</v>
      </c>
      <c r="J168" s="7">
        <v>4.7791204513638457</v>
      </c>
      <c r="K168" s="7">
        <v>4.7241543505255033</v>
      </c>
      <c r="L168" s="7">
        <v>4.7121812809572017</v>
      </c>
      <c r="M168" s="7">
        <v>4.827066780921645</v>
      </c>
      <c r="N168" s="15">
        <f t="shared" si="68"/>
        <v>5.0458456048066376</v>
      </c>
      <c r="P168" s="7">
        <f>'Budget 2025'!N170</f>
        <v>8.6903071606236697</v>
      </c>
    </row>
    <row r="169" spans="1:16" x14ac:dyDescent="0.35">
      <c r="A169" s="5" t="s">
        <v>25</v>
      </c>
      <c r="B169" s="31">
        <v>10.061898584905659</v>
      </c>
      <c r="C169" s="31">
        <v>11.07</v>
      </c>
      <c r="D169" s="31">
        <v>11.352853790688217</v>
      </c>
      <c r="E169" s="31">
        <v>10.890247646413854</v>
      </c>
      <c r="F169" s="7">
        <v>7.8609202652977954</v>
      </c>
      <c r="G169" s="7">
        <v>12.5</v>
      </c>
      <c r="H169" s="7">
        <v>7.8878510166142295</v>
      </c>
      <c r="I169" s="7">
        <v>7.6960233930382227</v>
      </c>
      <c r="J169" s="7">
        <v>7.699628134435244</v>
      </c>
      <c r="K169" s="7">
        <v>7.6896969713591918</v>
      </c>
      <c r="L169" s="7">
        <v>7.7494838763932039</v>
      </c>
      <c r="M169" s="7">
        <v>7.9055892215304411</v>
      </c>
      <c r="N169" s="15">
        <f t="shared" si="68"/>
        <v>8.5518526172663556</v>
      </c>
      <c r="P169" s="7">
        <f>'Budget 2025'!N171</f>
        <v>4.734175124469358</v>
      </c>
    </row>
    <row r="171" spans="1:16" x14ac:dyDescent="0.35">
      <c r="A171" s="6" t="s">
        <v>86</v>
      </c>
      <c r="B171" s="6" t="s">
        <v>1</v>
      </c>
      <c r="C171" s="6" t="s">
        <v>2</v>
      </c>
      <c r="D171" s="6" t="s">
        <v>3</v>
      </c>
      <c r="E171" s="6" t="s">
        <v>4</v>
      </c>
      <c r="F171" s="6" t="s">
        <v>5</v>
      </c>
      <c r="G171" s="6" t="s">
        <v>6</v>
      </c>
      <c r="H171" s="6" t="s">
        <v>7</v>
      </c>
      <c r="I171" s="6" t="s">
        <v>8</v>
      </c>
      <c r="J171" s="6" t="s">
        <v>9</v>
      </c>
      <c r="K171" s="6" t="s">
        <v>10</v>
      </c>
      <c r="L171" s="6" t="s">
        <v>11</v>
      </c>
      <c r="M171" s="6" t="s">
        <v>12</v>
      </c>
      <c r="N171" s="6" t="s">
        <v>13</v>
      </c>
      <c r="O171" s="4"/>
      <c r="P171" s="6" t="s">
        <v>84</v>
      </c>
    </row>
    <row r="172" spans="1:16" x14ac:dyDescent="0.35">
      <c r="A172" s="9" t="s">
        <v>14</v>
      </c>
      <c r="B172" s="10">
        <f>B173</f>
        <v>0</v>
      </c>
      <c r="C172" s="10">
        <f t="shared" ref="C172:M172" si="69">C173</f>
        <v>0</v>
      </c>
      <c r="D172" s="10">
        <f t="shared" si="69"/>
        <v>0</v>
      </c>
      <c r="E172" s="10">
        <f t="shared" si="69"/>
        <v>110</v>
      </c>
      <c r="F172" s="10">
        <f t="shared" si="69"/>
        <v>354</v>
      </c>
      <c r="G172" s="10">
        <f t="shared" si="69"/>
        <v>565</v>
      </c>
      <c r="H172" s="10">
        <f t="shared" si="69"/>
        <v>722</v>
      </c>
      <c r="I172" s="10">
        <f t="shared" si="69"/>
        <v>847</v>
      </c>
      <c r="J172" s="10">
        <f t="shared" si="69"/>
        <v>823</v>
      </c>
      <c r="K172" s="10">
        <f t="shared" si="69"/>
        <v>782</v>
      </c>
      <c r="L172" s="10">
        <f t="shared" si="69"/>
        <v>709</v>
      </c>
      <c r="M172" s="10">
        <f t="shared" si="69"/>
        <v>771.5</v>
      </c>
      <c r="N172" s="10">
        <f>SUM(B172:M172)</f>
        <v>5683.5</v>
      </c>
      <c r="O172" s="2"/>
      <c r="P172" s="10">
        <f>'Budget 2025'!N174</f>
        <v>5683.5</v>
      </c>
    </row>
    <row r="173" spans="1:16" x14ac:dyDescent="0.35">
      <c r="A173" s="5" t="s">
        <v>57</v>
      </c>
      <c r="B173" s="30">
        <v>0</v>
      </c>
      <c r="C173" s="30">
        <v>0</v>
      </c>
      <c r="D173" s="30">
        <v>0</v>
      </c>
      <c r="E173" s="8">
        <v>110</v>
      </c>
      <c r="F173" s="8">
        <v>354</v>
      </c>
      <c r="G173" s="8">
        <v>565</v>
      </c>
      <c r="H173" s="8">
        <v>722</v>
      </c>
      <c r="I173" s="8">
        <v>847</v>
      </c>
      <c r="J173" s="8">
        <v>823</v>
      </c>
      <c r="K173" s="8">
        <v>782</v>
      </c>
      <c r="L173" s="8">
        <v>709</v>
      </c>
      <c r="M173" s="8">
        <v>771.5</v>
      </c>
      <c r="N173" s="8">
        <f>SUM(B173:M173)</f>
        <v>5683.5</v>
      </c>
      <c r="P173" s="8">
        <f>'Budget 2025'!N175</f>
        <v>5683.5</v>
      </c>
    </row>
    <row r="174" spans="1:16" x14ac:dyDescent="0.35">
      <c r="A174" s="9" t="s">
        <v>17</v>
      </c>
      <c r="B174" s="10">
        <f t="shared" ref="B174:N174" si="70">SUM(B175:B175)</f>
        <v>0</v>
      </c>
      <c r="C174" s="10">
        <f t="shared" si="70"/>
        <v>0</v>
      </c>
      <c r="D174" s="10">
        <f t="shared" si="70"/>
        <v>0</v>
      </c>
      <c r="E174" s="10">
        <f t="shared" si="70"/>
        <v>0</v>
      </c>
      <c r="F174" s="10">
        <f t="shared" si="70"/>
        <v>0</v>
      </c>
      <c r="G174" s="10">
        <f t="shared" si="70"/>
        <v>25</v>
      </c>
      <c r="H174" s="10">
        <f t="shared" si="70"/>
        <v>50</v>
      </c>
      <c r="I174" s="10">
        <f t="shared" si="70"/>
        <v>60</v>
      </c>
      <c r="J174" s="10">
        <f t="shared" si="70"/>
        <v>60</v>
      </c>
      <c r="K174" s="10">
        <f t="shared" si="70"/>
        <v>97</v>
      </c>
      <c r="L174" s="10">
        <f t="shared" si="70"/>
        <v>86</v>
      </c>
      <c r="M174" s="10">
        <f t="shared" si="70"/>
        <v>72</v>
      </c>
      <c r="N174" s="10">
        <f t="shared" si="70"/>
        <v>450</v>
      </c>
      <c r="O174" s="2"/>
      <c r="P174" s="10">
        <f>'Budget 2025'!N176</f>
        <v>450</v>
      </c>
    </row>
    <row r="175" spans="1:16" x14ac:dyDescent="0.35">
      <c r="A175" s="5" t="s">
        <v>57</v>
      </c>
      <c r="B175" s="30">
        <v>0</v>
      </c>
      <c r="C175" s="30">
        <v>0</v>
      </c>
      <c r="D175" s="30">
        <v>0</v>
      </c>
      <c r="E175" s="8">
        <v>0</v>
      </c>
      <c r="F175" s="8">
        <v>0</v>
      </c>
      <c r="G175" s="8">
        <v>25</v>
      </c>
      <c r="H175" s="8">
        <v>50</v>
      </c>
      <c r="I175" s="8">
        <v>60</v>
      </c>
      <c r="J175" s="8">
        <v>60</v>
      </c>
      <c r="K175" s="8">
        <v>97</v>
      </c>
      <c r="L175" s="8">
        <v>86</v>
      </c>
      <c r="M175" s="8">
        <v>72</v>
      </c>
      <c r="N175" s="8">
        <f>SUM(B175:M175)</f>
        <v>450</v>
      </c>
      <c r="P175" s="8">
        <f>'Budget 2025'!N177</f>
        <v>450</v>
      </c>
    </row>
    <row r="176" spans="1:16" x14ac:dyDescent="0.35">
      <c r="A176" s="9" t="s">
        <v>43</v>
      </c>
      <c r="B176" s="11">
        <f>IFERROR(B172/B174,0)</f>
        <v>0</v>
      </c>
      <c r="C176" s="11">
        <f t="shared" ref="C176:M176" si="71">IFERROR(C172/C174,0)</f>
        <v>0</v>
      </c>
      <c r="D176" s="11">
        <f t="shared" si="71"/>
        <v>0</v>
      </c>
      <c r="E176" s="11">
        <f t="shared" si="71"/>
        <v>0</v>
      </c>
      <c r="F176" s="11">
        <f t="shared" si="71"/>
        <v>0</v>
      </c>
      <c r="G176" s="11">
        <f t="shared" si="71"/>
        <v>22.6</v>
      </c>
      <c r="H176" s="11">
        <f t="shared" si="71"/>
        <v>14.44</v>
      </c>
      <c r="I176" s="11">
        <f t="shared" si="71"/>
        <v>14.116666666666667</v>
      </c>
      <c r="J176" s="11">
        <f t="shared" si="71"/>
        <v>13.716666666666667</v>
      </c>
      <c r="K176" s="11">
        <f t="shared" si="71"/>
        <v>8.0618556701030926</v>
      </c>
      <c r="L176" s="11">
        <f t="shared" si="71"/>
        <v>8.2441860465116275</v>
      </c>
      <c r="M176" s="11">
        <f t="shared" si="71"/>
        <v>10.715277777777779</v>
      </c>
      <c r="N176" s="11">
        <f>N172/N174</f>
        <v>12.63</v>
      </c>
      <c r="O176" s="2"/>
      <c r="P176" s="11">
        <f>'Budget 2025'!N178</f>
        <v>12.63</v>
      </c>
    </row>
    <row r="177" spans="1:16" x14ac:dyDescent="0.35">
      <c r="A177" s="9" t="s">
        <v>34</v>
      </c>
      <c r="B177" s="11">
        <f>IFERROR(B172/B178,0)</f>
        <v>0</v>
      </c>
      <c r="C177" s="11">
        <f t="shared" ref="C177:M177" si="72">IFERROR(C172/C178,0)</f>
        <v>0</v>
      </c>
      <c r="D177" s="11">
        <f t="shared" si="72"/>
        <v>0</v>
      </c>
      <c r="E177" s="11">
        <f t="shared" si="72"/>
        <v>0</v>
      </c>
      <c r="F177" s="11">
        <f t="shared" si="72"/>
        <v>0</v>
      </c>
      <c r="G177" s="11">
        <f t="shared" si="72"/>
        <v>0</v>
      </c>
      <c r="H177" s="11">
        <f t="shared" si="72"/>
        <v>0</v>
      </c>
      <c r="I177" s="11">
        <f t="shared" si="72"/>
        <v>22.891891891891891</v>
      </c>
      <c r="J177" s="11">
        <f t="shared" si="72"/>
        <v>11.757142857142858</v>
      </c>
      <c r="K177" s="11">
        <f t="shared" si="72"/>
        <v>11.671641791044776</v>
      </c>
      <c r="L177" s="11">
        <f t="shared" si="72"/>
        <v>11.816666666666666</v>
      </c>
      <c r="M177" s="11">
        <f t="shared" si="72"/>
        <v>11.689393939393939</v>
      </c>
      <c r="N177" s="11">
        <f>N172/N178</f>
        <v>18.945</v>
      </c>
      <c r="O177" s="2"/>
      <c r="P177" s="11">
        <f>'Budget 2025'!N179</f>
        <v>18.945</v>
      </c>
    </row>
    <row r="178" spans="1:16" x14ac:dyDescent="0.35">
      <c r="A178" s="9" t="s">
        <v>47</v>
      </c>
      <c r="B178" s="10">
        <v>0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37</v>
      </c>
      <c r="J178" s="10">
        <v>70</v>
      </c>
      <c r="K178" s="10">
        <v>67</v>
      </c>
      <c r="L178" s="10">
        <v>60</v>
      </c>
      <c r="M178" s="10">
        <v>66</v>
      </c>
      <c r="N178" s="10">
        <f>SUM(B178:M178)</f>
        <v>300</v>
      </c>
      <c r="O178" s="2"/>
      <c r="P178" s="10">
        <f>'Budget 2025'!N180</f>
        <v>300</v>
      </c>
    </row>
    <row r="179" spans="1:16" x14ac:dyDescent="0.35">
      <c r="A179" s="5" t="s">
        <v>60</v>
      </c>
      <c r="B179" s="30"/>
      <c r="C179" s="30"/>
      <c r="D179" s="30"/>
      <c r="E179" s="8"/>
      <c r="F179" s="8"/>
      <c r="G179" s="8">
        <v>5756.0052150881711</v>
      </c>
      <c r="H179" s="8">
        <v>5622.3538831300411</v>
      </c>
      <c r="I179" s="8">
        <v>5864.0556577822626</v>
      </c>
      <c r="J179" s="8">
        <v>5996.2951074107523</v>
      </c>
      <c r="K179" s="8">
        <v>5894.1972415417267</v>
      </c>
      <c r="L179" s="8">
        <v>5911.0858197095004</v>
      </c>
      <c r="M179" s="8">
        <v>5944.2131711278762</v>
      </c>
      <c r="N179" s="14">
        <f>SUMPRODUCT(B179:M179,$B$178:$M$178)/SUM($B$178:$M$178)</f>
        <v>5928.6838350566732</v>
      </c>
      <c r="O179" s="12"/>
      <c r="P179" s="8">
        <f>'Budget 2025'!N181</f>
        <v>5016.4002721866818</v>
      </c>
    </row>
    <row r="180" spans="1:16" x14ac:dyDescent="0.35">
      <c r="A180" s="5" t="s">
        <v>22</v>
      </c>
      <c r="B180" s="31">
        <v>0</v>
      </c>
      <c r="C180" s="31">
        <v>0</v>
      </c>
      <c r="D180" s="31">
        <v>0</v>
      </c>
      <c r="E180" s="7">
        <v>0</v>
      </c>
      <c r="F180" s="7">
        <v>0</v>
      </c>
      <c r="G180" s="7">
        <v>1.214144002562372</v>
      </c>
      <c r="H180" s="7">
        <v>1.1044789605808154</v>
      </c>
      <c r="I180" s="7">
        <v>1.2842851176892631</v>
      </c>
      <c r="J180" s="7">
        <v>1.4995102444768351</v>
      </c>
      <c r="K180" s="7">
        <v>1.357942463228536</v>
      </c>
      <c r="L180" s="7">
        <v>1.4163988235024911</v>
      </c>
      <c r="M180" s="7">
        <v>1.401684253880118</v>
      </c>
      <c r="N180" s="15">
        <f t="shared" ref="N180:N183" si="73">SUMPRODUCT(B180:M180,$B$178:$M$178)/SUM($B$178:$M$178)</f>
        <v>1.4032050055681013</v>
      </c>
      <c r="P180" s="7">
        <f>'Budget 2025'!N182</f>
        <v>0.85231442995617068</v>
      </c>
    </row>
    <row r="181" spans="1:16" x14ac:dyDescent="0.35">
      <c r="A181" s="5" t="s">
        <v>23</v>
      </c>
      <c r="B181" s="31">
        <v>0</v>
      </c>
      <c r="C181" s="31">
        <v>0</v>
      </c>
      <c r="D181" s="31">
        <v>0</v>
      </c>
      <c r="E181" s="7">
        <v>0</v>
      </c>
      <c r="F181" s="7">
        <v>0</v>
      </c>
      <c r="G181" s="7">
        <v>6.1319570499346581</v>
      </c>
      <c r="H181" s="7">
        <v>6.7551927368885316</v>
      </c>
      <c r="I181" s="7">
        <v>7.4159300991284134</v>
      </c>
      <c r="J181" s="7">
        <v>6.7138849615069631</v>
      </c>
      <c r="K181" s="7">
        <v>7.6323689231947869</v>
      </c>
      <c r="L181" s="7">
        <v>7.5063806617304607</v>
      </c>
      <c r="M181" s="7">
        <v>7.1788868378443436</v>
      </c>
      <c r="N181" s="15">
        <f t="shared" si="73"/>
        <v>7.2663981660961463</v>
      </c>
      <c r="P181" s="7">
        <f>'Budget 2025'!N183</f>
        <v>4.6059680600780979</v>
      </c>
    </row>
    <row r="182" spans="1:16" x14ac:dyDescent="0.35">
      <c r="A182" s="5" t="s">
        <v>38</v>
      </c>
      <c r="B182" s="31">
        <v>0</v>
      </c>
      <c r="C182" s="31">
        <v>0</v>
      </c>
      <c r="D182" s="31">
        <v>0</v>
      </c>
      <c r="E182" s="7">
        <v>0</v>
      </c>
      <c r="F182" s="7">
        <v>0</v>
      </c>
      <c r="G182" s="7">
        <v>11.142819956708635</v>
      </c>
      <c r="H182" s="7">
        <v>11.356123833990731</v>
      </c>
      <c r="I182" s="7">
        <v>10.917550258640039</v>
      </c>
      <c r="J182" s="7">
        <v>10.288274567162814</v>
      </c>
      <c r="K182" s="7">
        <v>10.465228177351763</v>
      </c>
      <c r="L182" s="7">
        <v>10.708345437364635</v>
      </c>
      <c r="M182" s="7">
        <v>11.062477988693622</v>
      </c>
      <c r="N182" s="15">
        <f t="shared" si="73"/>
        <v>10.659743802164344</v>
      </c>
      <c r="P182" s="7">
        <f>'Budget 2025'!N184</f>
        <v>5.8143085963157821</v>
      </c>
    </row>
    <row r="183" spans="1:16" x14ac:dyDescent="0.35">
      <c r="A183" s="5" t="s">
        <v>25</v>
      </c>
      <c r="B183" s="31">
        <v>0</v>
      </c>
      <c r="C183" s="31">
        <v>0</v>
      </c>
      <c r="D183" s="31">
        <v>0</v>
      </c>
      <c r="E183" s="7">
        <v>0</v>
      </c>
      <c r="F183" s="7">
        <v>0</v>
      </c>
      <c r="G183" s="7">
        <v>16.875280587559789</v>
      </c>
      <c r="H183" s="7">
        <v>16.62166674805421</v>
      </c>
      <c r="I183" s="7">
        <v>16.453308732754582</v>
      </c>
      <c r="J183" s="7">
        <v>15.747979447559102</v>
      </c>
      <c r="K183" s="7">
        <v>15.941460210529698</v>
      </c>
      <c r="L183" s="7">
        <v>15.918367400428616</v>
      </c>
      <c r="M183" s="7">
        <v>15.977918537254798</v>
      </c>
      <c r="N183" s="15">
        <f t="shared" si="73"/>
        <v>15.962844953436933</v>
      </c>
      <c r="P183" s="7">
        <f>'Budget 2025'!N185</f>
        <v>11.20202059508415</v>
      </c>
    </row>
    <row r="185" spans="1:16" hidden="1" x14ac:dyDescent="0.35">
      <c r="B185" s="4" t="s">
        <v>93</v>
      </c>
      <c r="C185" s="4" t="s">
        <v>93</v>
      </c>
      <c r="D185" s="4" t="s">
        <v>93</v>
      </c>
      <c r="E185" s="4" t="s">
        <v>94</v>
      </c>
      <c r="F185" s="4" t="s">
        <v>94</v>
      </c>
      <c r="G185" s="4" t="s">
        <v>94</v>
      </c>
      <c r="H185" s="4" t="s">
        <v>95</v>
      </c>
      <c r="I185" s="4" t="s">
        <v>95</v>
      </c>
      <c r="J185" s="4" t="s">
        <v>95</v>
      </c>
      <c r="K185" s="4" t="s">
        <v>96</v>
      </c>
      <c r="L185" s="4" t="s">
        <v>96</v>
      </c>
      <c r="M185" s="4" t="s">
        <v>96</v>
      </c>
    </row>
  </sheetData>
  <pageMargins left="0.7" right="0.7" top="0.75" bottom="0.75" header="0.3" footer="0.3"/>
  <pageSetup paperSize="9" orientation="portrait" r:id="rId1"/>
  <ignoredErrors>
    <ignoredError sqref="N12 N17 N73 P129 N157:N158 N142 N104 N120 N114" formula="1"/>
    <ignoredError sqref="M60 B66:M66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9F8D-A84E-4ED5-8222-38FE1030235D}">
  <sheetPr>
    <tabColor theme="4"/>
  </sheetPr>
  <dimension ref="A1:K183"/>
  <sheetViews>
    <sheetView tabSelected="1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27" sqref="M27"/>
    </sheetView>
  </sheetViews>
  <sheetFormatPr defaultColWidth="8.90625" defaultRowHeight="14.5" x14ac:dyDescent="0.35"/>
  <cols>
    <col min="1" max="1" width="27.453125" style="1" customWidth="1"/>
    <col min="2" max="5" width="11.81640625" style="1" bestFit="1" customWidth="1"/>
    <col min="6" max="6" width="13.36328125" style="1" customWidth="1"/>
    <col min="7" max="7" width="1.6328125" style="1" customWidth="1"/>
    <col min="8" max="8" width="13.6328125" style="1" customWidth="1"/>
    <col min="9" max="9" width="0" style="1" hidden="1" customWidth="1"/>
    <col min="10" max="16384" width="8.90625" style="1"/>
  </cols>
  <sheetData>
    <row r="1" spans="1:11" x14ac:dyDescent="0.35">
      <c r="A1" s="3" t="s">
        <v>91</v>
      </c>
      <c r="B1" s="12"/>
      <c r="C1" s="12"/>
      <c r="D1" s="12"/>
      <c r="E1" s="12"/>
    </row>
    <row r="2" spans="1:11" x14ac:dyDescent="0.35">
      <c r="B2" s="13"/>
      <c r="C2" s="13"/>
      <c r="D2" s="13"/>
      <c r="E2" s="13"/>
    </row>
    <row r="3" spans="1:11" ht="15.65" customHeight="1" x14ac:dyDescent="0.35">
      <c r="B3" s="4" t="s">
        <v>88</v>
      </c>
      <c r="C3" s="4" t="s">
        <v>62</v>
      </c>
      <c r="D3" s="4" t="s">
        <v>62</v>
      </c>
      <c r="E3" s="4" t="s">
        <v>62</v>
      </c>
      <c r="F3" s="4" t="s">
        <v>62</v>
      </c>
      <c r="G3" s="4"/>
      <c r="H3" s="4"/>
    </row>
    <row r="4" spans="1:11" x14ac:dyDescent="0.35">
      <c r="A4" s="6" t="s">
        <v>0</v>
      </c>
      <c r="B4" s="6" t="s">
        <v>93</v>
      </c>
      <c r="C4" s="6" t="s">
        <v>94</v>
      </c>
      <c r="D4" s="6" t="s">
        <v>95</v>
      </c>
      <c r="E4" s="6" t="s">
        <v>96</v>
      </c>
      <c r="F4" s="6" t="s">
        <v>13</v>
      </c>
      <c r="G4" s="4"/>
      <c r="H4" s="6" t="s">
        <v>84</v>
      </c>
    </row>
    <row r="5" spans="1:11" s="2" customFormat="1" x14ac:dyDescent="0.35">
      <c r="A5" s="9" t="s">
        <v>14</v>
      </c>
      <c r="B5" s="10">
        <f t="shared" ref="B5:E5" si="0">SUM(B6:B7)</f>
        <v>20851.675137800001</v>
      </c>
      <c r="C5" s="10">
        <f t="shared" si="0"/>
        <v>22449.437480553206</v>
      </c>
      <c r="D5" s="10">
        <f t="shared" si="0"/>
        <v>25789.718230171704</v>
      </c>
      <c r="E5" s="10">
        <f t="shared" si="0"/>
        <v>26107.205724090516</v>
      </c>
      <c r="F5" s="10">
        <f>SUM(B5:E5)</f>
        <v>95198.036572615412</v>
      </c>
      <c r="H5" s="10">
        <f>'Budget 2025'!N5</f>
        <v>94714.47819029224</v>
      </c>
      <c r="I5" s="27">
        <f>F5/H5</f>
        <v>1.0051054325754891</v>
      </c>
      <c r="K5" s="34"/>
    </row>
    <row r="6" spans="1:11" x14ac:dyDescent="0.35">
      <c r="A6" s="5" t="s">
        <v>15</v>
      </c>
      <c r="B6" s="30">
        <f>SUMIFS('Outlook 4+8'!$B6:$M6,'Outlook 4+8'!$B$185:$M$185,'Outlook Quarterly 4+8'!B$4)</f>
        <v>7367.5048347000011</v>
      </c>
      <c r="C6" s="8">
        <f>SUMIFS('Outlook 4+8'!$B6:$M6,'Outlook 4+8'!$B$185:$M$185,'Outlook Quarterly 4+8'!C$4)</f>
        <v>7617.5743507103571</v>
      </c>
      <c r="D6" s="8">
        <f>SUMIFS('Outlook 4+8'!$B6:$M6,'Outlook 4+8'!$B$185:$M$185,'Outlook Quarterly 4+8'!D$4)</f>
        <v>9290.110125593701</v>
      </c>
      <c r="E6" s="8">
        <f>SUMIFS('Outlook 4+8'!$B6:$M6,'Outlook 4+8'!$B$185:$M$185,'Outlook Quarterly 4+8'!E$4)</f>
        <v>9404.1676680794626</v>
      </c>
      <c r="F6" s="8">
        <f>SUM(B6:E6)</f>
        <v>33679.356979083524</v>
      </c>
      <c r="H6" s="8">
        <f>'Budget 2025'!N6</f>
        <v>33532.659005910617</v>
      </c>
      <c r="K6" s="34"/>
    </row>
    <row r="7" spans="1:11" x14ac:dyDescent="0.35">
      <c r="A7" s="5" t="s">
        <v>16</v>
      </c>
      <c r="B7" s="30">
        <f>SUMIFS('Outlook 4+8'!$B7:$M7,'Outlook 4+8'!$B$185:$M$185,'Outlook Quarterly 4+8'!B$4)</f>
        <v>13484.1703031</v>
      </c>
      <c r="C7" s="8">
        <f>SUMIFS('Outlook 4+8'!$B7:$M7,'Outlook 4+8'!$B$185:$M$185,'Outlook Quarterly 4+8'!C$4)</f>
        <v>14831.86312984285</v>
      </c>
      <c r="D7" s="8">
        <f>SUMIFS('Outlook 4+8'!$B7:$M7,'Outlook 4+8'!$B$185:$M$185,'Outlook Quarterly 4+8'!D$4)</f>
        <v>16499.608104578001</v>
      </c>
      <c r="E7" s="8">
        <f>SUMIFS('Outlook 4+8'!$B7:$M7,'Outlook 4+8'!$B$185:$M$185,'Outlook Quarterly 4+8'!E$4)</f>
        <v>16703.038056011053</v>
      </c>
      <c r="F7" s="8">
        <f>SUM(B7:E7)</f>
        <v>61518.67959353191</v>
      </c>
      <c r="H7" s="8">
        <f>'Budget 2025'!N7</f>
        <v>61181.819184381624</v>
      </c>
      <c r="K7" s="34"/>
    </row>
    <row r="8" spans="1:11" s="2" customFormat="1" x14ac:dyDescent="0.35">
      <c r="A8" s="9" t="s">
        <v>17</v>
      </c>
      <c r="B8" s="10">
        <f>SUM(B9:B11)</f>
        <v>1579.7397969999997</v>
      </c>
      <c r="C8" s="10">
        <f t="shared" ref="C8:F8" si="1">SUM(C9:C11)</f>
        <v>1597.0325830026459</v>
      </c>
      <c r="D8" s="10">
        <f t="shared" si="1"/>
        <v>1930.0000000414948</v>
      </c>
      <c r="E8" s="10">
        <f t="shared" si="1"/>
        <v>1940.7276199716887</v>
      </c>
      <c r="F8" s="10">
        <f t="shared" si="1"/>
        <v>7047.5000000158298</v>
      </c>
      <c r="H8" s="10">
        <f>'Budget 2025'!N8</f>
        <v>6950.0000001494245</v>
      </c>
      <c r="I8" s="27">
        <f>F8/H8</f>
        <v>1.0140287769588934</v>
      </c>
      <c r="K8" s="34"/>
    </row>
    <row r="9" spans="1:11" x14ac:dyDescent="0.35">
      <c r="A9" s="5" t="s">
        <v>15</v>
      </c>
      <c r="B9" s="30">
        <f>SUMIFS('Outlook 4+8'!$B9:$M9,'Outlook 4+8'!$B$185:$M$185,'Outlook Quarterly 4+8'!B$4)</f>
        <v>492.13511538767386</v>
      </c>
      <c r="C9" s="8">
        <f>SUMIFS('Outlook 4+8'!$B9:$M9,'Outlook 4+8'!$B$185:$M$185,'Outlook Quarterly 4+8'!C$4)</f>
        <v>393.71267653050097</v>
      </c>
      <c r="D9" s="8">
        <f>SUMIFS('Outlook 4+8'!$B9:$M9,'Outlook 4+8'!$B$185:$M$185,'Outlook Quarterly 4+8'!D$4)</f>
        <v>460.00000000988996</v>
      </c>
      <c r="E9" s="8">
        <f>SUMIFS('Outlook 4+8'!$B9:$M9,'Outlook 4+8'!$B$185:$M$185,'Outlook Quarterly 4+8'!E$4)</f>
        <v>386.65220807877751</v>
      </c>
      <c r="F9" s="8">
        <f>SUM(B9:E9)</f>
        <v>1732.5000000068424</v>
      </c>
      <c r="H9" s="8">
        <f>'Budget 2025'!N9</f>
        <v>1862.5000000400435</v>
      </c>
      <c r="K9" s="34"/>
    </row>
    <row r="10" spans="1:11" x14ac:dyDescent="0.35">
      <c r="A10" s="5" t="s">
        <v>16</v>
      </c>
      <c r="B10" s="30">
        <f>SUMIFS('Outlook 4+8'!$B10:$M10,'Outlook 4+8'!$B$185:$M$185,'Outlook Quarterly 4+8'!B$4)</f>
        <v>1087.604681612326</v>
      </c>
      <c r="C10" s="8">
        <f>SUMIFS('Outlook 4+8'!$B10:$M10,'Outlook 4+8'!$B$185:$M$185,'Outlook Quarterly 4+8'!C$4)</f>
        <v>1203.319906472145</v>
      </c>
      <c r="D10" s="8">
        <f>SUMIFS('Outlook 4+8'!$B10:$M10,'Outlook 4+8'!$B$185:$M$185,'Outlook Quarterly 4+8'!D$4)</f>
        <v>1470.0000000316049</v>
      </c>
      <c r="E10" s="8">
        <f>SUMIFS('Outlook 4+8'!$B10:$M10,'Outlook 4+8'!$B$185:$M$185,'Outlook Quarterly 4+8'!E$4)</f>
        <v>1554.0754118929112</v>
      </c>
      <c r="F10" s="8">
        <f>SUM(B10:E10)</f>
        <v>5315.0000000089876</v>
      </c>
      <c r="H10" s="8">
        <f>'Budget 2025'!N10</f>
        <v>5087.5000001093813</v>
      </c>
      <c r="K10" s="34"/>
    </row>
    <row r="11" spans="1:11" x14ac:dyDescent="0.35">
      <c r="A11" s="5" t="s">
        <v>70</v>
      </c>
      <c r="B11" s="30">
        <f>SUMIFS('Outlook 4+8'!$B11:$M11,'Outlook 4+8'!$B$185:$M$185,'Outlook Quarterly 4+8'!B$4)</f>
        <v>0</v>
      </c>
      <c r="C11" s="8">
        <f>SUMIFS('Outlook 4+8'!$B11:$M11,'Outlook 4+8'!$B$185:$M$185,'Outlook Quarterly 4+8'!C$4)</f>
        <v>0</v>
      </c>
      <c r="D11" s="8">
        <f>SUMIFS('Outlook 4+8'!$B11:$M11,'Outlook 4+8'!$B$185:$M$185,'Outlook Quarterly 4+8'!D$4)</f>
        <v>0</v>
      </c>
      <c r="E11" s="8">
        <f>SUMIFS('Outlook 4+8'!$B11:$M11,'Outlook 4+8'!$B$185:$M$185,'Outlook Quarterly 4+8'!E$4)</f>
        <v>0</v>
      </c>
      <c r="F11" s="8">
        <f>SUM(B11:E11)</f>
        <v>0</v>
      </c>
      <c r="H11" s="8">
        <f>'Budget 2025'!N11</f>
        <v>0</v>
      </c>
      <c r="K11" s="34"/>
    </row>
    <row r="12" spans="1:11" s="2" customFormat="1" x14ac:dyDescent="0.35">
      <c r="A12" s="9" t="s">
        <v>18</v>
      </c>
      <c r="B12" s="11">
        <f t="shared" ref="B12:F12" si="2">B5/B8</f>
        <v>13.199436500490975</v>
      </c>
      <c r="C12" s="11">
        <f t="shared" si="2"/>
        <v>14.056968980773771</v>
      </c>
      <c r="D12" s="11">
        <f t="shared" si="2"/>
        <v>13.362548305501154</v>
      </c>
      <c r="E12" s="11">
        <f t="shared" si="2"/>
        <v>13.452277102374298</v>
      </c>
      <c r="F12" s="11">
        <f t="shared" si="2"/>
        <v>13.508057690301751</v>
      </c>
      <c r="H12" s="11">
        <f>'Budget 2025'!N12</f>
        <v>13.627982473130343</v>
      </c>
      <c r="K12" s="34"/>
    </row>
    <row r="13" spans="1:11" s="2" customFormat="1" x14ac:dyDescent="0.35">
      <c r="A13" s="9" t="s">
        <v>19</v>
      </c>
      <c r="B13" s="10">
        <f>SUM(B14:B16)</f>
        <v>1698.6086059999998</v>
      </c>
      <c r="C13" s="10">
        <f t="shared" ref="C13:E13" si="3">SUM(C14:C16)</f>
        <v>1647.804947533738</v>
      </c>
      <c r="D13" s="10">
        <f t="shared" si="3"/>
        <v>1971.2500000414948</v>
      </c>
      <c r="E13" s="10">
        <f t="shared" si="3"/>
        <v>1817.336446424767</v>
      </c>
      <c r="F13" s="10">
        <f>SUM(B13:E13)</f>
        <v>7134.9999999999991</v>
      </c>
      <c r="H13" s="10">
        <f>'Budget 2025'!N13</f>
        <v>7100.0000001494254</v>
      </c>
      <c r="K13" s="34"/>
    </row>
    <row r="14" spans="1:11" x14ac:dyDescent="0.35">
      <c r="A14" s="5" t="s">
        <v>15</v>
      </c>
      <c r="B14" s="30">
        <f>SUMIFS('Outlook 4+8'!$B14:$M14,'Outlook 4+8'!$B$185:$M$185,'Outlook Quarterly 4+8'!B$4)</f>
        <v>568.07789038767385</v>
      </c>
      <c r="C14" s="8">
        <f>SUMIFS('Outlook 4+8'!$B14:$M14,'Outlook 4+8'!$B$185:$M$185,'Outlook Quarterly 4+8'!C$4)</f>
        <v>414.03441410592234</v>
      </c>
      <c r="D14" s="8">
        <f>SUMIFS('Outlook 4+8'!$B14:$M14,'Outlook 4+8'!$B$185:$M$185,'Outlook Quarterly 4+8'!D$4)</f>
        <v>470.00000000988996</v>
      </c>
      <c r="E14" s="8">
        <f>SUMIFS('Outlook 4+8'!$B14:$M14,'Outlook 4+8'!$B$185:$M$185,'Outlook Quarterly 4+8'!E$4)</f>
        <v>277.88769549651352</v>
      </c>
      <c r="F14" s="8">
        <f>SUM(B14:E14)</f>
        <v>1729.9999999999995</v>
      </c>
      <c r="H14" s="8">
        <f>'Budget 2025'!N14</f>
        <v>1862.5000000400439</v>
      </c>
      <c r="K14" s="34"/>
    </row>
    <row r="15" spans="1:11" x14ac:dyDescent="0.35">
      <c r="A15" s="5" t="s">
        <v>16</v>
      </c>
      <c r="B15" s="30">
        <f>SUMIFS('Outlook 4+8'!$B15:$M15,'Outlook 4+8'!$B$185:$M$185,'Outlook Quarterly 4+8'!B$4)</f>
        <v>1130.530715612326</v>
      </c>
      <c r="C15" s="8">
        <f>SUMIFS('Outlook 4+8'!$B15:$M15,'Outlook 4+8'!$B$185:$M$185,'Outlook Quarterly 4+8'!C$4)</f>
        <v>1225.0786644132149</v>
      </c>
      <c r="D15" s="8">
        <f>SUMIFS('Outlook 4+8'!$B15:$M15,'Outlook 4+8'!$B$185:$M$185,'Outlook Quarterly 4+8'!D$4)</f>
        <v>1471.5000000316047</v>
      </c>
      <c r="E15" s="8">
        <f>SUMIFS('Outlook 4+8'!$B15:$M15,'Outlook 4+8'!$B$185:$M$185,'Outlook Quarterly 4+8'!E$4)</f>
        <v>1501.1987509282535</v>
      </c>
      <c r="F15" s="8">
        <f t="shared" ref="F15:F16" si="4">SUM(B15:E15)</f>
        <v>5328.3081309853997</v>
      </c>
      <c r="H15" s="8">
        <f>'Budget 2025'!N15</f>
        <v>5110.0000001093813</v>
      </c>
      <c r="K15" s="34"/>
    </row>
    <row r="16" spans="1:11" x14ac:dyDescent="0.35">
      <c r="A16" s="5" t="s">
        <v>68</v>
      </c>
      <c r="B16" s="30">
        <f>SUMIFS('Outlook 4+8'!$B16:$M16,'Outlook 4+8'!$B$185:$M$185,'Outlook Quarterly 4+8'!B$4)</f>
        <v>0</v>
      </c>
      <c r="C16" s="8">
        <f>SUMIFS('Outlook 4+8'!$B16:$M16,'Outlook 4+8'!$B$185:$M$185,'Outlook Quarterly 4+8'!C$4)</f>
        <v>8.6918690146006838</v>
      </c>
      <c r="D16" s="8">
        <f>SUMIFS('Outlook 4+8'!$B16:$M16,'Outlook 4+8'!$B$185:$M$185,'Outlook Quarterly 4+8'!D$4)</f>
        <v>29.75</v>
      </c>
      <c r="E16" s="8">
        <f>SUMIFS('Outlook 4+8'!$B16:$M16,'Outlook 4+8'!$B$185:$M$185,'Outlook Quarterly 4+8'!E$4)</f>
        <v>38.25</v>
      </c>
      <c r="F16" s="8">
        <f t="shared" si="4"/>
        <v>76.691869014600684</v>
      </c>
      <c r="H16" s="14">
        <f>'Budget 2025'!N48</f>
        <v>127.5</v>
      </c>
      <c r="K16" s="34"/>
    </row>
    <row r="17" spans="1:11" s="2" customFormat="1" x14ac:dyDescent="0.35">
      <c r="A17" s="9" t="s">
        <v>20</v>
      </c>
      <c r="B17" s="11">
        <f>B5/B13</f>
        <v>12.27573854515135</v>
      </c>
      <c r="C17" s="11">
        <f t="shared" ref="C17:F17" si="5">C5/C13</f>
        <v>13.623843959294561</v>
      </c>
      <c r="D17" s="11">
        <f t="shared" si="5"/>
        <v>13.082926178632254</v>
      </c>
      <c r="E17" s="11">
        <f t="shared" si="5"/>
        <v>14.365642517900874</v>
      </c>
      <c r="F17" s="11">
        <f t="shared" si="5"/>
        <v>13.342401762104474</v>
      </c>
      <c r="H17" s="11">
        <f>'Budget 2025'!N17</f>
        <v>13.340067350464633</v>
      </c>
      <c r="K17" s="34"/>
    </row>
    <row r="18" spans="1:11" s="2" customFormat="1" x14ac:dyDescent="0.35">
      <c r="A18" s="9" t="s">
        <v>21</v>
      </c>
      <c r="B18" s="10">
        <f>SUMIFS('Outlook 4+8'!$B18:$M18,'Outlook 4+8'!$B$185:$M$185,'Outlook Quarterly 4+8'!B$4)</f>
        <v>398.64282296729493</v>
      </c>
      <c r="C18" s="10">
        <f>SUMIFS('Outlook 4+8'!$B18:$M18,'Outlook 4+8'!$B$185:$M$185,'Outlook Quarterly 4+8'!C$4)</f>
        <v>271.19006940024053</v>
      </c>
      <c r="D18" s="10">
        <f>SUMIFS('Outlook 4+8'!$B18:$M18,'Outlook 4+8'!$B$185:$M$185,'Outlook Quarterly 4+8'!D$4)</f>
        <v>252.93270716454833</v>
      </c>
      <c r="E18" s="10">
        <f>SUMIFS('Outlook 4+8'!$B18:$M18,'Outlook 4+8'!$B$185:$M$185,'Outlook Quarterly 4+8'!E$4)</f>
        <v>180.43609017392356</v>
      </c>
      <c r="F18" s="10">
        <f>SUM(B18:E18)</f>
        <v>1103.2016897060073</v>
      </c>
      <c r="H18" s="10">
        <f>'Budget 2025'!N18</f>
        <v>1228.8031519784099</v>
      </c>
      <c r="K18" s="34"/>
    </row>
    <row r="19" spans="1:11" x14ac:dyDescent="0.35">
      <c r="A19" s="5" t="s">
        <v>60</v>
      </c>
      <c r="B19" s="30">
        <f>SUMPRODUCT('Outlook 4+8'!$B19:$D19,'Outlook 4+8'!$B$18:$D$18)/SUM('Outlook 4+8'!$B$18:$D$18)</f>
        <v>6165.9257086878761</v>
      </c>
      <c r="C19" s="8">
        <f>SUMPRODUCT('Outlook 4+8'!$E19:$G19,'Outlook 4+8'!$E$18:$G$18)/SUM('Outlook 4+8'!$E$18:$G$18)</f>
        <v>6094.5101481774382</v>
      </c>
      <c r="D19" s="8">
        <f>SUMPRODUCT('Outlook 4+8'!$H19:$J19,'Outlook 4+8'!$H$18:$J$18)/SUM('Outlook 4+8'!$H$18:$J$18)</f>
        <v>6277.0486639870769</v>
      </c>
      <c r="E19" s="8">
        <f>SUMPRODUCT('Outlook 4+8'!$K19:$M19,'Outlook 4+8'!$K$18:$M$18)/SUM('Outlook 4+8'!$K$18:$M$18)</f>
        <v>6297.4028464508092</v>
      </c>
      <c r="F19" s="14">
        <f>SUMPRODUCT(B19:E19,$B$18:$E$18)/SUM($B$18:$E$18)</f>
        <v>6195.3515698780657</v>
      </c>
      <c r="H19" s="8">
        <f>'Budget 2025'!N19</f>
        <v>6169.7769053579887</v>
      </c>
      <c r="K19" s="34"/>
    </row>
    <row r="20" spans="1:11" x14ac:dyDescent="0.35">
      <c r="A20" s="5" t="s">
        <v>22</v>
      </c>
      <c r="B20" s="31">
        <f>SUMPRODUCT('Outlook 4+8'!$B20:$D20,'Outlook 4+8'!$B$18:$D$18)/SUM('Outlook 4+8'!$B$18:$D$18)</f>
        <v>0.63594838314043822</v>
      </c>
      <c r="C20" s="7">
        <f>SUMPRODUCT('Outlook 4+8'!$E20:$G20,'Outlook 4+8'!$E$18:$G$18)/SUM('Outlook 4+8'!$E$18:$G$18)</f>
        <v>0.79942560131688056</v>
      </c>
      <c r="D20" s="7">
        <f>SUMPRODUCT('Outlook 4+8'!$H20:$J20,'Outlook 4+8'!$H$18:$J$18)/SUM('Outlook 4+8'!$H$18:$J$18)</f>
        <v>0.80158841754420862</v>
      </c>
      <c r="E20" s="7">
        <f>SUMPRODUCT('Outlook 4+8'!$K20:$M20,'Outlook 4+8'!$K$18:$M$18)/SUM('Outlook 4+8'!$K$18:$M$18)</f>
        <v>0.83129062185138991</v>
      </c>
      <c r="F20" s="15">
        <f>SUMPRODUCT(B20:E20,$B$18:$E$18)/SUM($B$18:$E$18)</f>
        <v>0.74606058781844209</v>
      </c>
      <c r="H20" s="7">
        <f>'Budget 2025'!N20</f>
        <v>0.81080180973763216</v>
      </c>
      <c r="K20" s="34"/>
    </row>
    <row r="21" spans="1:11" x14ac:dyDescent="0.35">
      <c r="A21" s="5" t="s">
        <v>23</v>
      </c>
      <c r="B21" s="31">
        <f>SUMPRODUCT('Outlook 4+8'!$B21:$D21,'Outlook 4+8'!$B$18:$D$18)/SUM('Outlook 4+8'!$B$18:$D$18)</f>
        <v>8.4258284465607183</v>
      </c>
      <c r="C21" s="7">
        <f>SUMPRODUCT('Outlook 4+8'!$E21:$G21,'Outlook 4+8'!$E$18:$G$18)/SUM('Outlook 4+8'!$E$18:$G$18)</f>
        <v>8.5323467610051793</v>
      </c>
      <c r="D21" s="7">
        <f>SUMPRODUCT('Outlook 4+8'!$H21:$J21,'Outlook 4+8'!$H$18:$J$18)/SUM('Outlook 4+8'!$H$18:$J$18)</f>
        <v>8.2466335709680099</v>
      </c>
      <c r="E21" s="7">
        <f>SUMPRODUCT('Outlook 4+8'!$K21:$M21,'Outlook 4+8'!$K$18:$M$18)/SUM('Outlook 4+8'!$K$18:$M$18)</f>
        <v>8.1546077521915237</v>
      </c>
      <c r="F21" s="15">
        <f>SUMPRODUCT(B21:E21,$B$18:$E$18)/SUM($B$18:$E$18)</f>
        <v>8.366568622918912</v>
      </c>
      <c r="H21" s="7">
        <f>'Budget 2025'!N21</f>
        <v>8.3745644868486551</v>
      </c>
      <c r="K21" s="34"/>
    </row>
    <row r="22" spans="1:11" x14ac:dyDescent="0.35">
      <c r="A22" s="5" t="s">
        <v>24</v>
      </c>
      <c r="B22" s="31">
        <f>SUMPRODUCT('Outlook 4+8'!$B22:$D22,'Outlook 4+8'!$B$18:$D$18)/SUM('Outlook 4+8'!$B$18:$D$18)</f>
        <v>8.9485956835534957</v>
      </c>
      <c r="C22" s="7">
        <f>SUMPRODUCT('Outlook 4+8'!$E22:$G22,'Outlook 4+8'!$E$18:$G$18)/SUM('Outlook 4+8'!$E$18:$G$18)</f>
        <v>8.8716632713572139</v>
      </c>
      <c r="D22" s="7">
        <f>SUMPRODUCT('Outlook 4+8'!$H22:$J22,'Outlook 4+8'!$H$18:$J$18)/SUM('Outlook 4+8'!$H$18:$J$18)</f>
        <v>7.8039718703813135</v>
      </c>
      <c r="E22" s="7">
        <f>SUMPRODUCT('Outlook 4+8'!$K22:$M22,'Outlook 4+8'!$K$18:$M$18)/SUM('Outlook 4+8'!$K$18:$M$18)</f>
        <v>7.2497761340197222</v>
      </c>
      <c r="F22" s="15">
        <f>SUMPRODUCT(B22:E22,$B$18:$E$18)/SUM($B$18:$E$18)</f>
        <v>8.3894010511136337</v>
      </c>
      <c r="H22" s="7">
        <f>'Budget 2025'!N22</f>
        <v>8.0403443049370615</v>
      </c>
      <c r="K22" s="34"/>
    </row>
    <row r="23" spans="1:11" x14ac:dyDescent="0.35">
      <c r="A23" s="5" t="s">
        <v>25</v>
      </c>
      <c r="B23" s="31">
        <f>SUMPRODUCT('Outlook 4+8'!$B23:$D23,'Outlook 4+8'!$B$18:$D$18)/SUM('Outlook 4+8'!$B$18:$D$18)</f>
        <v>11.704988829718115</v>
      </c>
      <c r="C23" s="7">
        <f>SUMPRODUCT('Outlook 4+8'!$E23:$G23,'Outlook 4+8'!$E$18:$G$18)/SUM('Outlook 4+8'!$E$18:$G$18)</f>
        <v>13.338632521756505</v>
      </c>
      <c r="D23" s="7">
        <f>SUMPRODUCT('Outlook 4+8'!$H23:$J23,'Outlook 4+8'!$H$18:$J$18)/SUM('Outlook 4+8'!$H$18:$J$18)</f>
        <v>12.829334189221894</v>
      </c>
      <c r="E23" s="7">
        <f>SUMPRODUCT('Outlook 4+8'!$K23:$M23,'Outlook 4+8'!$K$18:$M$18)/SUM('Outlook 4+8'!$K$18:$M$18)</f>
        <v>12.2751384528603</v>
      </c>
      <c r="F23" s="15">
        <f>SUMPRODUCT(B23:E23,$B$18:$E$18)/SUM($B$18:$E$18)</f>
        <v>12.457604818569184</v>
      </c>
      <c r="H23" s="7">
        <f>'Budget 2025'!N23</f>
        <v>13.065706623777643</v>
      </c>
      <c r="K23" s="34"/>
    </row>
    <row r="24" spans="1:11" s="2" customFormat="1" x14ac:dyDescent="0.35">
      <c r="A24" s="9" t="s">
        <v>26</v>
      </c>
      <c r="B24" s="10">
        <f>SUMIFS('Outlook 4+8'!$B24:$M24,'Outlook 4+8'!$B$185:$M$185,'Outlook Quarterly 4+8'!B$4)</f>
        <v>169.43506742037897</v>
      </c>
      <c r="C24" s="10">
        <f>SUMIFS('Outlook 4+8'!$B24:$M24,'Outlook 4+8'!$B$185:$M$185,'Outlook Quarterly 4+8'!C$4)</f>
        <v>142.84434470568186</v>
      </c>
      <c r="D24" s="10">
        <f>SUMIFS('Outlook 4+8'!$B24:$M24,'Outlook 4+8'!$B$185:$M$185,'Outlook Quarterly 4+8'!D$4)</f>
        <v>217.0672928453416</v>
      </c>
      <c r="E24" s="10">
        <f>SUMIFS('Outlook 4+8'!$B24:$M24,'Outlook 4+8'!$B$185:$M$185,'Outlook Quarterly 4+8'!E$4)</f>
        <v>97.451605322589941</v>
      </c>
      <c r="F24" s="10">
        <f>SUM(B24:E24)</f>
        <v>626.79831029399236</v>
      </c>
      <c r="H24" s="10">
        <f>'Budget 2025'!N24</f>
        <v>633.69684806163377</v>
      </c>
      <c r="K24" s="34"/>
    </row>
    <row r="25" spans="1:11" x14ac:dyDescent="0.35">
      <c r="A25" s="5" t="s">
        <v>60</v>
      </c>
      <c r="B25" s="30">
        <f>SUMPRODUCT('Outlook 4+8'!$B25:$D25,'Outlook 4+8'!$B$24:$D$24)/SUM('Outlook 4+8'!$B$24:$D$24)</f>
        <v>5965.8963934410449</v>
      </c>
      <c r="C25" s="8">
        <f>SUMPRODUCT('Outlook 4+8'!$E25:$G25,'Outlook 4+8'!$E$24:$G$24)/SUM('Outlook 4+8'!$E$24:$G$24)</f>
        <v>5925.0455434931682</v>
      </c>
      <c r="D25" s="8">
        <f>SUMPRODUCT('Outlook 4+8'!$H25:$J25,'Outlook 4+8'!$H$24:$J$24)/SUM('Outlook 4+8'!$H$24:$J$24)</f>
        <v>5964.218437621671</v>
      </c>
      <c r="E25" s="8">
        <f>SUMPRODUCT('Outlook 4+8'!$K25:$M25,'Outlook 4+8'!$K$24:$M$24)/SUM('Outlook 4+8'!$K$24:$M$24)</f>
        <v>5902.3393684869443</v>
      </c>
      <c r="F25" s="14">
        <f>SUMPRODUCT(B25:E25,$B$24:$E$24)/SUM($B$24:$E$24)</f>
        <v>5946.1240422293895</v>
      </c>
      <c r="H25" s="8">
        <f>'Budget 2025'!N25</f>
        <v>5965.7827396699631</v>
      </c>
      <c r="K25" s="34"/>
    </row>
    <row r="26" spans="1:11" x14ac:dyDescent="0.35">
      <c r="A26" s="5" t="s">
        <v>22</v>
      </c>
      <c r="B26" s="31">
        <f>SUMPRODUCT('Outlook 4+8'!$B26:$D26,'Outlook 4+8'!$B$24:$D$24)/SUM('Outlook 4+8'!$B$24:$D$24)</f>
        <v>2.1512944350251231</v>
      </c>
      <c r="C26" s="7">
        <f>SUMPRODUCT('Outlook 4+8'!$E26:$G26,'Outlook 4+8'!$E$24:$G$24)/SUM('Outlook 4+8'!$E$24:$G$24)</f>
        <v>2.5359837706688655</v>
      </c>
      <c r="D26" s="7">
        <f>SUMPRODUCT('Outlook 4+8'!$H26:$J26,'Outlook 4+8'!$H$24:$J$24)/SUM('Outlook 4+8'!$H$24:$J$24)</f>
        <v>2.6902595443890225</v>
      </c>
      <c r="E26" s="7">
        <f>SUMPRODUCT('Outlook 4+8'!$K26:$M26,'Outlook 4+8'!$K$24:$M$24)/SUM('Outlook 4+8'!$K$24:$M$24)</f>
        <v>2.6531952008189612</v>
      </c>
      <c r="F26" s="15">
        <f>SUMPRODUCT(B26:E26,$B$24:$E$24)/SUM($B$24:$E$24)</f>
        <v>2.5036461006329449</v>
      </c>
      <c r="H26" s="7">
        <f>'Budget 2025'!N26</f>
        <v>2.5790489447985023</v>
      </c>
      <c r="K26" s="34"/>
    </row>
    <row r="27" spans="1:11" x14ac:dyDescent="0.35">
      <c r="A27" s="5" t="s">
        <v>23</v>
      </c>
      <c r="B27" s="31">
        <f>SUMPRODUCT('Outlook 4+8'!$B27:$D27,'Outlook 4+8'!$B$24:$D$24)/SUM('Outlook 4+8'!$B$24:$D$24)</f>
        <v>11.823331516107293</v>
      </c>
      <c r="C27" s="7">
        <f>SUMPRODUCT('Outlook 4+8'!$E27:$G27,'Outlook 4+8'!$E$24:$G$24)/SUM('Outlook 4+8'!$E$24:$G$24)</f>
        <v>13.695847945189504</v>
      </c>
      <c r="D27" s="7">
        <f>SUMPRODUCT('Outlook 4+8'!$H27:$J27,'Outlook 4+8'!$H$24:$J$24)/SUM('Outlook 4+8'!$H$24:$J$24)</f>
        <v>13.752036139574775</v>
      </c>
      <c r="E27" s="7">
        <f>SUMPRODUCT('Outlook 4+8'!$K27:$M27,'Outlook 4+8'!$K$24:$M$24)/SUM('Outlook 4+8'!$K$24:$M$24)</f>
        <v>14.83155596556835</v>
      </c>
      <c r="F27" s="15">
        <f>SUMPRODUCT(B27:E27,$B$24:$E$24)/SUM($B$24:$E$24)</f>
        <v>13.385705503504562</v>
      </c>
      <c r="H27" s="7">
        <f>'Budget 2025'!N27</f>
        <v>13.960595439757462</v>
      </c>
      <c r="K27" s="34"/>
    </row>
    <row r="28" spans="1:11" x14ac:dyDescent="0.35">
      <c r="A28" s="5" t="s">
        <v>24</v>
      </c>
      <c r="B28" s="31">
        <f>SUMPRODUCT('Outlook 4+8'!$B28:$D28,'Outlook 4+8'!$B$24:$D$24)/SUM('Outlook 4+8'!$B$24:$D$24)</f>
        <v>7.4970729359287187</v>
      </c>
      <c r="C28" s="7">
        <f>SUMPRODUCT('Outlook 4+8'!$E28:$G28,'Outlook 4+8'!$E$24:$G$24)/SUM('Outlook 4+8'!$E$24:$G$24)</f>
        <v>6.9054564994171956</v>
      </c>
      <c r="D28" s="7">
        <f>SUMPRODUCT('Outlook 4+8'!$H28:$J28,'Outlook 4+8'!$H$24:$J$24)/SUM('Outlook 4+8'!$H$24:$J$24)</f>
        <v>6.8361025656228769</v>
      </c>
      <c r="E28" s="7">
        <f>SUMPRODUCT('Outlook 4+8'!$K28:$M28,'Outlook 4+8'!$K$24:$M$24)/SUM('Outlook 4+8'!$K$24:$M$24)</f>
        <v>7.419481976441233</v>
      </c>
      <c r="F28" s="15">
        <f>SUMPRODUCT(B28:E28,$B$24:$E$24)/SUM($B$24:$E$24)</f>
        <v>7.121281439978504</v>
      </c>
      <c r="H28" s="7">
        <f>'Budget 2025'!N28</f>
        <v>6.7439986369460003</v>
      </c>
      <c r="K28" s="34"/>
    </row>
    <row r="29" spans="1:11" x14ac:dyDescent="0.35">
      <c r="A29" s="5" t="s">
        <v>25</v>
      </c>
      <c r="B29" s="31">
        <f>SUMPRODUCT('Outlook 4+8'!$B29:$D29,'Outlook 4+8'!$B$24:$D$24)/SUM('Outlook 4+8'!$B$24:$D$24)</f>
        <v>11.361644829819818</v>
      </c>
      <c r="C29" s="7">
        <f>SUMPRODUCT('Outlook 4+8'!$E29:$G29,'Outlook 4+8'!$E$24:$G$24)/SUM('Outlook 4+8'!$E$24:$G$24)</f>
        <v>11.666865947912141</v>
      </c>
      <c r="D29" s="7">
        <f>SUMPRODUCT('Outlook 4+8'!$H29:$J29,'Outlook 4+8'!$H$24:$J$24)/SUM('Outlook 4+8'!$H$24:$J$24)</f>
        <v>11.861464884463459</v>
      </c>
      <c r="E29" s="7">
        <f>SUMPRODUCT('Outlook 4+8'!$K29:$M29,'Outlook 4+8'!$K$24:$M$24)/SUM('Outlook 4+8'!$K$24:$M$24)</f>
        <v>12.444844295281813</v>
      </c>
      <c r="F29" s="15">
        <f>SUMPRODUCT(B29:E29,$B$24:$E$24)/SUM($B$24:$E$24)</f>
        <v>11.772707239111467</v>
      </c>
      <c r="H29" s="7">
        <f>'Budget 2025'!N29</f>
        <v>11.769360955786579</v>
      </c>
      <c r="K29" s="34"/>
    </row>
    <row r="30" spans="1:11" s="2" customFormat="1" x14ac:dyDescent="0.35">
      <c r="A30" s="9" t="s">
        <v>27</v>
      </c>
      <c r="B30" s="10">
        <f>SUMIFS('Outlook 4+8'!$B30:$M30,'Outlook 4+8'!$B$185:$M$185,'Outlook Quarterly 4+8'!B$4)</f>
        <v>17.998534950640156</v>
      </c>
      <c r="C30" s="10">
        <f>SUMIFS('Outlook 4+8'!$B30:$M30,'Outlook 4+8'!$B$185:$M$185,'Outlook Quarterly 4+8'!C$4)</f>
        <v>19.412083963902102</v>
      </c>
      <c r="D30" s="10">
        <f>SUMIFS('Outlook 4+8'!$B30:$M30,'Outlook 4+8'!$B$185:$M$185,'Outlook Quarterly 4+8'!D$4)</f>
        <v>0</v>
      </c>
      <c r="E30" s="10">
        <f>SUMIFS('Outlook 4+8'!$B30:$M30,'Outlook 4+8'!$B$185:$M$185,'Outlook Quarterly 4+8'!E$4)</f>
        <v>0</v>
      </c>
      <c r="F30" s="10">
        <f>SUM(B30:E30)</f>
        <v>37.410618914542255</v>
      </c>
      <c r="H30" s="10">
        <f>'Budget 2025'!N30</f>
        <v>13.639935932123354</v>
      </c>
      <c r="K30" s="34"/>
    </row>
    <row r="31" spans="1:11" x14ac:dyDescent="0.35">
      <c r="A31" s="5" t="s">
        <v>60</v>
      </c>
      <c r="B31" s="30">
        <f>SUMPRODUCT('Outlook 4+8'!$B31:$D31,'Outlook 4+8'!$B$30:$D$30)/SUM('Outlook 4+8'!$B$30:$D$30)</f>
        <v>5860.2841598568384</v>
      </c>
      <c r="C31" s="8">
        <f>SUMPRODUCT('Outlook 4+8'!$E31:$G31,'Outlook 4+8'!$E$30:$G$30)/SUM('Outlook 4+8'!$E$30:$G$30)</f>
        <v>5918.5940284516055</v>
      </c>
      <c r="D31" s="7">
        <f>IFERROR(SUMPRODUCT('Outlook 4+8'!$H31:$J31,'Outlook 4+8'!$H$30:$J$30)/SUM('Outlook 4+8'!$H$30:$J$30),0)</f>
        <v>0</v>
      </c>
      <c r="E31" s="8">
        <f>IFERROR(SUMPRODUCT('Outlook 4+8'!$K31:$M31,'Outlook 4+8'!$K$30:$M$30)/SUM('Outlook 4+8'!$K$30:$M$30),0)</f>
        <v>0</v>
      </c>
      <c r="F31" s="14">
        <f>SUMPRODUCT(B31:E31,$B$30:$E$30)/SUM($B$30:$E$30)</f>
        <v>5890.5407046007622</v>
      </c>
      <c r="H31" s="8">
        <f>'Budget 2025'!N31</f>
        <v>5822.4314107916898</v>
      </c>
      <c r="K31" s="34"/>
    </row>
    <row r="32" spans="1:11" x14ac:dyDescent="0.35">
      <c r="A32" s="5" t="s">
        <v>22</v>
      </c>
      <c r="B32" s="31">
        <f>SUMPRODUCT('Outlook 4+8'!$B32:$D32,'Outlook 4+8'!$B$30:$D$30)/SUM('Outlook 4+8'!$B$30:$D$30)</f>
        <v>0.92078055205593867</v>
      </c>
      <c r="C32" s="7">
        <f>SUMPRODUCT('Outlook 4+8'!$E32:$G32,'Outlook 4+8'!$E$30:$G$30)/SUM('Outlook 4+8'!$E$30:$G$30)</f>
        <v>0.9286398390688726</v>
      </c>
      <c r="D32" s="7">
        <f>IFERROR(SUMPRODUCT('Outlook 4+8'!$H32:$J32,'Outlook 4+8'!$H$30:$J$30)/SUM('Outlook 4+8'!$H$30:$J$30),0)</f>
        <v>0</v>
      </c>
      <c r="E32" s="7">
        <f>IFERROR(SUMPRODUCT('Outlook 4+8'!$K32:$M32,'Outlook 4+8'!$K$30:$M$30)/SUM('Outlook 4+8'!$K$30:$M$30),0)</f>
        <v>0</v>
      </c>
      <c r="F32" s="15">
        <f>SUMPRODUCT(B32:E32,$B$30:$E$30)/SUM($B$30:$E$30)</f>
        <v>0.92485867596348437</v>
      </c>
      <c r="H32" s="7">
        <f>'Budget 2025'!N32</f>
        <v>0.90072278104426418</v>
      </c>
      <c r="K32" s="34"/>
    </row>
    <row r="33" spans="1:11" x14ac:dyDescent="0.35">
      <c r="A33" s="5" t="s">
        <v>23</v>
      </c>
      <c r="B33" s="31">
        <f>SUMPRODUCT('Outlook 4+8'!$B33:$D33,'Outlook 4+8'!$B$30:$D$30)/SUM('Outlook 4+8'!$B$30:$D$30)</f>
        <v>7.1845522059903786</v>
      </c>
      <c r="C33" s="7">
        <f>SUMPRODUCT('Outlook 4+8'!$E33:$G33,'Outlook 4+8'!$E$30:$G$30)/SUM('Outlook 4+8'!$E$30:$G$30)</f>
        <v>7.5366982442871802</v>
      </c>
      <c r="D33" s="7">
        <f>IFERROR(SUMPRODUCT('Outlook 4+8'!$H33:$J33,'Outlook 4+8'!$H$30:$J$30)/SUM('Outlook 4+8'!$H$30:$J$30),0)</f>
        <v>0</v>
      </c>
      <c r="E33" s="7">
        <f>IFERROR(SUMPRODUCT('Outlook 4+8'!$K33:$M33,'Outlook 4+8'!$K$30:$M$30)/SUM('Outlook 4+8'!$K$30:$M$30),0)</f>
        <v>0</v>
      </c>
      <c r="F33" s="15">
        <f>SUMPRODUCT(B33:E33,$B$30:$E$30)/SUM($B$30:$E$30)</f>
        <v>7.3672780913489806</v>
      </c>
      <c r="H33" s="7">
        <f>'Budget 2025'!N33</f>
        <v>8.5977728246687075</v>
      </c>
      <c r="K33" s="34"/>
    </row>
    <row r="34" spans="1:11" x14ac:dyDescent="0.35">
      <c r="A34" s="5" t="s">
        <v>24</v>
      </c>
      <c r="B34" s="31">
        <f>SUMPRODUCT('Outlook 4+8'!$B34:$D34,'Outlook 4+8'!$B$30:$D$30)/SUM('Outlook 4+8'!$B$30:$D$30)</f>
        <v>11.016359658939894</v>
      </c>
      <c r="C34" s="7">
        <f>SUMPRODUCT('Outlook 4+8'!$E34:$G34,'Outlook 4+8'!$E$30:$G$30)/SUM('Outlook 4+8'!$E$30:$G$30)</f>
        <v>11.713971281615768</v>
      </c>
      <c r="D34" s="7">
        <f>IFERROR(SUMPRODUCT('Outlook 4+8'!$H34:$J34,'Outlook 4+8'!$H$30:$J$30)/SUM('Outlook 4+8'!$H$30:$J$30),0)</f>
        <v>0</v>
      </c>
      <c r="E34" s="7">
        <f>IFERROR(SUMPRODUCT('Outlook 4+8'!$K34:$M34,'Outlook 4+8'!$K$30:$M$30)/SUM('Outlook 4+8'!$K$30:$M$30),0)</f>
        <v>0</v>
      </c>
      <c r="F34" s="15">
        <f>SUMPRODUCT(B34:E34,$B$30:$E$30)/SUM($B$30:$E$30)</f>
        <v>11.378344993224594</v>
      </c>
      <c r="H34" s="7">
        <f>'Budget 2025'!N34</f>
        <v>11.354385937535314</v>
      </c>
      <c r="K34" s="34"/>
    </row>
    <row r="35" spans="1:11" x14ac:dyDescent="0.35">
      <c r="A35" s="5" t="s">
        <v>25</v>
      </c>
      <c r="B35" s="31">
        <f>SUMPRODUCT('Outlook 4+8'!$B35:$D35,'Outlook 4+8'!$B$30:$D$30)/SUM('Outlook 4+8'!$B$30:$D$30)</f>
        <v>14.501868846947692</v>
      </c>
      <c r="C35" s="7">
        <f>SUMPRODUCT('Outlook 4+8'!$E35:$G35,'Outlook 4+8'!$E$30:$G$30)/SUM('Outlook 4+8'!$E$30:$G$30)</f>
        <v>15.650205210025876</v>
      </c>
      <c r="D35" s="7">
        <f>IFERROR(SUMPRODUCT('Outlook 4+8'!$H35:$J35,'Outlook 4+8'!$H$30:$J$30)/SUM('Outlook 4+8'!$H$30:$J$30),0)</f>
        <v>0</v>
      </c>
      <c r="E35" s="7">
        <f>IFERROR(SUMPRODUCT('Outlook 4+8'!$K35:$M35,'Outlook 4+8'!$K$30:$M$30)/SUM('Outlook 4+8'!$K$30:$M$30),0)</f>
        <v>0</v>
      </c>
      <c r="F35" s="15">
        <f>SUMPRODUCT(B35:E35,$B$30:$E$30)/SUM($B$30:$E$30)</f>
        <v>15.097731800987475</v>
      </c>
      <c r="H35" s="7">
        <f>'Budget 2025'!N35</f>
        <v>16.354385937535316</v>
      </c>
      <c r="K35" s="34"/>
    </row>
    <row r="36" spans="1:11" s="2" customFormat="1" x14ac:dyDescent="0.35">
      <c r="A36" s="9" t="s">
        <v>28</v>
      </c>
      <c r="B36" s="10">
        <f>SUMIFS('Outlook 4+8'!$B36:$M36,'Outlook 4+8'!$B$185:$M$185,'Outlook Quarterly 4+8'!B$4)</f>
        <v>48.098998542541892</v>
      </c>
      <c r="C36" s="10">
        <f>SUMIFS('Outlook 4+8'!$B36:$M36,'Outlook 4+8'!$B$185:$M$185,'Outlook Quarterly 4+8'!C$4)</f>
        <v>74.141553132676322</v>
      </c>
      <c r="D36" s="10">
        <f>SUMIFS('Outlook 4+8'!$B36:$M36,'Outlook 4+8'!$B$185:$M$185,'Outlook Quarterly 4+8'!D$4)</f>
        <v>143.25769891653852</v>
      </c>
      <c r="E36" s="10">
        <f>SUMIFS('Outlook 4+8'!$B36:$M36,'Outlook 4+8'!$B$185:$M$185,'Outlook Quarterly 4+8'!E$4)</f>
        <v>235.75604037626448</v>
      </c>
      <c r="F36" s="10">
        <f>SUM(B36:E36)</f>
        <v>501.25429096802122</v>
      </c>
      <c r="H36" s="10">
        <f>'Budget 2025'!N36</f>
        <v>422.7154641342064</v>
      </c>
      <c r="K36" s="34"/>
    </row>
    <row r="37" spans="1:11" x14ac:dyDescent="0.35">
      <c r="A37" s="5" t="s">
        <v>60</v>
      </c>
      <c r="B37" s="30">
        <f>SUMPRODUCT('Outlook 4+8'!$B37:$D37,'Outlook 4+8'!$B$36:$D$36)/SUM('Outlook 4+8'!$B$36:$D$36)</f>
        <v>5977.8247179013133</v>
      </c>
      <c r="C37" s="8">
        <f>SUMPRODUCT('Outlook 4+8'!$E37:$G37,'Outlook 4+8'!$E$36:$G$36)/SUM('Outlook 4+8'!$E$36:$G$36)</f>
        <v>5934.945643341819</v>
      </c>
      <c r="D37" s="8">
        <f>IFERROR(SUMPRODUCT('Outlook 4+8'!$H37:$J37,'Outlook 4+8'!$H$36:$J$36)/SUM('Outlook 4+8'!$H$36:$J$36),0)</f>
        <v>6012.1104754877188</v>
      </c>
      <c r="E37" s="8">
        <f>IFERROR(SUMPRODUCT('Outlook 4+8'!$K37:$M37,'Outlook 4+8'!$K$36:$M$36)/SUM('Outlook 4+8'!$K$36:$M$36),0)</f>
        <v>6021.4067488148985</v>
      </c>
      <c r="F37" s="14">
        <f>SUMPRODUCT(B37:E37,$B$36:$E$36)/SUM($B$36:$E$36)</f>
        <v>6001.7792352167862</v>
      </c>
      <c r="H37" s="8">
        <f>'Budget 2025'!N37</f>
        <v>6013.6725198079248</v>
      </c>
      <c r="K37" s="34"/>
    </row>
    <row r="38" spans="1:11" x14ac:dyDescent="0.35">
      <c r="A38" s="5" t="s">
        <v>22</v>
      </c>
      <c r="B38" s="31">
        <f>SUMPRODUCT('Outlook 4+8'!$B38:$D38,'Outlook 4+8'!$B$36:$D$36)/SUM('Outlook 4+8'!$B$36:$D$36)</f>
        <v>1.4343487336501703</v>
      </c>
      <c r="C38" s="7">
        <f>SUMPRODUCT('Outlook 4+8'!$E38:$G38,'Outlook 4+8'!$E$36:$G$36)/SUM('Outlook 4+8'!$E$36:$G$36)</f>
        <v>1.5287680050814338</v>
      </c>
      <c r="D38" s="7">
        <f>IFERROR(SUMPRODUCT('Outlook 4+8'!$H38:$J38,'Outlook 4+8'!$H$36:$J$36)/SUM('Outlook 4+8'!$H$36:$J$36),0)</f>
        <v>1.5753652922895889</v>
      </c>
      <c r="E38" s="7">
        <f>IFERROR(SUMPRODUCT('Outlook 4+8'!$K38:$M38,'Outlook 4+8'!$K$36:$M$36)/SUM('Outlook 4+8'!$K$36:$M$36),0)</f>
        <v>1.5760394155640505</v>
      </c>
      <c r="F38" s="15">
        <f>SUMPRODUCT(B38:E38,$B$36:$E$36)/SUM($B$36:$E$36)</f>
        <v>1.5552584881353992</v>
      </c>
      <c r="H38" s="7">
        <f>'Budget 2025'!N38</f>
        <v>1.5594733437535224</v>
      </c>
      <c r="K38" s="34"/>
    </row>
    <row r="39" spans="1:11" x14ac:dyDescent="0.35">
      <c r="A39" s="5" t="s">
        <v>23</v>
      </c>
      <c r="B39" s="31">
        <f>SUMPRODUCT('Outlook 4+8'!$B39:$D39,'Outlook 4+8'!$B$36:$D$36)/SUM('Outlook 4+8'!$B$36:$D$36)</f>
        <v>6.0426735184306386</v>
      </c>
      <c r="C39" s="7">
        <f>SUMPRODUCT('Outlook 4+8'!$E39:$G39,'Outlook 4+8'!$E$36:$G$36)/SUM('Outlook 4+8'!$E$36:$G$36)</f>
        <v>6.1888068973188144</v>
      </c>
      <c r="D39" s="7">
        <f>IFERROR(SUMPRODUCT('Outlook 4+8'!$H39:$J39,'Outlook 4+8'!$H$36:$J$36)/SUM('Outlook 4+8'!$H$36:$J$36),0)</f>
        <v>5.3452719424965123</v>
      </c>
      <c r="E39" s="7">
        <f>IFERROR(SUMPRODUCT('Outlook 4+8'!$K39:$M39,'Outlook 4+8'!$K$36:$M$36)/SUM('Outlook 4+8'!$K$36:$M$36),0)</f>
        <v>5.3347175380864824</v>
      </c>
      <c r="F39" s="15">
        <f>SUMPRODUCT(B39:E39,$B$36:$E$36)/SUM($B$36:$E$36)</f>
        <v>5.5319976147768557</v>
      </c>
      <c r="H39" s="7">
        <f>'Budget 2025'!N39</f>
        <v>5.3287414331663765</v>
      </c>
      <c r="K39" s="34"/>
    </row>
    <row r="40" spans="1:11" x14ac:dyDescent="0.35">
      <c r="A40" s="5" t="s">
        <v>24</v>
      </c>
      <c r="B40" s="31">
        <f>SUMPRODUCT('Outlook 4+8'!$B40:$D40,'Outlook 4+8'!$B$36:$D$36)/SUM('Outlook 4+8'!$B$36:$D$36)</f>
        <v>11.610246830825604</v>
      </c>
      <c r="C40" s="7">
        <f>SUMPRODUCT('Outlook 4+8'!$E40:$G40,'Outlook 4+8'!$E$36:$G$36)/SUM('Outlook 4+8'!$E$36:$G$36)</f>
        <v>11.565400712672799</v>
      </c>
      <c r="D40" s="7">
        <f>IFERROR(SUMPRODUCT('Outlook 4+8'!$H40:$J40,'Outlook 4+8'!$H$36:$J$36)/SUM('Outlook 4+8'!$H$36:$J$36),0)</f>
        <v>10.414565203242198</v>
      </c>
      <c r="E40" s="7">
        <f>IFERROR(SUMPRODUCT('Outlook 4+8'!$K40:$M40,'Outlook 4+8'!$K$36:$M$36)/SUM('Outlook 4+8'!$K$36:$M$36),0)</f>
        <v>10.115346145740244</v>
      </c>
      <c r="F40" s="15">
        <f>SUMPRODUCT(B40:E40,$B$36:$E$36)/SUM($B$36:$E$36)</f>
        <v>10.558789645870922</v>
      </c>
      <c r="H40" s="7">
        <f>'Budget 2025'!N40</f>
        <v>10.279206642306004</v>
      </c>
      <c r="K40" s="34"/>
    </row>
    <row r="41" spans="1:11" x14ac:dyDescent="0.35">
      <c r="A41" s="5" t="s">
        <v>25</v>
      </c>
      <c r="B41" s="31">
        <f>SUMPRODUCT('Outlook 4+8'!$B41:$D41,'Outlook 4+8'!$B$36:$D$36)/SUM('Outlook 4+8'!$B$36:$D$36)</f>
        <v>14.141402138177799</v>
      </c>
      <c r="C41" s="7">
        <f>SUMPRODUCT('Outlook 4+8'!$E41:$G41,'Outlook 4+8'!$E$36:$G$36)/SUM('Outlook 4+8'!$E$36:$G$36)</f>
        <v>14.858582557605923</v>
      </c>
      <c r="D41" s="7">
        <f>IFERROR(SUMPRODUCT('Outlook 4+8'!$H41:$J41,'Outlook 4+8'!$H$36:$J$36)/SUM('Outlook 4+8'!$H$36:$J$36),0)</f>
        <v>15.4145652032422</v>
      </c>
      <c r="E41" s="7">
        <f>IFERROR(SUMPRODUCT('Outlook 4+8'!$K41:$M41,'Outlook 4+8'!$K$36:$M$36)/SUM('Outlook 4+8'!$K$36:$M$36),0)</f>
        <v>15.115346145740242</v>
      </c>
      <c r="F41" s="15">
        <f>SUMPRODUCT(B41:E41,$B$36:$E$36)/SUM($B$36:$E$36)</f>
        <v>15.069427039654776</v>
      </c>
      <c r="H41" s="7">
        <f>'Budget 2025'!N41</f>
        <v>15.279206642306002</v>
      </c>
      <c r="K41" s="34"/>
    </row>
    <row r="42" spans="1:11" s="2" customFormat="1" x14ac:dyDescent="0.35">
      <c r="A42" s="9" t="s">
        <v>29</v>
      </c>
      <c r="B42" s="10">
        <f>SUMIFS('Outlook 4+8'!$B42:$M42,'Outlook 4+8'!$B$185:$M$185,'Outlook Quarterly 4+8'!B$4)</f>
        <v>1064.433182119144</v>
      </c>
      <c r="C42" s="10">
        <f>SUMIFS('Outlook 4+8'!$B42:$M42,'Outlook 4+8'!$B$185:$M$185,'Outlook Quarterly 4+8'!C$4)</f>
        <v>1131.5250273166366</v>
      </c>
      <c r="D42" s="10">
        <f>SUMIFS('Outlook 4+8'!$B42:$M42,'Outlook 4+8'!$B$185:$M$185,'Outlook Quarterly 4+8'!D$4)</f>
        <v>1328.2423011150661</v>
      </c>
      <c r="E42" s="10">
        <f>SUMIFS('Outlook 4+8'!$B42:$M42,'Outlook 4+8'!$B$185:$M$185,'Outlook Quarterly 4+8'!E$4)</f>
        <v>1265.442710551989</v>
      </c>
      <c r="F42" s="10">
        <f>SUM(B42:E42)</f>
        <v>4789.6432211028359</v>
      </c>
      <c r="H42" s="10">
        <f>'Budget 2025'!N42</f>
        <v>4673.6446000430515</v>
      </c>
      <c r="K42" s="34"/>
    </row>
    <row r="43" spans="1:11" x14ac:dyDescent="0.35">
      <c r="A43" s="5" t="s">
        <v>60</v>
      </c>
      <c r="B43" s="30">
        <f>SUMPRODUCT('Outlook 4+8'!$B43:$D43,'Outlook 4+8'!$B$42:$D$42)/SUM('Outlook 4+8'!$B$42:$D$42)</f>
        <v>5997.3733373177647</v>
      </c>
      <c r="C43" s="8">
        <f>SUMPRODUCT('Outlook 4+8'!$E43:$G43,'Outlook 4+8'!$E$42:$G$42)/SUM('Outlook 4+8'!$E$42:$G$42)</f>
        <v>5908.0775454280347</v>
      </c>
      <c r="D43" s="8">
        <f>IFERROR(SUMPRODUCT('Outlook 4+8'!$H43:$J43,'Outlook 4+8'!$H$42:$J$42)/SUM('Outlook 4+8'!$H$42:$J$42),0)</f>
        <v>5903.6287882541483</v>
      </c>
      <c r="E43" s="8">
        <f>IFERROR(SUMPRODUCT('Outlook 4+8'!$K43:$M43,'Outlook 4+8'!$K$42:$M$42)/SUM('Outlook 4+8'!$K$42:$M$42),0)</f>
        <v>5918.4798555597463</v>
      </c>
      <c r="F43" s="14">
        <f>SUMPRODUCT(B43:E43,$B$42:$E$42)/SUM($B$42:$E$42)</f>
        <v>5929.4369451268722</v>
      </c>
      <c r="H43" s="8">
        <f>'Budget 2025'!N43</f>
        <v>5914.4155370661638</v>
      </c>
      <c r="K43" s="34"/>
    </row>
    <row r="44" spans="1:11" x14ac:dyDescent="0.35">
      <c r="A44" s="5" t="s">
        <v>22</v>
      </c>
      <c r="B44" s="31">
        <f>SUMPRODUCT('Outlook 4+8'!$B44:$D44,'Outlook 4+8'!$B$42:$D$42)/SUM('Outlook 4+8'!$B$42:$D$42)</f>
        <v>2.2888209271392426</v>
      </c>
      <c r="C44" s="7">
        <f>SUMPRODUCT('Outlook 4+8'!$E44:$G44,'Outlook 4+8'!$E$42:$G$42)/SUM('Outlook 4+8'!$E$42:$G$42)</f>
        <v>2.3361827373352511</v>
      </c>
      <c r="D44" s="7">
        <f>IFERROR(SUMPRODUCT('Outlook 4+8'!$H44:$J44,'Outlook 4+8'!$H$42:$J$42)/SUM('Outlook 4+8'!$H$42:$J$42),0)</f>
        <v>2.4579635352033158</v>
      </c>
      <c r="E44" s="7">
        <f>IFERROR(SUMPRODUCT('Outlook 4+8'!$K44:$M44,'Outlook 4+8'!$K$42:$M$42)/SUM('Outlook 4+8'!$K$42:$M$42),0)</f>
        <v>2.4167957986399062</v>
      </c>
      <c r="F44" s="15">
        <f>SUMPRODUCT(B44:E44,$B$42:$E$42)/SUM($B$42:$E$42)</f>
        <v>2.3807272108603952</v>
      </c>
      <c r="H44" s="7">
        <f>'Budget 2025'!N44</f>
        <v>2.4107218075517403</v>
      </c>
      <c r="K44" s="34"/>
    </row>
    <row r="45" spans="1:11" x14ac:dyDescent="0.35">
      <c r="A45" s="5" t="s">
        <v>23</v>
      </c>
      <c r="B45" s="31">
        <f>SUMPRODUCT('Outlook 4+8'!$B45:$D45,'Outlook 4+8'!$B$42:$D$42)/SUM('Outlook 4+8'!$B$42:$D$42)</f>
        <v>6.0177550518077734</v>
      </c>
      <c r="C45" s="7">
        <f>SUMPRODUCT('Outlook 4+8'!$E45:$G45,'Outlook 4+8'!$E$42:$G$42)/SUM('Outlook 4+8'!$E$42:$G$42)</f>
        <v>6.039416249685666</v>
      </c>
      <c r="D45" s="7">
        <f>IFERROR(SUMPRODUCT('Outlook 4+8'!$H45:$J45,'Outlook 4+8'!$H$42:$J$42)/SUM('Outlook 4+8'!$H$42:$J$42),0)</f>
        <v>5.770463706562297</v>
      </c>
      <c r="E45" s="7">
        <f>IFERROR(SUMPRODUCT('Outlook 4+8'!$K45:$M45,'Outlook 4+8'!$K$42:$M$42)/SUM('Outlook 4+8'!$K$42:$M$42),0)</f>
        <v>5.7157697906306106</v>
      </c>
      <c r="F45" s="15">
        <f>SUMPRODUCT(B45:E45,$B$42:$E$42)/SUM($B$42:$E$42)</f>
        <v>5.8745089573258138</v>
      </c>
      <c r="H45" s="7">
        <f>'Budget 2025'!N45</f>
        <v>5.7199741396739743</v>
      </c>
      <c r="K45" s="34"/>
    </row>
    <row r="46" spans="1:11" x14ac:dyDescent="0.35">
      <c r="A46" s="5" t="s">
        <v>24</v>
      </c>
      <c r="B46" s="31">
        <f>SUMPRODUCT('Outlook 4+8'!$B46:$D46,'Outlook 4+8'!$B$42:$D$42)/SUM('Outlook 4+8'!$B$42:$D$42)</f>
        <v>11.358444781076861</v>
      </c>
      <c r="C46" s="7">
        <f>SUMPRODUCT('Outlook 4+8'!$E46:$G46,'Outlook 4+8'!$E$42:$G$42)/SUM('Outlook 4+8'!$E$42:$G$42)</f>
        <v>11.012057261839855</v>
      </c>
      <c r="D46" s="7">
        <f>IFERROR(SUMPRODUCT('Outlook 4+8'!$H46:$J46,'Outlook 4+8'!$H$42:$J$42)/SUM('Outlook 4+8'!$H$42:$J$42),0)</f>
        <v>10.521161473260328</v>
      </c>
      <c r="E46" s="7">
        <f>IFERROR(SUMPRODUCT('Outlook 4+8'!$K46:$M46,'Outlook 4+8'!$K$42:$M$42)/SUM('Outlook 4+8'!$K$42:$M$42),0)</f>
        <v>10.506017704519829</v>
      </c>
      <c r="F46" s="15">
        <f>SUMPRODUCT(B46:E46,$B$42:$E$42)/SUM($B$42:$E$42)</f>
        <v>10.81920651933055</v>
      </c>
      <c r="H46" s="7">
        <f>'Budget 2025'!N46</f>
        <v>10.558154609501265</v>
      </c>
      <c r="K46" s="34"/>
    </row>
    <row r="47" spans="1:11" x14ac:dyDescent="0.35">
      <c r="A47" s="5" t="s">
        <v>25</v>
      </c>
      <c r="B47" s="31">
        <f>SUMPRODUCT('Outlook 4+8'!$B47:$D47,'Outlook 4+8'!$B$42:$D$42)/SUM('Outlook 4+8'!$B$42:$D$42)</f>
        <v>13.608931024340414</v>
      </c>
      <c r="C47" s="7">
        <f>SUMPRODUCT('Outlook 4+8'!$E47:$G47,'Outlook 4+8'!$E$42:$G$42)/SUM('Outlook 4+8'!$E$42:$G$42)</f>
        <v>15.197310261973698</v>
      </c>
      <c r="D47" s="7">
        <f>IFERROR(SUMPRODUCT('Outlook 4+8'!$H47:$J47,'Outlook 4+8'!$H$42:$J$42)/SUM('Outlook 4+8'!$H$42:$J$42),0)</f>
        <v>15.521161473260324</v>
      </c>
      <c r="E47" s="7">
        <f>IFERROR(SUMPRODUCT('Outlook 4+8'!$K47:$M47,'Outlook 4+8'!$K$42:$M$42)/SUM('Outlook 4+8'!$K$42:$M$42),0)</f>
        <v>15.506017704519829</v>
      </c>
      <c r="F47" s="15">
        <f>SUMPRODUCT(B47:E47,$B$42:$E$42)/SUM($B$42:$E$42)</f>
        <v>15.015685229542937</v>
      </c>
      <c r="H47" s="7">
        <f>'Budget 2025'!N47</f>
        <v>15.558154609501264</v>
      </c>
      <c r="K47" s="34"/>
    </row>
    <row r="48" spans="1:11" s="2" customFormat="1" x14ac:dyDescent="0.35">
      <c r="A48" s="9" t="s">
        <v>68</v>
      </c>
      <c r="B48" s="10">
        <f>SUMIFS('Outlook 4+8'!$B48:$M48,'Outlook 4+8'!$B$185:$M$185,'Outlook Quarterly 4+8'!B$4)</f>
        <v>0</v>
      </c>
      <c r="C48" s="10">
        <f>SUMIFS('Outlook 4+8'!$B48:$M48,'Outlook 4+8'!$B$185:$M$185,'Outlook Quarterly 4+8'!C$4)</f>
        <v>8.6918690146006838</v>
      </c>
      <c r="D48" s="10">
        <f>SUMIFS('Outlook 4+8'!$B48:$M48,'Outlook 4+8'!$B$185:$M$185,'Outlook Quarterly 4+8'!D$4)</f>
        <v>29.75</v>
      </c>
      <c r="E48" s="10">
        <f>SUMIFS('Outlook 4+8'!$B48:$M48,'Outlook 4+8'!$B$185:$M$185,'Outlook Quarterly 4+8'!E$4)</f>
        <v>38.25</v>
      </c>
      <c r="F48" s="10">
        <f>SUM(B48:E48)</f>
        <v>76.691869014600684</v>
      </c>
      <c r="H48" s="10">
        <f>'Budget 2025'!N48</f>
        <v>127.5</v>
      </c>
      <c r="K48" s="34"/>
    </row>
    <row r="49" spans="1:11" x14ac:dyDescent="0.35">
      <c r="A49" s="5" t="s">
        <v>60</v>
      </c>
      <c r="B49" s="30">
        <f>IFERROR(SUMPRODUCT('Outlook 4+8'!$B49:$D49,'Outlook 4+8'!$B$48:$D$48)/SUM('Outlook 4+8'!$B$48:$D$48),0)</f>
        <v>0</v>
      </c>
      <c r="C49" s="8">
        <f>IFERROR(SUMPRODUCT('Outlook 4+8'!$E49:$G49,'Outlook 4+8'!$E$48:$G$48)/SUM('Outlook 4+8'!$E$48:$G$48),0)</f>
        <v>3164.1729958458009</v>
      </c>
      <c r="D49" s="8">
        <f>IFERROR(SUMPRODUCT('Outlook 4+8'!$H49:$J49,'Outlook 4+8'!$H$48:$J$48)/SUM('Outlook 4+8'!$H$48:$J$48),0)</f>
        <v>3146.067415730337</v>
      </c>
      <c r="E49" s="8">
        <f>IFERROR(SUMPRODUCT('Outlook 4+8'!$K49:$M49,'Outlook 4+8'!$K$48:$M$48)/SUM('Outlook 4+8'!$K$48:$M$48),0)</f>
        <v>3146.0674157303374</v>
      </c>
      <c r="F49" s="14">
        <f>SUMPRODUCT(B49:E49,$B$48:$E$48)/SUM($B$48:$E$48)</f>
        <v>3148.1194107177985</v>
      </c>
      <c r="H49" s="8">
        <f>'Budget 2025'!N49</f>
        <v>3146.0674157303379</v>
      </c>
      <c r="K49" s="34"/>
    </row>
    <row r="50" spans="1:11" x14ac:dyDescent="0.35">
      <c r="A50" s="5" t="s">
        <v>22</v>
      </c>
      <c r="B50" s="31">
        <f>IFERROR(SUMPRODUCT('Outlook 4+8'!$B50:$D50,'Outlook 4+8'!$B$48:$D$48)/SUM('Outlook 4+8'!$B$48:$D$48),0)</f>
        <v>0</v>
      </c>
      <c r="C50" s="7">
        <f>IFERROR(SUMPRODUCT('Outlook 4+8'!$E50:$G50,'Outlook 4+8'!$E$48:$G$48)/SUM('Outlook 4+8'!$E$48:$G$48),0)</f>
        <v>1.9768217324729236</v>
      </c>
      <c r="D50" s="7">
        <f>IFERROR(SUMPRODUCT('Outlook 4+8'!$H50:$J50,'Outlook 4+8'!$H$48:$J$48)/SUM('Outlook 4+8'!$H$48:$J$48),0)</f>
        <v>2</v>
      </c>
      <c r="E50" s="7">
        <f>IFERROR(SUMPRODUCT('Outlook 4+8'!$K50:$M50,'Outlook 4+8'!$K$48:$M$48)/SUM('Outlook 4+8'!$K$48:$M$48),0)</f>
        <v>2</v>
      </c>
      <c r="F50" s="15">
        <f>SUMPRODUCT(B50:E50,$B$48:$E$48)/SUM($B$48:$E$48)</f>
        <v>1.9973730922466841</v>
      </c>
      <c r="H50" s="7">
        <f>'Budget 2025'!N50</f>
        <v>2</v>
      </c>
      <c r="K50" s="34"/>
    </row>
    <row r="51" spans="1:11" x14ac:dyDescent="0.35">
      <c r="A51" s="5" t="s">
        <v>23</v>
      </c>
      <c r="B51" s="31">
        <f>IFERROR(SUMPRODUCT('Outlook 4+8'!$B51:$D51,'Outlook 4+8'!$B$48:$D$48)/SUM('Outlook 4+8'!$B$48:$D$48),0)</f>
        <v>0</v>
      </c>
      <c r="C51" s="7">
        <f>IFERROR(SUMPRODUCT('Outlook 4+8'!$E51:$G51,'Outlook 4+8'!$E$48:$G$48)/SUM('Outlook 4+8'!$E$48:$G$48),0)</f>
        <v>39.65563716816915</v>
      </c>
      <c r="D51" s="7">
        <f>IFERROR(SUMPRODUCT('Outlook 4+8'!$H51:$J51,'Outlook 4+8'!$H$48:$J$48)/SUM('Outlook 4+8'!$H$48:$J$48),0)</f>
        <v>40</v>
      </c>
      <c r="E51" s="7">
        <f>IFERROR(SUMPRODUCT('Outlook 4+8'!$K51:$M51,'Outlook 4+8'!$K$48:$M$48)/SUM('Outlook 4+8'!$K$48:$M$48),0)</f>
        <v>40</v>
      </c>
      <c r="F51" s="15">
        <f>SUMPRODUCT(B51:E51,$B$48:$E$48)/SUM($B$48:$E$48)</f>
        <v>39.960971656236453</v>
      </c>
      <c r="H51" s="7">
        <f>'Budget 2025'!N51</f>
        <v>40</v>
      </c>
      <c r="K51" s="34"/>
    </row>
    <row r="52" spans="1:11" x14ac:dyDescent="0.35">
      <c r="A52" s="5" t="s">
        <v>24</v>
      </c>
      <c r="B52" s="31">
        <f>IFERROR(SUMPRODUCT('Outlook 4+8'!$B52:$D52,'Outlook 4+8'!$B$48:$D$48)/SUM('Outlook 4+8'!$B$48:$D$48),0)</f>
        <v>0</v>
      </c>
      <c r="C52" s="7">
        <f>IFERROR(SUMPRODUCT('Outlook 4+8'!$E52:$G52,'Outlook 4+8'!$E$48:$G$48)/SUM('Outlook 4+8'!$E$48:$G$48),0)</f>
        <v>11.022074540501977</v>
      </c>
      <c r="D52" s="7">
        <f>IFERROR(SUMPRODUCT('Outlook 4+8'!$H52:$J52,'Outlook 4+8'!$H$48:$J$48)/SUM('Outlook 4+8'!$H$48:$J$48),0)</f>
        <v>11</v>
      </c>
      <c r="E52" s="7">
        <f>IFERROR(SUMPRODUCT('Outlook 4+8'!$K52:$M52,'Outlook 4+8'!$K$48:$M$48)/SUM('Outlook 4+8'!$K$48:$M$48),0)</f>
        <v>11</v>
      </c>
      <c r="F52" s="15">
        <f>SUMPRODUCT(B52:E52,$B$48:$E$48)/SUM($B$48:$E$48)</f>
        <v>11.00250181690792</v>
      </c>
      <c r="H52" s="7">
        <f>'Budget 2025'!N52</f>
        <v>11</v>
      </c>
      <c r="K52" s="34"/>
    </row>
    <row r="53" spans="1:11" x14ac:dyDescent="0.35">
      <c r="A53" s="5" t="s">
        <v>25</v>
      </c>
      <c r="B53" s="31">
        <f>IFERROR(SUMPRODUCT('Outlook 4+8'!$B53:$D53,'Outlook 4+8'!$B$48:$D$48)/SUM('Outlook 4+8'!$B$48:$D$48),0)</f>
        <v>0</v>
      </c>
      <c r="C53" s="7">
        <f>IFERROR(SUMPRODUCT('Outlook 4+8'!$E53:$G53,'Outlook 4+8'!$E$48:$G$48)/SUM('Outlook 4+8'!$E$48:$G$48),0)</f>
        <v>20.06401616745573</v>
      </c>
      <c r="D53" s="7">
        <f>IFERROR(SUMPRODUCT('Outlook 4+8'!$H53:$J53,'Outlook 4+8'!$H$48:$J$48)/SUM('Outlook 4+8'!$H$48:$J$48),0)</f>
        <v>20</v>
      </c>
      <c r="E53" s="7">
        <f>IFERROR(SUMPRODUCT('Outlook 4+8'!$K53:$M53,'Outlook 4+8'!$K$48:$M$48)/SUM('Outlook 4+8'!$K$48:$M$48),0)</f>
        <v>20</v>
      </c>
      <c r="F53" s="15">
        <f>SUMPRODUCT(B53:E53,$B$48:$E$48)/SUM($B$48:$E$48)</f>
        <v>20.007255269032967</v>
      </c>
      <c r="H53" s="7">
        <f>'Budget 2025'!N53</f>
        <v>20</v>
      </c>
      <c r="K53" s="34"/>
    </row>
    <row r="54" spans="1:11" x14ac:dyDescent="0.35">
      <c r="K54" s="34"/>
    </row>
    <row r="55" spans="1:11" x14ac:dyDescent="0.35">
      <c r="A55" s="6" t="s">
        <v>31</v>
      </c>
      <c r="B55" s="6" t="s">
        <v>93</v>
      </c>
      <c r="C55" s="6" t="s">
        <v>94</v>
      </c>
      <c r="D55" s="6" t="s">
        <v>95</v>
      </c>
      <c r="E55" s="6" t="s">
        <v>96</v>
      </c>
      <c r="F55" s="6" t="s">
        <v>13</v>
      </c>
      <c r="G55" s="4"/>
      <c r="H55" s="6" t="s">
        <v>84</v>
      </c>
      <c r="K55" s="34"/>
    </row>
    <row r="56" spans="1:11" s="2" customFormat="1" x14ac:dyDescent="0.35">
      <c r="A56" s="9" t="s">
        <v>14</v>
      </c>
      <c r="B56" s="10">
        <f t="shared" ref="B56:F56" si="6">SUM(B57:B59)</f>
        <v>10676.4767469</v>
      </c>
      <c r="C56" s="10">
        <f t="shared" si="6"/>
        <v>10373.510523699997</v>
      </c>
      <c r="D56" s="10">
        <f t="shared" si="6"/>
        <v>13762.434291149999</v>
      </c>
      <c r="E56" s="10">
        <f t="shared" si="6"/>
        <v>12087.578438249999</v>
      </c>
      <c r="F56" s="10">
        <f t="shared" si="6"/>
        <v>46900</v>
      </c>
      <c r="H56" s="10">
        <f>'Budget 2025'!N56</f>
        <v>51650</v>
      </c>
      <c r="I56" s="27">
        <f>F56/H56</f>
        <v>0.90803484995159733</v>
      </c>
      <c r="K56" s="34"/>
    </row>
    <row r="57" spans="1:11" x14ac:dyDescent="0.35">
      <c r="A57" s="5" t="s">
        <v>57</v>
      </c>
      <c r="B57" s="30">
        <f>SUMIFS('Outlook 4+8'!$B57:$M57,'Outlook 4+8'!$B$185:$M$185,'Outlook Quarterly 4+8'!B$4)</f>
        <v>3675.6012271999998</v>
      </c>
      <c r="C57" s="8">
        <f>SUMIFS('Outlook 4+8'!$B57:$M57,'Outlook 4+8'!$B$185:$M$185,'Outlook Quarterly 4+8'!C$4)</f>
        <v>5041.7744898142828</v>
      </c>
      <c r="D57" s="8">
        <f>SUMIFS('Outlook 4+8'!$B57:$M57,'Outlook 4+8'!$B$185:$M$185,'Outlook Quarterly 4+8'!D$4)</f>
        <v>8162.8888765928587</v>
      </c>
      <c r="E57" s="8">
        <f>SUMIFS('Outlook 4+8'!$B57:$M57,'Outlook 4+8'!$B$185:$M$185,'Outlook Quarterly 4+8'!E$4)</f>
        <v>7519.7354063928578</v>
      </c>
      <c r="F57" s="8">
        <f>SUM(B57:E57)</f>
        <v>24400</v>
      </c>
      <c r="H57" s="8">
        <f>'Budget 2025'!N57</f>
        <v>24400</v>
      </c>
      <c r="K57" s="34"/>
    </row>
    <row r="58" spans="1:11" x14ac:dyDescent="0.35">
      <c r="A58" s="5" t="s">
        <v>56</v>
      </c>
      <c r="B58" s="30">
        <f>SUMIFS('Outlook 4+8'!$B58:$M58,'Outlook 4+8'!$B$185:$M$185,'Outlook Quarterly 4+8'!B$4)</f>
        <v>2955.7184296</v>
      </c>
      <c r="C58" s="8">
        <f>SUMIFS('Outlook 4+8'!$B58:$M58,'Outlook 4+8'!$B$185:$M$185,'Outlook Quarterly 4+8'!C$4)</f>
        <v>2557.5561754</v>
      </c>
      <c r="D58" s="8">
        <f>SUMIFS('Outlook 4+8'!$B58:$M58,'Outlook 4+8'!$B$185:$M$185,'Outlook Quarterly 4+8'!D$4)</f>
        <v>3000</v>
      </c>
      <c r="E58" s="8">
        <f>SUMIFS('Outlook 4+8'!$B58:$M58,'Outlook 4+8'!$B$185:$M$185,'Outlook Quarterly 4+8'!E$4)</f>
        <v>2486.725394999999</v>
      </c>
      <c r="F58" s="8">
        <f>SUM(B58:E58)</f>
        <v>11000</v>
      </c>
      <c r="H58" s="8">
        <f>'Budget 2025'!N58</f>
        <v>11000</v>
      </c>
      <c r="K58" s="34"/>
    </row>
    <row r="59" spans="1:11" x14ac:dyDescent="0.35">
      <c r="A59" s="5" t="s">
        <v>55</v>
      </c>
      <c r="B59" s="30">
        <f>SUMIFS('Outlook 4+8'!$B59:$M59,'Outlook 4+8'!$B$185:$M$185,'Outlook Quarterly 4+8'!B$4)</f>
        <v>4045.1570901</v>
      </c>
      <c r="C59" s="8">
        <f>SUMIFS('Outlook 4+8'!$B59:$M59,'Outlook 4+8'!$B$185:$M$185,'Outlook Quarterly 4+8'!C$4)</f>
        <v>2774.1798584857142</v>
      </c>
      <c r="D59" s="8">
        <f>SUMIFS('Outlook 4+8'!$B59:$M59,'Outlook 4+8'!$B$185:$M$185,'Outlook Quarterly 4+8'!D$4)</f>
        <v>2599.5454145571412</v>
      </c>
      <c r="E59" s="8">
        <f>SUMIFS('Outlook 4+8'!$B59:$M59,'Outlook 4+8'!$B$185:$M$185,'Outlook Quarterly 4+8'!E$4)</f>
        <v>2081.1176368571414</v>
      </c>
      <c r="F59" s="8">
        <f>SUM(B59:E59)</f>
        <v>11499.999999999998</v>
      </c>
      <c r="H59" s="8">
        <f>'Budget 2025'!N59</f>
        <v>16250</v>
      </c>
      <c r="K59" s="34"/>
    </row>
    <row r="60" spans="1:11" s="2" customFormat="1" x14ac:dyDescent="0.35">
      <c r="A60" s="9" t="s">
        <v>17</v>
      </c>
      <c r="B60" s="10">
        <f>SUM(B61:B64)</f>
        <v>646.72683065617298</v>
      </c>
      <c r="C60" s="10">
        <f t="shared" ref="C60:E60" si="7">SUM(C61:C64)</f>
        <v>743.05193644030112</v>
      </c>
      <c r="D60" s="10">
        <f t="shared" si="7"/>
        <v>1068.6611411377</v>
      </c>
      <c r="E60" s="10">
        <f t="shared" si="7"/>
        <v>1006.5600917658257</v>
      </c>
      <c r="F60" s="10">
        <f>SUM(B60:E60)</f>
        <v>3465</v>
      </c>
      <c r="H60" s="10">
        <f>'Budget 2025'!N60</f>
        <v>3300.3869731644691</v>
      </c>
      <c r="I60" s="27">
        <f>F60/H60</f>
        <v>1.0498768866117834</v>
      </c>
      <c r="K60" s="34"/>
    </row>
    <row r="61" spans="1:11" x14ac:dyDescent="0.35">
      <c r="A61" s="5" t="s">
        <v>57</v>
      </c>
      <c r="B61" s="30">
        <f>SUMIFS('Outlook 4+8'!$B61:$M61,'Outlook 4+8'!$B$185:$M$185,'Outlook Quarterly 4+8'!B$4)</f>
        <v>410.77472</v>
      </c>
      <c r="C61" s="8">
        <f>SUMIFS('Outlook 4+8'!$B61:$M61,'Outlook 4+8'!$B$185:$M$185,'Outlook Quarterly 4+8'!C$4)</f>
        <v>476.24534857142834</v>
      </c>
      <c r="D61" s="8">
        <f>SUMIFS('Outlook 4+8'!$B61:$M61,'Outlook 4+8'!$B$185:$M$185,'Outlook Quarterly 4+8'!D$4)</f>
        <v>642.37732571428546</v>
      </c>
      <c r="E61" s="8">
        <f>SUMIFS('Outlook 4+8'!$B61:$M61,'Outlook 4+8'!$B$185:$M$185,'Outlook Quarterly 4+8'!E$4)</f>
        <v>600.6026057142858</v>
      </c>
      <c r="F61" s="8">
        <f>SUM(B61:E61)</f>
        <v>2129.9999999999995</v>
      </c>
      <c r="H61" s="8">
        <f>'Budget 2025'!N61</f>
        <v>2130</v>
      </c>
      <c r="K61" s="34"/>
    </row>
    <row r="62" spans="1:11" x14ac:dyDescent="0.35">
      <c r="A62" s="5" t="s">
        <v>56</v>
      </c>
      <c r="B62" s="30">
        <f>SUMIFS('Outlook 4+8'!$B62:$M62,'Outlook 4+8'!$B$185:$M$185,'Outlook Quarterly 4+8'!B$4)</f>
        <v>108.21404000000001</v>
      </c>
      <c r="C62" s="8">
        <f>SUMIFS('Outlook 4+8'!$B62:$M62,'Outlook 4+8'!$B$185:$M$185,'Outlook Quarterly 4+8'!C$4)</f>
        <v>126.57004285714291</v>
      </c>
      <c r="D62" s="8">
        <f>SUMIFS('Outlook 4+8'!$B62:$M62,'Outlook 4+8'!$B$185:$M$185,'Outlook Quarterly 4+8'!D$4)</f>
        <v>161.71497857142859</v>
      </c>
      <c r="E62" s="8">
        <f>SUMIFS('Outlook 4+8'!$B62:$M62,'Outlook 4+8'!$B$185:$M$185,'Outlook Quarterly 4+8'!E$4)</f>
        <v>153.50093857142852</v>
      </c>
      <c r="F62" s="8">
        <f>SUM(B62:E62)</f>
        <v>550</v>
      </c>
      <c r="H62" s="8">
        <f>'Budget 2025'!N62</f>
        <v>550</v>
      </c>
      <c r="K62" s="34"/>
    </row>
    <row r="63" spans="1:11" x14ac:dyDescent="0.35">
      <c r="A63" s="5" t="s">
        <v>55</v>
      </c>
      <c r="B63" s="30">
        <f>SUMIFS('Outlook 4+8'!$B63:$M63,'Outlook 4+8'!$B$185:$M$185,'Outlook Quarterly 4+8'!B$4)</f>
        <v>123.38981065617305</v>
      </c>
      <c r="C63" s="8">
        <f>SUMIFS('Outlook 4+8'!$B63:$M63,'Outlook 4+8'!$B$185:$M$185,'Outlook Quarterly 4+8'!C$4)</f>
        <v>136.08690501172987</v>
      </c>
      <c r="D63" s="8">
        <f>SUMIFS('Outlook 4+8'!$B63:$M63,'Outlook 4+8'!$B$185:$M$185,'Outlook Quarterly 4+8'!D$4)</f>
        <v>264.56883685198596</v>
      </c>
      <c r="E63" s="8">
        <f>SUMIFS('Outlook 4+8'!$B63:$M63,'Outlook 4+8'!$B$185:$M$185,'Outlook Quarterly 4+8'!E$4)</f>
        <v>252.45654748011151</v>
      </c>
      <c r="F63" s="8">
        <f>SUM(B63:E63)</f>
        <v>776.50210000000038</v>
      </c>
      <c r="H63" s="8">
        <f>'Budget 2025'!N63</f>
        <v>620.38697316446883</v>
      </c>
      <c r="K63" s="34"/>
    </row>
    <row r="64" spans="1:11" x14ac:dyDescent="0.35">
      <c r="A64" s="5" t="s">
        <v>45</v>
      </c>
      <c r="B64" s="30">
        <f>SUMIFS('Outlook 4+8'!$B64:$M64,'Outlook 4+8'!$B$185:$M$185,'Outlook Quarterly 4+8'!B$4)</f>
        <v>4.3482599999999989</v>
      </c>
      <c r="C64" s="8">
        <f>SUMIFS('Outlook 4+8'!$B64:$M64,'Outlook 4+8'!$B$185:$M$185,'Outlook Quarterly 4+8'!C$4)</f>
        <v>4.1496400000000007</v>
      </c>
      <c r="D64" s="8">
        <f>SUMIFS('Outlook 4+8'!$B64:$M64,'Outlook 4+8'!$B$185:$M$185,'Outlook Quarterly 4+8'!D$4)</f>
        <v>0</v>
      </c>
      <c r="E64" s="8">
        <f>SUMIFS('Outlook 4+8'!$B64:$M64,'Outlook 4+8'!$B$185:$M$185,'Outlook Quarterly 4+8'!E$4)</f>
        <v>0</v>
      </c>
      <c r="F64" s="8">
        <f>SUM(B64:E64)</f>
        <v>8.4978999999999996</v>
      </c>
      <c r="H64" s="8"/>
      <c r="K64" s="34"/>
    </row>
    <row r="65" spans="1:11" s="2" customFormat="1" x14ac:dyDescent="0.35">
      <c r="A65" s="9" t="s">
        <v>32</v>
      </c>
      <c r="B65" s="11">
        <f>B56/B60</f>
        <v>16.508479686960847</v>
      </c>
      <c r="C65" s="11">
        <f t="shared" ref="C65:F65" si="8">C56/C60</f>
        <v>13.960680290257791</v>
      </c>
      <c r="D65" s="11">
        <f t="shared" si="8"/>
        <v>12.878202230220955</v>
      </c>
      <c r="E65" s="11">
        <f t="shared" si="8"/>
        <v>12.008799610805701</v>
      </c>
      <c r="F65" s="11">
        <f t="shared" si="8"/>
        <v>13.535353535353535</v>
      </c>
      <c r="H65" s="11">
        <f>'Budget 2025'!N64</f>
        <v>15.649679998123696</v>
      </c>
      <c r="K65" s="34"/>
    </row>
    <row r="66" spans="1:11" s="2" customFormat="1" x14ac:dyDescent="0.35">
      <c r="A66" s="9" t="s">
        <v>33</v>
      </c>
      <c r="B66" s="10">
        <f t="shared" ref="B66:F66" si="9">SUM(B67:B68)</f>
        <v>737.91459000000009</v>
      </c>
      <c r="C66" s="10">
        <f t="shared" si="9"/>
        <v>710.31362000000001</v>
      </c>
      <c r="D66" s="10">
        <f t="shared" si="9"/>
        <v>1000</v>
      </c>
      <c r="E66" s="10">
        <f t="shared" si="9"/>
        <v>952.17024000000004</v>
      </c>
      <c r="F66" s="10">
        <f t="shared" si="9"/>
        <v>3400.3984500000001</v>
      </c>
      <c r="H66" s="10">
        <f>'Budget 2025'!N65</f>
        <v>3230</v>
      </c>
      <c r="K66" s="34"/>
    </row>
    <row r="67" spans="1:11" x14ac:dyDescent="0.35">
      <c r="A67" s="5" t="s">
        <v>35</v>
      </c>
      <c r="B67" s="30">
        <f>SUMIFS('Outlook 4+8'!$B67:$M67,'Outlook 4+8'!$B$185:$M$185,'Outlook Quarterly 4+8'!B$4)</f>
        <v>437.92770000000007</v>
      </c>
      <c r="C67" s="8">
        <f>SUMIFS('Outlook 4+8'!$B67:$M67,'Outlook 4+8'!$B$185:$M$185,'Outlook Quarterly 4+8'!C$4)</f>
        <v>340.81858</v>
      </c>
      <c r="D67" s="8">
        <f>SUMIFS('Outlook 4+8'!$B67:$M67,'Outlook 4+8'!$B$185:$M$185,'Outlook Quarterly 4+8'!D$4)</f>
        <v>545</v>
      </c>
      <c r="E67" s="8">
        <f>SUMIFS('Outlook 4+8'!$B67:$M67,'Outlook 4+8'!$B$185:$M$185,'Outlook Quarterly 4+8'!E$4)</f>
        <v>526.65217000000007</v>
      </c>
      <c r="F67" s="8">
        <f>SUM(B67:E67)</f>
        <v>1850.3984500000001</v>
      </c>
      <c r="H67" s="8">
        <f>'Budget 2025'!N66</f>
        <v>1630</v>
      </c>
      <c r="K67" s="34"/>
    </row>
    <row r="68" spans="1:11" x14ac:dyDescent="0.35">
      <c r="A68" s="5" t="s">
        <v>39</v>
      </c>
      <c r="B68" s="30">
        <f>SUMIFS('Outlook 4+8'!$B68:$M68,'Outlook 4+8'!$B$185:$M$185,'Outlook Quarterly 4+8'!B$4)</f>
        <v>299.98689000000002</v>
      </c>
      <c r="C68" s="8">
        <f>SUMIFS('Outlook 4+8'!$B68:$M68,'Outlook 4+8'!$B$185:$M$185,'Outlook Quarterly 4+8'!C$4)</f>
        <v>369.49504000000002</v>
      </c>
      <c r="D68" s="8">
        <f>SUMIFS('Outlook 4+8'!$B68:$M68,'Outlook 4+8'!$B$185:$M$185,'Outlook Quarterly 4+8'!D$4)</f>
        <v>455</v>
      </c>
      <c r="E68" s="8">
        <f>SUMIFS('Outlook 4+8'!$B68:$M68,'Outlook 4+8'!$B$185:$M$185,'Outlook Quarterly 4+8'!E$4)</f>
        <v>425.51806999999997</v>
      </c>
      <c r="F68" s="8">
        <f>SUM(B68:E68)</f>
        <v>1550</v>
      </c>
      <c r="H68" s="8">
        <f>'Budget 2025'!N67</f>
        <v>1480</v>
      </c>
      <c r="K68" s="34"/>
    </row>
    <row r="69" spans="1:11" x14ac:dyDescent="0.35">
      <c r="A69" s="5" t="s">
        <v>41</v>
      </c>
      <c r="B69" s="30">
        <f>SUMIFS('Outlook 4+8'!$B69:$M69,'Outlook 4+8'!$B$185:$M$185,'Outlook Quarterly 4+8'!B$4)</f>
        <v>0</v>
      </c>
      <c r="C69" s="8">
        <f>SUMIFS('Outlook 4+8'!$B69:$M69,'Outlook 4+8'!$B$185:$M$185,'Outlook Quarterly 4+8'!C$4)</f>
        <v>0</v>
      </c>
      <c r="D69" s="8">
        <f>SUMIFS('Outlook 4+8'!$B69:$M69,'Outlook 4+8'!$B$185:$M$185,'Outlook Quarterly 4+8'!D$4)</f>
        <v>0</v>
      </c>
      <c r="E69" s="8">
        <f>SUMIFS('Outlook 4+8'!$B69:$M69,'Outlook 4+8'!$B$185:$M$185,'Outlook Quarterly 4+8'!E$4)</f>
        <v>0</v>
      </c>
      <c r="F69" s="8">
        <f>SUM(B69:E69)</f>
        <v>0</v>
      </c>
      <c r="H69" s="8">
        <f>'Budget 2025'!N68</f>
        <v>120</v>
      </c>
      <c r="K69" s="34"/>
    </row>
    <row r="70" spans="1:11" hidden="1" x14ac:dyDescent="0.35">
      <c r="A70" s="9" t="s">
        <v>58</v>
      </c>
      <c r="B70" s="10">
        <f>B71+B72</f>
        <v>57.125659999999996</v>
      </c>
      <c r="C70" s="10">
        <f t="shared" ref="C70:E70" si="10">C71+C72</f>
        <v>53.497250000000001</v>
      </c>
      <c r="D70" s="10">
        <f t="shared" si="10"/>
        <v>58.810299999999984</v>
      </c>
      <c r="E70" s="10">
        <f t="shared" si="10"/>
        <v>75.263139999999993</v>
      </c>
      <c r="F70" s="10">
        <f>SUM(B70:E70)</f>
        <v>244.69634999999997</v>
      </c>
      <c r="G70" s="2"/>
      <c r="H70" s="10">
        <f>'Budget 2025'!N69</f>
        <v>1676.5</v>
      </c>
      <c r="K70" s="34"/>
    </row>
    <row r="71" spans="1:11" hidden="1" x14ac:dyDescent="0.35">
      <c r="A71" s="5" t="s">
        <v>53</v>
      </c>
      <c r="B71" s="30">
        <f>B86</f>
        <v>7.10975</v>
      </c>
      <c r="C71" s="8">
        <f t="shared" ref="C71:E71" si="11">C86</f>
        <v>40.527500000000003</v>
      </c>
      <c r="D71" s="8">
        <f t="shared" si="11"/>
        <v>51.952449999999985</v>
      </c>
      <c r="E71" s="8">
        <f t="shared" si="11"/>
        <v>50.126389999999994</v>
      </c>
      <c r="F71" s="8">
        <f>SUM(B71:E71)</f>
        <v>149.71608999999998</v>
      </c>
      <c r="H71" s="8">
        <f>'Budget 2025'!N70</f>
        <v>671.5</v>
      </c>
      <c r="K71" s="34"/>
    </row>
    <row r="72" spans="1:11" hidden="1" x14ac:dyDescent="0.35">
      <c r="A72" s="5" t="s">
        <v>54</v>
      </c>
      <c r="B72" s="30">
        <f>B92</f>
        <v>50.015909999999998</v>
      </c>
      <c r="C72" s="8">
        <f t="shared" ref="C72:E72" si="12">C92</f>
        <v>12.969749999999998</v>
      </c>
      <c r="D72" s="8">
        <f t="shared" si="12"/>
        <v>6.85785</v>
      </c>
      <c r="E72" s="8">
        <f t="shared" si="12"/>
        <v>25.136750000000003</v>
      </c>
      <c r="F72" s="8">
        <f>SUM(B72:E72)</f>
        <v>94.980260000000001</v>
      </c>
      <c r="H72" s="8">
        <f>'Budget 2025'!N71</f>
        <v>1005</v>
      </c>
      <c r="K72" s="34"/>
    </row>
    <row r="73" spans="1:11" s="2" customFormat="1" x14ac:dyDescent="0.35">
      <c r="A73" s="9" t="s">
        <v>34</v>
      </c>
      <c r="B73" s="11">
        <f t="shared" ref="B73:F73" si="13">B56/B66</f>
        <v>14.468445117611781</v>
      </c>
      <c r="C73" s="11">
        <f t="shared" si="13"/>
        <v>14.604127291969984</v>
      </c>
      <c r="D73" s="11">
        <f t="shared" si="13"/>
        <v>13.762434291149999</v>
      </c>
      <c r="E73" s="11">
        <f t="shared" si="13"/>
        <v>12.694766051761919</v>
      </c>
      <c r="F73" s="11">
        <f t="shared" si="13"/>
        <v>13.792501287606456</v>
      </c>
      <c r="H73" s="11">
        <f>'Budget 2025'!N72</f>
        <v>15.990712074303406</v>
      </c>
      <c r="K73" s="34"/>
    </row>
    <row r="74" spans="1:11" s="2" customFormat="1" x14ac:dyDescent="0.35">
      <c r="A74" s="9" t="s">
        <v>35</v>
      </c>
      <c r="B74" s="10">
        <f>SUMIFS('Outlook 4+8'!$B74:$M74,'Outlook 4+8'!$B$185:$M$185,'Outlook Quarterly 4+8'!B$4)</f>
        <v>437.92770000000007</v>
      </c>
      <c r="C74" s="10">
        <f>SUMIFS('Outlook 4+8'!$B74:$M74,'Outlook 4+8'!$B$185:$M$185,'Outlook Quarterly 4+8'!C$4)</f>
        <v>340.81858</v>
      </c>
      <c r="D74" s="10">
        <f>SUMIFS('Outlook 4+8'!$B74:$M74,'Outlook 4+8'!$B$185:$M$185,'Outlook Quarterly 4+8'!D$4)</f>
        <v>545</v>
      </c>
      <c r="E74" s="10">
        <f>SUMIFS('Outlook 4+8'!$B74:$M74,'Outlook 4+8'!$B$185:$M$185,'Outlook Quarterly 4+8'!E$4)</f>
        <v>526.65217000000007</v>
      </c>
      <c r="F74" s="10">
        <f>SUM(B74:E74)</f>
        <v>1850.3984500000001</v>
      </c>
      <c r="H74" s="10">
        <f>'Budget 2025'!N73</f>
        <v>1630</v>
      </c>
      <c r="K74" s="34"/>
    </row>
    <row r="75" spans="1:11" x14ac:dyDescent="0.35">
      <c r="A75" s="5" t="s">
        <v>60</v>
      </c>
      <c r="B75" s="30">
        <f>IFERROR(SUMPRODUCT('Outlook 4+8'!$B75:$D75,'Outlook 4+8'!$B$74:$D$74)/SUM('Outlook 4+8'!$B$74:$D$74),0)</f>
        <v>6639.7411697859916</v>
      </c>
      <c r="C75" s="8">
        <f>IFERROR(SUMPRODUCT('Outlook 4+8'!$E75:$G75,'Outlook 4+8'!$E$74:$G$74)/SUM('Outlook 4+8'!$E$74:$G$74),0)</f>
        <v>6575.7643338881708</v>
      </c>
      <c r="D75" s="8">
        <f>IFERROR(SUMPRODUCT('Outlook 4+8'!$H75:$J75,'Outlook 4+8'!$H$74:$J$74)/SUM('Outlook 4+8'!$H$74:$J$74),0)</f>
        <v>6520.7567355436349</v>
      </c>
      <c r="E75" s="8">
        <f>IFERROR(SUMPRODUCT('Outlook 4+8'!$K75:$M75,'Outlook 4+8'!$K$74:$M$74)/SUM('Outlook 4+8'!$K$74:$M$74),0)</f>
        <v>6413.6679091175401</v>
      </c>
      <c r="F75" s="8">
        <f>SUMPRODUCT(B75:E75,$B$74:$E$74)/SUM($B$74:$E$74)</f>
        <v>6528.5689061388366</v>
      </c>
      <c r="H75" s="8">
        <f>'Budget 2025'!N74</f>
        <v>6355.6512817964895</v>
      </c>
      <c r="K75" s="34"/>
    </row>
    <row r="76" spans="1:11" x14ac:dyDescent="0.35">
      <c r="A76" s="5" t="s">
        <v>36</v>
      </c>
      <c r="B76" s="31">
        <f>IFERROR(SUMPRODUCT('Outlook 4+8'!$B76:$D76,'Outlook 4+8'!$B$74:$D$74)/SUM('Outlook 4+8'!$B$74:$D$74),0)</f>
        <v>0.67682137021868549</v>
      </c>
      <c r="C76" s="7">
        <f>IFERROR(SUMPRODUCT('Outlook 4+8'!$E76:$G76,'Outlook 4+8'!$E$74:$G$74)/SUM('Outlook 4+8'!$E$74:$G$74),0)</f>
        <v>0.72117194851785793</v>
      </c>
      <c r="D76" s="7">
        <f>IFERROR(SUMPRODUCT('Outlook 4+8'!$H76:$J76,'Outlook 4+8'!$H$74:$J$74)/SUM('Outlook 4+8'!$H$74:$J$74),0)</f>
        <v>0.75068224218764201</v>
      </c>
      <c r="E76" s="7">
        <f>IFERROR(SUMPRODUCT('Outlook 4+8'!$K76:$M76,'Outlook 4+8'!$K$74:$M$74)/SUM('Outlook 4+8'!$K$74:$M$74),0)</f>
        <v>0.70438542192128839</v>
      </c>
      <c r="F76" s="7">
        <f>SUMPRODUCT(B76:E76,$B$74:$E$74)/SUM($B$74:$E$74)</f>
        <v>0.71458963790414098</v>
      </c>
      <c r="H76" s="7">
        <f>'Budget 2025'!N75</f>
        <v>0.60341465782487103</v>
      </c>
      <c r="K76" s="34"/>
    </row>
    <row r="77" spans="1:11" x14ac:dyDescent="0.35">
      <c r="A77" s="5" t="s">
        <v>37</v>
      </c>
      <c r="B77" s="31">
        <f>IFERROR(SUMPRODUCT('Outlook 4+8'!$B77:$D77,'Outlook 4+8'!$B$74:$D$74)/SUM('Outlook 4+8'!$B$74:$D$74),0)</f>
        <v>4.0949828079637687</v>
      </c>
      <c r="C77" s="7">
        <f>IFERROR(SUMPRODUCT('Outlook 4+8'!$E77:$G77,'Outlook 4+8'!$E$74:$G$74)/SUM('Outlook 4+8'!$E$74:$G$74),0)</f>
        <v>4.8678312461747177</v>
      </c>
      <c r="D77" s="7">
        <f>IFERROR(SUMPRODUCT('Outlook 4+8'!$H77:$J77,'Outlook 4+8'!$H$74:$J$74)/SUM('Outlook 4+8'!$H$74:$J$74),0)</f>
        <v>4.8551645652434736</v>
      </c>
      <c r="E77" s="7">
        <f>IFERROR(SUMPRODUCT('Outlook 4+8'!$K77:$M77,'Outlook 4+8'!$K$74:$M$74)/SUM('Outlook 4+8'!$K$74:$M$74),0)</f>
        <v>4.7826528981982852</v>
      </c>
      <c r="F77" s="7">
        <f>SUMPRODUCT(B77:E77,$B$74:$E$74)/SUM($B$74:$E$74)</f>
        <v>4.6569499400967516</v>
      </c>
      <c r="H77" s="7">
        <f>'Budget 2025'!N76</f>
        <v>4.8411373574408625</v>
      </c>
      <c r="K77" s="34"/>
    </row>
    <row r="78" spans="1:11" x14ac:dyDescent="0.35">
      <c r="A78" s="5" t="s">
        <v>38</v>
      </c>
      <c r="B78" s="31">
        <f>IFERROR(SUMPRODUCT('Outlook 4+8'!$B78:$D78,'Outlook 4+8'!$B$74:$D$74)/SUM('Outlook 4+8'!$B$74:$D$74),0)</f>
        <v>7.0529431382537915</v>
      </c>
      <c r="C78" s="7">
        <f>IFERROR(SUMPRODUCT('Outlook 4+8'!$E78:$G78,'Outlook 4+8'!$E$74:$G$74)/SUM('Outlook 4+8'!$E$74:$G$74),0)</f>
        <v>7.3083014159977822</v>
      </c>
      <c r="D78" s="7">
        <f>IFERROR(SUMPRODUCT('Outlook 4+8'!$H78:$J78,'Outlook 4+8'!$H$74:$J$74)/SUM('Outlook 4+8'!$H$74:$J$74),0)</f>
        <v>7.9508903666348925</v>
      </c>
      <c r="E78" s="7">
        <f>IFERROR(SUMPRODUCT('Outlook 4+8'!$K78:$M78,'Outlook 4+8'!$K$74:$M$74)/SUM('Outlook 4+8'!$K$74:$M$74),0)</f>
        <v>8.0026924328602451</v>
      </c>
      <c r="F78" s="7">
        <f>SUMPRODUCT(B78:E78,$B$74:$E$74)/SUM($B$74:$E$74)</f>
        <v>7.6347635629521111</v>
      </c>
      <c r="H78" s="7">
        <f>'Budget 2025'!N77</f>
        <v>7.386331839135952</v>
      </c>
      <c r="K78" s="34"/>
    </row>
    <row r="79" spans="1:11" x14ac:dyDescent="0.35">
      <c r="A79" s="5" t="s">
        <v>25</v>
      </c>
      <c r="B79" s="31">
        <f>IFERROR(SUMPRODUCT('Outlook 4+8'!$B79:$D79,'Outlook 4+8'!$B$74:$D$74)/SUM('Outlook 4+8'!$B$74:$D$74),0)</f>
        <v>11.873359016835929</v>
      </c>
      <c r="C79" s="7">
        <f>IFERROR(SUMPRODUCT('Outlook 4+8'!$E79:$G79,'Outlook 4+8'!$E$74:$G$74)/SUM('Outlook 4+8'!$E$74:$G$74),0)</f>
        <v>11.978703711211319</v>
      </c>
      <c r="D79" s="7">
        <f>IFERROR(SUMPRODUCT('Outlook 4+8'!$H79:$J79,'Outlook 4+8'!$H$74:$J$74)/SUM('Outlook 4+8'!$H$74:$J$74),0)</f>
        <v>11.583928605148845</v>
      </c>
      <c r="E79" s="7">
        <f>IFERROR(SUMPRODUCT('Outlook 4+8'!$K79:$M79,'Outlook 4+8'!$K$74:$M$74)/SUM('Outlook 4+8'!$K$74:$M$74),0)</f>
        <v>12.749090680466562</v>
      </c>
      <c r="F79" s="7">
        <f>SUMPRODUCT(B79:E79,$B$74:$E$74)/SUM($B$74:$E$74)</f>
        <v>12.056762670123078</v>
      </c>
      <c r="H79" s="7">
        <f>'Budget 2025'!N78</f>
        <v>13.846499085482177</v>
      </c>
      <c r="K79" s="34"/>
    </row>
    <row r="80" spans="1:11" s="2" customFormat="1" x14ac:dyDescent="0.35">
      <c r="A80" s="9" t="s">
        <v>39</v>
      </c>
      <c r="B80" s="10">
        <f>SUMIFS('Outlook 4+8'!$B80:$M80,'Outlook 4+8'!$B$185:$M$185,'Outlook Quarterly 4+8'!B$4)</f>
        <v>299.98689000000002</v>
      </c>
      <c r="C80" s="10">
        <f>SUMIFS('Outlook 4+8'!$B80:$M80,'Outlook 4+8'!$B$185:$M$185,'Outlook Quarterly 4+8'!C$4)</f>
        <v>369.49504000000002</v>
      </c>
      <c r="D80" s="10">
        <f>SUMIFS('Outlook 4+8'!$B80:$M80,'Outlook 4+8'!$B$185:$M$185,'Outlook Quarterly 4+8'!D$4)</f>
        <v>455</v>
      </c>
      <c r="E80" s="10">
        <f>SUMIFS('Outlook 4+8'!$B80:$M80,'Outlook 4+8'!$B$185:$M$185,'Outlook Quarterly 4+8'!E$4)</f>
        <v>425.51806999999997</v>
      </c>
      <c r="F80" s="10">
        <f>SUM(B80:E80)</f>
        <v>1550</v>
      </c>
      <c r="H80" s="10">
        <f>'Budget 2025'!N79</f>
        <v>1480</v>
      </c>
      <c r="K80" s="34"/>
    </row>
    <row r="81" spans="1:11" x14ac:dyDescent="0.35">
      <c r="A81" s="5" t="s">
        <v>60</v>
      </c>
      <c r="B81" s="30">
        <f>IFERROR(SUMPRODUCT('Outlook 4+8'!$B81:$D81,'Outlook 4+8'!$B$80:$D$80)/SUM('Outlook 4+8'!$B$80:$D$80),0)</f>
        <v>6546.3914328104374</v>
      </c>
      <c r="C81" s="8">
        <f>IFERROR(SUMPRODUCT('Outlook 4+8'!$E81:$G81,'Outlook 4+8'!$E$80:$G$80)/SUM('Outlook 4+8'!$E$80:$G$80),0)</f>
        <v>6530.9807424860137</v>
      </c>
      <c r="D81" s="8">
        <f>IFERROR(SUMPRODUCT('Outlook 4+8'!$H81:$J81,'Outlook 4+8'!$H$80:$J$80)/SUM('Outlook 4+8'!$H$80:$J$80),0)</f>
        <v>6526.6592687784641</v>
      </c>
      <c r="E81" s="8">
        <f>IFERROR(SUMPRODUCT('Outlook 4+8'!$K81:$M81,'Outlook 4+8'!$K$80:$M$80)/SUM('Outlook 4+8'!$K$80:$M$80),0)</f>
        <v>6464.7052070099435</v>
      </c>
      <c r="F81" s="8">
        <f>SUMPRODUCT(B81:E81,$B$80:$E$80)/SUM($B$80:$E$80)</f>
        <v>6514.5002886681086</v>
      </c>
      <c r="H81" s="8">
        <f>'Budget 2025'!N80</f>
        <v>6482.8119871932486</v>
      </c>
      <c r="K81" s="34"/>
    </row>
    <row r="82" spans="1:11" x14ac:dyDescent="0.35">
      <c r="A82" s="5" t="s">
        <v>40</v>
      </c>
      <c r="B82" s="31">
        <f>IFERROR(SUMPRODUCT('Outlook 4+8'!$B82:$D82,'Outlook 4+8'!$B$80:$D$80)/SUM('Outlook 4+8'!$B$80:$D$80),0)</f>
        <v>1.5724619949702787</v>
      </c>
      <c r="C82" s="7">
        <f>IFERROR(SUMPRODUCT('Outlook 4+8'!$E82:$G82,'Outlook 4+8'!$E$80:$G$80)/SUM('Outlook 4+8'!$E$80:$G$80),0)</f>
        <v>1.6814203970343866</v>
      </c>
      <c r="D82" s="7">
        <f>IFERROR(SUMPRODUCT('Outlook 4+8'!$H82:$J82,'Outlook 4+8'!$H$80:$J$80)/SUM('Outlook 4+8'!$H$80:$J$80),0)</f>
        <v>1.7443314447959242</v>
      </c>
      <c r="E82" s="7">
        <f>IFERROR(SUMPRODUCT('Outlook 4+8'!$K82:$M82,'Outlook 4+8'!$K$80:$M$80)/SUM('Outlook 4+8'!$K$80:$M$80),0)</f>
        <v>1.7525866927102023</v>
      </c>
      <c r="F82" s="7">
        <f>SUMPRODUCT(B82:E82,$B$80:$E$80)/SUM($B$80:$E$80)</f>
        <v>1.6983371579001545</v>
      </c>
      <c r="H82" s="7">
        <f>'Budget 2025'!N81</f>
        <v>1.8762420726514626</v>
      </c>
      <c r="K82" s="34"/>
    </row>
    <row r="83" spans="1:11" x14ac:dyDescent="0.35">
      <c r="A83" s="5" t="s">
        <v>37</v>
      </c>
      <c r="B83" s="31">
        <f>IFERROR(SUMPRODUCT('Outlook 4+8'!$B83:$D83,'Outlook 4+8'!$B$80:$D$80)/SUM('Outlook 4+8'!$B$80:$D$80),0)</f>
        <v>4.259070795902308</v>
      </c>
      <c r="C83" s="7">
        <f>IFERROR(SUMPRODUCT('Outlook 4+8'!$E83:$G83,'Outlook 4+8'!$E$80:$G$80)/SUM('Outlook 4+8'!$E$80:$G$80),0)</f>
        <v>5.6420137649829893</v>
      </c>
      <c r="D83" s="7">
        <f>IFERROR(SUMPRODUCT('Outlook 4+8'!$H83:$J83,'Outlook 4+8'!$H$80:$J$80)/SUM('Outlook 4+8'!$H$80:$J$80),0)</f>
        <v>5.8310799378569582</v>
      </c>
      <c r="E83" s="7">
        <f>IFERROR(SUMPRODUCT('Outlook 4+8'!$K83:$M83,'Outlook 4+8'!$K$80:$M$80)/SUM('Outlook 4+8'!$K$80:$M$80),0)</f>
        <v>5.9529132411881465</v>
      </c>
      <c r="F83" s="7">
        <f>SUMPRODUCT(B83:E83,$B$80:$E$80)/SUM($B$80:$E$80)</f>
        <v>5.5152096962053161</v>
      </c>
      <c r="H83" s="7">
        <f>'Budget 2025'!N82</f>
        <v>10.254553163544609</v>
      </c>
      <c r="K83" s="34"/>
    </row>
    <row r="84" spans="1:11" x14ac:dyDescent="0.35">
      <c r="A84" s="5" t="s">
        <v>38</v>
      </c>
      <c r="B84" s="31">
        <f>IFERROR(SUMPRODUCT('Outlook 4+8'!$B84:$D84,'Outlook 4+8'!$B$80:$D$80)/SUM('Outlook 4+8'!$B$80:$D$80),0)</f>
        <v>6.4202960004113985</v>
      </c>
      <c r="C84" s="7">
        <f>IFERROR(SUMPRODUCT('Outlook 4+8'!$E84:$G84,'Outlook 4+8'!$E$80:$G$80)/SUM('Outlook 4+8'!$E$80:$G$80),0)</f>
        <v>6.5636266436264092</v>
      </c>
      <c r="D84" s="7">
        <f>IFERROR(SUMPRODUCT('Outlook 4+8'!$H84:$J84,'Outlook 4+8'!$H$80:$J$80)/SUM('Outlook 4+8'!$H$80:$J$80),0)</f>
        <v>6.5024206808266509</v>
      </c>
      <c r="E84" s="7">
        <f>IFERROR(SUMPRODUCT('Outlook 4+8'!$K84:$M84,'Outlook 4+8'!$K$80:$M$80)/SUM('Outlook 4+8'!$K$80:$M$80),0)</f>
        <v>5.9295636399883245</v>
      </c>
      <c r="F84" s="7">
        <f>SUMPRODUCT(B84:E84,$B$80:$E$80)/SUM($B$80:$E$80)</f>
        <v>6.3438516161811567</v>
      </c>
      <c r="H84" s="7">
        <f>'Budget 2025'!N83</f>
        <v>6.6257918257808086</v>
      </c>
      <c r="K84" s="34"/>
    </row>
    <row r="85" spans="1:11" x14ac:dyDescent="0.35">
      <c r="A85" s="5" t="s">
        <v>25</v>
      </c>
      <c r="B85" s="31">
        <f>IFERROR(SUMPRODUCT('Outlook 4+8'!$B85:$D85,'Outlook 4+8'!$B$80:$D$80)/SUM('Outlook 4+8'!$B$80:$D$80),0)</f>
        <v>11.321403773263096</v>
      </c>
      <c r="C85" s="7">
        <f>IFERROR(SUMPRODUCT('Outlook 4+8'!$E85:$G85,'Outlook 4+8'!$E$80:$G$80)/SUM('Outlook 4+8'!$E$80:$G$80),0)</f>
        <v>11.333989828636504</v>
      </c>
      <c r="D85" s="7">
        <f>IFERROR(SUMPRODUCT('Outlook 4+8'!$H85:$J85,'Outlook 4+8'!$H$80:$J$80)/SUM('Outlook 4+8'!$H$80:$J$80),0)</f>
        <v>11.099290416485406</v>
      </c>
      <c r="E85" s="7">
        <f>IFERROR(SUMPRODUCT('Outlook 4+8'!$K85:$M85,'Outlook 4+8'!$K$80:$M$80)/SUM('Outlook 4+8'!$K$80:$M$80),0)</f>
        <v>11.674931167513904</v>
      </c>
      <c r="F85" s="7">
        <f>SUMPRODUCT(B85:E85,$B$80:$E$80)/SUM($B$80:$E$80)</f>
        <v>11.356256161775049</v>
      </c>
      <c r="H85" s="7">
        <f>'Budget 2025'!N84</f>
        <v>11.252249091491917</v>
      </c>
      <c r="K85" s="34"/>
    </row>
    <row r="86" spans="1:11" hidden="1" x14ac:dyDescent="0.35">
      <c r="A86" s="9" t="s">
        <v>53</v>
      </c>
      <c r="B86" s="10">
        <v>7.10975</v>
      </c>
      <c r="C86" s="10">
        <v>40.527500000000003</v>
      </c>
      <c r="D86" s="10">
        <v>51.952449999999985</v>
      </c>
      <c r="E86" s="10">
        <v>50.126389999999994</v>
      </c>
      <c r="F86" s="10">
        <f>SUM(B86:E86)</f>
        <v>149.71608999999998</v>
      </c>
      <c r="G86" s="2"/>
      <c r="H86" s="10">
        <f>'Budget 2025'!N91</f>
        <v>671.5</v>
      </c>
      <c r="K86" s="34"/>
    </row>
    <row r="87" spans="1:11" hidden="1" x14ac:dyDescent="0.35">
      <c r="A87" s="5" t="s">
        <v>60</v>
      </c>
      <c r="B87" s="8">
        <v>6322</v>
      </c>
      <c r="C87" s="8">
        <v>6322</v>
      </c>
      <c r="D87" s="8">
        <v>6322</v>
      </c>
      <c r="E87" s="8">
        <v>6322</v>
      </c>
      <c r="F87" s="14">
        <f>SUMPRODUCT(B87:E87,$B$86:$E$86)/SUM($B$86:$E$86)</f>
        <v>6322</v>
      </c>
      <c r="H87" s="8">
        <f>'Budget 2025'!N92</f>
        <v>6322</v>
      </c>
      <c r="K87" s="34"/>
    </row>
    <row r="88" spans="1:11" hidden="1" x14ac:dyDescent="0.35">
      <c r="A88" s="5" t="s">
        <v>42</v>
      </c>
      <c r="B88" s="7">
        <v>0.6</v>
      </c>
      <c r="C88" s="7">
        <v>0.6</v>
      </c>
      <c r="D88" s="7">
        <v>0.6</v>
      </c>
      <c r="E88" s="7">
        <v>0.6</v>
      </c>
      <c r="F88" s="15">
        <f>SUMPRODUCT(B88:E88,$B$86:$E$86)/SUM($B$86:$E$86)</f>
        <v>0.6</v>
      </c>
      <c r="H88" s="7">
        <f>'Budget 2025'!N93</f>
        <v>0.6</v>
      </c>
      <c r="K88" s="34"/>
    </row>
    <row r="89" spans="1:11" hidden="1" x14ac:dyDescent="0.35">
      <c r="A89" s="5" t="s">
        <v>37</v>
      </c>
      <c r="B89" s="7">
        <v>7</v>
      </c>
      <c r="C89" s="7">
        <v>7</v>
      </c>
      <c r="D89" s="7">
        <v>7</v>
      </c>
      <c r="E89" s="7">
        <v>7</v>
      </c>
      <c r="F89" s="15">
        <f>SUMPRODUCT(B89:E89,$B$86:$E$86)/SUM($B$86:$E$86)</f>
        <v>7.0000000000000009</v>
      </c>
      <c r="H89" s="7">
        <f>'Budget 2025'!N94</f>
        <v>7</v>
      </c>
      <c r="K89" s="34"/>
    </row>
    <row r="90" spans="1:11" hidden="1" x14ac:dyDescent="0.35">
      <c r="A90" s="5" t="s">
        <v>38</v>
      </c>
      <c r="B90" s="7">
        <v>12</v>
      </c>
      <c r="C90" s="7">
        <v>12</v>
      </c>
      <c r="D90" s="7">
        <v>12</v>
      </c>
      <c r="E90" s="7">
        <v>12</v>
      </c>
      <c r="F90" s="15">
        <f>SUMPRODUCT(B90:E90,$B$86:$E$86)/SUM($B$86:$E$86)</f>
        <v>12</v>
      </c>
      <c r="H90" s="7">
        <f>'Budget 2025'!N95</f>
        <v>12</v>
      </c>
      <c r="K90" s="34"/>
    </row>
    <row r="91" spans="1:11" hidden="1" x14ac:dyDescent="0.35">
      <c r="A91" s="5" t="s">
        <v>25</v>
      </c>
      <c r="B91" s="7">
        <v>14</v>
      </c>
      <c r="C91" s="7">
        <v>14</v>
      </c>
      <c r="D91" s="7">
        <v>14</v>
      </c>
      <c r="E91" s="7">
        <v>14</v>
      </c>
      <c r="F91" s="15">
        <f>SUMPRODUCT(B91:E91,$B$86:$E$86)/SUM($B$86:$E$86)</f>
        <v>14.000000000000002</v>
      </c>
      <c r="H91" s="7">
        <f>'Budget 2025'!N96</f>
        <v>14</v>
      </c>
      <c r="K91" s="34"/>
    </row>
    <row r="92" spans="1:11" hidden="1" x14ac:dyDescent="0.35">
      <c r="A92" s="9" t="s">
        <v>54</v>
      </c>
      <c r="B92" s="10">
        <v>50.015909999999998</v>
      </c>
      <c r="C92" s="10">
        <v>12.969749999999998</v>
      </c>
      <c r="D92" s="10">
        <v>6.85785</v>
      </c>
      <c r="E92" s="10">
        <v>25.136750000000003</v>
      </c>
      <c r="F92" s="10">
        <f>SUM(B92:E92)</f>
        <v>94.980260000000001</v>
      </c>
      <c r="G92" s="2"/>
      <c r="H92" s="10">
        <f>'Budget 2025'!N97</f>
        <v>1005</v>
      </c>
      <c r="K92" s="34"/>
    </row>
    <row r="93" spans="1:11" hidden="1" x14ac:dyDescent="0.35">
      <c r="A93" s="5" t="s">
        <v>60</v>
      </c>
      <c r="B93" s="8">
        <v>5400</v>
      </c>
      <c r="C93" s="8">
        <v>5400</v>
      </c>
      <c r="D93" s="8">
        <v>5400</v>
      </c>
      <c r="E93" s="8">
        <v>5400</v>
      </c>
      <c r="F93" s="14">
        <f>SUMPRODUCT(B93:E93,$B$93:$E$93)/SUM($B$93:$E$93)</f>
        <v>5400</v>
      </c>
      <c r="H93" s="8">
        <f>'Budget 2025'!N98</f>
        <v>5400</v>
      </c>
      <c r="K93" s="34"/>
    </row>
    <row r="94" spans="1:11" hidden="1" x14ac:dyDescent="0.35">
      <c r="A94" s="5" t="s">
        <v>42</v>
      </c>
      <c r="B94" s="7">
        <v>1</v>
      </c>
      <c r="C94" s="7">
        <v>1</v>
      </c>
      <c r="D94" s="7">
        <v>1</v>
      </c>
      <c r="E94" s="7">
        <v>1</v>
      </c>
      <c r="F94" s="15">
        <f>SUMPRODUCT(B94:E94,$B$93:$E$93)/SUM($B$93:$E$93)</f>
        <v>1</v>
      </c>
      <c r="H94" s="7">
        <f>'Budget 2025'!N99</f>
        <v>1</v>
      </c>
      <c r="K94" s="34"/>
    </row>
    <row r="95" spans="1:11" hidden="1" x14ac:dyDescent="0.35">
      <c r="A95" s="5" t="s">
        <v>37</v>
      </c>
      <c r="B95" s="7">
        <v>6</v>
      </c>
      <c r="C95" s="7">
        <v>6</v>
      </c>
      <c r="D95" s="7">
        <v>6</v>
      </c>
      <c r="E95" s="7">
        <v>6</v>
      </c>
      <c r="F95" s="15">
        <f>SUMPRODUCT(B95:E95,$B$93:$E$93)/SUM($B$93:$E$93)</f>
        <v>6</v>
      </c>
      <c r="H95" s="7">
        <f>'Budget 2025'!N100</f>
        <v>6</v>
      </c>
      <c r="K95" s="34"/>
    </row>
    <row r="96" spans="1:11" hidden="1" x14ac:dyDescent="0.35">
      <c r="A96" s="5" t="s">
        <v>38</v>
      </c>
      <c r="B96" s="7">
        <v>15</v>
      </c>
      <c r="C96" s="7">
        <v>15</v>
      </c>
      <c r="D96" s="7">
        <v>15</v>
      </c>
      <c r="E96" s="7">
        <v>15</v>
      </c>
      <c r="F96" s="15">
        <f>SUMPRODUCT(B96:E96,$B$93:$E$93)/SUM($B$93:$E$93)</f>
        <v>15</v>
      </c>
      <c r="H96" s="7">
        <f>'Budget 2025'!N101</f>
        <v>15</v>
      </c>
      <c r="K96" s="34"/>
    </row>
    <row r="97" spans="1:11" hidden="1" x14ac:dyDescent="0.35">
      <c r="A97" s="5" t="s">
        <v>25</v>
      </c>
      <c r="B97" s="7">
        <v>24</v>
      </c>
      <c r="C97" s="7">
        <v>24</v>
      </c>
      <c r="D97" s="7">
        <v>24</v>
      </c>
      <c r="E97" s="7">
        <v>24</v>
      </c>
      <c r="F97" s="15">
        <f>SUMPRODUCT(B97:E97,$B$93:$E$93)/SUM($B$93:$E$93)</f>
        <v>24</v>
      </c>
      <c r="H97" s="7">
        <f>'Budget 2025'!N102</f>
        <v>24</v>
      </c>
      <c r="K97" s="34"/>
    </row>
    <row r="98" spans="1:11" x14ac:dyDescent="0.35">
      <c r="K98" s="34"/>
    </row>
    <row r="99" spans="1:11" x14ac:dyDescent="0.35">
      <c r="A99" s="6" t="s">
        <v>48</v>
      </c>
      <c r="B99" s="6" t="s">
        <v>93</v>
      </c>
      <c r="C99" s="6" t="s">
        <v>94</v>
      </c>
      <c r="D99" s="6" t="s">
        <v>95</v>
      </c>
      <c r="E99" s="6" t="s">
        <v>96</v>
      </c>
      <c r="F99" s="6" t="s">
        <v>13</v>
      </c>
      <c r="G99" s="4"/>
      <c r="H99" s="6" t="s">
        <v>84</v>
      </c>
      <c r="K99" s="34"/>
    </row>
    <row r="100" spans="1:11" s="2" customFormat="1" x14ac:dyDescent="0.35">
      <c r="A100" s="9" t="s">
        <v>14</v>
      </c>
      <c r="B100" s="10">
        <f>SUM(B101:B103)</f>
        <v>21749.252778350001</v>
      </c>
      <c r="C100" s="10">
        <f t="shared" ref="C100:F100" si="14">SUM(C101:C103)</f>
        <v>24093.488685</v>
      </c>
      <c r="D100" s="10">
        <f t="shared" si="14"/>
        <v>24685.972669999999</v>
      </c>
      <c r="E100" s="10">
        <f t="shared" si="14"/>
        <v>22971.286086650001</v>
      </c>
      <c r="F100" s="10">
        <f t="shared" si="14"/>
        <v>93500.000220000002</v>
      </c>
      <c r="H100" s="10">
        <f>'Budget 2025'!N105</f>
        <v>90950</v>
      </c>
      <c r="I100" s="27">
        <f>F100/H100</f>
        <v>1.0280373855964815</v>
      </c>
      <c r="K100" s="34"/>
    </row>
    <row r="101" spans="1:11" x14ac:dyDescent="0.35">
      <c r="A101" s="5" t="s">
        <v>30</v>
      </c>
      <c r="B101" s="30">
        <f>SUMIFS('Outlook 4+8'!$B101:$M101,'Outlook 4+8'!$B$185:$M$185,'Outlook Quarterly 4+8'!B$4)</f>
        <v>4618.2175850000003</v>
      </c>
      <c r="C101" s="8">
        <f>SUMIFS('Outlook 4+8'!$B101:$M101,'Outlook 4+8'!$B$185:$M$185,'Outlook Quarterly 4+8'!C$4)</f>
        <v>7008.5275499999998</v>
      </c>
      <c r="D101" s="8">
        <f>SUMIFS('Outlook 4+8'!$B101:$M101,'Outlook 4+8'!$B$185:$M$185,'Outlook Quarterly 4+8'!D$4)</f>
        <v>6020.9726699999992</v>
      </c>
      <c r="E101" s="8">
        <f>SUMIFS('Outlook 4+8'!$B101:$M101,'Outlook 4+8'!$B$185:$M$185,'Outlook Quarterly 4+8'!E$4)</f>
        <v>6352.2824149999997</v>
      </c>
      <c r="F101" s="8">
        <f>SUM(B101:E101)</f>
        <v>24000.000220000002</v>
      </c>
      <c r="H101" s="8">
        <f>'Budget 2025'!N106</f>
        <v>24000</v>
      </c>
      <c r="K101" s="34"/>
    </row>
    <row r="102" spans="1:11" x14ac:dyDescent="0.35">
      <c r="A102" s="5" t="s">
        <v>57</v>
      </c>
      <c r="B102" s="30">
        <f>SUMIFS('Outlook 4+8'!$B102:$M102,'Outlook 4+8'!$B$185:$M$185,'Outlook Quarterly 4+8'!B$4)</f>
        <v>11147.49826335</v>
      </c>
      <c r="C102" s="8">
        <f>SUMIFS('Outlook 4+8'!$B102:$M102,'Outlook 4+8'!$B$185:$M$185,'Outlook Quarterly 4+8'!C$4)</f>
        <v>12680.865375000001</v>
      </c>
      <c r="D102" s="8">
        <f>SUMIFS('Outlook 4+8'!$B102:$M102,'Outlook 4+8'!$B$185:$M$185,'Outlook Quarterly 4+8'!D$4)</f>
        <v>15810</v>
      </c>
      <c r="E102" s="8">
        <f>SUMIFS('Outlook 4+8'!$B102:$M102,'Outlook 4+8'!$B$185:$M$185,'Outlook Quarterly 4+8'!E$4)</f>
        <v>15361.636361650004</v>
      </c>
      <c r="F102" s="8">
        <f>SUM(B102:E102)</f>
        <v>55000</v>
      </c>
      <c r="H102" s="8">
        <f>'Budget 2025'!N107</f>
        <v>52450</v>
      </c>
      <c r="K102" s="34"/>
    </row>
    <row r="103" spans="1:11" x14ac:dyDescent="0.35">
      <c r="A103" s="5" t="s">
        <v>45</v>
      </c>
      <c r="B103" s="30">
        <f>SUMIFS('Outlook 4+8'!$B103:$M103,'Outlook 4+8'!$B$185:$M$185,'Outlook Quarterly 4+8'!B$4)</f>
        <v>5983.5369300000002</v>
      </c>
      <c r="C103" s="8">
        <f>SUMIFS('Outlook 4+8'!$B103:$M103,'Outlook 4+8'!$B$185:$M$185,'Outlook Quarterly 4+8'!C$4)</f>
        <v>4404.0957600000002</v>
      </c>
      <c r="D103" s="8">
        <f>SUMIFS('Outlook 4+8'!$B103:$M103,'Outlook 4+8'!$B$185:$M$185,'Outlook Quarterly 4+8'!D$4)</f>
        <v>2855</v>
      </c>
      <c r="E103" s="8">
        <f>SUMIFS('Outlook 4+8'!$B103:$M103,'Outlook 4+8'!$B$185:$M$185,'Outlook Quarterly 4+8'!E$4)</f>
        <v>1257.3673099999985</v>
      </c>
      <c r="F103" s="8">
        <f>SUM(B103:E103)</f>
        <v>14499.999999999998</v>
      </c>
      <c r="H103" s="8">
        <f>'Budget 2025'!N108</f>
        <v>14500</v>
      </c>
      <c r="K103" s="34"/>
    </row>
    <row r="104" spans="1:11" s="2" customFormat="1" x14ac:dyDescent="0.35">
      <c r="A104" s="9" t="s">
        <v>17</v>
      </c>
      <c r="B104" s="10">
        <f t="shared" ref="B104:F104" si="15">SUM(B105:B107)</f>
        <v>2384.6631639999996</v>
      </c>
      <c r="C104" s="10">
        <f t="shared" si="15"/>
        <v>2085.0238859999999</v>
      </c>
      <c r="D104" s="10">
        <f t="shared" si="15"/>
        <v>2050</v>
      </c>
      <c r="E104" s="10">
        <f t="shared" si="15"/>
        <v>1730.31295</v>
      </c>
      <c r="F104" s="10">
        <f t="shared" si="15"/>
        <v>8250</v>
      </c>
      <c r="H104" s="10">
        <f>'Budget 2025'!N109</f>
        <v>8000</v>
      </c>
      <c r="I104" s="27">
        <f>F104/H104</f>
        <v>1.03125</v>
      </c>
      <c r="K104" s="34"/>
    </row>
    <row r="105" spans="1:11" x14ac:dyDescent="0.35">
      <c r="A105" s="5" t="s">
        <v>30</v>
      </c>
      <c r="B105" s="30">
        <f>SUMIFS('Outlook 4+8'!$B105:$M105,'Outlook 4+8'!$B$185:$M$185,'Outlook Quarterly 4+8'!B$4)</f>
        <v>652.31441400000006</v>
      </c>
      <c r="C105" s="8">
        <f>SUMIFS('Outlook 4+8'!$B105:$M105,'Outlook 4+8'!$B$185:$M$185,'Outlook Quarterly 4+8'!C$4)</f>
        <v>613.84663999999998</v>
      </c>
      <c r="D105" s="8">
        <f>SUMIFS('Outlook 4+8'!$B105:$M105,'Outlook 4+8'!$B$185:$M$185,'Outlook Quarterly 4+8'!D$4)</f>
        <v>605</v>
      </c>
      <c r="E105" s="8">
        <f>SUMIFS('Outlook 4+8'!$B105:$M105,'Outlook 4+8'!$B$185:$M$185,'Outlook Quarterly 4+8'!E$4)</f>
        <v>528.83894600000019</v>
      </c>
      <c r="F105" s="8">
        <f>SUM(B105:E105)</f>
        <v>2400.0000000000005</v>
      </c>
      <c r="H105" s="8">
        <f>'Budget 2025'!N110</f>
        <v>2399.9999999999995</v>
      </c>
      <c r="K105" s="34"/>
    </row>
    <row r="106" spans="1:11" x14ac:dyDescent="0.35">
      <c r="A106" s="5" t="s">
        <v>57</v>
      </c>
      <c r="B106" s="30">
        <f>SUMIFS('Outlook 4+8'!$B106:$M106,'Outlook 4+8'!$B$185:$M$185,'Outlook Quarterly 4+8'!B$4)</f>
        <v>1195.5137219999997</v>
      </c>
      <c r="C106" s="8">
        <f>SUMIFS('Outlook 4+8'!$B106:$M106,'Outlook 4+8'!$B$185:$M$185,'Outlook Quarterly 4+8'!C$4)</f>
        <v>925.22142599999995</v>
      </c>
      <c r="D106" s="8">
        <f>SUMIFS('Outlook 4+8'!$B106:$M106,'Outlook 4+8'!$B$185:$M$185,'Outlook Quarterly 4+8'!D$4)</f>
        <v>1340</v>
      </c>
      <c r="E106" s="8">
        <f>SUMIFS('Outlook 4+8'!$B106:$M106,'Outlook 4+8'!$B$185:$M$185,'Outlook Quarterly 4+8'!E$4)</f>
        <v>1139.264852</v>
      </c>
      <c r="F106" s="8">
        <f>SUM(B106:E106)</f>
        <v>4600</v>
      </c>
      <c r="H106" s="8">
        <f>'Budget 2025'!N111</f>
        <v>4400</v>
      </c>
      <c r="K106" s="34"/>
    </row>
    <row r="107" spans="1:11" x14ac:dyDescent="0.35">
      <c r="A107" s="5" t="s">
        <v>45</v>
      </c>
      <c r="B107" s="30">
        <f>SUMIFS('Outlook 4+8'!$B107:$M107,'Outlook 4+8'!$B$185:$M$185,'Outlook Quarterly 4+8'!B$4)</f>
        <v>536.83502799999997</v>
      </c>
      <c r="C107" s="8">
        <f>SUMIFS('Outlook 4+8'!$B107:$M107,'Outlook 4+8'!$B$185:$M$185,'Outlook Quarterly 4+8'!C$4)</f>
        <v>545.95582000000002</v>
      </c>
      <c r="D107" s="8">
        <f>SUMIFS('Outlook 4+8'!$B107:$M107,'Outlook 4+8'!$B$185:$M$185,'Outlook Quarterly 4+8'!D$4)</f>
        <v>105</v>
      </c>
      <c r="E107" s="8">
        <f>SUMIFS('Outlook 4+8'!$B107:$M107,'Outlook 4+8'!$B$185:$M$185,'Outlook Quarterly 4+8'!E$4)</f>
        <v>62.209151999999804</v>
      </c>
      <c r="F107" s="8">
        <f>SUM(B107:E107)</f>
        <v>1250</v>
      </c>
      <c r="H107" s="8">
        <f>'Budget 2025'!N112</f>
        <v>1200</v>
      </c>
      <c r="K107" s="34"/>
    </row>
    <row r="108" spans="1:11" s="2" customFormat="1" x14ac:dyDescent="0.35">
      <c r="A108" s="9" t="s">
        <v>43</v>
      </c>
      <c r="B108" s="11">
        <f t="shared" ref="B108:F108" si="16">IFERROR(B100/B104,0)</f>
        <v>9.1204716484436812</v>
      </c>
      <c r="C108" s="11">
        <f t="shared" si="16"/>
        <v>11.555497683636609</v>
      </c>
      <c r="D108" s="11">
        <f t="shared" si="16"/>
        <v>12.041937887804878</v>
      </c>
      <c r="E108" s="11">
        <f t="shared" si="16"/>
        <v>13.275798511853015</v>
      </c>
      <c r="F108" s="11">
        <f t="shared" si="16"/>
        <v>11.333333360000001</v>
      </c>
      <c r="H108" s="11">
        <f>'Budget 2025'!N113</f>
        <v>11.36875</v>
      </c>
      <c r="K108" s="34"/>
    </row>
    <row r="109" spans="1:11" s="2" customFormat="1" x14ac:dyDescent="0.35">
      <c r="A109" s="9" t="s">
        <v>34</v>
      </c>
      <c r="B109" s="11">
        <f t="shared" ref="B109:F109" si="17">IFERROR(B100/B110,0)</f>
        <v>10.151995378760295</v>
      </c>
      <c r="C109" s="11">
        <f t="shared" si="17"/>
        <v>11.441169151512556</v>
      </c>
      <c r="D109" s="11">
        <f t="shared" si="17"/>
        <v>11.75522508095238</v>
      </c>
      <c r="E109" s="11">
        <f t="shared" si="17"/>
        <v>11.141489831520078</v>
      </c>
      <c r="F109" s="11">
        <f t="shared" si="17"/>
        <v>11.117717029726514</v>
      </c>
      <c r="H109" s="11">
        <f>'Budget 2025'!N114</f>
        <v>11.228395061728396</v>
      </c>
      <c r="K109" s="34"/>
    </row>
    <row r="110" spans="1:11" s="2" customFormat="1" x14ac:dyDescent="0.35">
      <c r="A110" s="9" t="s">
        <v>49</v>
      </c>
      <c r="B110" s="10">
        <f>B111+B117</f>
        <v>2142.3623600000001</v>
      </c>
      <c r="C110" s="10">
        <f t="shared" ref="C110:F110" si="18">C111+C117</f>
        <v>2105.8589699999998</v>
      </c>
      <c r="D110" s="10">
        <f t="shared" si="18"/>
        <v>2100</v>
      </c>
      <c r="E110" s="10">
        <f t="shared" si="18"/>
        <v>2061.7786700000011</v>
      </c>
      <c r="F110" s="10">
        <f t="shared" si="18"/>
        <v>8410.0000000000018</v>
      </c>
      <c r="H110" s="10">
        <f>'Budget 2025'!N115</f>
        <v>8100</v>
      </c>
      <c r="K110" s="34"/>
    </row>
    <row r="111" spans="1:11" s="2" customFormat="1" x14ac:dyDescent="0.35">
      <c r="A111" s="9" t="s">
        <v>89</v>
      </c>
      <c r="B111" s="10">
        <f>SUMIFS('Outlook 4+8'!$B111:$M111,'Outlook 4+8'!$B$185:$M$185,'Outlook Quarterly 4+8'!B$4)</f>
        <v>1740.8721599999999</v>
      </c>
      <c r="C111" s="10">
        <f>SUMIFS('Outlook 4+8'!$B111:$M111,'Outlook 4+8'!$B$185:$M$185,'Outlook Quarterly 4+8'!C$4)</f>
        <v>1393.7176199999999</v>
      </c>
      <c r="D111" s="10">
        <f>SUMIFS('Outlook 4+8'!$B111:$M111,'Outlook 4+8'!$B$185:$M$185,'Outlook Quarterly 4+8'!D$4)</f>
        <v>1500</v>
      </c>
      <c r="E111" s="10">
        <f>SUMIFS('Outlook 4+8'!$B111:$M111,'Outlook 4+8'!$B$185:$M$185,'Outlook Quarterly 4+8'!E$4)</f>
        <v>1465.4102200000011</v>
      </c>
      <c r="F111" s="10">
        <f>SUM(B111:E111)</f>
        <v>6100.0000000000018</v>
      </c>
      <c r="H111" s="10">
        <f>'Budget 2025'!N116</f>
        <v>5560</v>
      </c>
      <c r="K111" s="34"/>
    </row>
    <row r="112" spans="1:11" x14ac:dyDescent="0.35">
      <c r="A112" s="5" t="s">
        <v>60</v>
      </c>
      <c r="B112" s="30">
        <f>IFERROR(SUMPRODUCT('Outlook 4+8'!$B112:$D112,'Outlook 4+8'!$B$111:$D$111)/SUM('Outlook 4+8'!$B$111:$D$111),0)</f>
        <v>6143.3409514719779</v>
      </c>
      <c r="C112" s="8">
        <f>IFERROR(SUMPRODUCT('Outlook 4+8'!$E112:$G112,'Outlook 4+8'!$E$111:$G$111)/SUM('Outlook 4+8'!$E$111:$G$111),0)</f>
        <v>6093.8259938000529</v>
      </c>
      <c r="D112" s="8">
        <f>IFERROR(SUMPRODUCT('Outlook 4+8'!$H112:$J112,'Outlook 4+8'!$H$111:$J$111)/SUM('Outlook 4+8'!$H$111:$J$111),0)</f>
        <v>6259.7146014000464</v>
      </c>
      <c r="E112" s="8">
        <f>IFERROR(SUMPRODUCT('Outlook 4+8'!$K112:$M112,'Outlook 4+8'!$K$111:$M$111)/SUM('Outlook 4+8'!$K$111:$M$111),0)</f>
        <v>6239.0551514209783</v>
      </c>
      <c r="F112" s="8">
        <f>SUMPRODUCT(B112:E112,$B$111:$E$111)/SUM($B$111:$E$111)</f>
        <v>6183.6378650351853</v>
      </c>
      <c r="H112" s="8">
        <f>'Budget 2025'!N117</f>
        <v>5915.2264206877153</v>
      </c>
      <c r="K112" s="34"/>
    </row>
    <row r="113" spans="1:11" x14ac:dyDescent="0.35">
      <c r="A113" s="5" t="s">
        <v>22</v>
      </c>
      <c r="B113" s="31">
        <f>IFERROR(SUMPRODUCT('Outlook 4+8'!$B113:$D113,'Outlook 4+8'!$B$111:$D$111)/SUM('Outlook 4+8'!$B$111:$D$111),0)</f>
        <v>0.53124865401678967</v>
      </c>
      <c r="C113" s="7">
        <f>IFERROR(SUMPRODUCT('Outlook 4+8'!$E113:$G113,'Outlook 4+8'!$E$111:$G$111)/SUM('Outlook 4+8'!$E$111:$G$111),0)</f>
        <v>0.58044588203883074</v>
      </c>
      <c r="D113" s="7">
        <f>IFERROR(SUMPRODUCT('Outlook 4+8'!$H113:$J113,'Outlook 4+8'!$H$111:$J$111)/SUM('Outlook 4+8'!$H$111:$J$111),0)</f>
        <v>0.5496789908408003</v>
      </c>
      <c r="E113" s="7">
        <f>IFERROR(SUMPRODUCT('Outlook 4+8'!$K113:$M113,'Outlook 4+8'!$K$111:$M$111)/SUM('Outlook 4+8'!$K$111:$M$111),0)</f>
        <v>0.55713233125075901</v>
      </c>
      <c r="F113" s="7">
        <f>SUMPRODUCT(B113:E113,$B$111:$E$111)/SUM($B$111:$E$111)</f>
        <v>0.5532392694160243</v>
      </c>
      <c r="H113" s="7">
        <f>'Budget 2025'!N118</f>
        <v>0.57720242104926189</v>
      </c>
      <c r="K113" s="34"/>
    </row>
    <row r="114" spans="1:11" x14ac:dyDescent="0.35">
      <c r="A114" s="5" t="s">
        <v>23</v>
      </c>
      <c r="B114" s="31">
        <f>IFERROR(SUMPRODUCT('Outlook 4+8'!$B114:$D114,'Outlook 4+8'!$B$111:$D$111)/SUM('Outlook 4+8'!$B$111:$D$111),0)</f>
        <v>4.4044611646016154</v>
      </c>
      <c r="C114" s="7">
        <f>IFERROR(SUMPRODUCT('Outlook 4+8'!$E114:$G114,'Outlook 4+8'!$E$111:$G$111)/SUM('Outlook 4+8'!$E$111:$G$111),0)</f>
        <v>4.0529864541813589</v>
      </c>
      <c r="D114" s="7">
        <f>IFERROR(SUMPRODUCT('Outlook 4+8'!$H114:$J114,'Outlook 4+8'!$H$111:$J$111)/SUM('Outlook 4+8'!$H$111:$J$111),0)</f>
        <v>3.9955549153441661</v>
      </c>
      <c r="E114" s="7">
        <f>IFERROR(SUMPRODUCT('Outlook 4+8'!$K114:$M114,'Outlook 4+8'!$K$111:$M$111)/SUM('Outlook 4+8'!$K$111:$M$111),0)</f>
        <v>3.9029324185471159</v>
      </c>
      <c r="F114" s="7">
        <f>(SUMPRODUCT(B114:E114,$B$111:$E$111)/SUM($B$111:$E$111))</f>
        <v>4.1031232595400846</v>
      </c>
      <c r="H114" s="7">
        <f>'Budget 2025'!N119</f>
        <v>4.8848465793008069</v>
      </c>
      <c r="K114" s="34"/>
    </row>
    <row r="115" spans="1:11" x14ac:dyDescent="0.35">
      <c r="A115" s="5" t="s">
        <v>38</v>
      </c>
      <c r="B115" s="31">
        <f>IFERROR(SUMPRODUCT('Outlook 4+8'!$B115:$D115,'Outlook 4+8'!$B$111:$D$111)/SUM('Outlook 4+8'!$B$111:$D$111),0)</f>
        <v>10.533314207067347</v>
      </c>
      <c r="C115" s="7">
        <f>IFERROR(SUMPRODUCT('Outlook 4+8'!$E115:$G115,'Outlook 4+8'!$E$111:$G$111)/SUM('Outlook 4+8'!$E$111:$G$111),0)</f>
        <v>10.956266840575156</v>
      </c>
      <c r="D115" s="7">
        <f>IFERROR(SUMPRODUCT('Outlook 4+8'!$H115:$J115,'Outlook 4+8'!$H$111:$J$111)/SUM('Outlook 4+8'!$H$111:$J$111),0)</f>
        <v>10.631972801129237</v>
      </c>
      <c r="E115" s="7">
        <f>IFERROR(SUMPRODUCT('Outlook 4+8'!$K115:$M115,'Outlook 4+8'!$K$111:$M$111)/SUM('Outlook 4+8'!$K$111:$M$111),0)</f>
        <v>10.731148936293485</v>
      </c>
      <c r="F115" s="7">
        <f>SUMPRODUCT(B115:E115,$B$111:$E$111)/SUM($B$111:$E$111)</f>
        <v>10.701736086234064</v>
      </c>
      <c r="H115" s="7">
        <f>'Budget 2025'!N120</f>
        <v>11.469446555956317</v>
      </c>
      <c r="K115" s="34"/>
    </row>
    <row r="116" spans="1:11" x14ac:dyDescent="0.35">
      <c r="A116" s="5" t="s">
        <v>25</v>
      </c>
      <c r="B116" s="31">
        <f>IFERROR(SUMPRODUCT('Outlook 4+8'!$B116:$D116,'Outlook 4+8'!$B$111:$D$111)/SUM('Outlook 4+8'!$B$111:$D$111),0)</f>
        <v>15.906094086775063</v>
      </c>
      <c r="C116" s="7">
        <f>IFERROR(SUMPRODUCT('Outlook 4+8'!$E116:$G116,'Outlook 4+8'!$E$111:$G$111)/SUM('Outlook 4+8'!$E$111:$G$111),0)</f>
        <v>16.603183210888041</v>
      </c>
      <c r="D116" s="7">
        <f>IFERROR(SUMPRODUCT('Outlook 4+8'!$H116:$J116,'Outlook 4+8'!$H$111:$J$111)/SUM('Outlook 4+8'!$H$111:$J$111),0)</f>
        <v>14.475729077150534</v>
      </c>
      <c r="E116" s="7">
        <f>IFERROR(SUMPRODUCT('Outlook 4+8'!$K116:$M116,'Outlook 4+8'!$K$111:$M$111)/SUM('Outlook 4+8'!$K$111:$M$111),0)</f>
        <v>14.800948742906012</v>
      </c>
      <c r="F116" s="7">
        <f>SUMPRODUCT(B116:E116,$B$111:$E$111)/SUM($B$111:$E$111)</f>
        <v>15.448144348915834</v>
      </c>
      <c r="H116" s="7">
        <f>'Budget 2025'!N121</f>
        <v>15.241913451679135</v>
      </c>
      <c r="K116" s="34"/>
    </row>
    <row r="117" spans="1:11" s="2" customFormat="1" x14ac:dyDescent="0.35">
      <c r="A117" s="9" t="s">
        <v>90</v>
      </c>
      <c r="B117" s="10">
        <f>SUMIFS('Outlook 4+8'!$B117:$M117,'Outlook 4+8'!$B$185:$M$185,'Outlook Quarterly 4+8'!B$4)</f>
        <v>401.49020000000007</v>
      </c>
      <c r="C117" s="10">
        <f>SUMIFS('Outlook 4+8'!$B117:$M117,'Outlook 4+8'!$B$185:$M$185,'Outlook Quarterly 4+8'!C$4)</f>
        <v>712.14134999999999</v>
      </c>
      <c r="D117" s="10">
        <f>SUMIFS('Outlook 4+8'!$B117:$M117,'Outlook 4+8'!$B$185:$M$185,'Outlook Quarterly 4+8'!D$4)</f>
        <v>600</v>
      </c>
      <c r="E117" s="10">
        <f>SUMIFS('Outlook 4+8'!$B117:$M117,'Outlook 4+8'!$B$185:$M$185,'Outlook Quarterly 4+8'!E$4)</f>
        <v>596.36845000000005</v>
      </c>
      <c r="F117" s="10">
        <f>SUM(B117:E117)</f>
        <v>2310</v>
      </c>
      <c r="H117" s="10">
        <f>'Budget 2025'!N122</f>
        <v>2540</v>
      </c>
      <c r="K117" s="34"/>
    </row>
    <row r="118" spans="1:11" x14ac:dyDescent="0.35">
      <c r="A118" s="5" t="s">
        <v>60</v>
      </c>
      <c r="B118" s="30">
        <f>IFERROR(SUMPRODUCT('Outlook 4+8'!$B118:$D118,'Outlook 4+8'!$B$117:$D$117)/SUM('Outlook 4+8'!$B$117:$D$117),0)</f>
        <v>6068.5303983263693</v>
      </c>
      <c r="C118" s="8">
        <f>IFERROR(SUMPRODUCT('Outlook 4+8'!$E118:$G118,'Outlook 4+8'!$E$117:$G$117)/SUM('Outlook 4+8'!$E$117:$G$117),0)</f>
        <v>6130.3710959686996</v>
      </c>
      <c r="D118" s="8">
        <f>IFERROR(SUMPRODUCT('Outlook 4+8'!$H118:$J118,'Outlook 4+8'!$H$117:$J$117)/SUM('Outlook 4+8'!$H$117:$J$117),0)</f>
        <v>6186.9204220588008</v>
      </c>
      <c r="E118" s="8">
        <f>IFERROR(SUMPRODUCT('Outlook 4+8'!$K118:$M118,'Outlook 4+8'!$K$117:$M$117)/SUM('Outlook 4+8'!$K$117:$M$117),0)</f>
        <v>6199.9973390947689</v>
      </c>
      <c r="F118" s="8">
        <f>SUMPRODUCT(B118:E118,$B$117:$E$117)/SUM($B$117:$E$117)</f>
        <v>6152.2862718483184</v>
      </c>
      <c r="H118" s="8">
        <f>'Budget 2025'!N123</f>
        <v>5792.8232136227871</v>
      </c>
      <c r="K118" s="34"/>
    </row>
    <row r="119" spans="1:11" x14ac:dyDescent="0.35">
      <c r="A119" s="5" t="s">
        <v>22</v>
      </c>
      <c r="B119" s="31">
        <f>IFERROR(SUMPRODUCT('Outlook 4+8'!$B119:$D119,'Outlook 4+8'!$B$117:$D$117)/SUM('Outlook 4+8'!$B$117:$D$117),0)</f>
        <v>1.9720963431228522</v>
      </c>
      <c r="C119" s="7">
        <f>IFERROR(SUMPRODUCT('Outlook 4+8'!$E119:$G119,'Outlook 4+8'!$E$117:$G$117)/SUM('Outlook 4+8'!$E$117:$G$117),0)</f>
        <v>1.9192720538136712</v>
      </c>
      <c r="D119" s="7">
        <f>IFERROR(SUMPRODUCT('Outlook 4+8'!$H119:$J119,'Outlook 4+8'!$H$117:$J$117)/SUM('Outlook 4+8'!$H$117:$J$117),0)</f>
        <v>1.8692479508348023</v>
      </c>
      <c r="E119" s="7">
        <f>IFERROR(SUMPRODUCT('Outlook 4+8'!$K119:$M119,'Outlook 4+8'!$K$117:$M$117)/SUM('Outlook 4+8'!$K$117:$M$117),0)</f>
        <v>1.882091260704065</v>
      </c>
      <c r="F119" s="7">
        <f>SUMPRODUCT(B119:E119,$B$117:$E$117)/SUM($B$117:$E$117)</f>
        <v>1.90586102382914</v>
      </c>
      <c r="H119" s="7">
        <f>'Budget 2025'!N124</f>
        <v>1.7606128453673298</v>
      </c>
      <c r="K119" s="34"/>
    </row>
    <row r="120" spans="1:11" x14ac:dyDescent="0.35">
      <c r="A120" s="5" t="s">
        <v>23</v>
      </c>
      <c r="B120" s="31">
        <f>IFERROR(SUMPRODUCT('Outlook 4+8'!$B120:$D120,'Outlook 4+8'!$B$117:$D$117)/SUM('Outlook 4+8'!$B$117:$D$117),0)</f>
        <v>5.4115621339721738</v>
      </c>
      <c r="C120" s="7">
        <f>IFERROR(SUMPRODUCT('Outlook 4+8'!$E120:$G120,'Outlook 4+8'!$E$117:$G$117)/SUM('Outlook 4+8'!$E$117:$G$117),0)</f>
        <v>5.2733515995994811</v>
      </c>
      <c r="D120" s="7">
        <f>IFERROR(SUMPRODUCT('Outlook 4+8'!$H120:$J120,'Outlook 4+8'!$H$117:$J$117)/SUM('Outlook 4+8'!$H$117:$J$117),0)</f>
        <v>4.547122753347014</v>
      </c>
      <c r="E120" s="7">
        <f>IFERROR(SUMPRODUCT('Outlook 4+8'!$K120:$M120,'Outlook 4+8'!$K$117:$M$117)/SUM('Outlook 4+8'!$K$117:$M$117),0)</f>
        <v>4.5855063493213235</v>
      </c>
      <c r="F120" s="7">
        <f>(SUMPRODUCT(B120:E120,$B$117:$E$117)/SUM($B$117:$E$117))</f>
        <v>4.9311627085118932</v>
      </c>
      <c r="H120" s="7">
        <f>'Budget 2025'!N125</f>
        <v>5.7572096518405811</v>
      </c>
      <c r="K120" s="34"/>
    </row>
    <row r="121" spans="1:11" x14ac:dyDescent="0.35">
      <c r="A121" s="5" t="s">
        <v>38</v>
      </c>
      <c r="B121" s="31">
        <f>IFERROR(SUMPRODUCT('Outlook 4+8'!$B121:$D121,'Outlook 4+8'!$B$117:$D$117)/SUM('Outlook 4+8'!$B$117:$D$117),0)</f>
        <v>10.496518355904954</v>
      </c>
      <c r="C121" s="7">
        <f>IFERROR(SUMPRODUCT('Outlook 4+8'!$E121:$G121,'Outlook 4+8'!$E$117:$G$117)/SUM('Outlook 4+8'!$E$117:$G$117),0)</f>
        <v>10.144067936364385</v>
      </c>
      <c r="D121" s="7">
        <f>IFERROR(SUMPRODUCT('Outlook 4+8'!$H121:$J121,'Outlook 4+8'!$H$117:$J$117)/SUM('Outlook 4+8'!$H$117:$J$117),0)</f>
        <v>10.613374002740063</v>
      </c>
      <c r="E121" s="7">
        <f>IFERROR(SUMPRODUCT('Outlook 4+8'!$K121:$M121,'Outlook 4+8'!$K$117:$M$117)/SUM('Outlook 4+8'!$K$117:$M$117),0)</f>
        <v>10.556145458970351</v>
      </c>
      <c r="F121" s="7">
        <f>SUMPRODUCT(B121:E121,$B$117:$E$117)/SUM($B$117:$E$117)</f>
        <v>10.433608656144989</v>
      </c>
      <c r="H121" s="7">
        <f>'Budget 2025'!N126</f>
        <v>10.736864071482877</v>
      </c>
      <c r="K121" s="34"/>
    </row>
    <row r="122" spans="1:11" x14ac:dyDescent="0.35">
      <c r="A122" s="5" t="s">
        <v>25</v>
      </c>
      <c r="B122" s="31">
        <f>IFERROR(SUMPRODUCT('Outlook 4+8'!$B122:$D122,'Outlook 4+8'!$B$117:$D$117)/SUM('Outlook 4+8'!$B$117:$D$117),0)</f>
        <v>15.613557844756619</v>
      </c>
      <c r="C122" s="7">
        <f>IFERROR(SUMPRODUCT('Outlook 4+8'!$E122:$G122,'Outlook 4+8'!$E$117:$G$117)/SUM('Outlook 4+8'!$E$117:$G$117),0)</f>
        <v>14.444314390607211</v>
      </c>
      <c r="D122" s="7">
        <f>IFERROR(SUMPRODUCT('Outlook 4+8'!$H122:$J122,'Outlook 4+8'!$H$117:$J$117)/SUM('Outlook 4+8'!$H$117:$J$117),0)</f>
        <v>14.483494270441296</v>
      </c>
      <c r="E122" s="7">
        <f>IFERROR(SUMPRODUCT('Outlook 4+8'!$K122:$M122,'Outlook 4+8'!$K$117:$M$117)/SUM('Outlook 4+8'!$K$117:$M$117),0)</f>
        <v>14.271798937765247</v>
      </c>
      <c r="F122" s="7">
        <f>SUMPRODUCT(B122:E122,$B$117:$E$117)/SUM($B$117:$E$117)</f>
        <v>14.613173673266594</v>
      </c>
      <c r="H122" s="7">
        <f>'Budget 2025'!N127</f>
        <v>14.551758700752847</v>
      </c>
      <c r="K122" s="34"/>
    </row>
    <row r="123" spans="1:11" x14ac:dyDescent="0.35">
      <c r="K123" s="34"/>
    </row>
    <row r="124" spans="1:11" x14ac:dyDescent="0.35">
      <c r="A124" s="6" t="s">
        <v>44</v>
      </c>
      <c r="B124" s="6" t="s">
        <v>93</v>
      </c>
      <c r="C124" s="6" t="s">
        <v>94</v>
      </c>
      <c r="D124" s="6" t="s">
        <v>95</v>
      </c>
      <c r="E124" s="6" t="s">
        <v>96</v>
      </c>
      <c r="F124" s="6" t="s">
        <v>13</v>
      </c>
      <c r="G124" s="4"/>
      <c r="H124" s="6" t="s">
        <v>84</v>
      </c>
      <c r="K124" s="34"/>
    </row>
    <row r="125" spans="1:11" s="2" customFormat="1" x14ac:dyDescent="0.35">
      <c r="A125" s="9" t="s">
        <v>14</v>
      </c>
      <c r="B125" s="10">
        <f t="shared" ref="B125:F125" si="19">SUM(B126:B126)</f>
        <v>0</v>
      </c>
      <c r="C125" s="10">
        <f t="shared" si="19"/>
        <v>160</v>
      </c>
      <c r="D125" s="10">
        <f t="shared" si="19"/>
        <v>904</v>
      </c>
      <c r="E125" s="10">
        <f t="shared" si="19"/>
        <v>1055</v>
      </c>
      <c r="F125" s="10">
        <f t="shared" si="19"/>
        <v>2119</v>
      </c>
      <c r="H125" s="10">
        <f>'Budget 2025'!N130</f>
        <v>5038.6080002984163</v>
      </c>
      <c r="I125" s="27">
        <f>F125/H125</f>
        <v>0.42055266055118801</v>
      </c>
      <c r="K125" s="34"/>
    </row>
    <row r="126" spans="1:11" x14ac:dyDescent="0.35">
      <c r="A126" s="5" t="s">
        <v>69</v>
      </c>
      <c r="B126" s="30">
        <f>SUMIFS('Outlook 4+8'!$B126:$M126,'Outlook 4+8'!$B$185:$M$185,'Outlook Quarterly 4+8'!B$4)</f>
        <v>0</v>
      </c>
      <c r="C126" s="8">
        <f>SUMIFS('Outlook 4+8'!$B126:$M126,'Outlook 4+8'!$B$185:$M$185,'Outlook Quarterly 4+8'!C$4)</f>
        <v>160</v>
      </c>
      <c r="D126" s="8">
        <f>SUMIFS('Outlook 4+8'!$B126:$M126,'Outlook 4+8'!$B$185:$M$185,'Outlook Quarterly 4+8'!D$4)</f>
        <v>904</v>
      </c>
      <c r="E126" s="8">
        <f>SUMIFS('Outlook 4+8'!$B126:$M126,'Outlook 4+8'!$B$185:$M$185,'Outlook Quarterly 4+8'!E$4)</f>
        <v>1055</v>
      </c>
      <c r="F126" s="8">
        <f>SUM(B126:E126)</f>
        <v>2119</v>
      </c>
      <c r="H126" s="8">
        <f>'Budget 2025'!N131</f>
        <v>5038.6080002984163</v>
      </c>
      <c r="K126" s="34"/>
    </row>
    <row r="127" spans="1:11" s="2" customFormat="1" x14ac:dyDescent="0.35">
      <c r="A127" s="9" t="s">
        <v>17</v>
      </c>
      <c r="B127" s="10">
        <f t="shared" ref="B127:E127" si="20">SUM(B128:B128)</f>
        <v>0</v>
      </c>
      <c r="C127" s="10">
        <f t="shared" si="20"/>
        <v>0</v>
      </c>
      <c r="D127" s="10">
        <f t="shared" si="20"/>
        <v>26</v>
      </c>
      <c r="E127" s="10">
        <f t="shared" si="20"/>
        <v>174</v>
      </c>
      <c r="F127" s="10">
        <f>SUM(B127:E127)</f>
        <v>200</v>
      </c>
      <c r="H127" s="10">
        <f>'Budget 2025'!N132</f>
        <v>448</v>
      </c>
      <c r="I127" s="27">
        <f>F127/H127</f>
        <v>0.44642857142857145</v>
      </c>
      <c r="K127" s="34"/>
    </row>
    <row r="128" spans="1:11" x14ac:dyDescent="0.35">
      <c r="A128" s="5" t="s">
        <v>69</v>
      </c>
      <c r="B128" s="30">
        <f>SUMIFS('Outlook 4+8'!$B128:$M128,'Outlook 4+8'!$B$185:$M$185,'Outlook Quarterly 4+8'!B$4)</f>
        <v>0</v>
      </c>
      <c r="C128" s="8">
        <f>SUMIFS('Outlook 4+8'!$B128:$M128,'Outlook 4+8'!$B$185:$M$185,'Outlook Quarterly 4+8'!C$4)</f>
        <v>0</v>
      </c>
      <c r="D128" s="8">
        <f>SUMIFS('Outlook 4+8'!$B128:$M128,'Outlook 4+8'!$B$185:$M$185,'Outlook Quarterly 4+8'!D$4)</f>
        <v>26</v>
      </c>
      <c r="E128" s="8">
        <f>SUMIFS('Outlook 4+8'!$B128:$M128,'Outlook 4+8'!$B$185:$M$185,'Outlook Quarterly 4+8'!E$4)</f>
        <v>174</v>
      </c>
      <c r="F128" s="8">
        <f>SUM(B128:E128)</f>
        <v>200</v>
      </c>
      <c r="H128" s="8">
        <f>'Budget 2025'!N133</f>
        <v>448</v>
      </c>
      <c r="K128" s="34"/>
    </row>
    <row r="129" spans="1:11" s="2" customFormat="1" x14ac:dyDescent="0.35">
      <c r="A129" s="9" t="s">
        <v>43</v>
      </c>
      <c r="B129" s="11">
        <f t="shared" ref="B129:E129" si="21">IFERROR(B125/B127,0)</f>
        <v>0</v>
      </c>
      <c r="C129" s="11">
        <f t="shared" si="21"/>
        <v>0</v>
      </c>
      <c r="D129" s="11">
        <f t="shared" si="21"/>
        <v>34.769230769230766</v>
      </c>
      <c r="E129" s="11">
        <f t="shared" si="21"/>
        <v>6.0632183908045976</v>
      </c>
      <c r="F129" s="11">
        <f>F125/F127</f>
        <v>10.595000000000001</v>
      </c>
      <c r="H129" s="11">
        <f>'Budget 2025'!N134</f>
        <v>11.246892857808964</v>
      </c>
      <c r="K129" s="34"/>
    </row>
    <row r="130" spans="1:11" s="2" customFormat="1" x14ac:dyDescent="0.35">
      <c r="A130" s="9" t="s">
        <v>34</v>
      </c>
      <c r="B130" s="11">
        <f t="shared" ref="B130:E130" si="22">IFERROR(B125/B132,0)</f>
        <v>0</v>
      </c>
      <c r="C130" s="11">
        <f t="shared" si="22"/>
        <v>0</v>
      </c>
      <c r="D130" s="11">
        <f t="shared" si="22"/>
        <v>37.666666666666664</v>
      </c>
      <c r="E130" s="11">
        <f t="shared" si="22"/>
        <v>6.1695906432748542</v>
      </c>
      <c r="F130" s="11">
        <f>F125/F132</f>
        <v>10.866666666666667</v>
      </c>
      <c r="H130" s="11">
        <f>'Budget 2025'!N135</f>
        <v>11.63650808383006</v>
      </c>
      <c r="K130" s="34"/>
    </row>
    <row r="131" spans="1:11" s="2" customFormat="1" x14ac:dyDescent="0.35">
      <c r="A131" s="9" t="s">
        <v>46</v>
      </c>
      <c r="B131" s="10">
        <f>SUMIFS('Outlook 4+8'!$B131:$M131,'Outlook 4+8'!$B$185:$M$185,'Outlook Quarterly 4+8'!B$4)</f>
        <v>0</v>
      </c>
      <c r="C131" s="10">
        <f>SUMIFS('Outlook 4+8'!$B131:$M131,'Outlook 4+8'!$B$185:$M$185,'Outlook Quarterly 4+8'!C$4)</f>
        <v>18.100000000000001</v>
      </c>
      <c r="D131" s="10">
        <f>SUMIFS('Outlook 4+8'!$B131:$M131,'Outlook 4+8'!$B$185:$M$185,'Outlook Quarterly 4+8'!D$4)</f>
        <v>55.400000000000006</v>
      </c>
      <c r="E131" s="10">
        <f>SUMIFS('Outlook 4+8'!$B131:$M131,'Outlook 4+8'!$B$185:$M$185,'Outlook Quarterly 4+8'!E$4)</f>
        <v>149</v>
      </c>
      <c r="F131" s="10">
        <f>SUM(B131:E131)</f>
        <v>222.5</v>
      </c>
      <c r="H131" s="10">
        <f>'Budget 2025'!N136</f>
        <v>430.7</v>
      </c>
      <c r="K131" s="34"/>
    </row>
    <row r="132" spans="1:11" s="2" customFormat="1" x14ac:dyDescent="0.35">
      <c r="A132" s="9" t="s">
        <v>50</v>
      </c>
      <c r="B132" s="10">
        <f>SUMIFS('Outlook 4+8'!$B132:$M132,'Outlook 4+8'!$B$185:$M$185,'Outlook Quarterly 4+8'!B$4)</f>
        <v>0</v>
      </c>
      <c r="C132" s="10">
        <f>SUMIFS('Outlook 4+8'!$B132:$M132,'Outlook 4+8'!$B$185:$M$185,'Outlook Quarterly 4+8'!C$4)</f>
        <v>0</v>
      </c>
      <c r="D132" s="10">
        <f>SUMIFS('Outlook 4+8'!$B132:$M132,'Outlook 4+8'!$B$185:$M$185,'Outlook Quarterly 4+8'!D$4)</f>
        <v>24</v>
      </c>
      <c r="E132" s="10">
        <f>SUMIFS('Outlook 4+8'!$B132:$M132,'Outlook 4+8'!$B$185:$M$185,'Outlook Quarterly 4+8'!E$4)</f>
        <v>171</v>
      </c>
      <c r="F132" s="10">
        <f>SUM(B132:E132)</f>
        <v>195</v>
      </c>
      <c r="H132" s="10">
        <f>'Budget 2025'!N137</f>
        <v>433</v>
      </c>
      <c r="K132" s="34"/>
    </row>
    <row r="133" spans="1:11" x14ac:dyDescent="0.35">
      <c r="A133" s="5" t="s">
        <v>60</v>
      </c>
      <c r="B133" s="30">
        <f>IFERROR(SUMPRODUCT('Outlook 4+8'!$B133:$D133,'Outlook 4+8'!$B$132:$D$132)/SUM('Outlook 4+8'!$B$132:$D$132),0)</f>
        <v>0</v>
      </c>
      <c r="C133" s="8">
        <f>IFERROR(SUMPRODUCT('Outlook 4+8'!$E133:$G133,'Outlook 4+8'!$E$132:$G$132)/SUM('Outlook 4+8'!$E$132:$G$132),0)</f>
        <v>0</v>
      </c>
      <c r="D133" s="8">
        <f>IFERROR(SUMPRODUCT('Outlook 4+8'!$H133:$J133,'Outlook 4+8'!$H$132:$J$132)/SUM('Outlook 4+8'!$H$132:$J$132),0)</f>
        <v>4437.3537269281915</v>
      </c>
      <c r="E133" s="8">
        <f>IFERROR(SUMPRODUCT('Outlook 4+8'!$K133:$M133,'Outlook 4+8'!$K$132:$M$132)/SUM('Outlook 4+8'!$K$132:$M$132),0)</f>
        <v>4340.4136148515763</v>
      </c>
      <c r="F133" s="8">
        <f>SUMPRODUCT(B133:E133,$B$132:$E$132)/SUM($B$132:$E$132)</f>
        <v>4352.3447055686984</v>
      </c>
      <c r="H133" s="8">
        <f>'Budget 2025'!N138</f>
        <v>4423.7945910311291</v>
      </c>
      <c r="K133" s="34"/>
    </row>
    <row r="134" spans="1:11" x14ac:dyDescent="0.35">
      <c r="A134" s="5" t="s">
        <v>22</v>
      </c>
      <c r="B134" s="30">
        <f>IFERROR(SUMPRODUCT('Outlook 4+8'!$B134:$D134,'Outlook 4+8'!$B$132:$D$132)/SUM('Outlook 4+8'!$B$132:$D$132),0)</f>
        <v>0</v>
      </c>
      <c r="C134" s="7">
        <f>IFERROR(SUMPRODUCT('Outlook 4+8'!$E134:$G134,'Outlook 4+8'!$E$132:$G$132)/SUM('Outlook 4+8'!$E$132:$G$132),0)</f>
        <v>0</v>
      </c>
      <c r="D134" s="7">
        <f>IFERROR(SUMPRODUCT('Outlook 4+8'!$H134:$J134,'Outlook 4+8'!$H$132:$J$132)/SUM('Outlook 4+8'!$H$132:$J$132),0)</f>
        <v>0.42332250002790289</v>
      </c>
      <c r="E134" s="7">
        <f>IFERROR(SUMPRODUCT('Outlook 4+8'!$K134:$M134,'Outlook 4+8'!$K$132:$M$132)/SUM('Outlook 4+8'!$K$132:$M$132),0)</f>
        <v>0.36636194442281056</v>
      </c>
      <c r="F134" s="15">
        <f>SUMPRODUCT(B134:E134,$B$132:$E$132)/SUM($B$132:$E$132)</f>
        <v>0.37337247434343729</v>
      </c>
      <c r="H134" s="7">
        <f>'Budget 2025'!N139</f>
        <v>0.36898824350858472</v>
      </c>
      <c r="K134" s="34"/>
    </row>
    <row r="135" spans="1:11" x14ac:dyDescent="0.35">
      <c r="A135" s="5" t="s">
        <v>23</v>
      </c>
      <c r="B135" s="30">
        <f>IFERROR(SUMPRODUCT('Outlook 4+8'!$B135:$D135,'Outlook 4+8'!$B$132:$D$132)/SUM('Outlook 4+8'!$B$132:$D$132),0)</f>
        <v>0</v>
      </c>
      <c r="C135" s="7">
        <f>IFERROR(SUMPRODUCT('Outlook 4+8'!$E135:$G135,'Outlook 4+8'!$E$132:$G$132)/SUM('Outlook 4+8'!$E$132:$G$132),0)</f>
        <v>0</v>
      </c>
      <c r="D135" s="7">
        <f>IFERROR(SUMPRODUCT('Outlook 4+8'!$H135:$J135,'Outlook 4+8'!$H$132:$J$132)/SUM('Outlook 4+8'!$H$132:$J$132),0)</f>
        <v>4.8364827173919283</v>
      </c>
      <c r="E135" s="7">
        <f>IFERROR(SUMPRODUCT('Outlook 4+8'!$K135:$M135,'Outlook 4+8'!$K$132:$M$132)/SUM('Outlook 4+8'!$K$132:$M$132),0)</f>
        <v>5.3241808665370867</v>
      </c>
      <c r="F135" s="15">
        <f>SUMPRODUCT(B135:E135,$B$132:$E$132)/SUM($B$132:$E$132)</f>
        <v>5.2641564789499906</v>
      </c>
      <c r="H135" s="7">
        <f>'Budget 2025'!N140</f>
        <v>4.4323109091173567</v>
      </c>
      <c r="K135" s="34"/>
    </row>
    <row r="136" spans="1:11" x14ac:dyDescent="0.35">
      <c r="A136" s="5" t="s">
        <v>38</v>
      </c>
      <c r="B136" s="30">
        <f>IFERROR(SUMPRODUCT('Outlook 4+8'!$B136:$D136,'Outlook 4+8'!$B$132:$D$132)/SUM('Outlook 4+8'!$B$132:$D$132),0)</f>
        <v>0</v>
      </c>
      <c r="C136" s="7">
        <f>IFERROR(SUMPRODUCT('Outlook 4+8'!$E136:$G136,'Outlook 4+8'!$E$132:$G$132)/SUM('Outlook 4+8'!$E$132:$G$132),0)</f>
        <v>0</v>
      </c>
      <c r="D136" s="7">
        <f>IFERROR(SUMPRODUCT('Outlook 4+8'!$H136:$J136,'Outlook 4+8'!$H$132:$J$132)/SUM('Outlook 4+8'!$H$132:$J$132),0)</f>
        <v>17.010578197137864</v>
      </c>
      <c r="E136" s="7">
        <f>IFERROR(SUMPRODUCT('Outlook 4+8'!$K136:$M136,'Outlook 4+8'!$K$132:$M$132)/SUM('Outlook 4+8'!$K$132:$M$132),0)</f>
        <v>16.178573771755616</v>
      </c>
      <c r="F136" s="15">
        <f>SUMPRODUCT(B136:E136,$B$132:$E$132)/SUM($B$132:$E$132)</f>
        <v>16.280974316418046</v>
      </c>
      <c r="H136" s="7">
        <f>'Budget 2025'!N141</f>
        <v>16.92589236972162</v>
      </c>
      <c r="K136" s="34"/>
    </row>
    <row r="137" spans="1:11" x14ac:dyDescent="0.35">
      <c r="A137" s="5" t="s">
        <v>25</v>
      </c>
      <c r="B137" s="30">
        <f>IFERROR(SUMPRODUCT('Outlook 4+8'!$B137:$D137,'Outlook 4+8'!$B$132:$D$132)/SUM('Outlook 4+8'!$B$132:$D$132),0)</f>
        <v>0</v>
      </c>
      <c r="C137" s="7">
        <f>IFERROR(SUMPRODUCT('Outlook 4+8'!$E137:$G137,'Outlook 4+8'!$E$132:$G$132)/SUM('Outlook 4+8'!$E$132:$G$132),0)</f>
        <v>0</v>
      </c>
      <c r="D137" s="7">
        <f>IFERROR(SUMPRODUCT('Outlook 4+8'!$H137:$J137,'Outlook 4+8'!$H$132:$J$132)/SUM('Outlook 4+8'!$H$132:$J$132),0)</f>
        <v>29.686640197124433</v>
      </c>
      <c r="E137" s="7">
        <f>IFERROR(SUMPRODUCT('Outlook 4+8'!$K137:$M137,'Outlook 4+8'!$K$132:$M$132)/SUM('Outlook 4+8'!$K$132:$M$132),0)</f>
        <v>30.015493858484369</v>
      </c>
      <c r="F137" s="15">
        <f>SUMPRODUCT(B137:E137,$B$132:$E$132)/SUM($B$132:$E$132)</f>
        <v>29.975019561701604</v>
      </c>
      <c r="H137" s="7">
        <f>'Budget 2025'!N142</f>
        <v>30.236602375317773</v>
      </c>
      <c r="K137" s="34"/>
    </row>
    <row r="138" spans="1:11" x14ac:dyDescent="0.35">
      <c r="K138" s="34"/>
    </row>
    <row r="139" spans="1:11" x14ac:dyDescent="0.35">
      <c r="A139" s="6" t="s">
        <v>52</v>
      </c>
      <c r="B139" s="6" t="s">
        <v>93</v>
      </c>
      <c r="C139" s="6" t="s">
        <v>94</v>
      </c>
      <c r="D139" s="6" t="s">
        <v>95</v>
      </c>
      <c r="E139" s="6" t="s">
        <v>96</v>
      </c>
      <c r="F139" s="6" t="s">
        <v>13</v>
      </c>
      <c r="G139" s="4"/>
      <c r="H139" s="6" t="s">
        <v>84</v>
      </c>
      <c r="K139" s="34"/>
    </row>
    <row r="140" spans="1:11" x14ac:dyDescent="0.35">
      <c r="A140" s="9" t="s">
        <v>14</v>
      </c>
      <c r="B140" s="10">
        <f>B141</f>
        <v>1701.9404576999996</v>
      </c>
      <c r="C140" s="10">
        <f t="shared" ref="C140:E140" si="23">C141</f>
        <v>1990.7374884999999</v>
      </c>
      <c r="D140" s="10">
        <f t="shared" si="23"/>
        <v>2415</v>
      </c>
      <c r="E140" s="10">
        <f t="shared" si="23"/>
        <v>2392.322053800001</v>
      </c>
      <c r="F140" s="10">
        <f>SUM(B140:E140)</f>
        <v>8500</v>
      </c>
      <c r="G140" s="2"/>
      <c r="H140" s="10">
        <f>'Budget 2025'!N145</f>
        <v>8500</v>
      </c>
      <c r="I140" s="27">
        <f>F140/H140</f>
        <v>1</v>
      </c>
      <c r="K140" s="34"/>
    </row>
    <row r="141" spans="1:11" x14ac:dyDescent="0.35">
      <c r="A141" s="5" t="s">
        <v>71</v>
      </c>
      <c r="B141" s="30">
        <f>SUMIFS('Outlook 4+8'!$B141:$M141,'Outlook 4+8'!$B$185:$M$185,'Outlook Quarterly 4+8'!B$4)</f>
        <v>1701.9404576999996</v>
      </c>
      <c r="C141" s="8">
        <f>SUMIFS('Outlook 4+8'!$B141:$M141,'Outlook 4+8'!$B$185:$M$185,'Outlook Quarterly 4+8'!C$4)</f>
        <v>1990.7374884999999</v>
      </c>
      <c r="D141" s="8">
        <f>SUMIFS('Outlook 4+8'!$B141:$M141,'Outlook 4+8'!$B$185:$M$185,'Outlook Quarterly 4+8'!D$4)</f>
        <v>2415</v>
      </c>
      <c r="E141" s="8">
        <f>SUMIFS('Outlook 4+8'!$B141:$M141,'Outlook 4+8'!$B$185:$M$185,'Outlook Quarterly 4+8'!E$4)</f>
        <v>2392.322053800001</v>
      </c>
      <c r="F141" s="8">
        <f>SUM(B141:E141)</f>
        <v>8500</v>
      </c>
      <c r="H141" s="8">
        <f>'Budget 2025'!N146</f>
        <v>8500</v>
      </c>
      <c r="K141" s="34"/>
    </row>
    <row r="142" spans="1:11" x14ac:dyDescent="0.35">
      <c r="A142" s="9" t="s">
        <v>17</v>
      </c>
      <c r="B142" s="10">
        <f t="shared" ref="B142:F142" si="24">SUM(B143:B145)</f>
        <v>602.30646200000001</v>
      </c>
      <c r="C142" s="10">
        <f t="shared" si="24"/>
        <v>607.80895999999996</v>
      </c>
      <c r="D142" s="10">
        <f t="shared" si="24"/>
        <v>402</v>
      </c>
      <c r="E142" s="10">
        <f t="shared" si="24"/>
        <v>487.88457800000015</v>
      </c>
      <c r="F142" s="10">
        <f t="shared" si="24"/>
        <v>2100.0000000000005</v>
      </c>
      <c r="G142" s="2"/>
      <c r="H142" s="10">
        <f>'Budget 2025'!N147</f>
        <v>2100</v>
      </c>
      <c r="I142" s="27">
        <f>F142/H142</f>
        <v>1.0000000000000002</v>
      </c>
      <c r="K142" s="34"/>
    </row>
    <row r="143" spans="1:11" x14ac:dyDescent="0.35">
      <c r="A143" s="5" t="s">
        <v>71</v>
      </c>
      <c r="B143" s="30">
        <f>SUMIFS('Outlook 4+8'!$B143:$M143,'Outlook 4+8'!$B$185:$M$185,'Outlook Quarterly 4+8'!B$4)</f>
        <v>467.62239499999998</v>
      </c>
      <c r="C143" s="8">
        <f>SUMIFS('Outlook 4+8'!$B143:$M143,'Outlook 4+8'!$B$185:$M$185,'Outlook Quarterly 4+8'!C$4)</f>
        <v>475.37235999999996</v>
      </c>
      <c r="D143" s="8">
        <f>SUMIFS('Outlook 4+8'!$B143:$M143,'Outlook 4+8'!$B$185:$M$185,'Outlook Quarterly 4+8'!D$4)</f>
        <v>298.47767857142856</v>
      </c>
      <c r="E143" s="8">
        <f>SUMIFS('Outlook 4+8'!$B143:$M143,'Outlook 4+8'!$B$185:$M$185,'Outlook Quarterly 4+8'!E$4)</f>
        <v>326.82355570235893</v>
      </c>
      <c r="F143" s="8">
        <f>SUM(B143:E143)</f>
        <v>1568.2959892737877</v>
      </c>
      <c r="H143" s="8">
        <f>'Budget 2025'!N148</f>
        <v>1467</v>
      </c>
      <c r="K143" s="34"/>
    </row>
    <row r="144" spans="1:11" x14ac:dyDescent="0.35">
      <c r="A144" s="5" t="s">
        <v>72</v>
      </c>
      <c r="B144" s="30">
        <f>SUMIFS('Outlook 4+8'!$B144:$M144,'Outlook 4+8'!$B$185:$M$185,'Outlook Quarterly 4+8'!B$4)</f>
        <v>134.684067</v>
      </c>
      <c r="C144" s="8">
        <f>SUMIFS('Outlook 4+8'!$B144:$M144,'Outlook 4+8'!$B$185:$M$185,'Outlook Quarterly 4+8'!C$4)</f>
        <v>132.4366</v>
      </c>
      <c r="D144" s="8">
        <f>SUMIFS('Outlook 4+8'!$B144:$M144,'Outlook 4+8'!$B$185:$M$185,'Outlook Quarterly 4+8'!D$4)</f>
        <v>103.52232142857143</v>
      </c>
      <c r="E144" s="8">
        <f>SUMIFS('Outlook 4+8'!$B144:$M144,'Outlook 4+8'!$B$185:$M$185,'Outlook Quarterly 4+8'!E$4)</f>
        <v>161.06102229764124</v>
      </c>
      <c r="F144" s="8">
        <f>SUM(B144:E144)</f>
        <v>531.70401072621269</v>
      </c>
      <c r="H144" s="8">
        <f>'Budget 2025'!N149</f>
        <v>633</v>
      </c>
      <c r="K144" s="34"/>
    </row>
    <row r="145" spans="1:11" hidden="1" x14ac:dyDescent="0.35">
      <c r="A145" s="5" t="s">
        <v>74</v>
      </c>
      <c r="B145" s="8"/>
      <c r="C145" s="8"/>
      <c r="D145" s="8"/>
      <c r="E145" s="8"/>
      <c r="F145" s="8">
        <f>SUM(B145:E145)</f>
        <v>0</v>
      </c>
      <c r="H145" s="8"/>
      <c r="K145" s="34"/>
    </row>
    <row r="146" spans="1:11" x14ac:dyDescent="0.35">
      <c r="A146" s="9" t="s">
        <v>43</v>
      </c>
      <c r="B146" s="11">
        <f>IFERROR(B140/B142,0)</f>
        <v>2.8257051270022728</v>
      </c>
      <c r="C146" s="11">
        <f t="shared" ref="C146:F146" si="25">C140/C142</f>
        <v>3.2752684141082753</v>
      </c>
      <c r="D146" s="11">
        <f t="shared" si="25"/>
        <v>6.0074626865671643</v>
      </c>
      <c r="E146" s="11">
        <f t="shared" si="25"/>
        <v>4.903459059121972</v>
      </c>
      <c r="F146" s="11">
        <f t="shared" si="25"/>
        <v>4.0476190476190466</v>
      </c>
      <c r="G146" s="2"/>
      <c r="H146" s="11">
        <f>'Budget 2025'!N150</f>
        <v>4.0476190476190474</v>
      </c>
      <c r="K146" s="34"/>
    </row>
    <row r="147" spans="1:11" x14ac:dyDescent="0.35">
      <c r="A147" s="9" t="s">
        <v>34</v>
      </c>
      <c r="B147" s="11">
        <f>IFERROR(B140/B148,0)</f>
        <v>2.7345724967969907</v>
      </c>
      <c r="C147" s="11">
        <f t="shared" ref="C147:F147" si="26">C140/C148</f>
        <v>3.3124088640901159</v>
      </c>
      <c r="D147" s="11">
        <f t="shared" si="26"/>
        <v>9.66</v>
      </c>
      <c r="E147" s="11">
        <f t="shared" si="26"/>
        <v>4.1488198425435163</v>
      </c>
      <c r="F147" s="11">
        <f t="shared" si="26"/>
        <v>4.1463414634146343</v>
      </c>
      <c r="G147" s="2"/>
      <c r="H147" s="11">
        <f>'Budget 2025'!N151</f>
        <v>4.1463414634146343</v>
      </c>
      <c r="K147" s="34"/>
    </row>
    <row r="148" spans="1:11" x14ac:dyDescent="0.35">
      <c r="A148" s="9" t="s">
        <v>47</v>
      </c>
      <c r="B148" s="10">
        <f>SUMIFS('Outlook 4+8'!$B148:$M148,'Outlook 4+8'!$B$185:$M$185,'Outlook Quarterly 4+8'!B$4)</f>
        <v>622.37898600000005</v>
      </c>
      <c r="C148" s="10">
        <f>SUMIFS('Outlook 4+8'!$B148:$M148,'Outlook 4+8'!$B$185:$M$185,'Outlook Quarterly 4+8'!C$4)</f>
        <v>600.99388999999996</v>
      </c>
      <c r="D148" s="10">
        <f>SUMIFS('Outlook 4+8'!$B148:$M148,'Outlook 4+8'!$B$185:$M$185,'Outlook Quarterly 4+8'!D$4)</f>
        <v>250</v>
      </c>
      <c r="E148" s="10">
        <f>SUMIFS('Outlook 4+8'!$B148:$M148,'Outlook 4+8'!$B$185:$M$185,'Outlook Quarterly 4+8'!E$4)</f>
        <v>576.62712400000009</v>
      </c>
      <c r="F148" s="10">
        <f>SUM(B148:E148)</f>
        <v>2050</v>
      </c>
      <c r="G148" s="2"/>
      <c r="H148" s="10">
        <f>'Budget 2025'!N152</f>
        <v>2050</v>
      </c>
      <c r="K148" s="34"/>
    </row>
    <row r="149" spans="1:11" x14ac:dyDescent="0.35">
      <c r="A149" s="5" t="s">
        <v>60</v>
      </c>
      <c r="B149" s="30">
        <f>IFERROR(SUMPRODUCT('Outlook 4+8'!$B149:$D149,'Outlook 4+8'!$B$148:$D$148)/SUM('Outlook 4+8'!$B$148:$D$148),0)</f>
        <v>3743.3844737159634</v>
      </c>
      <c r="C149" s="8">
        <f>IFERROR(SUMPRODUCT('Outlook 4+8'!$E149:$G149,'Outlook 4+8'!$E$148:$G$148)/SUM('Outlook 4+8'!$E$148:$G$148),0)</f>
        <v>3694.6284483940544</v>
      </c>
      <c r="D149" s="8">
        <f>IFERROR(SUMPRODUCT('Outlook 4+8'!$H149:$J149,'Outlook 4+8'!$H$148:$J$148)/SUM('Outlook 4+8'!$H$148:$J$148),0)</f>
        <v>3682.25642641898</v>
      </c>
      <c r="E149" s="8">
        <f>IFERROR(SUMPRODUCT('Outlook 4+8'!$K149:$M149,'Outlook 4+8'!$K$148:$M$148)/SUM('Outlook 4+8'!$K$148:$M$148),0)</f>
        <v>3731.4144543879825</v>
      </c>
      <c r="F149" s="14">
        <f>SUMPRODUCT(B149:E149,$B$148:$E$148)/SUM($B$148:$E$148)</f>
        <v>3718.2691942219553</v>
      </c>
      <c r="G149" s="12"/>
      <c r="H149" s="8">
        <f>'Budget 2025'!N153</f>
        <v>3727.5040431597959</v>
      </c>
      <c r="K149" s="34"/>
    </row>
    <row r="150" spans="1:11" x14ac:dyDescent="0.35">
      <c r="A150" s="5" t="s">
        <v>22</v>
      </c>
      <c r="B150" s="31">
        <f>IFERROR(SUMPRODUCT('Outlook 4+8'!$B150:$D150,'Outlook 4+8'!$B$148:$D$148)/SUM('Outlook 4+8'!$B$148:$D$148),0)</f>
        <v>0.1678125873690437</v>
      </c>
      <c r="C150" s="7">
        <f>IFERROR(SUMPRODUCT('Outlook 4+8'!$E150:$G150,'Outlook 4+8'!$E$148:$G$148)/SUM('Outlook 4+8'!$E$148:$G$148),0)</f>
        <v>0.16839566740288728</v>
      </c>
      <c r="D150" s="7">
        <f>IFERROR(SUMPRODUCT('Outlook 4+8'!$H150:$J150,'Outlook 4+8'!$H$148:$J$148)/SUM('Outlook 4+8'!$H$148:$J$148),0)</f>
        <v>0.14951176957865236</v>
      </c>
      <c r="E150" s="7">
        <f>IFERROR(SUMPRODUCT('Outlook 4+8'!$K150:$M150,'Outlook 4+8'!$K$148:$M$148)/SUM('Outlook 4+8'!$K$148:$M$148),0)</f>
        <v>0.15746383367874617</v>
      </c>
      <c r="F150" s="15">
        <f>SUMPRODUCT(B150:E150,$B$148:$E$148)/SUM($B$148:$E$148)</f>
        <v>0.16284080737524004</v>
      </c>
      <c r="H150" s="7">
        <f>'Budget 2025'!N154</f>
        <v>0.15227341108882345</v>
      </c>
      <c r="K150" s="34"/>
    </row>
    <row r="151" spans="1:11" x14ac:dyDescent="0.35">
      <c r="A151" s="5" t="s">
        <v>23</v>
      </c>
      <c r="B151" s="31">
        <f>IFERROR(SUMPRODUCT('Outlook 4+8'!$B151:$D151,'Outlook 4+8'!$B$148:$D$148)/SUM('Outlook 4+8'!$B$148:$D$148),0)</f>
        <v>8.6931371766564531</v>
      </c>
      <c r="C151" s="7">
        <f>IFERROR(SUMPRODUCT('Outlook 4+8'!$E151:$G151,'Outlook 4+8'!$E$148:$G$148)/SUM('Outlook 4+8'!$E$148:$G$148),0)</f>
        <v>8.2025411274488871</v>
      </c>
      <c r="D151" s="7">
        <f>IFERROR(SUMPRODUCT('Outlook 4+8'!$H151:$J151,'Outlook 4+8'!$H$148:$J$148)/SUM('Outlook 4+8'!$H$148:$J$148),0)</f>
        <v>8.9173973290581365</v>
      </c>
      <c r="E151" s="7">
        <f>IFERROR(SUMPRODUCT('Outlook 4+8'!$K151:$M151,'Outlook 4+8'!$K$148:$M$148)/SUM('Outlook 4+8'!$K$148:$M$148),0)</f>
        <v>7.1447196722255999</v>
      </c>
      <c r="F151" s="15">
        <f>SUMPRODUCT(B151:E151,$B$148:$E$148)/SUM($B$148:$E$148)</f>
        <v>8.1411177999429469</v>
      </c>
      <c r="H151" s="7">
        <f>'Budget 2025'!N155</f>
        <v>7.9761081652071226</v>
      </c>
      <c r="K151" s="34"/>
    </row>
    <row r="152" spans="1:11" x14ac:dyDescent="0.35">
      <c r="A152" s="5" t="s">
        <v>38</v>
      </c>
      <c r="B152" s="31">
        <f>IFERROR(SUMPRODUCT('Outlook 4+8'!$B152:$D152,'Outlook 4+8'!$B$148:$D$148)/SUM('Outlook 4+8'!$B$148:$D$148),0)</f>
        <v>19.858821393427043</v>
      </c>
      <c r="C152" s="7">
        <f>IFERROR(SUMPRODUCT('Outlook 4+8'!$E152:$G152,'Outlook 4+8'!$E$148:$G$148)/SUM('Outlook 4+8'!$E$148:$G$148),0)</f>
        <v>22.346910790510361</v>
      </c>
      <c r="D152" s="7">
        <f>IFERROR(SUMPRODUCT('Outlook 4+8'!$H152:$J152,'Outlook 4+8'!$H$148:$J$148)/SUM('Outlook 4+8'!$H$148:$J$148),0)</f>
        <v>22.687631476739838</v>
      </c>
      <c r="E152" s="7">
        <f>IFERROR(SUMPRODUCT('Outlook 4+8'!$K152:$M152,'Outlook 4+8'!$K$148:$M$148)/SUM('Outlook 4+8'!$K$148:$M$148),0)</f>
        <v>21.649461121886695</v>
      </c>
      <c r="F152" s="15">
        <f>SUMPRODUCT(B152:E152,$B$148:$E$148)/SUM($B$148:$E$148)</f>
        <v>21.436899677812839</v>
      </c>
      <c r="H152" s="7">
        <f>'Budget 2025'!N156</f>
        <v>27.254555501550691</v>
      </c>
      <c r="K152" s="34"/>
    </row>
    <row r="153" spans="1:11" x14ac:dyDescent="0.35">
      <c r="A153" s="5" t="s">
        <v>25</v>
      </c>
      <c r="B153" s="31">
        <f>IFERROR(SUMPRODUCT('Outlook 4+8'!$B153:$D153,'Outlook 4+8'!$B$148:$D$148)/SUM('Outlook 4+8'!$B$148:$D$148),0)</f>
        <v>38.530811096233663</v>
      </c>
      <c r="C153" s="7">
        <f>IFERROR(SUMPRODUCT('Outlook 4+8'!$E153:$G153,'Outlook 4+8'!$E$148:$G$148)/SUM('Outlook 4+8'!$E$148:$G$148),0)</f>
        <v>38.792530344288281</v>
      </c>
      <c r="D153" s="7">
        <f>IFERROR(SUMPRODUCT('Outlook 4+8'!$H153:$J153,'Outlook 4+8'!$H$148:$J$148)/SUM('Outlook 4+8'!$H$148:$J$148),0)</f>
        <v>38.124363728037729</v>
      </c>
      <c r="E153" s="7">
        <f>IFERROR(SUMPRODUCT('Outlook 4+8'!$K153:$M153,'Outlook 4+8'!$K$148:$M$148)/SUM('Outlook 4+8'!$K$148:$M$148),0)</f>
        <v>38.021694211033108</v>
      </c>
      <c r="F153" s="15">
        <f>SUMPRODUCT(B153:E153,$B$148:$E$148)/SUM($B$148:$E$148)</f>
        <v>38.414766814104013</v>
      </c>
      <c r="H153" s="7">
        <f>'Budget 2025'!N157</f>
        <v>38.285233081479049</v>
      </c>
      <c r="K153" s="34"/>
    </row>
    <row r="154" spans="1:11" x14ac:dyDescent="0.35">
      <c r="K154" s="34"/>
    </row>
    <row r="155" spans="1:11" x14ac:dyDescent="0.35">
      <c r="A155" s="6" t="s">
        <v>51</v>
      </c>
      <c r="B155" s="6" t="s">
        <v>93</v>
      </c>
      <c r="C155" s="6" t="s">
        <v>94</v>
      </c>
      <c r="D155" s="6" t="s">
        <v>95</v>
      </c>
      <c r="E155" s="6" t="s">
        <v>96</v>
      </c>
      <c r="F155" s="6" t="s">
        <v>13</v>
      </c>
      <c r="H155" s="6" t="s">
        <v>84</v>
      </c>
      <c r="K155" s="34"/>
    </row>
    <row r="156" spans="1:11" x14ac:dyDescent="0.35">
      <c r="A156" s="9" t="s">
        <v>14</v>
      </c>
      <c r="B156" s="10">
        <f t="shared" ref="B156:F156" si="27">SUM(B157:B157)</f>
        <v>2112.1103002</v>
      </c>
      <c r="C156" s="10">
        <f t="shared" si="27"/>
        <v>2642.4797481200044</v>
      </c>
      <c r="D156" s="10">
        <f t="shared" si="27"/>
        <v>3171.7972867206299</v>
      </c>
      <c r="E156" s="10">
        <f t="shared" si="27"/>
        <v>2781.7993634893664</v>
      </c>
      <c r="F156" s="10">
        <f t="shared" si="27"/>
        <v>10708.18669853</v>
      </c>
      <c r="H156" s="10">
        <f>'Budget 2025'!N160</f>
        <v>10708.18669853</v>
      </c>
      <c r="I156" s="27">
        <f>F156/H156</f>
        <v>1</v>
      </c>
      <c r="K156" s="34"/>
    </row>
    <row r="157" spans="1:11" x14ac:dyDescent="0.35">
      <c r="A157" s="5" t="s">
        <v>55</v>
      </c>
      <c r="B157" s="30">
        <f>SUMIFS('Outlook 4+8'!$B157:$M157,'Outlook 4+8'!$B$185:$M$185,'Outlook Quarterly 4+8'!B$4)</f>
        <v>2112.1103002</v>
      </c>
      <c r="C157" s="8">
        <f>SUMIFS('Outlook 4+8'!$B157:$M157,'Outlook 4+8'!$B$185:$M$185,'Outlook Quarterly 4+8'!C$4)</f>
        <v>2642.4797481200044</v>
      </c>
      <c r="D157" s="8">
        <f>SUMIFS('Outlook 4+8'!$B157:$M157,'Outlook 4+8'!$B$185:$M$185,'Outlook Quarterly 4+8'!D$4)</f>
        <v>3171.7972867206299</v>
      </c>
      <c r="E157" s="8">
        <f>SUMIFS('Outlook 4+8'!$B157:$M157,'Outlook 4+8'!$B$185:$M$185,'Outlook Quarterly 4+8'!E$4)</f>
        <v>2781.7993634893664</v>
      </c>
      <c r="F157" s="8">
        <f>SUM(B157:E157)</f>
        <v>10708.18669853</v>
      </c>
      <c r="H157" s="8">
        <f>'Budget 2025'!N161</f>
        <v>10708.18669853</v>
      </c>
      <c r="K157" s="34"/>
    </row>
    <row r="158" spans="1:11" x14ac:dyDescent="0.35">
      <c r="A158" s="9" t="s">
        <v>17</v>
      </c>
      <c r="B158" s="10">
        <f>SUM(B159:B160)</f>
        <v>118.320311</v>
      </c>
      <c r="C158" s="10">
        <f t="shared" ref="C158:F158" si="28">SUM(C159:C160)</f>
        <v>152.16901027775702</v>
      </c>
      <c r="D158" s="10">
        <f t="shared" si="28"/>
        <v>180</v>
      </c>
      <c r="E158" s="10">
        <f t="shared" si="28"/>
        <v>155.51067872224291</v>
      </c>
      <c r="F158" s="10">
        <f t="shared" si="28"/>
        <v>606</v>
      </c>
      <c r="H158" s="10">
        <f>'Budget 2025'!N162</f>
        <v>605.9998925264573</v>
      </c>
      <c r="I158" s="27">
        <f>F158/H158</f>
        <v>1.0000001773491118</v>
      </c>
      <c r="K158" s="34"/>
    </row>
    <row r="159" spans="1:11" x14ac:dyDescent="0.35">
      <c r="A159" s="5" t="s">
        <v>55</v>
      </c>
      <c r="B159" s="30">
        <f>SUMIFS('Outlook 4+8'!$B159:$M159,'Outlook 4+8'!$B$185:$M$185,'Outlook Quarterly 4+8'!B$4)</f>
        <v>94.517719999999997</v>
      </c>
      <c r="C159" s="8">
        <f>SUMIFS('Outlook 4+8'!$B159:$M159,'Outlook 4+8'!$B$185:$M$185,'Outlook Quarterly 4+8'!C$4)</f>
        <v>82.189010277757035</v>
      </c>
      <c r="D159" s="8">
        <f>SUMIFS('Outlook 4+8'!$B159:$M159,'Outlook 4+8'!$B$185:$M$185,'Outlook Quarterly 4+8'!D$4)</f>
        <v>125</v>
      </c>
      <c r="E159" s="8">
        <f>SUMIFS('Outlook 4+8'!$B159:$M159,'Outlook 4+8'!$B$185:$M$185,'Outlook Quarterly 4+8'!E$4)</f>
        <v>155.51067872224291</v>
      </c>
      <c r="F159" s="8">
        <f>SUM(B159:E159)</f>
        <v>457.21740899999998</v>
      </c>
      <c r="H159" s="8">
        <f>'Budget 2025'!N163</f>
        <v>605.9998925264573</v>
      </c>
      <c r="K159" s="34"/>
    </row>
    <row r="160" spans="1:11" x14ac:dyDescent="0.35">
      <c r="A160" s="5" t="s">
        <v>92</v>
      </c>
      <c r="B160" s="30">
        <f>SUMIFS('Outlook 4+8'!$B160:$M160,'Outlook 4+8'!$B$185:$M$185,'Outlook Quarterly 4+8'!B$4)</f>
        <v>23.802591</v>
      </c>
      <c r="C160" s="8">
        <f>SUMIFS('Outlook 4+8'!$B160:$M160,'Outlook 4+8'!$B$185:$M$185,'Outlook Quarterly 4+8'!C$4)</f>
        <v>69.98</v>
      </c>
      <c r="D160" s="8">
        <f>SUMIFS('Outlook 4+8'!$B160:$M160,'Outlook 4+8'!$B$185:$M$185,'Outlook Quarterly 4+8'!D$4)</f>
        <v>55</v>
      </c>
      <c r="E160" s="8">
        <f>SUMIFS('Outlook 4+8'!$B160:$M160,'Outlook 4+8'!$B$185:$M$185,'Outlook Quarterly 4+8'!E$4)</f>
        <v>0</v>
      </c>
      <c r="F160" s="8">
        <f>SUM(B160:E160)</f>
        <v>148.782591</v>
      </c>
      <c r="H160" s="8"/>
      <c r="K160" s="34"/>
    </row>
    <row r="161" spans="1:11" x14ac:dyDescent="0.35">
      <c r="A161" s="9" t="s">
        <v>43</v>
      </c>
      <c r="B161" s="11">
        <f>IFERROR(B156/B158,0)</f>
        <v>17.850783879362858</v>
      </c>
      <c r="C161" s="11">
        <f t="shared" ref="C161:E161" si="29">IFERROR(C156/C158,0)</f>
        <v>17.365426398559308</v>
      </c>
      <c r="D161" s="11">
        <f t="shared" si="29"/>
        <v>17.621096037336834</v>
      </c>
      <c r="E161" s="11">
        <f t="shared" si="29"/>
        <v>17.888156532696566</v>
      </c>
      <c r="F161" s="11">
        <f t="shared" ref="F161" si="30">F156/F158</f>
        <v>17.670275080082508</v>
      </c>
      <c r="H161" s="11">
        <f>'Budget 2025'!N164</f>
        <v>17.6702782138901</v>
      </c>
      <c r="K161" s="34"/>
    </row>
    <row r="162" spans="1:11" x14ac:dyDescent="0.35">
      <c r="A162" s="9" t="s">
        <v>34</v>
      </c>
      <c r="B162" s="11">
        <f>IFERROR(B156/B163,0)</f>
        <v>54.065041050936735</v>
      </c>
      <c r="C162" s="11">
        <f t="shared" ref="C162:E162" si="31">IFERROR(C156/C163,0)</f>
        <v>25.011770038746103</v>
      </c>
      <c r="D162" s="11">
        <f t="shared" si="31"/>
        <v>25.374378293765041</v>
      </c>
      <c r="E162" s="11">
        <f t="shared" si="31"/>
        <v>8.6583691289428</v>
      </c>
      <c r="F162" s="11">
        <f t="shared" ref="F162" si="32">F156/F163</f>
        <v>18.118759219170897</v>
      </c>
      <c r="H162" s="11">
        <f>'Budget 2025'!N165</f>
        <v>18.118759219170897</v>
      </c>
      <c r="K162" s="34"/>
    </row>
    <row r="163" spans="1:11" x14ac:dyDescent="0.35">
      <c r="A163" s="9" t="s">
        <v>47</v>
      </c>
      <c r="B163" s="10">
        <f>SUMIFS('Outlook 4+8'!$B163:$M163,'Outlook 4+8'!$B$185:$M$185,'Outlook Quarterly 4+8'!B$4)</f>
        <v>39.066100000000006</v>
      </c>
      <c r="C163" s="10">
        <f>SUMIFS('Outlook 4+8'!$B163:$M163,'Outlook 4+8'!$B$185:$M$185,'Outlook Quarterly 4+8'!C$4)</f>
        <v>105.64945</v>
      </c>
      <c r="D163" s="10">
        <f>SUMIFS('Outlook 4+8'!$B163:$M163,'Outlook 4+8'!$B$185:$M$185,'Outlook Quarterly 4+8'!D$4)</f>
        <v>125</v>
      </c>
      <c r="E163" s="10">
        <f>SUMIFS('Outlook 4+8'!$B163:$M163,'Outlook 4+8'!$B$185:$M$185,'Outlook Quarterly 4+8'!E$4)</f>
        <v>321.28444999999999</v>
      </c>
      <c r="F163" s="10">
        <f>SUM(B163:E163)</f>
        <v>591</v>
      </c>
      <c r="H163" s="10">
        <f>'Budget 2025'!N166</f>
        <v>591</v>
      </c>
      <c r="K163" s="34"/>
    </row>
    <row r="164" spans="1:11" x14ac:dyDescent="0.35">
      <c r="A164" s="9" t="s">
        <v>73</v>
      </c>
      <c r="B164" s="10">
        <f>SUMIFS('Outlook 4+8'!$B164:$M164,'Outlook 4+8'!$B$185:$M$185,'Outlook Quarterly 4+8'!B$4)</f>
        <v>39.066100000000006</v>
      </c>
      <c r="C164" s="10">
        <f>SUMIFS('Outlook 4+8'!$B164:$M164,'Outlook 4+8'!$B$185:$M$185,'Outlook Quarterly 4+8'!C$4)</f>
        <v>105.64945</v>
      </c>
      <c r="D164" s="10">
        <f>SUMIFS('Outlook 4+8'!$B164:$M164,'Outlook 4+8'!$B$185:$M$185,'Outlook Quarterly 4+8'!D$4)</f>
        <v>125</v>
      </c>
      <c r="E164" s="10">
        <f>SUMIFS('Outlook 4+8'!$B164:$M164,'Outlook 4+8'!$B$185:$M$185,'Outlook Quarterly 4+8'!E$4)</f>
        <v>321.28444999999999</v>
      </c>
      <c r="F164" s="10">
        <f>SUM(B164:E164)</f>
        <v>591</v>
      </c>
      <c r="H164" s="10">
        <f>'Budget 2025'!N166</f>
        <v>591</v>
      </c>
      <c r="K164" s="34"/>
    </row>
    <row r="165" spans="1:11" x14ac:dyDescent="0.35">
      <c r="A165" s="5" t="s">
        <v>60</v>
      </c>
      <c r="B165" s="30">
        <f>IFERROR(SUMPRODUCT('Outlook 4+8'!$B165:$D165,'Outlook 4+8'!$B$164:$D$164)/SUM('Outlook 4+8'!$B$164:$D$164),0)</f>
        <v>6758.4700718405602</v>
      </c>
      <c r="C165" s="8">
        <f>IFERROR(SUMPRODUCT('Outlook 4+8'!$E165:$G165,'Outlook 4+8'!$E$164:$G$164)/SUM('Outlook 4+8'!$E$164:$G$164),0)</f>
        <v>6901.4344378603037</v>
      </c>
      <c r="D165" s="8">
        <f>IFERROR(SUMPRODUCT('Outlook 4+8'!$H165:$J165,'Outlook 4+8'!$H$164:$J$164)/SUM('Outlook 4+8'!$H$164:$J$164),0)</f>
        <v>7139.9975059930684</v>
      </c>
      <c r="E165" s="8">
        <f>IFERROR(SUMPRODUCT('Outlook 4+8'!$K165:$M165,'Outlook 4+8'!$K$164:$M$164)/SUM('Outlook 4+8'!$K$164:$M$164),0)</f>
        <v>7104.6837633294899</v>
      </c>
      <c r="F165" s="14">
        <f>SUMPRODUCT(B165:E165,$B$163:$E$163)/SUM($B$163:$E$163)</f>
        <v>7052.9338812502701</v>
      </c>
      <c r="H165" s="8">
        <f>'Budget 2025'!N167</f>
        <v>6914.924833624611</v>
      </c>
      <c r="K165" s="34"/>
    </row>
    <row r="166" spans="1:11" x14ac:dyDescent="0.35">
      <c r="A166" s="5" t="s">
        <v>22</v>
      </c>
      <c r="B166" s="31">
        <f>IFERROR(SUMPRODUCT('Outlook 4+8'!$B166:$D166,'Outlook 4+8'!$B$164:$D$164)/SUM('Outlook 4+8'!$B$164:$D$164),0)</f>
        <v>1.2621939470157846</v>
      </c>
      <c r="C166" s="7">
        <f>IFERROR(SUMPRODUCT('Outlook 4+8'!$E166:$G166,'Outlook 4+8'!$E$164:$G$164)/SUM('Outlook 4+8'!$E$164:$G$164),0)</f>
        <v>1.293991972553703</v>
      </c>
      <c r="D166" s="7">
        <f>IFERROR(SUMPRODUCT('Outlook 4+8'!$H166:$J166,'Outlook 4+8'!$H$164:$J$164)/SUM('Outlook 4+8'!$H$164:$J$164),0)</f>
        <v>1.1122360054653981</v>
      </c>
      <c r="E166" s="7">
        <f>IFERROR(SUMPRODUCT('Outlook 4+8'!$K166:$M166,'Outlook 4+8'!$K$164:$M$164)/SUM('Outlook 4+8'!$K$164:$M$164),0)</f>
        <v>1.1335704933965645</v>
      </c>
      <c r="F166" s="15">
        <f>SUMPRODUCT(B166:E166,$B$163:$E$163)/SUM($B$163:$E$163)</f>
        <v>1.1662379159873872</v>
      </c>
      <c r="H166" s="7">
        <f>'Budget 2025'!N168</f>
        <v>0.97967782668745695</v>
      </c>
      <c r="K166" s="34"/>
    </row>
    <row r="167" spans="1:11" x14ac:dyDescent="0.35">
      <c r="A167" s="5" t="s">
        <v>23</v>
      </c>
      <c r="B167" s="31">
        <f>IFERROR(SUMPRODUCT('Outlook 4+8'!$B167:$D167,'Outlook 4+8'!$B$164:$D$164)/SUM('Outlook 4+8'!$B$164:$D$164),0)</f>
        <v>3.6776334393490697</v>
      </c>
      <c r="C167" s="7">
        <f>IFERROR(SUMPRODUCT('Outlook 4+8'!$E167:$G167,'Outlook 4+8'!$E$164:$G$164)/SUM('Outlook 4+8'!$E$164:$G$164),0)</f>
        <v>2.8149412422238473</v>
      </c>
      <c r="D167" s="7">
        <f>IFERROR(SUMPRODUCT('Outlook 4+8'!$H167:$J167,'Outlook 4+8'!$H$164:$J$164)/SUM('Outlook 4+8'!$H$164:$J$164),0)</f>
        <v>3.2027831959432906</v>
      </c>
      <c r="E167" s="7">
        <f>IFERROR(SUMPRODUCT('Outlook 4+8'!$K167:$M167,'Outlook 4+8'!$K$164:$M$164)/SUM('Outlook 4+8'!$K$164:$M$164),0)</f>
        <v>3.250742593489524</v>
      </c>
      <c r="F167" s="15">
        <f>SUMPRODUCT(B167:E167,$B$163:$E$163)/SUM($B$163:$E$163)</f>
        <v>3.1909115659255285</v>
      </c>
      <c r="H167" s="7">
        <f>'Budget 2025'!N169</f>
        <v>3.7673803156838583</v>
      </c>
      <c r="K167" s="34"/>
    </row>
    <row r="168" spans="1:11" x14ac:dyDescent="0.35">
      <c r="A168" s="5" t="s">
        <v>38</v>
      </c>
      <c r="B168" s="31">
        <f>IFERROR(SUMPRODUCT('Outlook 4+8'!$B168:$D168,'Outlook 4+8'!$B$164:$D$164)/SUM('Outlook 4+8'!$B$164:$D$164),0)</f>
        <v>6.3311737637907246</v>
      </c>
      <c r="C168" s="7">
        <f>IFERROR(SUMPRODUCT('Outlook 4+8'!$E168:$G168,'Outlook 4+8'!$E$164:$G$164)/SUM('Outlook 4+8'!$E$164:$G$164),0)</f>
        <v>5.6335470372958589</v>
      </c>
      <c r="D168" s="7">
        <f>IFERROR(SUMPRODUCT('Outlook 4+8'!$H168:$J168,'Outlook 4+8'!$H$164:$J$164)/SUM('Outlook 4+8'!$H$164:$J$164),0)</f>
        <v>4.8388199933516001</v>
      </c>
      <c r="E168" s="7">
        <f>IFERROR(SUMPRODUCT('Outlook 4+8'!$K168:$M168,'Outlook 4+8'!$K$164:$M$164)/SUM('Outlook 4+8'!$K$164:$M$164),0)</f>
        <v>4.7768475562969552</v>
      </c>
      <c r="F168" s="15">
        <f>SUMPRODUCT(B168:E168,$B$163:$E$163)/SUM($B$163:$E$163)</f>
        <v>5.0458456048066376</v>
      </c>
      <c r="H168" s="7">
        <f>'Budget 2025'!N170</f>
        <v>8.6903071606236697</v>
      </c>
      <c r="K168" s="34"/>
    </row>
    <row r="169" spans="1:11" x14ac:dyDescent="0.35">
      <c r="A169" s="5" t="s">
        <v>25</v>
      </c>
      <c r="B169" s="31">
        <f>IFERROR(SUMPRODUCT('Outlook 4+8'!$B169:$D169,'Outlook 4+8'!$B$164:$D$164)/SUM('Outlook 4+8'!$B$164:$D$164),0)</f>
        <v>10.996015819507235</v>
      </c>
      <c r="C169" s="7">
        <f>IFERROR(SUMPRODUCT('Outlook 4+8'!$E169:$G169,'Outlook 4+8'!$E$164:$G$164)/SUM('Outlook 4+8'!$E$164:$G$164),0)</f>
        <v>10.791882688014409</v>
      </c>
      <c r="D169" s="7">
        <f>IFERROR(SUMPRODUCT('Outlook 4+8'!$H169:$J169,'Outlook 4+8'!$H$164:$J$164)/SUM('Outlook 4+8'!$H$164:$J$164),0)</f>
        <v>7.7585617498295916</v>
      </c>
      <c r="E169" s="7">
        <f>IFERROR(SUMPRODUCT('Outlook 4+8'!$K169:$M169,'Outlook 4+8'!$K$164:$M$164)/SUM('Outlook 4+8'!$K$164:$M$164),0)</f>
        <v>7.8266992193865024</v>
      </c>
      <c r="F169" s="15">
        <f>SUMPRODUCT(B169:E169,$B$163:$E$163)/SUM($B$163:$E$163)</f>
        <v>8.5518526172663556</v>
      </c>
      <c r="H169" s="7">
        <f>'Budget 2025'!N171</f>
        <v>4.734175124469358</v>
      </c>
      <c r="K169" s="34"/>
    </row>
    <row r="170" spans="1:11" x14ac:dyDescent="0.35">
      <c r="K170" s="34"/>
    </row>
    <row r="171" spans="1:11" x14ac:dyDescent="0.35">
      <c r="A171" s="6" t="s">
        <v>86</v>
      </c>
      <c r="B171" s="6" t="s">
        <v>93</v>
      </c>
      <c r="C171" s="6" t="s">
        <v>94</v>
      </c>
      <c r="D171" s="6" t="s">
        <v>95</v>
      </c>
      <c r="E171" s="6" t="s">
        <v>96</v>
      </c>
      <c r="F171" s="6" t="s">
        <v>13</v>
      </c>
      <c r="G171" s="4"/>
      <c r="H171" s="6" t="s">
        <v>84</v>
      </c>
      <c r="K171" s="34"/>
    </row>
    <row r="172" spans="1:11" x14ac:dyDescent="0.35">
      <c r="A172" s="9" t="s">
        <v>14</v>
      </c>
      <c r="B172" s="10">
        <f>B173</f>
        <v>0</v>
      </c>
      <c r="C172" s="10">
        <f t="shared" ref="C172:E172" si="33">C173</f>
        <v>1029</v>
      </c>
      <c r="D172" s="10">
        <f t="shared" si="33"/>
        <v>2392</v>
      </c>
      <c r="E172" s="10">
        <f t="shared" si="33"/>
        <v>2262.5</v>
      </c>
      <c r="F172" s="10">
        <f>SUM(B172:E172)</f>
        <v>5683.5</v>
      </c>
      <c r="G172" s="2"/>
      <c r="H172" s="10">
        <f>'Budget 2025'!N174</f>
        <v>5683.5</v>
      </c>
      <c r="K172" s="34"/>
    </row>
    <row r="173" spans="1:11" x14ac:dyDescent="0.35">
      <c r="A173" s="5" t="s">
        <v>57</v>
      </c>
      <c r="B173" s="30">
        <f>SUMIFS('Outlook 4+8'!$B173:$M173,'Outlook 4+8'!$B$185:$M$185,'Outlook Quarterly 4+8'!B$4)</f>
        <v>0</v>
      </c>
      <c r="C173" s="8">
        <f>SUMIFS('Outlook 4+8'!$B173:$M173,'Outlook 4+8'!$B$185:$M$185,'Outlook Quarterly 4+8'!C$4)</f>
        <v>1029</v>
      </c>
      <c r="D173" s="8">
        <f>SUMIFS('Outlook 4+8'!$B173:$M173,'Outlook 4+8'!$B$185:$M$185,'Outlook Quarterly 4+8'!D$4)</f>
        <v>2392</v>
      </c>
      <c r="E173" s="8">
        <f>SUMIFS('Outlook 4+8'!$B173:$M173,'Outlook 4+8'!$B$185:$M$185,'Outlook Quarterly 4+8'!E$4)</f>
        <v>2262.5</v>
      </c>
      <c r="F173" s="8">
        <f>SUM(B173:E173)</f>
        <v>5683.5</v>
      </c>
      <c r="H173" s="8">
        <f>'Budget 2025'!N175</f>
        <v>5683.5</v>
      </c>
      <c r="K173" s="34"/>
    </row>
    <row r="174" spans="1:11" x14ac:dyDescent="0.35">
      <c r="A174" s="9" t="s">
        <v>17</v>
      </c>
      <c r="B174" s="10">
        <f t="shared" ref="B174:F174" si="34">SUM(B175:B175)</f>
        <v>0</v>
      </c>
      <c r="C174" s="10">
        <f t="shared" si="34"/>
        <v>25</v>
      </c>
      <c r="D174" s="10">
        <f t="shared" si="34"/>
        <v>170</v>
      </c>
      <c r="E174" s="10">
        <f t="shared" si="34"/>
        <v>255</v>
      </c>
      <c r="F174" s="10">
        <f t="shared" si="34"/>
        <v>450</v>
      </c>
      <c r="G174" s="2"/>
      <c r="H174" s="10">
        <f>'Budget 2025'!N176</f>
        <v>450</v>
      </c>
      <c r="K174" s="34"/>
    </row>
    <row r="175" spans="1:11" x14ac:dyDescent="0.35">
      <c r="A175" s="5" t="s">
        <v>57</v>
      </c>
      <c r="B175" s="30">
        <f>SUMIFS('Outlook 4+8'!$B175:$M175,'Outlook 4+8'!$B$185:$M$185,'Outlook Quarterly 4+8'!B$4)</f>
        <v>0</v>
      </c>
      <c r="C175" s="8">
        <f>SUMIFS('Outlook 4+8'!$B175:$M175,'Outlook 4+8'!$B$185:$M$185,'Outlook Quarterly 4+8'!C$4)</f>
        <v>25</v>
      </c>
      <c r="D175" s="8">
        <f>SUMIFS('Outlook 4+8'!$B175:$M175,'Outlook 4+8'!$B$185:$M$185,'Outlook Quarterly 4+8'!D$4)</f>
        <v>170</v>
      </c>
      <c r="E175" s="8">
        <f>SUMIFS('Outlook 4+8'!$B175:$M175,'Outlook 4+8'!$B$185:$M$185,'Outlook Quarterly 4+8'!E$4)</f>
        <v>255</v>
      </c>
      <c r="F175" s="8">
        <f>SUM(B175:E175)</f>
        <v>450</v>
      </c>
      <c r="H175" s="8">
        <f>'Budget 2025'!N177</f>
        <v>450</v>
      </c>
      <c r="K175" s="34"/>
    </row>
    <row r="176" spans="1:11" x14ac:dyDescent="0.35">
      <c r="A176" s="9" t="s">
        <v>43</v>
      </c>
      <c r="B176" s="11">
        <f>IFERROR(B172/B174,0)</f>
        <v>0</v>
      </c>
      <c r="C176" s="11">
        <f t="shared" ref="C176:E176" si="35">IFERROR(C172/C174,0)</f>
        <v>41.16</v>
      </c>
      <c r="D176" s="11">
        <f t="shared" si="35"/>
        <v>14.070588235294117</v>
      </c>
      <c r="E176" s="11">
        <f t="shared" si="35"/>
        <v>8.8725490196078436</v>
      </c>
      <c r="F176" s="11">
        <f>F172/F174</f>
        <v>12.63</v>
      </c>
      <c r="G176" s="2"/>
      <c r="H176" s="11">
        <f>'Budget 2025'!N178</f>
        <v>12.63</v>
      </c>
      <c r="K176" s="34"/>
    </row>
    <row r="177" spans="1:11" x14ac:dyDescent="0.35">
      <c r="A177" s="9" t="s">
        <v>34</v>
      </c>
      <c r="B177" s="11">
        <f>IFERROR(B172/B178,0)</f>
        <v>0</v>
      </c>
      <c r="C177" s="11">
        <f t="shared" ref="C177:E177" si="36">IFERROR(C172/C178,0)</f>
        <v>0</v>
      </c>
      <c r="D177" s="11">
        <f t="shared" si="36"/>
        <v>22.355140186915889</v>
      </c>
      <c r="E177" s="11">
        <f t="shared" si="36"/>
        <v>11.722797927461141</v>
      </c>
      <c r="F177" s="11">
        <f>F172/F178</f>
        <v>18.945</v>
      </c>
      <c r="G177" s="2"/>
      <c r="H177" s="11">
        <f>'Budget 2025'!N179</f>
        <v>18.945</v>
      </c>
      <c r="K177" s="34"/>
    </row>
    <row r="178" spans="1:11" x14ac:dyDescent="0.35">
      <c r="A178" s="9" t="s">
        <v>47</v>
      </c>
      <c r="B178" s="10">
        <f>SUMIFS('Outlook 4+8'!$B178:$M178,'Outlook 4+8'!$B$185:$M$185,'Outlook Quarterly 4+8'!B$4)</f>
        <v>0</v>
      </c>
      <c r="C178" s="10">
        <f>SUMIFS('Outlook 4+8'!$B178:$M178,'Outlook 4+8'!$B$185:$M$185,'Outlook Quarterly 4+8'!C$4)</f>
        <v>0</v>
      </c>
      <c r="D178" s="10">
        <f>SUMIFS('Outlook 4+8'!$B178:$M178,'Outlook 4+8'!$B$185:$M$185,'Outlook Quarterly 4+8'!D$4)</f>
        <v>107</v>
      </c>
      <c r="E178" s="10">
        <f>SUMIFS('Outlook 4+8'!$B178:$M178,'Outlook 4+8'!$B$185:$M$185,'Outlook Quarterly 4+8'!E$4)</f>
        <v>193</v>
      </c>
      <c r="F178" s="10">
        <f>SUM(B178:E178)</f>
        <v>300</v>
      </c>
      <c r="G178" s="2"/>
      <c r="H178" s="10">
        <f>'Budget 2025'!N180</f>
        <v>300</v>
      </c>
      <c r="K178" s="34"/>
    </row>
    <row r="179" spans="1:11" x14ac:dyDescent="0.35">
      <c r="A179" s="5" t="s">
        <v>60</v>
      </c>
      <c r="B179" s="30">
        <f>IFERROR(SUMPRODUCT('Outlook 4+8'!$B179:$D179,'Outlook 4+8'!$B$178:$D$178)/SUM('Outlook 4+8'!$B$178:$D$178),0)</f>
        <v>0</v>
      </c>
      <c r="C179" s="8">
        <f>IFERROR(SUMPRODUCT('Outlook 4+8'!$E179:$G179,'Outlook 4+8'!$E$178:$G$178)/SUM('Outlook 4+8'!$E$178:$G$178),0)</f>
        <v>0</v>
      </c>
      <c r="D179" s="8">
        <f>IFERROR(SUMPRODUCT('Outlook 4+8'!$H179:$J179,'Outlook 4+8'!$H$178:$J$178)/SUM('Outlook 4+8'!$H$178:$J$178),0)</f>
        <v>5950.5674472588453</v>
      </c>
      <c r="E179" s="8">
        <f>IFERROR(SUMPRODUCT('Outlook 4+8'!$K179:$M179,'Outlook 4+8'!$K$178:$M$178)/SUM('Outlook 4+8'!$K$178:$M$178),0)</f>
        <v>5916.551469742516</v>
      </c>
      <c r="F179" s="14">
        <f>SUMPRODUCT(B179:E179,$B$178:$E$178)/SUM($B$178:$E$178)</f>
        <v>5928.6838350566732</v>
      </c>
      <c r="G179" s="12"/>
      <c r="H179" s="8">
        <f>'Budget 2025'!N181</f>
        <v>5016.4002721866818</v>
      </c>
      <c r="K179" s="34"/>
    </row>
    <row r="180" spans="1:11" x14ac:dyDescent="0.35">
      <c r="A180" s="5" t="s">
        <v>22</v>
      </c>
      <c r="B180" s="31">
        <f>IFERROR(SUMPRODUCT('Outlook 4+8'!$B180:$D180,'Outlook 4+8'!$B$178:$D$178)/SUM('Outlook 4+8'!$B$178:$D$178),0)</f>
        <v>0</v>
      </c>
      <c r="C180" s="7">
        <f>IFERROR(SUMPRODUCT('Outlook 4+8'!$E180:$G180,'Outlook 4+8'!$E$178:$G$178)/SUM('Outlook 4+8'!$E$178:$G$178),0)</f>
        <v>0</v>
      </c>
      <c r="D180" s="7">
        <f>IFERROR(SUMPRODUCT('Outlook 4+8'!$H180:$J180,'Outlook 4+8'!$H$178:$J$178)/SUM('Outlook 4+8'!$H$178:$J$178),0)</f>
        <v>1.4250866025035624</v>
      </c>
      <c r="E180" s="7">
        <f>IFERROR(SUMPRODUCT('Outlook 4+8'!$K180:$M180,'Outlook 4+8'!$K$178:$M$178)/SUM('Outlook 4+8'!$K$178:$M$178),0)</f>
        <v>1.3910737575261616</v>
      </c>
      <c r="F180" s="15">
        <f>SUMPRODUCT(B180:E180,$B$178:$E$178)/SUM($B$178:$E$178)</f>
        <v>1.4032050055681013</v>
      </c>
      <c r="H180" s="7">
        <f>'Budget 2025'!N182</f>
        <v>0.85231442995617068</v>
      </c>
      <c r="K180" s="34"/>
    </row>
    <row r="181" spans="1:11" x14ac:dyDescent="0.35">
      <c r="A181" s="5" t="s">
        <v>23</v>
      </c>
      <c r="B181" s="31">
        <f>IFERROR(SUMPRODUCT('Outlook 4+8'!$B181:$D181,'Outlook 4+8'!$B$178:$D$178)/SUM('Outlook 4+8'!$B$178:$D$178),0)</f>
        <v>0</v>
      </c>
      <c r="C181" s="7">
        <f>IFERROR(SUMPRODUCT('Outlook 4+8'!$E181:$G181,'Outlook 4+8'!$E$178:$G$178)/SUM('Outlook 4+8'!$E$178:$G$178),0)</f>
        <v>0</v>
      </c>
      <c r="D181" s="7">
        <f>IFERROR(SUMPRODUCT('Outlook 4+8'!$H181:$J181,'Outlook 4+8'!$H$178:$J$178)/SUM('Outlook 4+8'!$H$178:$J$178),0)</f>
        <v>6.9566482333947555</v>
      </c>
      <c r="E181" s="7">
        <f>IFERROR(SUMPRODUCT('Outlook 4+8'!$K181:$M181,'Outlook 4+8'!$K$178:$M$178)/SUM('Outlook 4+8'!$K$178:$M$178),0)</f>
        <v>7.4381248127233421</v>
      </c>
      <c r="F181" s="15">
        <f>SUMPRODUCT(B181:E181,$B$178:$E$178)/SUM($B$178:$E$178)</f>
        <v>7.2663981660961463</v>
      </c>
      <c r="H181" s="7">
        <f>'Budget 2025'!N183</f>
        <v>4.6059680600780979</v>
      </c>
      <c r="K181" s="34"/>
    </row>
    <row r="182" spans="1:11" x14ac:dyDescent="0.35">
      <c r="A182" s="5" t="s">
        <v>38</v>
      </c>
      <c r="B182" s="31">
        <f>IFERROR(SUMPRODUCT('Outlook 4+8'!$B182:$D182,'Outlook 4+8'!$B$178:$D$178)/SUM('Outlook 4+8'!$B$178:$D$178),0)</f>
        <v>0</v>
      </c>
      <c r="C182" s="7">
        <f>IFERROR(SUMPRODUCT('Outlook 4+8'!$E182:$G182,'Outlook 4+8'!$E$178:$G$178)/SUM('Outlook 4+8'!$E$178:$G$178),0)</f>
        <v>0</v>
      </c>
      <c r="D182" s="7">
        <f>IFERROR(SUMPRODUCT('Outlook 4+8'!$H182:$J182,'Outlook 4+8'!$H$178:$J$178)/SUM('Outlook 4+8'!$H$178:$J$178),0)</f>
        <v>10.505874572626901</v>
      </c>
      <c r="E182" s="7">
        <f>IFERROR(SUMPRODUCT('Outlook 4+8'!$K182:$M182,'Outlook 4+8'!$K$178:$M$178)/SUM('Outlook 4+8'!$K$178:$M$178),0)</f>
        <v>10.745049540819821</v>
      </c>
      <c r="F182" s="15">
        <f>SUMPRODUCT(B182:E182,$B$178:$E$178)/SUM($B$178:$E$178)</f>
        <v>10.659743802164344</v>
      </c>
      <c r="H182" s="7">
        <f>'Budget 2025'!N184</f>
        <v>5.8143085963157821</v>
      </c>
      <c r="K182" s="34"/>
    </row>
    <row r="183" spans="1:11" x14ac:dyDescent="0.35">
      <c r="A183" s="5" t="s">
        <v>25</v>
      </c>
      <c r="B183" s="31">
        <f>IFERROR(SUMPRODUCT('Outlook 4+8'!$B183:$D183,'Outlook 4+8'!$B$178:$D$178)/SUM('Outlook 4+8'!$B$178:$D$178),0)</f>
        <v>0</v>
      </c>
      <c r="C183" s="7">
        <f>IFERROR(SUMPRODUCT('Outlook 4+8'!$E183:$G183,'Outlook 4+8'!$E$178:$G$178)/SUM('Outlook 4+8'!$E$178:$G$178),0)</f>
        <v>0</v>
      </c>
      <c r="D183" s="7">
        <f>IFERROR(SUMPRODUCT('Outlook 4+8'!$H183:$J183,'Outlook 4+8'!$H$178:$J$178)/SUM('Outlook 4+8'!$H$178:$J$178),0)</f>
        <v>15.991878359262211</v>
      </c>
      <c r="E183" s="7">
        <f>IFERROR(SUMPRODUCT('Outlook 4+8'!$K183:$M183,'Outlook 4+8'!$K$178:$M$178)/SUM('Outlook 4+8'!$K$178:$M$178),0)</f>
        <v>15.946748712901677</v>
      </c>
      <c r="F183" s="15">
        <f>SUMPRODUCT(B183:E183,$B$178:$E$178)/SUM($B$178:$E$178)</f>
        <v>15.962844953436933</v>
      </c>
      <c r="H183" s="7">
        <f>'Budget 2025'!N185</f>
        <v>11.20202059508415</v>
      </c>
      <c r="K183" s="34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3F89-1306-4854-B1CA-7CA656BB35AE}">
  <dimension ref="B2:L11"/>
  <sheetViews>
    <sheetView workbookViewId="0">
      <selection activeCell="F11" sqref="F11"/>
    </sheetView>
  </sheetViews>
  <sheetFormatPr defaultRowHeight="14.5" x14ac:dyDescent="0.35"/>
  <cols>
    <col min="2" max="2" width="12.90625" customWidth="1"/>
    <col min="3" max="3" width="11.453125" bestFit="1" customWidth="1"/>
    <col min="4" max="4" width="10.08984375" bestFit="1" customWidth="1"/>
    <col min="5" max="5" width="9.1796875" bestFit="1" customWidth="1"/>
    <col min="6" max="6" width="9.08984375" bestFit="1" customWidth="1"/>
    <col min="7" max="7" width="9.1796875" bestFit="1" customWidth="1"/>
    <col min="8" max="8" width="9.08984375" bestFit="1" customWidth="1"/>
  </cols>
  <sheetData>
    <row r="2" spans="2:12" x14ac:dyDescent="0.35">
      <c r="B2" s="32" t="s">
        <v>75</v>
      </c>
      <c r="C2" s="32" t="s">
        <v>76</v>
      </c>
      <c r="D2" s="32"/>
      <c r="E2" s="32" t="s">
        <v>79</v>
      </c>
      <c r="F2" s="32"/>
      <c r="G2" s="32" t="s">
        <v>82</v>
      </c>
      <c r="H2" s="32"/>
      <c r="I2" s="32" t="s">
        <v>83</v>
      </c>
      <c r="J2" s="32"/>
      <c r="K2" s="33" t="s">
        <v>80</v>
      </c>
      <c r="L2" s="33"/>
    </row>
    <row r="3" spans="2:12" x14ac:dyDescent="0.35">
      <c r="B3" s="32"/>
      <c r="C3" s="22" t="s">
        <v>77</v>
      </c>
      <c r="D3" s="22" t="s">
        <v>78</v>
      </c>
      <c r="E3" s="22" t="s">
        <v>77</v>
      </c>
      <c r="F3" s="22" t="s">
        <v>78</v>
      </c>
      <c r="G3" s="22" t="s">
        <v>77</v>
      </c>
      <c r="H3" s="22" t="s">
        <v>78</v>
      </c>
      <c r="I3" s="22" t="s">
        <v>77</v>
      </c>
      <c r="J3" s="22" t="s">
        <v>78</v>
      </c>
      <c r="K3" s="22" t="s">
        <v>76</v>
      </c>
      <c r="L3" s="22" t="s">
        <v>79</v>
      </c>
    </row>
    <row r="4" spans="2:12" ht="21.5" customHeight="1" x14ac:dyDescent="0.35">
      <c r="B4" s="16" t="s">
        <v>0</v>
      </c>
      <c r="C4" s="18">
        <f>SUM('Budget 2025'!B5:G5)</f>
        <v>45360.043140994094</v>
      </c>
      <c r="D4" s="19">
        <f>SUM('Outlook 4+8'!B5:G5)</f>
        <v>43301.112618353203</v>
      </c>
      <c r="E4" s="19">
        <f>SUM('Budget 2025'!B8:G8)</f>
        <v>3220.0000000692289</v>
      </c>
      <c r="F4" s="19">
        <f>SUM('Outlook 4+8'!B8:G8)</f>
        <v>3176.7723800026456</v>
      </c>
      <c r="G4" s="19">
        <f>SUM('Budget 2025'!B13:G13)</f>
        <v>3275.5000000692298</v>
      </c>
      <c r="H4" s="19">
        <f>SUM('Outlook 4+8'!B13:G13)</f>
        <v>3346.4135535337377</v>
      </c>
      <c r="I4" s="20">
        <f>C4/E4</f>
        <v>14.086969919260518</v>
      </c>
      <c r="J4" s="20">
        <f>D4/F4</f>
        <v>13.630536733109327</v>
      </c>
      <c r="K4" s="21">
        <f>D4/C4</f>
        <v>0.95460915863238816</v>
      </c>
      <c r="L4" s="21">
        <f>F4/E4</f>
        <v>0.98657527327153605</v>
      </c>
    </row>
    <row r="5" spans="2:12" ht="21.5" customHeight="1" x14ac:dyDescent="0.35">
      <c r="B5" s="16" t="s">
        <v>31</v>
      </c>
      <c r="C5" s="18">
        <f>SUM('Budget 2025'!B56:G56)</f>
        <v>25550</v>
      </c>
      <c r="D5" s="19">
        <f>SUM('Outlook 4+8'!B56:G56)</f>
        <v>21049.987270599995</v>
      </c>
      <c r="E5" s="19">
        <f>SUM('Budget 2025'!B60:G60)</f>
        <v>1487</v>
      </c>
      <c r="F5" s="19">
        <f>SUM('Outlook 4+8'!B60:G60)</f>
        <v>1389.7787670964742</v>
      </c>
      <c r="G5" s="19">
        <f>SUM('Budget 2025'!B65:G65)</f>
        <v>1562</v>
      </c>
      <c r="H5" s="19">
        <f>SUM('Outlook 4+8'!B66:G66)</f>
        <v>1448.2282100000002</v>
      </c>
      <c r="I5" s="20">
        <f t="shared" ref="I5:J9" si="0">C5/E5</f>
        <v>17.182246133154003</v>
      </c>
      <c r="J5" s="20">
        <f t="shared" si="0"/>
        <v>15.146286422678358</v>
      </c>
      <c r="K5" s="21">
        <f t="shared" ref="K5:K9" si="1">D5/C5</f>
        <v>0.82387425716634033</v>
      </c>
      <c r="L5" s="21">
        <f t="shared" ref="L5:L9" si="2">F5/E5</f>
        <v>0.93461921122829472</v>
      </c>
    </row>
    <row r="6" spans="2:12" ht="21.5" customHeight="1" x14ac:dyDescent="0.35">
      <c r="B6" s="16" t="s">
        <v>48</v>
      </c>
      <c r="C6" s="18">
        <f>SUM('Budget 2025'!B105:G105)</f>
        <v>45094</v>
      </c>
      <c r="D6" s="19">
        <f>SUM('Outlook 4+8'!B100:G100)</f>
        <v>45842.741463350001</v>
      </c>
      <c r="E6" s="19">
        <f>SUM('Budget 2025'!B109:G109)</f>
        <v>3966.5</v>
      </c>
      <c r="F6" s="19">
        <f>SUM('Outlook 4+8'!B104:G104)</f>
        <v>4469.6870499999995</v>
      </c>
      <c r="G6" s="19">
        <f>SUM('Budget 2025'!B115:G115)</f>
        <v>4050</v>
      </c>
      <c r="H6" s="19">
        <f>SUM('Outlook 4+8'!B110:G110)</f>
        <v>4248.2213300000003</v>
      </c>
      <c r="I6" s="20">
        <f t="shared" si="0"/>
        <v>11.368712971133242</v>
      </c>
      <c r="J6" s="20">
        <f t="shared" si="0"/>
        <v>10.25636492007869</v>
      </c>
      <c r="K6" s="21">
        <f t="shared" si="1"/>
        <v>1.0166040152426044</v>
      </c>
      <c r="L6" s="21">
        <f t="shared" si="2"/>
        <v>1.1268592083700995</v>
      </c>
    </row>
    <row r="7" spans="2:12" ht="21.5" customHeight="1" x14ac:dyDescent="0.35">
      <c r="B7" s="16" t="s">
        <v>44</v>
      </c>
      <c r="C7" s="18">
        <f>SUM('Budget 2025'!B130:G130)</f>
        <v>1603.028000262656</v>
      </c>
      <c r="D7" s="19">
        <f>SUM('Outlook 4+8'!B125:G125)</f>
        <v>160</v>
      </c>
      <c r="E7" s="19">
        <f>SUM('Budget 2025'!B132:G132)</f>
        <v>57</v>
      </c>
      <c r="F7" s="19">
        <f>SUM('Outlook 4+8'!B127:G127)</f>
        <v>0</v>
      </c>
      <c r="G7" s="19">
        <f>SUM('Budget 2025'!B137:G137)</f>
        <v>53</v>
      </c>
      <c r="H7" s="19">
        <f>SUM('Outlook 4+8'!B132:G132)</f>
        <v>0</v>
      </c>
      <c r="I7" s="20">
        <f t="shared" si="0"/>
        <v>28.123298250222035</v>
      </c>
      <c r="J7" s="20" t="e">
        <f t="shared" si="0"/>
        <v>#DIV/0!</v>
      </c>
      <c r="K7" s="21">
        <f t="shared" si="1"/>
        <v>9.9811107462741772E-2</v>
      </c>
      <c r="L7" s="21">
        <f t="shared" si="2"/>
        <v>0</v>
      </c>
    </row>
    <row r="8" spans="2:12" ht="21.5" customHeight="1" x14ac:dyDescent="0.35">
      <c r="B8" s="16" t="s">
        <v>52</v>
      </c>
      <c r="C8" s="18">
        <f>SUM('Budget 2025'!B145:G145)</f>
        <v>3825</v>
      </c>
      <c r="D8" s="19">
        <f>SUM('Outlook 4+8'!B140:G140)</f>
        <v>3692.6779461999995</v>
      </c>
      <c r="E8" s="19">
        <f>SUM('Budget 2025'!B147:G147)</f>
        <v>1062</v>
      </c>
      <c r="F8" s="19">
        <f>SUM('Outlook 4+8'!B142:G142)</f>
        <v>1210.1154219999999</v>
      </c>
      <c r="G8" s="19">
        <f>SUM('Budget 2025'!B152:G152)</f>
        <v>1100</v>
      </c>
      <c r="H8" s="19">
        <f>SUM('Outlook 4+8'!B148:G148)</f>
        <v>1223.3728759999999</v>
      </c>
      <c r="I8" s="20">
        <f t="shared" si="0"/>
        <v>3.6016949152542375</v>
      </c>
      <c r="J8" s="20">
        <f t="shared" si="0"/>
        <v>3.0515088718537129</v>
      </c>
      <c r="K8" s="21">
        <f t="shared" si="1"/>
        <v>0.96540599900653579</v>
      </c>
      <c r="L8" s="21">
        <f t="shared" si="2"/>
        <v>1.1394683822975515</v>
      </c>
    </row>
    <row r="9" spans="2:12" ht="21.5" customHeight="1" x14ac:dyDescent="0.35">
      <c r="B9" s="16" t="s">
        <v>51</v>
      </c>
      <c r="C9" s="18">
        <f>SUM('Budget 2025'!B160:G160)</f>
        <v>4924.4290320110003</v>
      </c>
      <c r="D9" s="19">
        <f>SUM('Outlook 4+8'!B156:G156)</f>
        <v>4754.5900483200039</v>
      </c>
      <c r="E9" s="19">
        <f>SUM('Budget 2025'!B162:G162)</f>
        <v>270.88602230931434</v>
      </c>
      <c r="F9" s="19">
        <f>SUM('Outlook 4+8'!B158:G158)</f>
        <v>270.48932127775703</v>
      </c>
      <c r="G9" s="19">
        <f>SUM('Budget 2025'!B166:G166)</f>
        <v>245</v>
      </c>
      <c r="H9" s="19">
        <f>SUM('Outlook 4+8'!B163:G163)</f>
        <v>144.71555000000001</v>
      </c>
      <c r="I9" s="20">
        <f t="shared" si="0"/>
        <v>18.17897058707586</v>
      </c>
      <c r="J9" s="20">
        <f t="shared" si="0"/>
        <v>17.577736621393878</v>
      </c>
      <c r="K9" s="21">
        <f t="shared" si="1"/>
        <v>0.96551092876210287</v>
      </c>
      <c r="L9" s="21">
        <f t="shared" si="2"/>
        <v>0.99853554263089905</v>
      </c>
    </row>
    <row r="10" spans="2:12" ht="21.5" customHeight="1" x14ac:dyDescent="0.35">
      <c r="B10" s="23" t="s">
        <v>81</v>
      </c>
      <c r="C10" s="24">
        <f>SUM(C4:C9)</f>
        <v>126356.50017326775</v>
      </c>
      <c r="D10" s="24">
        <f t="shared" ref="D10:F10" si="3">SUM(D4:D9)</f>
        <v>118801.1093468232</v>
      </c>
      <c r="E10" s="24">
        <f t="shared" si="3"/>
        <v>10063.386022378543</v>
      </c>
      <c r="F10" s="24">
        <f t="shared" si="3"/>
        <v>10516.842940376875</v>
      </c>
      <c r="G10" s="24">
        <f t="shared" ref="G10" si="4">SUM(G4:G9)</f>
        <v>10285.500000069231</v>
      </c>
      <c r="H10" s="24">
        <f t="shared" ref="H10" si="5">SUM(H4:H9)</f>
        <v>10410.951519533739</v>
      </c>
      <c r="I10" s="25">
        <f t="shared" ref="I10" si="6">C10/E10</f>
        <v>12.556062133786915</v>
      </c>
      <c r="J10" s="25">
        <f t="shared" ref="J10" si="7">D10/F10</f>
        <v>11.296271135771656</v>
      </c>
      <c r="K10" s="26">
        <f t="shared" ref="K10" si="8">D10/C10</f>
        <v>0.94020576055775418</v>
      </c>
      <c r="L10" s="26">
        <f t="shared" ref="L10" si="9">F10/E10</f>
        <v>1.0450600739144811</v>
      </c>
    </row>
    <row r="11" spans="2:12" x14ac:dyDescent="0.35">
      <c r="F11" s="17">
        <f>F10/E10</f>
        <v>1.0450600739144811</v>
      </c>
      <c r="H11" s="17">
        <f>H10/G10</f>
        <v>1.012196929606112</v>
      </c>
    </row>
  </sheetData>
  <mergeCells count="6">
    <mergeCell ref="B2:B3"/>
    <mergeCell ref="C2:D2"/>
    <mergeCell ref="E2:F2"/>
    <mergeCell ref="I2:J2"/>
    <mergeCell ref="K2:L2"/>
    <mergeCell ref="G2:H2"/>
  </mergeCells>
  <pageMargins left="0.7" right="0.7" top="0.75" bottom="0.75" header="0.3" footer="0.3"/>
  <ignoredErrors>
    <ignoredError sqref="G7:H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 2025</vt:lpstr>
      <vt:lpstr>Outlook 4+8</vt:lpstr>
      <vt:lpstr>Outlook Quarterly 4+8</vt:lpstr>
      <vt:lpstr>BudgVSact. 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Warodom Likitanupak</dc:creator>
  <cp:lastModifiedBy>Yasmine Safitri</cp:lastModifiedBy>
  <cp:lastPrinted>2024-08-09T09:31:08Z</cp:lastPrinted>
  <dcterms:created xsi:type="dcterms:W3CDTF">2022-01-11T13:46:11Z</dcterms:created>
  <dcterms:modified xsi:type="dcterms:W3CDTF">2025-05-09T07:17:08Z</dcterms:modified>
</cp:coreProperties>
</file>