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Yasmine\Outlook\2025\03. March\"/>
    </mc:Choice>
  </mc:AlternateContent>
  <xr:revisionPtr revIDLastSave="0" documentId="13_ncr:1_{B17B82D2-9B3E-40F3-804B-30040B75175C}" xr6:coauthVersionLast="47" xr6:coauthVersionMax="47" xr10:uidLastSave="{00000000-0000-0000-0000-000000000000}"/>
  <bookViews>
    <workbookView xWindow="-110" yWindow="-110" windowWidth="19420" windowHeight="11620" tabRatio="370" xr2:uid="{00000000-000D-0000-FFFF-FFFF00000000}"/>
  </bookViews>
  <sheets>
    <sheet name="Budget 2025" sheetId="3" r:id="rId1"/>
    <sheet name="Outlook 2+10" sheetId="2" r:id="rId2"/>
    <sheet name="BudgVSact. June" sheetId="4" state="hidden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</externalReferences>
  <definedNames>
    <definedName name="_1A1_Z1...A10_Z10" localSheetId="0">#REF!</definedName>
    <definedName name="_1A1_Z1...A10_Z10">#REF!</definedName>
    <definedName name="_Apr">[1]Validation!$A$33</definedName>
    <definedName name="_Aug">[1]Validation!$A$37</definedName>
    <definedName name="_Chubu1">[1]Validation!$A$5</definedName>
    <definedName name="_Chubu2">[1]Validation!$A$6</definedName>
    <definedName name="_Chubu3">[1]Validation!$A$7</definedName>
    <definedName name="_ChubuP1">[1]Chubu!$V$203</definedName>
    <definedName name="_ChubuP2">[1]Chubu!$V$204</definedName>
    <definedName name="_CLP">[1]Validation!$A$17</definedName>
    <definedName name="_CLPP1">[1]CLP!$V$203</definedName>
    <definedName name="_CLPP2">[1]CLP!$V$204</definedName>
    <definedName name="_DATE" localSheetId="0">#REF!</definedName>
    <definedName name="_DATE">#REF!</definedName>
    <definedName name="_Dec">[1]Validation!$A$41</definedName>
    <definedName name="_ENEL1">[1]Validation!$A$11</definedName>
    <definedName name="_ENELP1">'[1]Enel '!$V$264</definedName>
    <definedName name="_ENELP2">'[1]Enel '!$V$265</definedName>
    <definedName name="_EPDC">[1]Validation!$A$8</definedName>
    <definedName name="_EPDCP1">[1]EPDC!$V$203</definedName>
    <definedName name="_EPDCP2">[1]EPDC!$V$204</definedName>
    <definedName name="_Feb">[1]Validation!$A$31</definedName>
    <definedName name="_ffggggg" localSheetId="0">#REF!</definedName>
    <definedName name="_ffggggg">#REF!</definedName>
    <definedName name="_Formosa1">[1]Validation!$A$15</definedName>
    <definedName name="_Formosa2">[1]Validation!$A$16</definedName>
    <definedName name="_FORMOSAP1">[1]Formosa!$V$264</definedName>
    <definedName name="_FORMOSAP2">[1]Formosa!$V$265</definedName>
    <definedName name="_fs1" localSheetId="0">#REF!</definedName>
    <definedName name="_fs1">#REF!</definedName>
    <definedName name="_HEK1">[1]Validation!$A$20</definedName>
    <definedName name="_HEK2">[1]Validation!$A$21</definedName>
    <definedName name="_HEKP1">[1]HEK!$V$203</definedName>
    <definedName name="_HEKP2">[1]HEK!$V$204</definedName>
    <definedName name="_Huaneng1">[1]Validation!$A$18</definedName>
    <definedName name="_Huaneng2">[1]Validation!$A$19</definedName>
    <definedName name="_HUANP1">[1]Huaneng!$V$394</definedName>
    <definedName name="_HUANP2">[1]Huaneng!$V$395</definedName>
    <definedName name="_Jan">[1]Validation!$A$30</definedName>
    <definedName name="_Jul">[1]Validation!$A$36</definedName>
    <definedName name="_Jun">[1]Validation!$A$35</definedName>
    <definedName name="_Key1" localSheetId="0" hidden="1">#REF!</definedName>
    <definedName name="_Key1" hidden="1">#REF!</definedName>
    <definedName name="_Kobe">[1]Validation!$A$9</definedName>
    <definedName name="_KOBEP1">'[1]Kobe Steel'!$V$264</definedName>
    <definedName name="_KOBEP2">'[1]Kobe Steel'!$V$265</definedName>
    <definedName name="_Kospo">[1]Validation!$A$13</definedName>
    <definedName name="_KOSPOP1">[1]Kospo!$V$203</definedName>
    <definedName name="_KOSPOP2">[1]Kospo!$V$204</definedName>
    <definedName name="_Kowepo">[1]Validation!$A$14</definedName>
    <definedName name="_KOWEPOP1">[1]Kowepo!$V$264</definedName>
    <definedName name="_KOWEPOP2">[1]Kowepo!$V$265</definedName>
    <definedName name="_Mar">[1]Validation!$A$32</definedName>
    <definedName name="_May">[1]Validation!$A$34</definedName>
    <definedName name="_Nov">[1]Validation!$A$40</definedName>
    <definedName name="_Oct">[1]Validation!$A$39</definedName>
    <definedName name="_Order1" hidden="1">255</definedName>
    <definedName name="_Order2" hidden="1">255</definedName>
    <definedName name="_Sep">[1]Validation!$A$38</definedName>
    <definedName name="_SHIKOKUP1">[1]Shikoku!$V$203</definedName>
    <definedName name="_SHIKOKUP2">[1]Shikoku!$V$204</definedName>
    <definedName name="_Sort" localSheetId="0" hidden="1">#REF!</definedName>
    <definedName name="_Sort" hidden="1">#REF!</definedName>
    <definedName name="_Tirreno">[1]Validation!$A$12</definedName>
    <definedName name="_TIRRENOP1">[1]Tirreno!$V$264</definedName>
    <definedName name="_TIRRENOP2">[1]Tirreno!$V$265</definedName>
    <definedName name="_TJB1">[1]Validation!$A$22</definedName>
    <definedName name="_TJB2">[1]Validation!$A$23</definedName>
    <definedName name="_TJB3">[1]Validation!$A$24</definedName>
    <definedName name="_TJBP1">[1]TJB!$V$394</definedName>
    <definedName name="_TJBP2">[1]TJB!$V$395</definedName>
    <definedName name="a">'[2]MTD OB Forecasting'!#REF!</definedName>
    <definedName name="A01.PA_Plan">[3]Data!$B$73:$AH$82</definedName>
    <definedName name="A02.PA_Actual">[3]Data!$B$86:$AH$95</definedName>
    <definedName name="A03.UA_Actual">[3]Data!$B$112:$AH$121</definedName>
    <definedName name="A04.Prodty_Plan">[3]Data!$B$3:$AH$16</definedName>
    <definedName name="A05.Prodty_Actual">[3]Data!$B$20:$AH$33</definedName>
    <definedName name="A06.Prod_Actual">[3]Data!$B$150:$AH$153</definedName>
    <definedName name="A07.Dist_Plan">[3]Data!$B$37:$AG$46</definedName>
    <definedName name="A08.Dist_Actual">[3]Data!$B$157:$AH$161</definedName>
    <definedName name="A09.Fuel">[3]Data!$B$166:$AH$173</definedName>
    <definedName name="A1_Z1...A10_Z10" localSheetId="0">#REF!</definedName>
    <definedName name="A1_Z1...A10_Z10">#REF!</definedName>
    <definedName name="A10.Fuel_EGI">[3]Data!$B$177:$AH$208</definedName>
    <definedName name="A11.HM">[3]Data!$B$212:$AH$243</definedName>
    <definedName name="A12.Idle">[3]Data!$B$139:$AG$144</definedName>
    <definedName name="aa" localSheetId="0" hidden="1">{#N/A,#N/A,FALSE,"M01";#N/A,#N/A,FALSE,"M02";#N/A,#N/A,FALSE,"M03";#N/A,#N/A,FALSE,"M04";#N/A,#N/A,FALSE,"M05";#N/A,#N/A,FALSE,"M08"}</definedName>
    <definedName name="aa" hidden="1">{#N/A,#N/A,FALSE,"M01";#N/A,#N/A,FALSE,"M02";#N/A,#N/A,FALSE,"M03";#N/A,#N/A,FALSE,"M04";#N/A,#N/A,FALSE,"M05";#N/A,#N/A,FALSE,"M08"}</definedName>
    <definedName name="aaa" localSheetId="0" hidden="1">{#N/A,#N/A,FALSE,"M01";#N/A,#N/A,FALSE,"M02";#N/A,#N/A,FALSE,"M03";#N/A,#N/A,FALSE,"M04";#N/A,#N/A,FALSE,"M05";#N/A,#N/A,FALSE,"M08"}</definedName>
    <definedName name="aaa" hidden="1">{#N/A,#N/A,FALSE,"M01";#N/A,#N/A,FALSE,"M02";#N/A,#N/A,FALSE,"M03";#N/A,#N/A,FALSE,"M04";#N/A,#N/A,FALSE,"M05";#N/A,#N/A,FALSE,"M08"}</definedName>
    <definedName name="aaaa" localSheetId="0" hidden="1">{#N/A,#N/A,FALSE,"QR";#N/A,#N/A,FALSE,"R02";#N/A,#N/A,FALSE,"R04";#N/A,#N/A,FALSE,"R05";#N/A,#N/A,FALSE,"R08"}</definedName>
    <definedName name="aaaa" hidden="1">{#N/A,#N/A,FALSE,"QR";#N/A,#N/A,FALSE,"R02";#N/A,#N/A,FALSE,"R04";#N/A,#N/A,FALSE,"R05";#N/A,#N/A,FALSE,"R08"}</definedName>
    <definedName name="aaaaa" localSheetId="0" hidden="1">{#N/A,#N/A,FALSE,"M06";#N/A,#N/A,FALSE,"M07"}</definedName>
    <definedName name="aaaaa" hidden="1">{#N/A,#N/A,FALSE,"M06";#N/A,#N/A,FALSE,"M07"}</definedName>
    <definedName name="ab">'[2]MTD OB Forecasting'!#REF!</definedName>
    <definedName name="Act_Cost">[3]Data!$B$316:$AH$324</definedName>
    <definedName name="ACTHAUL">'[4]HAUL C1,C2,C3'!$B$9:$BJ$41</definedName>
    <definedName name="ACTHAUL2">'[4]HAUL C1,C2,C3'!$B$45:$BK$82</definedName>
    <definedName name="ACTHAUL3">'[4]HAUL C1,C2,C3'!$B$85:$BK$122</definedName>
    <definedName name="actual" localSheetId="0">#REF!</definedName>
    <definedName name="actual">#REF!</definedName>
    <definedName name="ADFFF" localSheetId="0">#REF!</definedName>
    <definedName name="ADFFF">#REF!</definedName>
    <definedName name="afafa" localSheetId="0">#REF!</definedName>
    <definedName name="afafa">#REF!</definedName>
    <definedName name="Anas_f">'[5]MTD OB Forecasting'!#REF!</definedName>
    <definedName name="ance">'[5]MTD OB Forecasting'!#REF!</definedName>
    <definedName name="anscount" hidden="1">6</definedName>
    <definedName name="anto">'[5]MTD OB Forecasting'!#REF!</definedName>
    <definedName name="anto1">'[5]MTD OB Forecasting'!#REF!</definedName>
    <definedName name="ASS" localSheetId="0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ASS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AVG_Distance">[3]Data!$B$51:$AG$69</definedName>
    <definedName name="b" localSheetId="0">#REF!</definedName>
    <definedName name="b">#REF!</definedName>
    <definedName name="bb" localSheetId="0" hidden="1">{#N/A,#N/A,FALSE,"M01";#N/A,#N/A,FALSE,"M02";#N/A,#N/A,FALSE,"M03";#N/A,#N/A,FALSE,"M04";#N/A,#N/A,FALSE,"M05";#N/A,#N/A,FALSE,"M08"}</definedName>
    <definedName name="bb" hidden="1">{#N/A,#N/A,FALSE,"M01";#N/A,#N/A,FALSE,"M02";#N/A,#N/A,FALSE,"M03";#N/A,#N/A,FALSE,"M04";#N/A,#N/A,FALSE,"M05";#N/A,#N/A,FALSE,"M08"}</definedName>
    <definedName name="bd" localSheetId="0">#REF!</definedName>
    <definedName name="bd">#REF!</definedName>
    <definedName name="BEK">[6]BEK!$A$1:$T$56</definedName>
    <definedName name="Bharinto" localSheetId="0">Business_Unit</definedName>
    <definedName name="Bharinto">Business_Unit</definedName>
    <definedName name="BKKKLK" localSheetId="0">#REF!</definedName>
    <definedName name="BKKKLK">#REF!</definedName>
    <definedName name="BONUS" localSheetId="0">#REF!</definedName>
    <definedName name="BONUS">#REF!</definedName>
    <definedName name="BTS1BW" localSheetId="0">#REF!</definedName>
    <definedName name="BTS1BW">#REF!</definedName>
    <definedName name="BTS1FW" localSheetId="0">#REF!</definedName>
    <definedName name="BTS1FW">#REF!</definedName>
    <definedName name="BTS1HW" localSheetId="0">#REF!</definedName>
    <definedName name="BTS1HW">#REF!</definedName>
    <definedName name="BTS2BW" localSheetId="0">#REF!</definedName>
    <definedName name="BTS2BW">#REF!</definedName>
    <definedName name="BTS2FW" localSheetId="0">#REF!</definedName>
    <definedName name="BTS2FW">#REF!</definedName>
    <definedName name="BTS2HW" localSheetId="0">#REF!</definedName>
    <definedName name="BTS2HW">#REF!</definedName>
    <definedName name="Budget">'[6]Budget &amp; Outlook'!$E$5:$R$42</definedName>
    <definedName name="bulanan">[7]Database!$AN$1:$BY$473</definedName>
    <definedName name="BusinessUnit">[8]!Business_Unit</definedName>
    <definedName name="cc" localSheetId="0" hidden="1">{#N/A,#N/A,FALSE,"QR";#N/A,#N/A,FALSE,"R02";#N/A,#N/A,FALSE,"R04";#N/A,#N/A,FALSE,"R05";#N/A,#N/A,FALSE,"R08"}</definedName>
    <definedName name="cc" hidden="1">{#N/A,#N/A,FALSE,"QR";#N/A,#N/A,FALSE,"R02";#N/A,#N/A,FALSE,"R04";#N/A,#N/A,FALSE,"R05";#N/A,#N/A,FALSE,"R08"}</definedName>
    <definedName name="CCR" localSheetId="0">#REF!</definedName>
    <definedName name="CCR">#REF!</definedName>
    <definedName name="CD" localSheetId="0">#REF!</definedName>
    <definedName name="CD">#REF!</definedName>
    <definedName name="Company">[8]!Company</definedName>
    <definedName name="COS" localSheetId="0">#REF!</definedName>
    <definedName name="COS">#REF!</definedName>
    <definedName name="CostCenter">[8]!Cost_Center</definedName>
    <definedName name="COSUBCO1" localSheetId="0">#REF!</definedName>
    <definedName name="COSUBCO1">#REF!</definedName>
    <definedName name="COSUBCO2" localSheetId="0">#REF!</definedName>
    <definedName name="COSUBCO2">#REF!</definedName>
    <definedName name="COSUBCO3" localSheetId="0">#REF!</definedName>
    <definedName name="COSUBCO3">#REF!</definedName>
    <definedName name="COSUBCO4" localSheetId="0">#REF!</definedName>
    <definedName name="COSUBCO4">#REF!</definedName>
    <definedName name="COSUBCO5" localSheetId="0">#REF!</definedName>
    <definedName name="COSUBCO5">#REF!</definedName>
    <definedName name="COSUBCO6" localSheetId="0">#REF!</definedName>
    <definedName name="COSUBCO6">#REF!</definedName>
    <definedName name="COSUBOB1" localSheetId="0">#REF!</definedName>
    <definedName name="COSUBOB1">#REF!</definedName>
    <definedName name="COSUBOB10" localSheetId="0">#REF!</definedName>
    <definedName name="COSUBOB10">#REF!</definedName>
    <definedName name="COSUBOB11" localSheetId="0">#REF!</definedName>
    <definedName name="COSUBOB11">#REF!</definedName>
    <definedName name="COSUBOB12" localSheetId="0">#REF!</definedName>
    <definedName name="COSUBOB12">#REF!</definedName>
    <definedName name="COSUBOB2" localSheetId="0">#REF!</definedName>
    <definedName name="COSUBOB2">#REF!</definedName>
    <definedName name="COSUBOB3" localSheetId="0">#REF!</definedName>
    <definedName name="COSUBOB3">#REF!</definedName>
    <definedName name="COSUBOB4" localSheetId="0">#REF!</definedName>
    <definedName name="COSUBOB4">#REF!</definedName>
    <definedName name="COSUBOB5" localSheetId="0">#REF!</definedName>
    <definedName name="COSUBOB5">#REF!</definedName>
    <definedName name="COSUBOB6" localSheetId="0">#REF!</definedName>
    <definedName name="COSUBOB6">#REF!</definedName>
    <definedName name="COSUBOB7" localSheetId="0">#REF!</definedName>
    <definedName name="COSUBOB7">#REF!</definedName>
    <definedName name="COSUBOB8" localSheetId="0">#REF!</definedName>
    <definedName name="COSUBOB8">#REF!</definedName>
    <definedName name="COSUBOB9" localSheetId="0">#REF!</definedName>
    <definedName name="COSUBOB9">#REF!</definedName>
    <definedName name="CUSTOMER">[9]dBase!$C$2:$C$4381</definedName>
    <definedName name="d" localSheetId="0" hidden="1">{#N/A,#N/A,FALSE,"M01";#N/A,#N/A,FALSE,"M02";#N/A,#N/A,FALSE,"M03";#N/A,#N/A,FALSE,"M04";#N/A,#N/A,FALSE,"M05";#N/A,#N/A,FALSE,"M08"}</definedName>
    <definedName name="d" hidden="1">{#N/A,#N/A,FALSE,"M01";#N/A,#N/A,FALSE,"M02";#N/A,#N/A,FALSE,"M03";#N/A,#N/A,FALSE,"M04";#N/A,#N/A,FALSE,"M05";#N/A,#N/A,FALSE,"M08"}</definedName>
    <definedName name="DAFAF" localSheetId="0">#REF!</definedName>
    <definedName name="DAFAF">#REF!</definedName>
    <definedName name="DAFDAF" localSheetId="0">#REF!</definedName>
    <definedName name="DAFDAF">#REF!</definedName>
    <definedName name="DATA_ASAL" localSheetId="0">#REF!</definedName>
    <definedName name="DATA_ASAL">#REF!</definedName>
    <definedName name="DATA_ASAL_10">[10]HOURLY!$B$1:$AA$833</definedName>
    <definedName name="DATA_ASAL_17">[10]HOURLY!$B$1:$AA$833</definedName>
    <definedName name="DATA_ASAL_19">[10]HOURLY!$B$1:$AA$833</definedName>
    <definedName name="DATA_ASAL_20">[10]HOURLY!$B$1:$AA$833</definedName>
    <definedName name="DATA_ASAL_3">[10]HOURLY!$B$1:$AA$833</definedName>
    <definedName name="DATA_ASAL_3_1">[10]HOURLY!$B$1:$AA$833</definedName>
    <definedName name="DATA_ASAL_4">[10]HOURLY!$B$1:$AA$833</definedName>
    <definedName name="DATA_ASAL_6">[10]HOURLY!$B$1:$AA$833</definedName>
    <definedName name="DATA_ASAL_6_1">[10]HOURLY!$B$1:$AA$833</definedName>
    <definedName name="DATA_ASAL_7">[10]HOURLY!$B$1:$AA$833</definedName>
    <definedName name="DATA_ASAL_7_1">[10]HOURLY!$B$1:$AA$833</definedName>
    <definedName name="DATA_ASAL_8">[10]HOURLY!$B$1:$AA$833</definedName>
    <definedName name="DATA_ASAL_9">[10]HOURLY!$B$1:$AA$833</definedName>
    <definedName name="Data_Plan">[11]summary!$B$12:$AN$42</definedName>
    <definedName name="Data_Plan_1">[11]summary!$B$12:$AN$42</definedName>
    <definedName name="Data_Plan_1_1">[11]summary!$B$12:$AN$42</definedName>
    <definedName name="Data_Plan_10">[12]summary!$B$12:$AN$42</definedName>
    <definedName name="Data_Plan_11">[11]summary!$B$12:$AN$42</definedName>
    <definedName name="Data_Plan_13">[11]summary!$B$12:$AN$42</definedName>
    <definedName name="Data_Plan_16">[11]summary!$B$12:$AN$42</definedName>
    <definedName name="Data_Plan_17">[13]summary!$B$12:$AN$42</definedName>
    <definedName name="Data_Plan_19">[14]summary!$B$12:$AN$42</definedName>
    <definedName name="Data_Plan_2">[11]summary!$B$12:$AN$42</definedName>
    <definedName name="Data_Plan_2_1">[11]summary!$B$12:$AN$42</definedName>
    <definedName name="Data_Plan_20">[15]summary!$B$12:$AN$42</definedName>
    <definedName name="Data_Plan_3">[16]summary!$B$12:$AN$42</definedName>
    <definedName name="Data_Plan_3_1">[16]summary!$B$12:$AN$42</definedName>
    <definedName name="Data_Plan_4">[16]summary!$B$12:$AN$42</definedName>
    <definedName name="Data_Plan_6">[16]summary!$B$12:$AN$42</definedName>
    <definedName name="Data_Plan_6_1">[13]summary!$B$12:$AN$42</definedName>
    <definedName name="Data_Plan_7">[16]summary!$B$12:$AN$42</definedName>
    <definedName name="Data_Plan_7_1">[12]summary!$B$12:$AN$42</definedName>
    <definedName name="Data_Plan_8">[13]summary!$B$12:$AN$42</definedName>
    <definedName name="Data_Plan_9">[13]summary!$B$12:$AN$42</definedName>
    <definedName name="Dataprm">'[17]Summ PRM'!$C$6:$BM$108</definedName>
    <definedName name="dd" localSheetId="0" hidden="1">{#N/A,#N/A,FALSE,"M06";#N/A,#N/A,FALSE,"M07"}</definedName>
    <definedName name="dd" hidden="1">{#N/A,#N/A,FALSE,"M06";#N/A,#N/A,FALSE,"M07"}</definedName>
    <definedName name="ddd" localSheetId="0" hidden="1">{#N/A,#N/A,FALSE,"M01";#N/A,#N/A,FALSE,"M02";#N/A,#N/A,FALSE,"M03";#N/A,#N/A,FALSE,"M04";#N/A,#N/A,FALSE,"M05";#N/A,#N/A,FALSE,"M08"}</definedName>
    <definedName name="ddd" hidden="1">{#N/A,#N/A,FALSE,"M01";#N/A,#N/A,FALSE,"M02";#N/A,#N/A,FALSE,"M03";#N/A,#N/A,FALSE,"M04";#N/A,#N/A,FALSE,"M05";#N/A,#N/A,FALSE,"M08"}</definedName>
    <definedName name="ddddd" localSheetId="0">#REF!</definedName>
    <definedName name="ddddd">#REF!</definedName>
    <definedName name="DF" localSheetId="0">#REF!</definedName>
    <definedName name="DF">#REF!</definedName>
    <definedName name="dfm">'[2]MTD OB Forecasting'!#REF!</definedName>
    <definedName name="DIST">[18]Run!$E$5:$I$30</definedName>
    <definedName name="DIST_1">[18]Run!$E$5:$I$30</definedName>
    <definedName name="DIST_1_1">[18]Run!$E$5:$I$30</definedName>
    <definedName name="DIST_10">[19]Run!$E$5:$I$30</definedName>
    <definedName name="DIST_11">[18]Run!$E$5:$I$30</definedName>
    <definedName name="DIST_13">[18]Run!$E$5:$I$30</definedName>
    <definedName name="DIST_16">[18]Run!$E$5:$I$30</definedName>
    <definedName name="DIST_17">[20]Run!$E$5:$I$30</definedName>
    <definedName name="DIST_19">[21]Run!$E$5:$I$30</definedName>
    <definedName name="DIST_2">[18]Run!$E$5:$I$30</definedName>
    <definedName name="DIST_2_1">[18]Run!$E$5:$I$30</definedName>
    <definedName name="DIST_20">[22]Run!$E$5:$I$30</definedName>
    <definedName name="DIST_3">[23]Run!$E$5:$I$30</definedName>
    <definedName name="DIST_3_1">[23]Run!$E$5:$I$30</definedName>
    <definedName name="DIST_4">[23]Run!$E$5:$I$30</definedName>
    <definedName name="DIST_6">[23]Run!$E$5:$I$30</definedName>
    <definedName name="DIST_6_1">[20]Run!$E$5:$I$30</definedName>
    <definedName name="DIST_7">[23]Run!$E$5:$I$30</definedName>
    <definedName name="DIST_7_1">[19]Run!$E$5:$I$30</definedName>
    <definedName name="DIST_8">[20]Run!$E$5:$I$30</definedName>
    <definedName name="DIST_9">[20]Run!$E$5:$I$30</definedName>
    <definedName name="DISTANCE">[24]Run!$E$5:$I$31</definedName>
    <definedName name="Distance_10">[3]Data!$B$157:$AG$161</definedName>
    <definedName name="Distance_11">[3]Data!$B$157:$AG$161</definedName>
    <definedName name="Distance_11_1">[3]Data!$B$157:$AG$161</definedName>
    <definedName name="Distance_12">[3]Data!$B$157:$AG$161</definedName>
    <definedName name="Distance_12_1">[3]Data!$B$157:$AG$161</definedName>
    <definedName name="Distance_13">[3]Data!$B$157:$AG$161</definedName>
    <definedName name="Distance_13_1">[3]Data!$B$157:$AG$161</definedName>
    <definedName name="Distance_14">[3]Data!$B$157:$AG$161</definedName>
    <definedName name="Distance_15">[3]Data!$B$157:$AG$161</definedName>
    <definedName name="Distance_16">[3]Data!$B$157:$AG$161</definedName>
    <definedName name="Distance_8">[3]Data!$B$157:$AG$161</definedName>
    <definedName name="Distance_9">[3]Data!$B$157:$AG$161</definedName>
    <definedName name="DOWN">[25]ACUM!$ED$34:$FJ$57</definedName>
    <definedName name="DS" localSheetId="0">#REF!</definedName>
    <definedName name="DS">#REF!</definedName>
    <definedName name="DUMPBIN">'[4]HAUL C1,C2,C3'!$BL$7:$BM$41</definedName>
    <definedName name="DUMPBIN1">'[4]HAUL C1,C2,C3'!$V$48:$W$82</definedName>
    <definedName name="e" localSheetId="0" hidden="1">{#N/A,#N/A,FALSE,"QR";#N/A,#N/A,FALSE,"R02";#N/A,#N/A,FALSE,"R04";#N/A,#N/A,FALSE,"R05";#N/A,#N/A,FALSE,"R08"}</definedName>
    <definedName name="e" hidden="1">{#N/A,#N/A,FALSE,"QR";#N/A,#N/A,FALSE,"R02";#N/A,#N/A,FALSE,"R04";#N/A,#N/A,FALSE,"R05";#N/A,#N/A,FALSE,"R08"}</definedName>
    <definedName name="ebe" localSheetId="0" hidden="1">{#N/A,#N/A,FALSE,"M06";#N/A,#N/A,FALSE,"M07"}</definedName>
    <definedName name="ebe" hidden="1">{#N/A,#N/A,FALSE,"M06";#N/A,#N/A,FALSE,"M07"}</definedName>
    <definedName name="ee" localSheetId="0" hidden="1">{#N/A,#N/A,FALSE,"M01";#N/A,#N/A,FALSE,"M02";#N/A,#N/A,FALSE,"M03";#N/A,#N/A,FALSE,"M04";#N/A,#N/A,FALSE,"M05";#N/A,#N/A,FALSE,"M08"}</definedName>
    <definedName name="ee" hidden="1">{#N/A,#N/A,FALSE,"M01";#N/A,#N/A,FALSE,"M02";#N/A,#N/A,FALSE,"M03";#N/A,#N/A,FALSE,"M04";#N/A,#N/A,FALSE,"M05";#N/A,#N/A,FALSE,"M08"}</definedName>
    <definedName name="eewq" localSheetId="0">#REF!</definedName>
    <definedName name="eewq">#REF!</definedName>
    <definedName name="eqe" localSheetId="0">#REF!</definedName>
    <definedName name="eqe">#REF!</definedName>
    <definedName name="esa">[26]Project!$A$3:$A$1003</definedName>
    <definedName name="EXCA_COAL" localSheetId="0">#REF!</definedName>
    <definedName name="EXCA_COAL">#REF!</definedName>
    <definedName name="EXCA_OB" localSheetId="0">#REF!</definedName>
    <definedName name="EXCA_OB">#REF!</definedName>
    <definedName name="excel">'[5]MTD OB Forecasting'!#REF!</definedName>
    <definedName name="Excel_01">'[2]MTD OB Forecasting'!#REF!</definedName>
    <definedName name="excel_02">'[2]MTD OB Forecasting'!#REF!</definedName>
    <definedName name="Excel_BuiltIn__FilterDatabase_1" localSheetId="0">#REF!</definedName>
    <definedName name="Excel_BuiltIn__FilterDatabase_1">#REF!</definedName>
    <definedName name="Excel_BuiltIn__FilterDatabase_1_1">[27]Project!$Q$7:$Q$10</definedName>
    <definedName name="Excel_BuiltIn_Print_Area" localSheetId="0">#REF!</definedName>
    <definedName name="Excel_BuiltIn_Print_Area">#REF!</definedName>
    <definedName name="Excel_BuiltIn_Print_Area_1" localSheetId="0">#REF!</definedName>
    <definedName name="Excel_BuiltIn_Print_Area_1">#REF!</definedName>
    <definedName name="Excel_BuiltIn_Print_Area_10">'[5]MTD OB Forecasting'!#REF!</definedName>
    <definedName name="Excel_BuiltIn_Print_Area_10_1">'[5]MTD OB Forecasting'!#REF!</definedName>
    <definedName name="Excel_BuiltIn_Print_Area_10_20">'[2]MTD OB Forecasting'!#REF!</definedName>
    <definedName name="Excel_BuiltIn_Print_Area_13" localSheetId="0">#REF!</definedName>
    <definedName name="Excel_BuiltIn_Print_Area_13">#REF!</definedName>
    <definedName name="Excel_BuiltIn_Print_Titles" localSheetId="0">#REF!</definedName>
    <definedName name="Excel_BuiltIn_Print_Titles">#REF!</definedName>
    <definedName name="Excel_BuiltIn_Print_Titles_1" localSheetId="0">#REF!</definedName>
    <definedName name="Excel_BuiltIn_Print_Titles_1">#REF!</definedName>
    <definedName name="ExchageCode">[8]!Exchange_Code</definedName>
    <definedName name="ExchangeRate">'[28]Detail Exp.'!$Z$3</definedName>
    <definedName name="f" localSheetId="0" hidden="1">{#N/A,#N/A,FALSE,"M06";#N/A,#N/A,FALSE,"M07"}</definedName>
    <definedName name="f" hidden="1">{#N/A,#N/A,FALSE,"M06";#N/A,#N/A,FALSE,"M07"}</definedName>
    <definedName name="FD" localSheetId="0">#REF!</definedName>
    <definedName name="FD">#REF!</definedName>
    <definedName name="FF" localSheetId="0">#REF!</definedName>
    <definedName name="FF">#REF!</definedName>
    <definedName name="ffff" localSheetId="0">#REF!</definedName>
    <definedName name="ffff">#REF!</definedName>
    <definedName name="fs" localSheetId="0">#REF!</definedName>
    <definedName name="fs">#REF!</definedName>
    <definedName name="Fuel">[3]Data!$B$177:$AG$208</definedName>
    <definedName name="Fuel_MTD">[3]Data!$B$247:$AG$277</definedName>
    <definedName name="Fuel_STO">[3]Data!$B$166:$AG$173</definedName>
    <definedName name="g" localSheetId="0" hidden="1">{#N/A,#N/A,FALSE,"M01";#N/A,#N/A,FALSE,"M02";#N/A,#N/A,FALSE,"M03";#N/A,#N/A,FALSE,"M04";#N/A,#N/A,FALSE,"M05";#N/A,#N/A,FALSE,"M08"}</definedName>
    <definedName name="g" hidden="1">{#N/A,#N/A,FALSE,"M01";#N/A,#N/A,FALSE,"M02";#N/A,#N/A,FALSE,"M03";#N/A,#N/A,FALSE,"M04";#N/A,#N/A,FALSE,"M05";#N/A,#N/A,FALSE,"M08"}</definedName>
    <definedName name="ggg" localSheetId="0" hidden="1">{#N/A,#N/A,FALSE,"QR";#N/A,#N/A,FALSE,"R02";#N/A,#N/A,FALSE,"R04";#N/A,#N/A,FALSE,"R05";#N/A,#N/A,FALSE,"R08"}</definedName>
    <definedName name="ggg" hidden="1">{#N/A,#N/A,FALSE,"QR";#N/A,#N/A,FALSE,"R02";#N/A,#N/A,FALSE,"R04";#N/A,#N/A,FALSE,"R05";#N/A,#N/A,FALSE,"R08"}</definedName>
    <definedName name="GNRL_OB" localSheetId="0">#REF!</definedName>
    <definedName name="GNRL_OB">#REF!</definedName>
    <definedName name="GT" localSheetId="0">#REF!</definedName>
    <definedName name="GT">#REF!</definedName>
    <definedName name="h" localSheetId="0" hidden="1">{#N/A,#N/A,FALSE,"M01";#N/A,#N/A,FALSE,"M02";#N/A,#N/A,FALSE,"M03";#N/A,#N/A,FALSE,"M04";#N/A,#N/A,FALSE,"M05";#N/A,#N/A,FALSE,"M08"}</definedName>
    <definedName name="h" hidden="1">{#N/A,#N/A,FALSE,"M01";#N/A,#N/A,FALSE,"M02";#N/A,#N/A,FALSE,"M03";#N/A,#N/A,FALSE,"M04";#N/A,#N/A,FALSE,"M05";#N/A,#N/A,FALSE,"M08"}</definedName>
    <definedName name="harian" localSheetId="0">#REF!</definedName>
    <definedName name="harian">#REF!</definedName>
    <definedName name="HAUL_COAL" localSheetId="0">#REF!</definedName>
    <definedName name="HAUL_COAL">#REF!</definedName>
    <definedName name="HAUL_OB" localSheetId="0">#REF!</definedName>
    <definedName name="HAUL_OB">#REF!</definedName>
    <definedName name="HAULPLAN">'[4]OB PLAN'!$B$46:$Q$79</definedName>
    <definedName name="HC" localSheetId="0">#REF!</definedName>
    <definedName name="HC">#REF!</definedName>
    <definedName name="he" localSheetId="0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he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hfhahfha" localSheetId="0">#REF!</definedName>
    <definedName name="hfhahfha">#REF!</definedName>
    <definedName name="hhka334" localSheetId="0">#REF!</definedName>
    <definedName name="hhka334">#REF!</definedName>
    <definedName name="HJKKKLLL" localSheetId="0">#REF!</definedName>
    <definedName name="HJKKKLLL">#REF!</definedName>
    <definedName name="HL2brm" localSheetId="0">#REF!</definedName>
    <definedName name="HL2brm">#REF!</definedName>
    <definedName name="HL3brm" localSheetId="0">#REF!</definedName>
    <definedName name="HL3brm">#REF!</definedName>
    <definedName name="HLS2BW" localSheetId="0">#REF!</definedName>
    <definedName name="HLS2BW">#REF!</definedName>
    <definedName name="HLS2FW" localSheetId="0">#REF!</definedName>
    <definedName name="HLS2FW">#REF!</definedName>
    <definedName name="HLS2HW" localSheetId="0">#REF!</definedName>
    <definedName name="HLS2HW">#REF!</definedName>
    <definedName name="HLS3BW" localSheetId="0">#REF!</definedName>
    <definedName name="HLS3BW">#REF!</definedName>
    <definedName name="HLS3FW" localSheetId="0">#REF!</definedName>
    <definedName name="HLS3FW">#REF!</definedName>
    <definedName name="HLS3HW" localSheetId="0">#REF!</definedName>
    <definedName name="HLS3HW">#REF!</definedName>
    <definedName name="HM">[3]Data!$B$212:$AG$243</definedName>
    <definedName name="HO" localSheetId="0">#REF!</definedName>
    <definedName name="HO">#REF!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Count" hidden="1">1</definedName>
    <definedName name="Idle">[3]Data!$B$139:$AG$144</definedName>
    <definedName name="IMM">[6]IMM!$A$2:$Y$60</definedName>
    <definedName name="IMM.LCV.BCT" localSheetId="0">#REF!</definedName>
    <definedName name="IMM.LCV.BCT">#REF!</definedName>
    <definedName name="IMM.LCV.BoCT" localSheetId="0">#REF!</definedName>
    <definedName name="IMM.LCV.BoCT">#REF!</definedName>
    <definedName name="IMM.LCV.Samarinda" localSheetId="0">#REF!</definedName>
    <definedName name="IMM.LCV.Samarinda">#REF!</definedName>
    <definedName name="IMM.West.BCT" localSheetId="0">#REF!</definedName>
    <definedName name="IMM.West.BCT">#REF!</definedName>
    <definedName name="IMM.West.BoCT" localSheetId="0">#REF!</definedName>
    <definedName name="IMM.West.BoCT">#REF!</definedName>
    <definedName name="IMM.West.Samarinda" localSheetId="0">#REF!</definedName>
    <definedName name="IMM.West.Samarinda">#REF!</definedName>
    <definedName name="IS" localSheetId="0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S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TMBONUS">[9]dBase!$BA$2:$BA$4381</definedName>
    <definedName name="ITMBONUS1">[9]dBase!$AZ$2:$AZ$4381</definedName>
    <definedName name="itoy" localSheetId="0" hidden="1">{"Valuation",#N/A,TRUE,"Valuation Summary";"Financial Statements",#N/A,TRUE,"Results";"Results",#N/A,TRUE,"Results";"Ratios",#N/A,TRUE,"Results";"P2 Summary",#N/A,TRUE,"Results"}</definedName>
    <definedName name="itoy" hidden="1">{"Valuation",#N/A,TRUE,"Valuation Summary";"Financial Statements",#N/A,TRUE,"Results";"Results",#N/A,TRUE,"Results";"Ratios",#N/A,TRUE,"Results";"P2 Summary",#N/A,TRUE,"Results"}</definedName>
    <definedName name="iu" localSheetId="0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u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jahsdkhjk">'[5]MTD OB Forecasting'!#REF!</definedName>
    <definedName name="JBG">[6]JBG!$B$3:$AK$87</definedName>
    <definedName name="jigsaw" localSheetId="0">#REF!</definedName>
    <definedName name="jigsaw">#REF!</definedName>
    <definedName name="jk">'[5]MTD OB Forecasting'!#REF!</definedName>
    <definedName name="Jum_Unit">[3]Data!$B$125:$AG$135</definedName>
    <definedName name="K" localSheetId="0">#REF!</definedName>
    <definedName name="K">#REF!</definedName>
    <definedName name="kj">'[5]MTD OB Forecasting'!#REF!</definedName>
    <definedName name="kl">'[2]MTD OB Forecasting'!#REF!</definedName>
    <definedName name="klj">'[5]MTD OB Forecasting'!#REF!</definedName>
    <definedName name="Konversi">'[3]Konversi Jarak'!$A$4:$B$34</definedName>
    <definedName name="KR1BW" localSheetId="0">#REF!</definedName>
    <definedName name="KR1BW">#REF!</definedName>
    <definedName name="KR1FW" localSheetId="0">#REF!</definedName>
    <definedName name="KR1FW">#REF!</definedName>
    <definedName name="KR1HW" localSheetId="0">#REF!</definedName>
    <definedName name="KR1HW">#REF!</definedName>
    <definedName name="KR2BW" localSheetId="0">#REF!</definedName>
    <definedName name="KR2BW">#REF!</definedName>
    <definedName name="KR2FW" localSheetId="0">#REF!</definedName>
    <definedName name="KR2FW">#REF!</definedName>
    <definedName name="KR2HW" localSheetId="0">#REF!</definedName>
    <definedName name="KR2HW">#REF!</definedName>
    <definedName name="kris">'[5]MTD OB Forecasting'!#REF!</definedName>
    <definedName name="kristisnto">'[2]MTD OB Forecasting'!#REF!</definedName>
    <definedName name="KTD">[6]EMB!$A$4:$AX$55</definedName>
    <definedName name="L" localSheetId="0">#REF!</definedName>
    <definedName name="L">#REF!</definedName>
    <definedName name="limcount" hidden="1">2</definedName>
    <definedName name="LIST_11" localSheetId="0">#REF!</definedName>
    <definedName name="LIST_11">#REF!</definedName>
    <definedName name="LIST_12" localSheetId="0">#REF!</definedName>
    <definedName name="LIST_12">#REF!</definedName>
    <definedName name="LIST_19">[29]LIST!$C$3:$AC$438</definedName>
    <definedName name="LIST_20">[30]LIST!$C$3:$AC$438</definedName>
    <definedName name="LIST_8" localSheetId="0">#REF!</definedName>
    <definedName name="LIST_8">#REF!</definedName>
    <definedName name="LIST_9" localSheetId="0">#REF!</definedName>
    <definedName name="LIST_9">#REF!</definedName>
    <definedName name="LO" localSheetId="0">#REF!</definedName>
    <definedName name="LO">#REF!</definedName>
    <definedName name="LOAD_COAL" localSheetId="0">#REF!</definedName>
    <definedName name="LOAD_COAL">#REF!</definedName>
    <definedName name="LOAD_OB" localSheetId="0">#REF!</definedName>
    <definedName name="LOAD_OB">#REF!</definedName>
    <definedName name="lose" localSheetId="0">#REF!</definedName>
    <definedName name="lose">#REF!</definedName>
    <definedName name="MEASTHITS" localSheetId="0">#REF!</definedName>
    <definedName name="MEASTHITS">#REF!</definedName>
    <definedName name="MEASTMHITS" localSheetId="0">#REF!</definedName>
    <definedName name="MEASTMHITS">#REF!</definedName>
    <definedName name="minesche" localSheetId="0">#REF!</definedName>
    <definedName name="minesche">#REF!</definedName>
    <definedName name="MMHITS" localSheetId="0">#REF!</definedName>
    <definedName name="MMHITS">#REF!</definedName>
    <definedName name="MOHH">[25]ACUM!$ED$94:$FJ$117</definedName>
    <definedName name="MONTH">[9]dBase!$BE$2:$BE$4381</definedName>
    <definedName name="MSYINV" localSheetId="0">#REF!</definedName>
    <definedName name="MSYINV">#REF!</definedName>
    <definedName name="MTDMHCV" localSheetId="0">#REF!</definedName>
    <definedName name="MTDMHCV">#REF!</definedName>
    <definedName name="MTOTAL" localSheetId="0">#REF!</definedName>
    <definedName name="MTOTAL">#REF!</definedName>
    <definedName name="MWASH" localSheetId="0">#REF!</definedName>
    <definedName name="MWASH">#REF!</definedName>
    <definedName name="MWESTHITS" localSheetId="0">#REF!</definedName>
    <definedName name="MWESTHITS">#REF!</definedName>
    <definedName name="MWESTLOTS" localSheetId="0">#REF!</definedName>
    <definedName name="MWESTLOTS">#REF!</definedName>
    <definedName name="N" localSheetId="0">#REF!</definedName>
    <definedName name="N">#REF!</definedName>
    <definedName name="NAR">[31]sum_MSY!$DL$7:$DM$21</definedName>
    <definedName name="nav" localSheetId="0" hidden="1">{"Valuation - Letter",#N/A,TRUE,"Valuation Summary";"Financial Statements - Letter",#N/A,TRUE,"Results";"Results - Letter",#N/A,TRUE,"Results";"Ratios - Letter",#N/A,TRUE,"Results";"P2 Summary - Letter",#N/A,TRUE,"Results"}</definedName>
    <definedName name="nav" hidden="1">{"Valuation - Letter",#N/A,TRUE,"Valuation Summary";"Financial Statements - Letter",#N/A,TRUE,"Results";"Results - Letter",#N/A,TRUE,"Results";"Ratios - Letter",#N/A,TRUE,"Results";"P2 Summary - Letter",#N/A,TRUE,"Results"}</definedName>
    <definedName name="Nce">'[5]MTD OB Forecasting'!#REF!</definedName>
    <definedName name="nhg">'[2]MTD OB Forecasting'!#REF!</definedName>
    <definedName name="nn" localSheetId="0">#REF!</definedName>
    <definedName name="nn">#REF!</definedName>
    <definedName name="nnn" localSheetId="0">#REF!</definedName>
    <definedName name="nnn">#REF!</definedName>
    <definedName name="nnnnn">[32]!Exchange_Code</definedName>
    <definedName name="NOM_11" localSheetId="0">#REF!</definedName>
    <definedName name="NOM_11">#REF!</definedName>
    <definedName name="NOM_12" localSheetId="0">#REF!</definedName>
    <definedName name="NOM_12">#REF!</definedName>
    <definedName name="NOM_19">[29]LIST!$B$4:$AE$437</definedName>
    <definedName name="NOM_20">[30]LIST!$B$4:$AE$437</definedName>
    <definedName name="NOM_8" localSheetId="0">#REF!</definedName>
    <definedName name="NOM_8">#REF!</definedName>
    <definedName name="NOM_9" localSheetId="0">#REF!</definedName>
    <definedName name="NOM_9">#REF!</definedName>
    <definedName name="O" localSheetId="0">#REF!</definedName>
    <definedName name="O">#REF!</definedName>
    <definedName name="OB" localSheetId="0">#REF!</definedName>
    <definedName name="OB">#REF!</definedName>
    <definedName name="oi" localSheetId="0" hidden="1">{"Valuation",#N/A,TRUE,"Valuation Summary";"Financial Statements",#N/A,TRUE,"Results";"Results",#N/A,TRUE,"Results";"Ratios",#N/A,TRUE,"Results";"P2 Summary",#N/A,TRUE,"Results"}</definedName>
    <definedName name="oi" hidden="1">{"Valuation",#N/A,TRUE,"Valuation Summary";"Financial Statements",#N/A,TRUE,"Results";"Results",#N/A,TRUE,"Results";"Ratios",#N/A,TRUE,"Results";"P2 Summary",#N/A,TRUE,"Results"}</definedName>
    <definedName name="operator">[33]bantuan!$B$2:$C$30</definedName>
    <definedName name="OPT_GL">[34]OPT_GL!$B$4:$S$33</definedName>
    <definedName name="OPT_GL_1">[34]OPT_GL!$B$4:$S$33</definedName>
    <definedName name="OPT_GL_1_1">[34]OPT_GL!$B$4:$S$33</definedName>
    <definedName name="OPT_GL_11">[34]OPT_GL!$B$4:$S$33</definedName>
    <definedName name="OPT_GL_11_1">[34]OPT_GL!$B$4:$S$33</definedName>
    <definedName name="OPT_GL_12">[34]OPT_GL!$B$4:$S$33</definedName>
    <definedName name="OPT_GL_13">[34]OPT_GL!$B$4:$S$33</definedName>
    <definedName name="OPT_GL_16">[34]OPT_GL!$B$4:$S$33</definedName>
    <definedName name="OPT_GL_17">[34]OPT_GL!$B$4:$S$33</definedName>
    <definedName name="OPT_GL_19">[34]OPT_GL!$B$4:$S$33</definedName>
    <definedName name="OPT_GL_2">[34]OPT_GL!$B$4:$S$33</definedName>
    <definedName name="OPT_GL_2_1">[34]OPT_GL!$B$4:$S$33</definedName>
    <definedName name="OPT_GL_20">[34]OPT_GL!$B$4:$S$33</definedName>
    <definedName name="OPT_GL_6">[34]OPT_GL!$B$4:$S$33</definedName>
    <definedName name="OPT_GL_8">[34]OPT_GL!$B$4:$S$33</definedName>
    <definedName name="OPT_GL_8_1">[34]OPT_GL!$B$4:$S$33</definedName>
    <definedName name="OPT_GL_9">[34]OPT_GL!$B$4:$S$33</definedName>
    <definedName name="OPT_GL_9_1">[34]OPT_GL!$B$4:$S$33</definedName>
    <definedName name="ORE" localSheetId="0">#REF!</definedName>
    <definedName name="ORE">#REF!</definedName>
    <definedName name="Outlook">'[6]Budget &amp; Outlook'!$T$5:$AG$41</definedName>
    <definedName name="P" localSheetId="0">#REF!</definedName>
    <definedName name="P">#REF!</definedName>
    <definedName name="PA_Actual">[3]Data!$B$86:$AG$95</definedName>
    <definedName name="PA_Plan">[3]Data!$B$73:$AG$82</definedName>
    <definedName name="paijo">'[2]MTD OB Forecasting'!#REF!</definedName>
    <definedName name="PASS" localSheetId="0">#REF!</definedName>
    <definedName name="PASS">#REF!</definedName>
    <definedName name="PASS1" localSheetId="0">#REF!</definedName>
    <definedName name="PASS1">#REF!</definedName>
    <definedName name="PEASTHITS" localSheetId="0">#REF!</definedName>
    <definedName name="PEASTHITS">#REF!</definedName>
    <definedName name="PEMB" localSheetId="0">#REF!</definedName>
    <definedName name="PEMB">#REF!</definedName>
    <definedName name="PENALTY">[9]dBonus!$C$7:$J$73</definedName>
    <definedName name="pit_10">'[5]MTD OB Forecasting'!#REF!</definedName>
    <definedName name="PJBG" localSheetId="0">#REF!</definedName>
    <definedName name="PJBG">#REF!</definedName>
    <definedName name="Plan">[35]Plan!$A$3:$A$187</definedName>
    <definedName name="PLAN_1">[36]SUM!$B$34:$AB$58</definedName>
    <definedName name="PLAN_1_1">[36]SUM!$B$34:$AB$58</definedName>
    <definedName name="PLAN_11">[36]SUM!$B$34:$AB$58</definedName>
    <definedName name="PLAN_11_1">[36]SUM!$B$34:$AB$58</definedName>
    <definedName name="PLAN_12">[36]SUM!$B$34:$AB$58</definedName>
    <definedName name="PLAN_13">[36]SUM!$B$34:$AB$58</definedName>
    <definedName name="PLAN_16">[36]SUM!$B$34:$AB$58</definedName>
    <definedName name="PLAN_17">[36]SUM!$B$34:$AB$58</definedName>
    <definedName name="PLAN_19">[36]SUM!$B$34:$AB$58</definedName>
    <definedName name="PLAN_2">[36]SUM!$B$34:$AB$58</definedName>
    <definedName name="PLAN_2_1">[36]SUM!$B$34:$AB$58</definedName>
    <definedName name="PLAN_20">[36]SUM!$B$34:$AB$58</definedName>
    <definedName name="PLAN_6">[36]SUM!$B$34:$AB$58</definedName>
    <definedName name="PLAN_8">[36]SUM!$B$34:$AB$58</definedName>
    <definedName name="PLAN_8_1">[36]SUM!$B$34:$AB$58</definedName>
    <definedName name="PLAN_9">[36]SUM!$B$34:$AB$58</definedName>
    <definedName name="PLAN_9_1">[36]SUM!$B$34:$AB$58</definedName>
    <definedName name="PLAN_DAILY">'[37]Daily Plan'!$BH$8:$CA$33</definedName>
    <definedName name="PLAN_MONTHLY">[38]summary!$B$12:$AO$45</definedName>
    <definedName name="PLAN_MONTHLY_1">[38]summary!$B$12:$AO$45</definedName>
    <definedName name="PLAN_MONTHLY_1_1">[38]summary!$B$12:$AO$45</definedName>
    <definedName name="PLAN_MONTHLY_10">[39]summary!$B$12:$AO$45</definedName>
    <definedName name="PLAN_MONTHLY_11">[38]summary!$B$12:$AO$45</definedName>
    <definedName name="PLAN_MONTHLY_13">[38]summary!$B$12:$AO$45</definedName>
    <definedName name="PLAN_MONTHLY_16">[38]summary!$B$12:$AO$45</definedName>
    <definedName name="PLAN_MONTHLY_17">[40]summary!$B$12:$AO$45</definedName>
    <definedName name="PLAN_MONTHLY_19">[14]summary!$B$12:$AO$45</definedName>
    <definedName name="PLAN_MONTHLY_2">[38]summary!$B$12:$AO$45</definedName>
    <definedName name="PLAN_MONTHLY_2_1">[38]summary!$B$12:$AO$45</definedName>
    <definedName name="PLAN_MONTHLY_20">[41]summary!$B$12:$AO$45</definedName>
    <definedName name="PLAN_MONTHLY_3">[42]summary!$B$12:$AO$45</definedName>
    <definedName name="PLAN_MONTHLY_3_1">[42]summary!$B$12:$AO$45</definedName>
    <definedName name="PLAN_MONTHLY_4">[42]summary!$B$12:$AO$45</definedName>
    <definedName name="PLAN_MONTHLY_6">[42]summary!$B$12:$AO$45</definedName>
    <definedName name="PLAN_MONTHLY_6_1">[40]summary!$B$12:$AO$45</definedName>
    <definedName name="PLAN_MONTHLY_7">[42]summary!$B$12:$AO$45</definedName>
    <definedName name="PLAN_MONTHLY_7_1">[39]summary!$B$12:$AO$45</definedName>
    <definedName name="PLAN_MONTHLY_8">[40]summary!$B$12:$AO$45</definedName>
    <definedName name="PLAN_MONTHLY_9">[40]summary!$B$12:$AO$45</definedName>
    <definedName name="pm3brm" localSheetId="0">#REF!</definedName>
    <definedName name="pm3brm">#REF!</definedName>
    <definedName name="PMEASTHITS" localSheetId="0">#REF!</definedName>
    <definedName name="PMEASTHITS">#REF!</definedName>
    <definedName name="PMS3BW" localSheetId="0">#REF!</definedName>
    <definedName name="PMS3BW">#REF!</definedName>
    <definedName name="PMS3FW" localSheetId="0">#REF!</definedName>
    <definedName name="PMS3FW">#REF!</definedName>
    <definedName name="PMS3HW" localSheetId="0">#REF!</definedName>
    <definedName name="PMS3HW">#REF!</definedName>
    <definedName name="populasi" localSheetId="0">#REF!</definedName>
    <definedName name="populasi">#REF!</definedName>
    <definedName name="_xlnm.Print_Area" localSheetId="0">#REF!</definedName>
    <definedName name="_xlnm.Print_Area">#REF!</definedName>
    <definedName name="_xlnm.Print_Titles">#N/A</definedName>
    <definedName name="Print2" localSheetId="0">#REF!</definedName>
    <definedName name="Print2">#REF!</definedName>
    <definedName name="prod" localSheetId="0">#REF!</definedName>
    <definedName name="prod">#REF!</definedName>
    <definedName name="PROD_COAL">'[43]DP Report'!$F$42:$F$42</definedName>
    <definedName name="PROD_OB">'[43]DP Report'!$F$33:$F$33</definedName>
    <definedName name="ProdBdgt">'[44]Sum Prod &amp; Sales Bdgt'!$C$2:$T$21</definedName>
    <definedName name="Prodty_Actual">[3]Data!$B$20:$AG$33</definedName>
    <definedName name="Prodty_Plan">[3]Data!$B$3:$AG$16</definedName>
    <definedName name="Production">[3]Data!$B$149:$AG$153</definedName>
    <definedName name="produksi" localSheetId="0">#REF!</definedName>
    <definedName name="produksi">#REF!</definedName>
    <definedName name="Project">[35]Project!$A$3:$A$1003</definedName>
    <definedName name="Project1">[27]Project!$A$3:$A$1003</definedName>
    <definedName name="PSYINV2" localSheetId="0">#REF!</definedName>
    <definedName name="PSYINV2">#REF!</definedName>
    <definedName name="PT" localSheetId="0">#REF!</definedName>
    <definedName name="PT">#REF!</definedName>
    <definedName name="PTCMHCVHITS" localSheetId="0">#REF!</definedName>
    <definedName name="PTCMHCVHITS">#REF!</definedName>
    <definedName name="PTCMHCVLOTS" localSheetId="0">#REF!</definedName>
    <definedName name="PTCMHCVLOTS">#REF!</definedName>
    <definedName name="PTCMLCVLOTS" localSheetId="0">#REF!</definedName>
    <definedName name="PTCMLCVLOTS">#REF!</definedName>
    <definedName name="PTDMHCV" localSheetId="0">#REF!</definedName>
    <definedName name="PTDMHCV">#REF!</definedName>
    <definedName name="PTOTAL" localSheetId="0">#REF!</definedName>
    <definedName name="PTOTAL">#REF!</definedName>
    <definedName name="PWESTLOTS" localSheetId="0">#REF!</definedName>
    <definedName name="PWESTLOTS">#REF!</definedName>
    <definedName name="q" localSheetId="0">#REF!</definedName>
    <definedName name="q">#REF!</definedName>
    <definedName name="QWS" localSheetId="0">#REF!</definedName>
    <definedName name="QWS">#REF!</definedName>
    <definedName name="rcc" localSheetId="0">#REF!</definedName>
    <definedName name="rcc">#REF!</definedName>
    <definedName name="RD" localSheetId="0">#REF!</definedName>
    <definedName name="RD">#REF!</definedName>
    <definedName name="re" localSheetId="0" hidden="1">{"Valuation",#N/A,TRUE,"Valuation Summary";"Financial Statements",#N/A,TRUE,"Results";"Results",#N/A,TRUE,"Results";"Ratios",#N/A,TRUE,"Results";"P2 Summary",#N/A,TRUE,"Results";"Historical data",#N/A,0,0;0,#VALUE!,TRUE,"Forecast Drivers";"P2 Inputs",#N/A,TRUE,"Forecast Drivers"}</definedName>
    <definedName name="re" hidden="1">{"Valuation",#N/A,TRUE,"Valuation Summary";"Financial Statements",#N/A,TRUE,"Results";"Results",#N/A,TRUE,"Results";"Ratios",#N/A,TRUE,"Results";"P2 Summary",#N/A,TRUE,"Results";"Historical data",#N/A,0,0;0,#VALUE!,TRUE,"Forecast Drivers";"P2 Inputs",#N/A,TRUE,"Forecast Drivers"}</definedName>
    <definedName name="REN_KPTJ">[25]TJ!$C$4:$Y$432</definedName>
    <definedName name="REN_LMA">[25]LM!$C$4:$Y$168</definedName>
    <definedName name="RENTAL">[25]ACUM!$B$4:$CT$27</definedName>
    <definedName name="rp">[45]OFFICE!$AW$6</definedName>
    <definedName name="SC" localSheetId="0">#REF!</definedName>
    <definedName name="SC">#REF!</definedName>
    <definedName name="sdhjfwsa\">'[2]MTD OB Forecasting'!#REF!</definedName>
    <definedName name="sencount" hidden="1">2</definedName>
    <definedName name="SFfuel">[46]Assumptions!$D$473</definedName>
    <definedName name="Shikoku">[1]Validation!$A$10</definedName>
    <definedName name="SlsBudget">'[44]Sum Prod &amp; Sales Bdgt'!$C$35:$P$49</definedName>
    <definedName name="SO" localSheetId="0">#REF!</definedName>
    <definedName name="SO">#REF!</definedName>
    <definedName name="SPRD_COAL" localSheetId="0">#REF!</definedName>
    <definedName name="SPRD_COAL">#REF!</definedName>
    <definedName name="SPRD_OB" localSheetId="0">#REF!</definedName>
    <definedName name="SPRD_OB">#REF!</definedName>
    <definedName name="ssss" localSheetId="0">#REF!</definedName>
    <definedName name="ssss">#REF!</definedName>
    <definedName name="STB">[25]ACUM!$ED$64:$FJ$87</definedName>
    <definedName name="SubAccount">[47]!Sub_Account</definedName>
    <definedName name="subhan">'[5]MTD OB Forecasting'!#REF!</definedName>
    <definedName name="SummPRM">'[48]Summ PRM'!$B$6:$BO$108</definedName>
    <definedName name="suryanto">'[2]MTD OB Forecasting'!#REF!</definedName>
    <definedName name="TCM">[6]TCM!$A$2:$KE$234</definedName>
    <definedName name="TDM">[6]TDM!$A$4:$EW$40</definedName>
    <definedName name="test" localSheetId="0">#REF!</definedName>
    <definedName name="test">#REF!</definedName>
    <definedName name="TONNAGE">[9]dBase!$R$2:$R$4381</definedName>
    <definedName name="TOP_COSTUM" localSheetId="0">#REF!</definedName>
    <definedName name="TOP_COSTUM">#REF!</definedName>
    <definedName name="total" localSheetId="0">#REF!</definedName>
    <definedName name="total">#REF!</definedName>
    <definedName name="TUNAS">[25]ACUM!$B$4:$CT$27</definedName>
    <definedName name="TYPE">[9]dBase!$BC$2:$BC$4381</definedName>
    <definedName name="UA_Actual">[3]Data!$B$112:$AG$121</definedName>
    <definedName name="UA_Plan">[3]Data!$B$99:$AG$108</definedName>
    <definedName name="uu" localSheetId="0" hidden="1">{"Valuation",#N/A,TRUE,"Valuation Summary";"Financial Statements",#N/A,TRUE,"Results";"Results",#N/A,TRUE,"Results";"Ratios",#N/A,TRUE,"Results";"P2 Summary",#N/A,TRUE,"Results"}</definedName>
    <definedName name="uu" hidden="1">{"Valuation",#N/A,TRUE,"Valuation Summary";"Financial Statements",#N/A,TRUE,"Results";"Results",#N/A,TRUE,"Results";"Ratios",#N/A,TRUE,"Results";"P2 Summary",#N/A,TRUE,"Results"}</definedName>
    <definedName name="WASTE" localSheetId="0">#REF!</definedName>
    <definedName name="WASTE">#REF!</definedName>
    <definedName name="Wh" localSheetId="0">#REF!</definedName>
    <definedName name="Wh">#REF!</definedName>
    <definedName name="WORK">[25]ACUM!$ED$4:$FJ$27</definedName>
    <definedName name="Worksheet2016" localSheetId="0">#REF!</definedName>
    <definedName name="Worksheet2016">#REF!</definedName>
    <definedName name="wrn.M." localSheetId="0" hidden="1">{#N/A,#N/A,FALSE,"M01";#N/A,#N/A,FALSE,"M02";#N/A,#N/A,FALSE,"M03";#N/A,#N/A,FALSE,"M04";#N/A,#N/A,FALSE,"M05";#N/A,#N/A,FALSE,"M08"}</definedName>
    <definedName name="wrn.M." hidden="1">{#N/A,#N/A,FALSE,"M01";#N/A,#N/A,FALSE,"M02";#N/A,#N/A,FALSE,"M03";#N/A,#N/A,FALSE,"M04";#N/A,#N/A,FALSE,"M05";#N/A,#N/A,FALSE,"M08"}</definedName>
    <definedName name="wrn.Print._.All._.A4." localSheetId="0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0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Results._.A4." localSheetId="0" hidden="1">{"Valuation",#N/A,TRUE,"Valuation Summary";"Financial Statements",#N/A,TRUE,"Results";"Results",#N/A,TRUE,"Results";"Ratios",#N/A,TRUE,"Results";"P2 Summary",#N/A,TRUE,"Results"}</definedName>
    <definedName name="wrn.Print._.Results._.A4." hidden="1">{"Valuation",#N/A,TRUE,"Valuation Summary";"Financial Statements",#N/A,TRUE,"Results";"Results",#N/A,TRUE,"Results";"Ratios",#N/A,TRUE,"Results";"P2 Summary",#N/A,TRUE,"Results"}</definedName>
    <definedName name="wrn.Print._.Results._.Letter." localSheetId="0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hidden="1">{"Valuation - Letter",#N/A,TRUE,"Valuation Summary";"Financial Statements - Letter",#N/A,TRUE,"Results";"Results - Letter",#N/A,TRUE,"Results";"Ratios - Letter",#N/A,TRUE,"Results";"P2 Summary - Letter",#N/A,TRUE,"Results"}</definedName>
    <definedName name="wrn.Quater." localSheetId="0" hidden="1">{#N/A,#N/A,FALSE,"QR";#N/A,#N/A,FALSE,"R02";#N/A,#N/A,FALSE,"R04";#N/A,#N/A,FALSE,"R05";#N/A,#N/A,FALSE,"R08"}</definedName>
    <definedName name="wrn.Quater." hidden="1">{#N/A,#N/A,FALSE,"QR";#N/A,#N/A,FALSE,"R02";#N/A,#N/A,FALSE,"R04";#N/A,#N/A,FALSE,"R05";#N/A,#N/A,FALSE,"R08"}</definedName>
    <definedName name="wrn.Valuation._.LB." localSheetId="0" hidden="1">{"Assumptions",#N/A,FALSE,"ASSUMPTION";"Cash Minimum",#N/A,FALSE,"ASSUMPTION"}</definedName>
    <definedName name="wrn.Valuation._.LB." hidden="1">{"Assumptions",#N/A,FALSE,"ASSUMPTION";"Cash Minimum",#N/A,FALSE,"ASSUMPTION"}</definedName>
    <definedName name="wrn.Variance." localSheetId="0" hidden="1">{#N/A,#N/A,FALSE,"M06";#N/A,#N/A,FALSE,"M07"}</definedName>
    <definedName name="wrn.Variance." hidden="1">{#N/A,#N/A,FALSE,"M06";#N/A,#N/A,FALSE,"M07"}</definedName>
    <definedName name="WS">'[6]WS-Daily'!$B$5:$GJ$1957</definedName>
    <definedName name="WSA" localSheetId="0">#REF!</definedName>
    <definedName name="WSA">#REF!</definedName>
    <definedName name="Y" localSheetId="0" hidden="1">{#N/A,#N/A,FALSE,"M01";#N/A,#N/A,FALSE,"M02";#N/A,#N/A,FALSE,"M03";#N/A,#N/A,FALSE,"M04";#N/A,#N/A,FALSE,"M05";#N/A,#N/A,FALSE,"M08"}</definedName>
    <definedName name="Y" hidden="1">{#N/A,#N/A,FALSE,"M01";#N/A,#N/A,FALSE,"M02";#N/A,#N/A,FALSE,"M03";#N/A,#N/A,FALSE,"M04";#N/A,#N/A,FALSE,"M05";#N/A,#N/A,FALSE,"M08"}</definedName>
    <definedName name="yes">'[5]MTD OB Forecasting'!#REF!</definedName>
    <definedName name="yun">'[5]MTD OB Forecasting'!#REF!</definedName>
    <definedName name="yusuf">'[2]MTD OB Forecasting'!#REF!</definedName>
    <definedName name="z">'[5]MTD OB Forecasting'!#REF!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8" i="3" l="1"/>
  <c r="N178" i="2"/>
  <c r="C125" i="2" l="1"/>
  <c r="C127" i="2"/>
  <c r="C129" i="2"/>
  <c r="C130" i="2"/>
  <c r="N133" i="2"/>
  <c r="P182" i="2" l="1"/>
  <c r="P181" i="2"/>
  <c r="P180" i="2"/>
  <c r="P179" i="2"/>
  <c r="P178" i="2"/>
  <c r="P177" i="2"/>
  <c r="P176" i="2"/>
  <c r="P175" i="2"/>
  <c r="P174" i="2"/>
  <c r="P173" i="2"/>
  <c r="P172" i="2"/>
  <c r="P171" i="2"/>
  <c r="N182" i="2"/>
  <c r="N181" i="2"/>
  <c r="N180" i="2"/>
  <c r="N179" i="2"/>
  <c r="N177" i="2" l="1"/>
  <c r="N174" i="2"/>
  <c r="N173" i="2" s="1"/>
  <c r="M173" i="2"/>
  <c r="L173" i="2"/>
  <c r="K173" i="2"/>
  <c r="J173" i="2"/>
  <c r="I173" i="2"/>
  <c r="H173" i="2"/>
  <c r="G173" i="2"/>
  <c r="F173" i="2"/>
  <c r="E173" i="2"/>
  <c r="D173" i="2"/>
  <c r="C173" i="2"/>
  <c r="B173" i="2"/>
  <c r="N172" i="2"/>
  <c r="M171" i="2"/>
  <c r="L171" i="2"/>
  <c r="K171" i="2"/>
  <c r="J171" i="2"/>
  <c r="I171" i="2"/>
  <c r="H171" i="2"/>
  <c r="G171" i="2"/>
  <c r="F171" i="2"/>
  <c r="E171" i="2"/>
  <c r="D171" i="2"/>
  <c r="C171" i="2"/>
  <c r="B171" i="2"/>
  <c r="M176" i="2" l="1"/>
  <c r="M175" i="2"/>
  <c r="F175" i="2"/>
  <c r="F176" i="2"/>
  <c r="H175" i="2"/>
  <c r="H176" i="2"/>
  <c r="I175" i="2"/>
  <c r="I176" i="2"/>
  <c r="J176" i="2"/>
  <c r="J175" i="2"/>
  <c r="D176" i="2"/>
  <c r="D175" i="2"/>
  <c r="G176" i="2"/>
  <c r="G175" i="2"/>
  <c r="K176" i="2"/>
  <c r="K175" i="2"/>
  <c r="E175" i="2"/>
  <c r="E176" i="2"/>
  <c r="L175" i="2"/>
  <c r="L176" i="2"/>
  <c r="C175" i="2"/>
  <c r="C176" i="2"/>
  <c r="N171" i="2"/>
  <c r="N175" i="2" s="1"/>
  <c r="B175" i="2"/>
  <c r="B176" i="2"/>
  <c r="N176" i="2" l="1"/>
  <c r="P164" i="2"/>
  <c r="P153" i="2"/>
  <c r="P152" i="2"/>
  <c r="P151" i="2"/>
  <c r="P150" i="2"/>
  <c r="P168" i="2"/>
  <c r="P167" i="2"/>
  <c r="P166" i="2"/>
  <c r="P165" i="2"/>
  <c r="P163" i="2"/>
  <c r="N69" i="2" l="1"/>
  <c r="P69" i="2"/>
  <c r="M135" i="3" l="1"/>
  <c r="L135" i="3"/>
  <c r="K135" i="3"/>
  <c r="J135" i="3"/>
  <c r="I135" i="3"/>
  <c r="H135" i="3"/>
  <c r="G135" i="3"/>
  <c r="F135" i="3"/>
  <c r="E135" i="3"/>
  <c r="D135" i="3"/>
  <c r="C135" i="3"/>
  <c r="B135" i="3"/>
  <c r="N127" i="3"/>
  <c r="N126" i="3"/>
  <c r="N125" i="3"/>
  <c r="N124" i="3"/>
  <c r="N123" i="3"/>
  <c r="N41" i="3"/>
  <c r="N40" i="3"/>
  <c r="N39" i="3"/>
  <c r="N38" i="3"/>
  <c r="N37" i="3"/>
  <c r="N42" i="3" l="1"/>
  <c r="P42" i="2" s="1"/>
  <c r="M8" i="2" l="1"/>
  <c r="L8" i="2"/>
  <c r="K8" i="2"/>
  <c r="J8" i="2"/>
  <c r="I8" i="2"/>
  <c r="H8" i="2"/>
  <c r="G8" i="2"/>
  <c r="F8" i="2"/>
  <c r="E8" i="2"/>
  <c r="D8" i="2"/>
  <c r="C8" i="2"/>
  <c r="B8" i="2"/>
  <c r="P144" i="2"/>
  <c r="P143" i="2"/>
  <c r="N185" i="3" l="1"/>
  <c r="N184" i="3"/>
  <c r="N183" i="3"/>
  <c r="N182" i="3"/>
  <c r="N181" i="3"/>
  <c r="N180" i="3"/>
  <c r="N177" i="3"/>
  <c r="N176" i="3" s="1"/>
  <c r="M176" i="3"/>
  <c r="L176" i="3"/>
  <c r="K176" i="3"/>
  <c r="J176" i="3"/>
  <c r="I176" i="3"/>
  <c r="H176" i="3"/>
  <c r="G176" i="3"/>
  <c r="F176" i="3"/>
  <c r="E176" i="3"/>
  <c r="D176" i="3"/>
  <c r="C176" i="3"/>
  <c r="B176" i="3"/>
  <c r="N175" i="3"/>
  <c r="N174" i="3" s="1"/>
  <c r="M174" i="3"/>
  <c r="L174" i="3"/>
  <c r="K174" i="3"/>
  <c r="J174" i="3"/>
  <c r="I174" i="3"/>
  <c r="H174" i="3"/>
  <c r="H179" i="3" s="1"/>
  <c r="G174" i="3"/>
  <c r="G179" i="3" s="1"/>
  <c r="F174" i="3"/>
  <c r="F179" i="3" s="1"/>
  <c r="E174" i="3"/>
  <c r="D174" i="3"/>
  <c r="D179" i="3" s="1"/>
  <c r="C174" i="3"/>
  <c r="C179" i="3" s="1"/>
  <c r="B174" i="3"/>
  <c r="B179" i="3" s="1"/>
  <c r="N168" i="3"/>
  <c r="N169" i="3"/>
  <c r="N170" i="3"/>
  <c r="N171" i="3"/>
  <c r="N167" i="3"/>
  <c r="N154" i="3"/>
  <c r="N155" i="3"/>
  <c r="N156" i="3"/>
  <c r="N157" i="3"/>
  <c r="N153" i="3"/>
  <c r="N139" i="3"/>
  <c r="N140" i="3"/>
  <c r="N141" i="3"/>
  <c r="N142" i="3"/>
  <c r="N118" i="3"/>
  <c r="N119" i="3"/>
  <c r="N120" i="3"/>
  <c r="N121" i="3"/>
  <c r="N117" i="3"/>
  <c r="C147" i="3"/>
  <c r="D147" i="3"/>
  <c r="E147" i="3"/>
  <c r="F147" i="3"/>
  <c r="G147" i="3"/>
  <c r="H147" i="3"/>
  <c r="I147" i="3"/>
  <c r="J147" i="3"/>
  <c r="K147" i="3"/>
  <c r="L147" i="3"/>
  <c r="M147" i="3"/>
  <c r="B147" i="3"/>
  <c r="N147" i="3" s="1"/>
  <c r="N148" i="3"/>
  <c r="J178" i="3" l="1"/>
  <c r="L178" i="3"/>
  <c r="B178" i="3"/>
  <c r="C178" i="3"/>
  <c r="E178" i="3"/>
  <c r="I178" i="3"/>
  <c r="M178" i="3"/>
  <c r="K178" i="3"/>
  <c r="G178" i="3"/>
  <c r="H178" i="3"/>
  <c r="F178" i="3"/>
  <c r="N178" i="3"/>
  <c r="E179" i="3"/>
  <c r="D178" i="3"/>
  <c r="I179" i="3"/>
  <c r="J179" i="3"/>
  <c r="K179" i="3"/>
  <c r="L179" i="3"/>
  <c r="M179" i="3"/>
  <c r="N179" i="3"/>
  <c r="N87" i="3"/>
  <c r="N88" i="3"/>
  <c r="N89" i="3"/>
  <c r="N90" i="3"/>
  <c r="N86" i="3"/>
  <c r="N81" i="3"/>
  <c r="N82" i="3"/>
  <c r="N83" i="3"/>
  <c r="N84" i="3"/>
  <c r="N80" i="3"/>
  <c r="N75" i="3"/>
  <c r="N76" i="3"/>
  <c r="N77" i="3"/>
  <c r="N78" i="3"/>
  <c r="N74" i="3"/>
  <c r="N50" i="3"/>
  <c r="N51" i="3"/>
  <c r="N52" i="3"/>
  <c r="N53" i="3"/>
  <c r="N49" i="3"/>
  <c r="N44" i="3"/>
  <c r="N45" i="3"/>
  <c r="N46" i="3"/>
  <c r="N47" i="3"/>
  <c r="N43" i="3"/>
  <c r="N32" i="3"/>
  <c r="N33" i="3"/>
  <c r="N34" i="3"/>
  <c r="N35" i="3"/>
  <c r="N31" i="3"/>
  <c r="N26" i="3"/>
  <c r="N27" i="3"/>
  <c r="N28" i="3"/>
  <c r="N29" i="3"/>
  <c r="N25" i="3"/>
  <c r="N20" i="3"/>
  <c r="N21" i="3"/>
  <c r="N22" i="3"/>
  <c r="N23" i="3"/>
  <c r="N19" i="3"/>
  <c r="N11" i="3" l="1"/>
  <c r="P11" i="2" s="1"/>
  <c r="C8" i="3"/>
  <c r="D8" i="3"/>
  <c r="E8" i="3"/>
  <c r="F8" i="3"/>
  <c r="G8" i="3"/>
  <c r="H8" i="3"/>
  <c r="I8" i="3"/>
  <c r="J8" i="3"/>
  <c r="K8" i="3"/>
  <c r="L8" i="3"/>
  <c r="M8" i="3"/>
  <c r="B8" i="3"/>
  <c r="B5" i="3"/>
  <c r="C5" i="3"/>
  <c r="D5" i="3"/>
  <c r="E5" i="3"/>
  <c r="F5" i="3"/>
  <c r="G5" i="3"/>
  <c r="H5" i="3"/>
  <c r="I5" i="3"/>
  <c r="J5" i="3"/>
  <c r="K5" i="3"/>
  <c r="L5" i="3"/>
  <c r="M5" i="3"/>
  <c r="B100" i="2" l="1"/>
  <c r="C100" i="2"/>
  <c r="D100" i="2"/>
  <c r="E100" i="2"/>
  <c r="F100" i="2"/>
  <c r="G100" i="2"/>
  <c r="H100" i="2"/>
  <c r="I100" i="2"/>
  <c r="J100" i="2"/>
  <c r="K100" i="2"/>
  <c r="L100" i="2"/>
  <c r="M100" i="2"/>
  <c r="B104" i="2"/>
  <c r="C104" i="2"/>
  <c r="D104" i="2"/>
  <c r="E104" i="2"/>
  <c r="F104" i="2"/>
  <c r="G104" i="2"/>
  <c r="H104" i="2"/>
  <c r="I104" i="2"/>
  <c r="J104" i="2"/>
  <c r="K104" i="2"/>
  <c r="L104" i="2"/>
  <c r="M104" i="2"/>
  <c r="M108" i="2" l="1"/>
  <c r="B108" i="2"/>
  <c r="E108" i="2"/>
  <c r="K108" i="2"/>
  <c r="J108" i="2"/>
  <c r="I108" i="2"/>
  <c r="H108" i="2"/>
  <c r="G108" i="2"/>
  <c r="F108" i="2"/>
  <c r="C108" i="2"/>
  <c r="L108" i="2"/>
  <c r="D108" i="2"/>
  <c r="N114" i="2"/>
  <c r="N120" i="2"/>
  <c r="N64" i="2" l="1"/>
  <c r="N165" i="2" l="1"/>
  <c r="N166" i="2"/>
  <c r="N167" i="2"/>
  <c r="N164" i="2"/>
  <c r="N168" i="2"/>
  <c r="N162" i="2" l="1"/>
  <c r="N163" i="2"/>
  <c r="H9" i="4" l="1"/>
  <c r="H8" i="4"/>
  <c r="H7" i="4"/>
  <c r="G7" i="4"/>
  <c r="G8" i="4"/>
  <c r="G9" i="4"/>
  <c r="F6" i="4"/>
  <c r="D6" i="4"/>
  <c r="N144" i="2"/>
  <c r="N145" i="2"/>
  <c r="C142" i="2"/>
  <c r="D142" i="2"/>
  <c r="E142" i="2"/>
  <c r="F142" i="2"/>
  <c r="G142" i="2"/>
  <c r="H142" i="2"/>
  <c r="I142" i="2"/>
  <c r="J142" i="2"/>
  <c r="K142" i="2"/>
  <c r="L142" i="2"/>
  <c r="M142" i="2"/>
  <c r="J6" i="4" l="1"/>
  <c r="B110" i="2" l="1"/>
  <c r="B109" i="2" s="1"/>
  <c r="N111" i="2" l="1"/>
  <c r="B127" i="2" l="1"/>
  <c r="D127" i="2"/>
  <c r="E127" i="2"/>
  <c r="F127" i="2"/>
  <c r="G127" i="2"/>
  <c r="H127" i="2"/>
  <c r="I127" i="2"/>
  <c r="J127" i="2"/>
  <c r="K127" i="2"/>
  <c r="L127" i="2"/>
  <c r="M127" i="2"/>
  <c r="F7" i="4" l="1"/>
  <c r="H13" i="2"/>
  <c r="N119" i="2" l="1"/>
  <c r="N121" i="2"/>
  <c r="N122" i="2"/>
  <c r="N118" i="2"/>
  <c r="N113" i="2"/>
  <c r="N115" i="2"/>
  <c r="N116" i="2"/>
  <c r="N112" i="2"/>
  <c r="N82" i="2" l="1"/>
  <c r="N83" i="2"/>
  <c r="N84" i="2"/>
  <c r="N85" i="2"/>
  <c r="N81" i="2"/>
  <c r="N79" i="2"/>
  <c r="N78" i="2"/>
  <c r="N77" i="2"/>
  <c r="N76" i="2"/>
  <c r="N75" i="2"/>
  <c r="B142" i="2" l="1"/>
  <c r="F8" i="4" s="1"/>
  <c r="N143" i="2"/>
  <c r="C60" i="2" l="1"/>
  <c r="D60" i="2"/>
  <c r="E60" i="2"/>
  <c r="F60" i="2"/>
  <c r="G60" i="2"/>
  <c r="H60" i="2"/>
  <c r="I60" i="2"/>
  <c r="J60" i="2"/>
  <c r="K60" i="2"/>
  <c r="L60" i="2"/>
  <c r="M60" i="2"/>
  <c r="B60" i="2"/>
  <c r="F5" i="4" l="1"/>
  <c r="N68" i="2"/>
  <c r="N67" i="2"/>
  <c r="N60" i="2"/>
  <c r="N101" i="2"/>
  <c r="N150" i="2" l="1"/>
  <c r="N151" i="2"/>
  <c r="N153" i="2"/>
  <c r="N152" i="2"/>
  <c r="N149" i="2"/>
  <c r="N134" i="2" l="1"/>
  <c r="N135" i="2"/>
  <c r="N136" i="2"/>
  <c r="N137" i="2"/>
  <c r="N50" i="2" l="1"/>
  <c r="N51" i="2"/>
  <c r="N52" i="2"/>
  <c r="N53" i="2"/>
  <c r="N49" i="2"/>
  <c r="N44" i="2"/>
  <c r="N45" i="2"/>
  <c r="N46" i="2"/>
  <c r="N47" i="2"/>
  <c r="N43" i="2"/>
  <c r="N38" i="2"/>
  <c r="N39" i="2"/>
  <c r="N40" i="2"/>
  <c r="N41" i="2"/>
  <c r="N37" i="2"/>
  <c r="N32" i="2"/>
  <c r="N33" i="2"/>
  <c r="N34" i="2"/>
  <c r="N35" i="2"/>
  <c r="N31" i="2"/>
  <c r="N29" i="2"/>
  <c r="N26" i="2"/>
  <c r="N27" i="2"/>
  <c r="N28" i="2"/>
  <c r="N25" i="2"/>
  <c r="N20" i="2"/>
  <c r="N21" i="2"/>
  <c r="N22" i="2"/>
  <c r="N23" i="2"/>
  <c r="N19" i="2"/>
  <c r="N94" i="2"/>
  <c r="N95" i="2"/>
  <c r="N96" i="2"/>
  <c r="N97" i="2"/>
  <c r="N93" i="2"/>
  <c r="N88" i="2"/>
  <c r="N89" i="2"/>
  <c r="N90" i="2"/>
  <c r="N91" i="2"/>
  <c r="N87" i="2"/>
  <c r="B125" i="2" l="1"/>
  <c r="D125" i="2"/>
  <c r="E125" i="2"/>
  <c r="F125" i="2"/>
  <c r="G125" i="2"/>
  <c r="H125" i="2"/>
  <c r="I125" i="2"/>
  <c r="J125" i="2"/>
  <c r="K125" i="2"/>
  <c r="L125" i="2"/>
  <c r="M125" i="2"/>
  <c r="D7" i="4" l="1"/>
  <c r="J7" i="4" s="1"/>
  <c r="L130" i="2"/>
  <c r="L129" i="2"/>
  <c r="M129" i="2"/>
  <c r="M130" i="2"/>
  <c r="K130" i="2"/>
  <c r="K129" i="2"/>
  <c r="J130" i="2"/>
  <c r="J129" i="2"/>
  <c r="I130" i="2"/>
  <c r="I129" i="2"/>
  <c r="H130" i="2"/>
  <c r="H129" i="2"/>
  <c r="G130" i="2"/>
  <c r="G129" i="2"/>
  <c r="F130" i="2"/>
  <c r="F129" i="2"/>
  <c r="E129" i="2"/>
  <c r="E130" i="2"/>
  <c r="D129" i="2"/>
  <c r="D130" i="2"/>
  <c r="B129" i="2"/>
  <c r="B130" i="2"/>
  <c r="N132" i="2"/>
  <c r="N18" i="2" l="1"/>
  <c r="N11" i="2"/>
  <c r="F4" i="4" l="1"/>
  <c r="P149" i="2"/>
  <c r="P137" i="2"/>
  <c r="P136" i="2"/>
  <c r="P135" i="2"/>
  <c r="P134" i="2"/>
  <c r="P133" i="2"/>
  <c r="P122" i="2"/>
  <c r="P121" i="2"/>
  <c r="P120" i="2"/>
  <c r="P119" i="2"/>
  <c r="P118" i="2"/>
  <c r="P116" i="2"/>
  <c r="P115" i="2"/>
  <c r="P114" i="2"/>
  <c r="P113" i="2"/>
  <c r="P112" i="2"/>
  <c r="N36" i="2"/>
  <c r="N42" i="2"/>
  <c r="N48" i="2"/>
  <c r="N16" i="2" s="1"/>
  <c r="M13" i="3" l="1"/>
  <c r="L13" i="3"/>
  <c r="K13" i="3"/>
  <c r="J13" i="3"/>
  <c r="I13" i="3"/>
  <c r="H13" i="3"/>
  <c r="G13" i="3"/>
  <c r="F13" i="3"/>
  <c r="E13" i="3"/>
  <c r="D13" i="3"/>
  <c r="C13" i="3"/>
  <c r="B13" i="3"/>
  <c r="N16" i="3"/>
  <c r="G4" i="4" l="1"/>
  <c r="N9" i="2" l="1"/>
  <c r="N10" i="2"/>
  <c r="N86" i="2"/>
  <c r="P53" i="2"/>
  <c r="P52" i="2"/>
  <c r="P51" i="2"/>
  <c r="P50" i="2"/>
  <c r="P49" i="2"/>
  <c r="N8" i="2" l="1"/>
  <c r="N48" i="3"/>
  <c r="P97" i="2"/>
  <c r="P96" i="2"/>
  <c r="P95" i="2"/>
  <c r="P94" i="2"/>
  <c r="P93" i="2"/>
  <c r="P91" i="2"/>
  <c r="P90" i="2"/>
  <c r="P89" i="2"/>
  <c r="P88" i="2"/>
  <c r="P87" i="2"/>
  <c r="P85" i="2"/>
  <c r="P84" i="2"/>
  <c r="P83" i="2"/>
  <c r="P82" i="2"/>
  <c r="P81" i="2"/>
  <c r="P79" i="2"/>
  <c r="P78" i="2"/>
  <c r="P77" i="2"/>
  <c r="P76" i="2"/>
  <c r="P75" i="2"/>
  <c r="P19" i="2"/>
  <c r="P20" i="2"/>
  <c r="P21" i="2"/>
  <c r="P22" i="2"/>
  <c r="P23" i="2"/>
  <c r="P25" i="2"/>
  <c r="P26" i="2"/>
  <c r="P27" i="2"/>
  <c r="P28" i="2"/>
  <c r="P29" i="2"/>
  <c r="P31" i="2"/>
  <c r="P32" i="2"/>
  <c r="P33" i="2"/>
  <c r="P34" i="2"/>
  <c r="P35" i="2"/>
  <c r="P37" i="2"/>
  <c r="P38" i="2"/>
  <c r="P39" i="2"/>
  <c r="P40" i="2"/>
  <c r="P41" i="2"/>
  <c r="P43" i="2"/>
  <c r="P44" i="2"/>
  <c r="P45" i="2"/>
  <c r="P46" i="2"/>
  <c r="P47" i="2"/>
  <c r="N97" i="3"/>
  <c r="P92" i="2" s="1"/>
  <c r="N91" i="3"/>
  <c r="P86" i="2" s="1"/>
  <c r="P48" i="2" l="1"/>
  <c r="P16" i="2"/>
  <c r="N136" i="3"/>
  <c r="P131" i="2" s="1"/>
  <c r="N122" i="3" l="1"/>
  <c r="P117" i="2" s="1"/>
  <c r="C109" i="3"/>
  <c r="D109" i="3"/>
  <c r="E109" i="3"/>
  <c r="F109" i="3"/>
  <c r="G109" i="3"/>
  <c r="H109" i="3"/>
  <c r="I109" i="3"/>
  <c r="J109" i="3"/>
  <c r="K109" i="3"/>
  <c r="L109" i="3"/>
  <c r="M109" i="3"/>
  <c r="B109" i="3"/>
  <c r="E6" i="4" l="1"/>
  <c r="L6" i="4" s="1"/>
  <c r="N109" i="3"/>
  <c r="P104" i="2" s="1"/>
  <c r="N85" i="3"/>
  <c r="N79" i="3"/>
  <c r="P80" i="2" s="1"/>
  <c r="N73" i="3"/>
  <c r="P74" i="2" s="1"/>
  <c r="N36" i="3" l="1"/>
  <c r="P36" i="2" s="1"/>
  <c r="N30" i="3"/>
  <c r="P30" i="2" s="1"/>
  <c r="N24" i="3"/>
  <c r="P24" i="2" s="1"/>
  <c r="N18" i="3"/>
  <c r="P18" i="2" s="1"/>
  <c r="N148" i="2" l="1"/>
  <c r="C140" i="2"/>
  <c r="D140" i="2"/>
  <c r="E140" i="2"/>
  <c r="F140" i="2"/>
  <c r="G140" i="2"/>
  <c r="H140" i="2"/>
  <c r="I140" i="2"/>
  <c r="J140" i="2"/>
  <c r="K140" i="2"/>
  <c r="L140" i="2"/>
  <c r="M140" i="2"/>
  <c r="B140" i="2"/>
  <c r="D8" i="4" l="1"/>
  <c r="B147" i="2"/>
  <c r="J8" i="4" l="1"/>
  <c r="N24" i="2"/>
  <c r="N30" i="2"/>
  <c r="N92" i="2"/>
  <c r="N80" i="2"/>
  <c r="N74" i="2"/>
  <c r="N117" i="2"/>
  <c r="N140" i="2" l="1"/>
  <c r="J156" i="2" l="1"/>
  <c r="K156" i="2"/>
  <c r="L156" i="2"/>
  <c r="M156" i="2"/>
  <c r="J158" i="2"/>
  <c r="K158" i="2"/>
  <c r="L158" i="2"/>
  <c r="M158" i="2"/>
  <c r="M161" i="2" l="1"/>
  <c r="M160" i="2"/>
  <c r="L161" i="2"/>
  <c r="L160" i="2"/>
  <c r="K161" i="2"/>
  <c r="K160" i="2"/>
  <c r="J161" i="2"/>
  <c r="J160" i="2"/>
  <c r="B13" i="2" l="1"/>
  <c r="G13" i="2"/>
  <c r="F13" i="2"/>
  <c r="J13" i="2"/>
  <c r="I13" i="2"/>
  <c r="M13" i="2"/>
  <c r="E13" i="2"/>
  <c r="L13" i="2"/>
  <c r="D13" i="2"/>
  <c r="K13" i="2"/>
  <c r="C13" i="2"/>
  <c r="H4" i="4" l="1"/>
  <c r="N127" i="2"/>
  <c r="C110" i="2"/>
  <c r="C109" i="2" s="1"/>
  <c r="D110" i="2"/>
  <c r="D109" i="2" s="1"/>
  <c r="E110" i="2"/>
  <c r="E109" i="2" s="1"/>
  <c r="F110" i="2"/>
  <c r="F109" i="2" s="1"/>
  <c r="G110" i="2"/>
  <c r="G109" i="2" s="1"/>
  <c r="H110" i="2"/>
  <c r="H109" i="2" s="1"/>
  <c r="I110" i="2"/>
  <c r="I109" i="2" s="1"/>
  <c r="J110" i="2"/>
  <c r="J109" i="2" s="1"/>
  <c r="K110" i="2"/>
  <c r="K109" i="2" s="1"/>
  <c r="L110" i="2"/>
  <c r="L109" i="2" s="1"/>
  <c r="M110" i="2"/>
  <c r="M109" i="2" s="1"/>
  <c r="N110" i="2"/>
  <c r="H6" i="4" l="1"/>
  <c r="N166" i="3"/>
  <c r="P162" i="2" s="1"/>
  <c r="N163" i="3"/>
  <c r="P159" i="2" s="1"/>
  <c r="M162" i="3"/>
  <c r="L162" i="3"/>
  <c r="K162" i="3"/>
  <c r="J162" i="3"/>
  <c r="I162" i="3"/>
  <c r="H162" i="3"/>
  <c r="G162" i="3"/>
  <c r="F162" i="3"/>
  <c r="E162" i="3"/>
  <c r="D162" i="3"/>
  <c r="C162" i="3"/>
  <c r="B162" i="3"/>
  <c r="N161" i="3"/>
  <c r="M160" i="3"/>
  <c r="M165" i="3" s="1"/>
  <c r="L160" i="3"/>
  <c r="K160" i="3"/>
  <c r="K165" i="3" s="1"/>
  <c r="J160" i="3"/>
  <c r="I160" i="3"/>
  <c r="H160" i="3"/>
  <c r="G160" i="3"/>
  <c r="F160" i="3"/>
  <c r="F165" i="3" s="1"/>
  <c r="E160" i="3"/>
  <c r="D160" i="3"/>
  <c r="C160" i="3"/>
  <c r="B160" i="3"/>
  <c r="N152" i="3"/>
  <c r="P148" i="2" s="1"/>
  <c r="N149" i="3"/>
  <c r="E8" i="4"/>
  <c r="L8" i="4" s="1"/>
  <c r="N146" i="3"/>
  <c r="M145" i="3"/>
  <c r="M151" i="3" s="1"/>
  <c r="L145" i="3"/>
  <c r="K145" i="3"/>
  <c r="J145" i="3"/>
  <c r="I145" i="3"/>
  <c r="H145" i="3"/>
  <c r="G145" i="3"/>
  <c r="F145" i="3"/>
  <c r="E145" i="3"/>
  <c r="E151" i="3" s="1"/>
  <c r="D145" i="3"/>
  <c r="D151" i="3" s="1"/>
  <c r="C145" i="3"/>
  <c r="B145" i="3"/>
  <c r="N137" i="3"/>
  <c r="P132" i="2" s="1"/>
  <c r="N133" i="3"/>
  <c r="P128" i="2" s="1"/>
  <c r="M132" i="3"/>
  <c r="L132" i="3"/>
  <c r="K132" i="3"/>
  <c r="J132" i="3"/>
  <c r="I132" i="3"/>
  <c r="H132" i="3"/>
  <c r="G132" i="3"/>
  <c r="F132" i="3"/>
  <c r="E132" i="3"/>
  <c r="D132" i="3"/>
  <c r="C132" i="3"/>
  <c r="B132" i="3"/>
  <c r="N131" i="3"/>
  <c r="P126" i="2" s="1"/>
  <c r="M130" i="3"/>
  <c r="L130" i="3"/>
  <c r="K130" i="3"/>
  <c r="J130" i="3"/>
  <c r="I130" i="3"/>
  <c r="H130" i="3"/>
  <c r="G130" i="3"/>
  <c r="F130" i="3"/>
  <c r="E130" i="3"/>
  <c r="D130" i="3"/>
  <c r="C130" i="3"/>
  <c r="B130" i="3"/>
  <c r="N116" i="3"/>
  <c r="P111" i="2" s="1"/>
  <c r="M115" i="3"/>
  <c r="L115" i="3"/>
  <c r="K115" i="3"/>
  <c r="J115" i="3"/>
  <c r="I115" i="3"/>
  <c r="H115" i="3"/>
  <c r="G115" i="3"/>
  <c r="F115" i="3"/>
  <c r="E115" i="3"/>
  <c r="D115" i="3"/>
  <c r="C115" i="3"/>
  <c r="B115" i="3"/>
  <c r="N112" i="3"/>
  <c r="P107" i="2" s="1"/>
  <c r="N111" i="3"/>
  <c r="P106" i="2" s="1"/>
  <c r="N110" i="3"/>
  <c r="P105" i="2" s="1"/>
  <c r="N108" i="3"/>
  <c r="P103" i="2" s="1"/>
  <c r="N107" i="3"/>
  <c r="P102" i="2" s="1"/>
  <c r="N106" i="3"/>
  <c r="P101" i="2" s="1"/>
  <c r="M105" i="3"/>
  <c r="L105" i="3"/>
  <c r="K105" i="3"/>
  <c r="J105" i="3"/>
  <c r="I105" i="3"/>
  <c r="H105" i="3"/>
  <c r="G105" i="3"/>
  <c r="F105" i="3"/>
  <c r="E105" i="3"/>
  <c r="D105" i="3"/>
  <c r="C105" i="3"/>
  <c r="B105" i="3"/>
  <c r="M71" i="3"/>
  <c r="L71" i="3"/>
  <c r="K71" i="3"/>
  <c r="J71" i="3"/>
  <c r="I71" i="3"/>
  <c r="H71" i="3"/>
  <c r="G71" i="3"/>
  <c r="F71" i="3"/>
  <c r="E71" i="3"/>
  <c r="D71" i="3"/>
  <c r="C71" i="3"/>
  <c r="B71" i="3"/>
  <c r="M70" i="3"/>
  <c r="L70" i="3"/>
  <c r="K70" i="3"/>
  <c r="J70" i="3"/>
  <c r="I70" i="3"/>
  <c r="H70" i="3"/>
  <c r="G70" i="3"/>
  <c r="F70" i="3"/>
  <c r="E70" i="3"/>
  <c r="D70" i="3"/>
  <c r="C70" i="3"/>
  <c r="B70" i="3"/>
  <c r="M68" i="3"/>
  <c r="L68" i="3"/>
  <c r="K68" i="3"/>
  <c r="J68" i="3"/>
  <c r="I68" i="3"/>
  <c r="H68" i="3"/>
  <c r="G68" i="3"/>
  <c r="F68" i="3"/>
  <c r="E68" i="3"/>
  <c r="D68" i="3"/>
  <c r="C68" i="3"/>
  <c r="B68" i="3"/>
  <c r="M67" i="3"/>
  <c r="L67" i="3"/>
  <c r="K67" i="3"/>
  <c r="J67" i="3"/>
  <c r="I67" i="3"/>
  <c r="H67" i="3"/>
  <c r="G67" i="3"/>
  <c r="F67" i="3"/>
  <c r="E67" i="3"/>
  <c r="D67" i="3"/>
  <c r="C67" i="3"/>
  <c r="B67" i="3"/>
  <c r="M66" i="3"/>
  <c r="L66" i="3"/>
  <c r="K66" i="3"/>
  <c r="J66" i="3"/>
  <c r="I66" i="3"/>
  <c r="H66" i="3"/>
  <c r="G66" i="3"/>
  <c r="F66" i="3"/>
  <c r="E66" i="3"/>
  <c r="D66" i="3"/>
  <c r="C66" i="3"/>
  <c r="B66" i="3"/>
  <c r="N63" i="3"/>
  <c r="P63" i="2" s="1"/>
  <c r="N62" i="3"/>
  <c r="P62" i="2" s="1"/>
  <c r="N61" i="3"/>
  <c r="M60" i="3"/>
  <c r="L60" i="3"/>
  <c r="K60" i="3"/>
  <c r="J60" i="3"/>
  <c r="I60" i="3"/>
  <c r="H60" i="3"/>
  <c r="G60" i="3"/>
  <c r="F60" i="3"/>
  <c r="E60" i="3"/>
  <c r="D60" i="3"/>
  <c r="C60" i="3"/>
  <c r="B60" i="3"/>
  <c r="N59" i="3"/>
  <c r="P59" i="2" s="1"/>
  <c r="N58" i="3"/>
  <c r="P58" i="2" s="1"/>
  <c r="N57" i="3"/>
  <c r="P57" i="2" s="1"/>
  <c r="M56" i="3"/>
  <c r="L56" i="3"/>
  <c r="K56" i="3"/>
  <c r="J56" i="3"/>
  <c r="I56" i="3"/>
  <c r="H56" i="3"/>
  <c r="G56" i="3"/>
  <c r="F56" i="3"/>
  <c r="E56" i="3"/>
  <c r="D56" i="3"/>
  <c r="C56" i="3"/>
  <c r="B56" i="3"/>
  <c r="N10" i="3"/>
  <c r="P10" i="2" s="1"/>
  <c r="N9" i="3"/>
  <c r="P9" i="2" s="1"/>
  <c r="N7" i="3"/>
  <c r="P7" i="2" s="1"/>
  <c r="N6" i="3"/>
  <c r="P6" i="2" s="1"/>
  <c r="C9" i="4" l="1"/>
  <c r="E7" i="4"/>
  <c r="L7" i="4" s="1"/>
  <c r="C6" i="4"/>
  <c r="I6" i="4" s="1"/>
  <c r="P142" i="2"/>
  <c r="C7" i="4"/>
  <c r="B134" i="3"/>
  <c r="C134" i="3"/>
  <c r="D134" i="3"/>
  <c r="G6" i="4"/>
  <c r="E134" i="3"/>
  <c r="N162" i="3"/>
  <c r="P158" i="2" s="1"/>
  <c r="M134" i="3"/>
  <c r="N145" i="3"/>
  <c r="P140" i="2" s="1"/>
  <c r="Q140" i="2" s="1"/>
  <c r="P141" i="2"/>
  <c r="B151" i="3"/>
  <c r="C8" i="4"/>
  <c r="F134" i="3"/>
  <c r="J134" i="3"/>
  <c r="K134" i="3"/>
  <c r="L134" i="3"/>
  <c r="G134" i="3"/>
  <c r="H134" i="3"/>
  <c r="N160" i="3"/>
  <c r="P156" i="2" s="1"/>
  <c r="P157" i="2"/>
  <c r="C5" i="4"/>
  <c r="I134" i="3"/>
  <c r="E9" i="4"/>
  <c r="K6" i="4"/>
  <c r="E5" i="4"/>
  <c r="L5" i="4" s="1"/>
  <c r="E4" i="4"/>
  <c r="C4" i="4"/>
  <c r="N132" i="3"/>
  <c r="P127" i="2" s="1"/>
  <c r="Q127" i="2" s="1"/>
  <c r="N60" i="3"/>
  <c r="P60" i="2" s="1"/>
  <c r="Q60" i="2" s="1"/>
  <c r="P61" i="2"/>
  <c r="B69" i="3"/>
  <c r="B164" i="3"/>
  <c r="N105" i="3"/>
  <c r="P100" i="2" s="1"/>
  <c r="G69" i="3"/>
  <c r="M113" i="3"/>
  <c r="L113" i="3"/>
  <c r="E113" i="3"/>
  <c r="F114" i="3"/>
  <c r="D69" i="3"/>
  <c r="M150" i="3"/>
  <c r="N130" i="3"/>
  <c r="L69" i="3"/>
  <c r="D113" i="3"/>
  <c r="C114" i="3"/>
  <c r="F150" i="3"/>
  <c r="H164" i="3"/>
  <c r="F65" i="3"/>
  <c r="F72" i="3" s="1"/>
  <c r="N115" i="3"/>
  <c r="P110" i="2" s="1"/>
  <c r="H113" i="3"/>
  <c r="J113" i="3"/>
  <c r="D164" i="3"/>
  <c r="C164" i="3"/>
  <c r="M12" i="3"/>
  <c r="K113" i="3"/>
  <c r="E164" i="3"/>
  <c r="G164" i="3"/>
  <c r="I113" i="3"/>
  <c r="M64" i="3"/>
  <c r="M114" i="3"/>
  <c r="G150" i="3"/>
  <c r="E64" i="3"/>
  <c r="K12" i="3"/>
  <c r="N56" i="3"/>
  <c r="H150" i="3"/>
  <c r="G113" i="3"/>
  <c r="I69" i="3"/>
  <c r="G114" i="3"/>
  <c r="I150" i="3"/>
  <c r="D65" i="3"/>
  <c r="H65" i="3"/>
  <c r="J69" i="3"/>
  <c r="B113" i="3"/>
  <c r="I114" i="3"/>
  <c r="K69" i="3"/>
  <c r="C113" i="3"/>
  <c r="K114" i="3"/>
  <c r="N66" i="3"/>
  <c r="P67" i="2" s="1"/>
  <c r="E150" i="3"/>
  <c r="C65" i="3"/>
  <c r="C72" i="3" s="1"/>
  <c r="B17" i="3"/>
  <c r="E17" i="3"/>
  <c r="H17" i="3"/>
  <c r="L17" i="3"/>
  <c r="C12" i="3"/>
  <c r="E12" i="3"/>
  <c r="H12" i="3"/>
  <c r="G12" i="3"/>
  <c r="J150" i="3"/>
  <c r="E65" i="3"/>
  <c r="G65" i="3"/>
  <c r="G72" i="3" s="1"/>
  <c r="B114" i="3"/>
  <c r="L150" i="3"/>
  <c r="N14" i="3"/>
  <c r="P14" i="2" s="1"/>
  <c r="F12" i="3"/>
  <c r="M69" i="3"/>
  <c r="N71" i="3"/>
  <c r="P72" i="2" s="1"/>
  <c r="I164" i="3"/>
  <c r="I65" i="3"/>
  <c r="J164" i="3"/>
  <c r="J65" i="3"/>
  <c r="J72" i="3" s="1"/>
  <c r="N68" i="3"/>
  <c r="N70" i="3"/>
  <c r="P71" i="2" s="1"/>
  <c r="K164" i="3"/>
  <c r="K65" i="3"/>
  <c r="C69" i="3"/>
  <c r="F151" i="3"/>
  <c r="L164" i="3"/>
  <c r="N8" i="3"/>
  <c r="P8" i="2" s="1"/>
  <c r="Q8" i="2" s="1"/>
  <c r="N15" i="3"/>
  <c r="P15" i="2" s="1"/>
  <c r="C64" i="3"/>
  <c r="H69" i="3"/>
  <c r="B150" i="3"/>
  <c r="H151" i="3"/>
  <c r="M164" i="3"/>
  <c r="F164" i="3"/>
  <c r="M65" i="3"/>
  <c r="E69" i="3"/>
  <c r="C150" i="3"/>
  <c r="J151" i="3"/>
  <c r="C165" i="3"/>
  <c r="D12" i="3"/>
  <c r="K64" i="3"/>
  <c r="N67" i="3"/>
  <c r="P68" i="2" s="1"/>
  <c r="F69" i="3"/>
  <c r="J114" i="3"/>
  <c r="D150" i="3"/>
  <c r="L151" i="3"/>
  <c r="E165" i="3"/>
  <c r="K150" i="3"/>
  <c r="L12" i="3"/>
  <c r="L65" i="3"/>
  <c r="L72" i="3" s="1"/>
  <c r="E114" i="3"/>
  <c r="N5" i="3"/>
  <c r="P5" i="2" s="1"/>
  <c r="G165" i="3"/>
  <c r="I165" i="3"/>
  <c r="I12" i="3"/>
  <c r="I64" i="3"/>
  <c r="B12" i="3"/>
  <c r="J12" i="3"/>
  <c r="B64" i="3"/>
  <c r="J64" i="3"/>
  <c r="H114" i="3"/>
  <c r="G151" i="3"/>
  <c r="H165" i="3"/>
  <c r="D64" i="3"/>
  <c r="L64" i="3"/>
  <c r="I151" i="3"/>
  <c r="B165" i="3"/>
  <c r="J165" i="3"/>
  <c r="F64" i="3"/>
  <c r="D114" i="3"/>
  <c r="L114" i="3"/>
  <c r="C151" i="3"/>
  <c r="K151" i="3"/>
  <c r="D165" i="3"/>
  <c r="L165" i="3"/>
  <c r="G64" i="3"/>
  <c r="B65" i="3"/>
  <c r="F113" i="3"/>
  <c r="H64" i="3"/>
  <c r="I9" i="4" l="1"/>
  <c r="N134" i="3"/>
  <c r="P129" i="2" s="1"/>
  <c r="P125" i="2"/>
  <c r="N165" i="3"/>
  <c r="P161" i="2" s="1"/>
  <c r="N150" i="3"/>
  <c r="P146" i="2" s="1"/>
  <c r="N164" i="3"/>
  <c r="P160" i="2" s="1"/>
  <c r="I7" i="4"/>
  <c r="K7" i="4"/>
  <c r="I8" i="4"/>
  <c r="K8" i="4"/>
  <c r="N151" i="3"/>
  <c r="P147" i="2" s="1"/>
  <c r="G5" i="4"/>
  <c r="G10" i="4" s="1"/>
  <c r="N114" i="3"/>
  <c r="P109" i="2" s="1"/>
  <c r="N113" i="3"/>
  <c r="P108" i="2" s="1"/>
  <c r="I5" i="4"/>
  <c r="E10" i="4"/>
  <c r="L4" i="4"/>
  <c r="C10" i="4"/>
  <c r="I4" i="4"/>
  <c r="N64" i="3"/>
  <c r="P65" i="2" s="1"/>
  <c r="P56" i="2"/>
  <c r="N135" i="3"/>
  <c r="D72" i="3"/>
  <c r="N65" i="3"/>
  <c r="H72" i="3"/>
  <c r="N12" i="3"/>
  <c r="P12" i="2" s="1"/>
  <c r="N69" i="3"/>
  <c r="P70" i="2" s="1"/>
  <c r="F17" i="3"/>
  <c r="I17" i="3"/>
  <c r="C17" i="3"/>
  <c r="M72" i="3"/>
  <c r="B72" i="3"/>
  <c r="M17" i="3"/>
  <c r="G17" i="3"/>
  <c r="E72" i="3"/>
  <c r="K72" i="3"/>
  <c r="J17" i="3"/>
  <c r="K17" i="3"/>
  <c r="D17" i="3"/>
  <c r="I72" i="3"/>
  <c r="N13" i="3"/>
  <c r="I10" i="4" l="1"/>
  <c r="P130" i="2"/>
  <c r="N17" i="3"/>
  <c r="P17" i="2" s="1"/>
  <c r="P13" i="2"/>
  <c r="N72" i="3"/>
  <c r="P73" i="2" s="1"/>
  <c r="P66" i="2"/>
  <c r="M72" i="2"/>
  <c r="L72" i="2"/>
  <c r="K72" i="2"/>
  <c r="J72" i="2"/>
  <c r="I72" i="2"/>
  <c r="H72" i="2"/>
  <c r="G72" i="2"/>
  <c r="F72" i="2"/>
  <c r="E72" i="2"/>
  <c r="D72" i="2"/>
  <c r="C72" i="2"/>
  <c r="M71" i="2"/>
  <c r="L71" i="2"/>
  <c r="K71" i="2"/>
  <c r="J71" i="2"/>
  <c r="I71" i="2"/>
  <c r="H71" i="2"/>
  <c r="G71" i="2"/>
  <c r="F71" i="2"/>
  <c r="E71" i="2"/>
  <c r="D71" i="2"/>
  <c r="C71" i="2"/>
  <c r="B72" i="2"/>
  <c r="B71" i="2"/>
  <c r="N159" i="2" l="1"/>
  <c r="I158" i="2"/>
  <c r="H158" i="2"/>
  <c r="G158" i="2"/>
  <c r="F158" i="2"/>
  <c r="E158" i="2"/>
  <c r="D158" i="2"/>
  <c r="C158" i="2"/>
  <c r="B158" i="2"/>
  <c r="N157" i="2"/>
  <c r="I156" i="2"/>
  <c r="H156" i="2"/>
  <c r="G156" i="2"/>
  <c r="F156" i="2"/>
  <c r="E156" i="2"/>
  <c r="D156" i="2"/>
  <c r="C156" i="2"/>
  <c r="B156" i="2"/>
  <c r="F9" i="4" l="1"/>
  <c r="L9" i="4" s="1"/>
  <c r="D9" i="4"/>
  <c r="E161" i="2"/>
  <c r="E160" i="2"/>
  <c r="F161" i="2"/>
  <c r="F160" i="2"/>
  <c r="G160" i="2"/>
  <c r="G161" i="2"/>
  <c r="H160" i="2"/>
  <c r="H161" i="2"/>
  <c r="I161" i="2"/>
  <c r="I160" i="2"/>
  <c r="B161" i="2"/>
  <c r="B160" i="2"/>
  <c r="D161" i="2"/>
  <c r="D160" i="2"/>
  <c r="N156" i="2"/>
  <c r="C161" i="2"/>
  <c r="C160" i="2"/>
  <c r="N158" i="2"/>
  <c r="Q158" i="2" s="1"/>
  <c r="N142" i="2"/>
  <c r="Q142" i="2" s="1"/>
  <c r="C146" i="2"/>
  <c r="N141" i="2"/>
  <c r="G147" i="2"/>
  <c r="E147" i="2"/>
  <c r="F10" i="4" l="1"/>
  <c r="F11" i="4" s="1"/>
  <c r="J9" i="4"/>
  <c r="N161" i="2"/>
  <c r="Q156" i="2"/>
  <c r="K9" i="4"/>
  <c r="N160" i="2"/>
  <c r="B146" i="2"/>
  <c r="F146" i="2"/>
  <c r="H146" i="2"/>
  <c r="J146" i="2"/>
  <c r="I146" i="2"/>
  <c r="D146" i="2"/>
  <c r="M146" i="2"/>
  <c r="K146" i="2"/>
  <c r="L146" i="2"/>
  <c r="E146" i="2"/>
  <c r="D147" i="2"/>
  <c r="H147" i="2"/>
  <c r="L147" i="2"/>
  <c r="G146" i="2"/>
  <c r="I147" i="2"/>
  <c r="J147" i="2"/>
  <c r="C147" i="2"/>
  <c r="K147" i="2"/>
  <c r="M147" i="2"/>
  <c r="F147" i="2"/>
  <c r="L10" i="4" l="1"/>
  <c r="N72" i="2"/>
  <c r="N71" i="2"/>
  <c r="M70" i="2"/>
  <c r="L70" i="2"/>
  <c r="K70" i="2"/>
  <c r="J70" i="2"/>
  <c r="I70" i="2"/>
  <c r="H70" i="2"/>
  <c r="G70" i="2"/>
  <c r="F70" i="2"/>
  <c r="E70" i="2"/>
  <c r="D70" i="2"/>
  <c r="C70" i="2"/>
  <c r="B70" i="2"/>
  <c r="N63" i="2"/>
  <c r="N70" i="2" l="1"/>
  <c r="N131" i="2" l="1"/>
  <c r="N128" i="2"/>
  <c r="N126" i="2"/>
  <c r="N125" i="2" l="1"/>
  <c r="Q125" i="2" s="1"/>
  <c r="N107" i="2"/>
  <c r="N106" i="2"/>
  <c r="N105" i="2"/>
  <c r="N103" i="2"/>
  <c r="N102" i="2"/>
  <c r="N104" i="2" l="1"/>
  <c r="Q104" i="2" s="1"/>
  <c r="N129" i="2"/>
  <c r="N130" i="2"/>
  <c r="N100" i="2"/>
  <c r="Q100" i="2" s="1"/>
  <c r="N62" i="2"/>
  <c r="N61" i="2"/>
  <c r="N59" i="2"/>
  <c r="N58" i="2"/>
  <c r="N57" i="2"/>
  <c r="M56" i="2"/>
  <c r="M65" i="2" s="1"/>
  <c r="L56" i="2"/>
  <c r="K56" i="2"/>
  <c r="J56" i="2"/>
  <c r="I56" i="2"/>
  <c r="H56" i="2"/>
  <c r="G56" i="2"/>
  <c r="F56" i="2"/>
  <c r="E56" i="2"/>
  <c r="D56" i="2"/>
  <c r="C56" i="2"/>
  <c r="B56" i="2"/>
  <c r="N15" i="2"/>
  <c r="N14" i="2"/>
  <c r="N7" i="2"/>
  <c r="N6" i="2"/>
  <c r="M5" i="2"/>
  <c r="L5" i="2"/>
  <c r="K5" i="2"/>
  <c r="J5" i="2"/>
  <c r="I5" i="2"/>
  <c r="H5" i="2"/>
  <c r="G5" i="2"/>
  <c r="F5" i="2"/>
  <c r="E5" i="2"/>
  <c r="D5" i="2"/>
  <c r="C5" i="2"/>
  <c r="B5" i="2"/>
  <c r="D5" i="4" l="1"/>
  <c r="K5" i="4" s="1"/>
  <c r="D4" i="4"/>
  <c r="N108" i="2"/>
  <c r="N109" i="2"/>
  <c r="B65" i="2"/>
  <c r="N56" i="2"/>
  <c r="Q56" i="2" s="1"/>
  <c r="C65" i="2"/>
  <c r="K65" i="2"/>
  <c r="H65" i="2"/>
  <c r="D65" i="2"/>
  <c r="L65" i="2"/>
  <c r="D66" i="2"/>
  <c r="C66" i="2"/>
  <c r="K66" i="2"/>
  <c r="J65" i="2"/>
  <c r="E65" i="2"/>
  <c r="I65" i="2"/>
  <c r="I66" i="2"/>
  <c r="F65" i="2"/>
  <c r="E66" i="2"/>
  <c r="G65" i="2"/>
  <c r="F66" i="2"/>
  <c r="G66" i="2"/>
  <c r="K17" i="2"/>
  <c r="H66" i="2"/>
  <c r="L66" i="2"/>
  <c r="M66" i="2"/>
  <c r="J66" i="2"/>
  <c r="B66" i="2"/>
  <c r="E12" i="2"/>
  <c r="M12" i="2"/>
  <c r="I17" i="2"/>
  <c r="J12" i="2"/>
  <c r="L17" i="2"/>
  <c r="J17" i="2"/>
  <c r="I12" i="2"/>
  <c r="F17" i="2"/>
  <c r="B17" i="2"/>
  <c r="C17" i="2"/>
  <c r="M17" i="2"/>
  <c r="D17" i="2"/>
  <c r="D12" i="2"/>
  <c r="L12" i="2"/>
  <c r="N13" i="2"/>
  <c r="G12" i="2"/>
  <c r="H12" i="2"/>
  <c r="B12" i="2"/>
  <c r="E17" i="2"/>
  <c r="G17" i="2"/>
  <c r="H17" i="2"/>
  <c r="C12" i="2"/>
  <c r="K12" i="2"/>
  <c r="F12" i="2"/>
  <c r="N5" i="2"/>
  <c r="Q5" i="2" s="1"/>
  <c r="J5" i="4" l="1"/>
  <c r="D10" i="4"/>
  <c r="J10" i="4" s="1"/>
  <c r="K4" i="4"/>
  <c r="J4" i="4"/>
  <c r="H5" i="4"/>
  <c r="H10" i="4" s="1"/>
  <c r="H11" i="4" s="1"/>
  <c r="L73" i="2"/>
  <c r="I73" i="2"/>
  <c r="H73" i="2"/>
  <c r="B73" i="2"/>
  <c r="G73" i="2"/>
  <c r="F73" i="2"/>
  <c r="K73" i="2"/>
  <c r="J73" i="2"/>
  <c r="E73" i="2"/>
  <c r="C73" i="2"/>
  <c r="M73" i="2"/>
  <c r="D73" i="2"/>
  <c r="N65" i="2"/>
  <c r="N66" i="2"/>
  <c r="N17" i="2"/>
  <c r="N12" i="2"/>
  <c r="N146" i="2"/>
  <c r="N147" i="2"/>
  <c r="K10" i="4" l="1"/>
  <c r="N7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Belfry Parulian Pandiangan</author>
  </authors>
  <commentList>
    <comment ref="A8" authorId="0" shapeId="0" xr:uid="{A08F4CCB-19A0-4CDE-A936-853B8711DECC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include high ash</t>
        </r>
      </text>
    </comment>
    <comment ref="A86" authorId="0" shapeId="0" xr:uid="{F1968AB2-A534-4FAB-9BE5-22852BD76CCE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incoming coal volume (quality is not as actual but as range in contract)</t>
        </r>
      </text>
    </comment>
    <comment ref="A92" authorId="0" shapeId="0" xr:uid="{3BEDADDB-4D88-4A44-8E63-8C20CAD0F5C9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incoming coal volume (quality is not as actual but as range in contract)</t>
        </r>
      </text>
    </comment>
    <comment ref="A100" authorId="0" shapeId="0" xr:uid="{31DEB31C-2BBA-452C-B3C3-33FF060525BB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include Mud</t>
        </r>
      </text>
    </comment>
    <comment ref="A125" authorId="0" shapeId="0" xr:uid="{1B8F1832-A724-45B9-BE51-8C0FFA161D92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include Mud and sliding volume</t>
        </r>
      </text>
    </comment>
  </commentList>
</comments>
</file>

<file path=xl/sharedStrings.xml><?xml version="1.0" encoding="utf-8"?>
<sst xmlns="http://schemas.openxmlformats.org/spreadsheetml/2006/main" count="584" uniqueCount="93">
  <si>
    <t>IMM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</si>
  <si>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</si>
  <si>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</si>
  <si>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</si>
  <si>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</si>
  <si>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</si>
  <si>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</si>
  <si>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</si>
  <si>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</si>
  <si>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</si>
  <si>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</si>
  <si>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</si>
  <si>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</si>
  <si>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</si>
  <si>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OB Removal (KBcm)</t>
  </si>
  <si>
    <t>PAMA (WB)</t>
  </si>
  <si>
    <t>PAMA (EB)</t>
  </si>
  <si>
    <t>ROM Production (Kton)</t>
  </si>
  <si>
    <t>SR ROM Total</t>
  </si>
  <si>
    <t>FC Product (Kton)</t>
  </si>
  <si>
    <t>SR FC Total</t>
  </si>
  <si>
    <t>IMM-WB.HCV.LS</t>
  </si>
  <si>
    <t>TS</t>
  </si>
  <si>
    <t>Ash</t>
  </si>
  <si>
    <t>Moist</t>
  </si>
  <si>
    <t>TM</t>
  </si>
  <si>
    <t>IMM-WB.HCV.HS</t>
  </si>
  <si>
    <t>IMM-EB.MCV.LS</t>
  </si>
  <si>
    <t>IMM-EB.MCV.MS</t>
  </si>
  <si>
    <t>IMM-EB.MCV.HS</t>
  </si>
  <si>
    <t>TRUST</t>
  </si>
  <si>
    <t>TCM</t>
  </si>
  <si>
    <t>SR ROM with void</t>
  </si>
  <si>
    <t>FC Product CP (Kton)</t>
  </si>
  <si>
    <t>SR FC</t>
  </si>
  <si>
    <t xml:space="preserve">TCM.HCV.LS </t>
  </si>
  <si>
    <t>Sul &lt; 0.7</t>
  </si>
  <si>
    <t>ASH &lt; 5.0</t>
  </si>
  <si>
    <t>IM</t>
  </si>
  <si>
    <t xml:space="preserve">TCM.HCV.HS </t>
  </si>
  <si>
    <t>Sul &lt; 2.0</t>
  </si>
  <si>
    <t>TCM.HCV.MS</t>
  </si>
  <si>
    <t>Sul  &lt; 1.2</t>
  </si>
  <si>
    <t>SR ROM</t>
  </si>
  <si>
    <t>JBG</t>
  </si>
  <si>
    <t>SNS</t>
  </si>
  <si>
    <t>JBG Coal Loading</t>
  </si>
  <si>
    <t>FC Production (Ktons)</t>
  </si>
  <si>
    <t>BEK</t>
  </si>
  <si>
    <t>FC Product (KTons)</t>
  </si>
  <si>
    <t>JBG FC Product (Kton) / JBG</t>
  </si>
  <si>
    <t>TIS</t>
  </si>
  <si>
    <t>GPK</t>
  </si>
  <si>
    <t xml:space="preserve">EBH.HCV.LS </t>
  </si>
  <si>
    <t xml:space="preserve">MBL.MCV.MS </t>
  </si>
  <si>
    <t>PJPN</t>
  </si>
  <si>
    <t>MAP</t>
  </si>
  <si>
    <t>PAMA</t>
  </si>
  <si>
    <t>FC Product 3rd party (Kton)</t>
  </si>
  <si>
    <t>Contractor</t>
  </si>
  <si>
    <t>CV(GAR)</t>
  </si>
  <si>
    <t>Done</t>
  </si>
  <si>
    <t>Out.</t>
  </si>
  <si>
    <t>ITM plan year 2024</t>
  </si>
  <si>
    <t>TCM.LCV.MS.HA</t>
  </si>
  <si>
    <t>Contractor Pit UCE ext</t>
  </si>
  <si>
    <t>Sul  &lt; 1</t>
  </si>
  <si>
    <t>ASH</t>
  </si>
  <si>
    <t>Fine Coal</t>
  </si>
  <si>
    <t>Pit UCE-Extend</t>
  </si>
  <si>
    <t>Fine Coal (WB)</t>
  </si>
  <si>
    <t>Temporary ROM Stock</t>
  </si>
  <si>
    <t>ARKA</t>
  </si>
  <si>
    <t>SLS</t>
  </si>
  <si>
    <t>TIS.HCV.HS</t>
  </si>
  <si>
    <t>Other Contractor</t>
  </si>
  <si>
    <t>SITES</t>
  </si>
  <si>
    <t>OB</t>
  </si>
  <si>
    <t>Budget</t>
  </si>
  <si>
    <t>Actual</t>
  </si>
  <si>
    <t>ROM</t>
  </si>
  <si>
    <t>Diff. (Act.%)</t>
  </si>
  <si>
    <t>TOTAL</t>
  </si>
  <si>
    <t>FC</t>
  </si>
  <si>
    <t>SR (OB/ROM)</t>
  </si>
  <si>
    <t>Budget 2025</t>
  </si>
  <si>
    <t>As of 18 Nov'24</t>
  </si>
  <si>
    <t>NPR</t>
  </si>
  <si>
    <t>CV(GAD)</t>
  </si>
  <si>
    <t>Act.</t>
  </si>
  <si>
    <t>BEK.HCV.LS</t>
  </si>
  <si>
    <t>BEK.HCV.HS</t>
  </si>
  <si>
    <t>ITM outlook 2025 (2+10)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</si>
</sst>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d\-mmm\-yy;@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164" fontId="4" fillId="0" borderId="0"/>
    <xf numFmtId="9" fontId="4" fillId="0" borderId="0" applyFont="0" applyFill="0" applyBorder="0" applyAlignment="0" applyProtection="0"/>
    <xf numFmtId="164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</cellStyleXfs>
  <cellXfs count="34">
    <xf numFmtId="0" fontId="0" fillId="0" borderId="0" xfId="0"/>
    <xf numFmtId="0" fontId="0" fillId="3" borderId="0" xfId="0" applyFill="1"/>
    <xf numFmtId="0" fontId="3" fillId="3" borderId="0" xfId="0" applyFont="1" applyFill="1"/>
    <xf numFmtId="0" fontId="5" fillId="3" borderId="0" xfId="0" applyFont="1" applyFill="1"/>
    <xf numFmtId="0" fontId="0" fillId="3" borderId="0" xfId="0" applyFill="1" applyAlignment="1">
      <alignment horizontal="center"/>
    </xf>
    <xf numFmtId="0" fontId="0" fillId="3" borderId="1" xfId="0" applyFill="1" applyBorder="1"/>
    <xf numFmtId="0" fontId="2" fillId="4" borderId="1" xfId="0" applyFont="1" applyFill="1" applyBorder="1" applyAlignment="1">
      <alignment horizontal="center"/>
    </xf>
    <xf numFmtId="43" fontId="0" fillId="3" borderId="1" xfId="1" applyFont="1" applyFill="1" applyBorder="1"/>
    <xf numFmtId="165" fontId="0" fillId="3" borderId="1" xfId="1" applyNumberFormat="1" applyFont="1" applyFill="1" applyBorder="1"/>
    <xf numFmtId="0" fontId="3" fillId="2" borderId="1" xfId="0" applyFont="1" applyFill="1" applyBorder="1"/>
    <xf numFmtId="165" fontId="3" fillId="2" borderId="1" xfId="1" applyNumberFormat="1" applyFont="1" applyFill="1" applyBorder="1"/>
    <xf numFmtId="43" fontId="3" fillId="2" borderId="1" xfId="1" applyFont="1" applyFill="1" applyBorder="1"/>
    <xf numFmtId="165" fontId="0" fillId="3" borderId="0" xfId="0" applyNumberFormat="1" applyFill="1"/>
    <xf numFmtId="43" fontId="0" fillId="3" borderId="0" xfId="0" applyNumberFormat="1" applyFill="1"/>
    <xf numFmtId="165" fontId="0" fillId="0" borderId="1" xfId="1" applyNumberFormat="1" applyFont="1" applyFill="1" applyBorder="1"/>
    <xf numFmtId="43" fontId="0" fillId="0" borderId="1" xfId="1" applyFont="1" applyFill="1" applyBorder="1"/>
    <xf numFmtId="0" fontId="8" fillId="0" borderId="1" xfId="0" applyFont="1" applyBorder="1" applyAlignment="1">
      <alignment horizontal="center" vertical="center"/>
    </xf>
    <xf numFmtId="9" fontId="0" fillId="0" borderId="0" xfId="7" applyFont="1"/>
    <xf numFmtId="165" fontId="0" fillId="0" borderId="1" xfId="1" applyNumberFormat="1" applyFont="1" applyBorder="1" applyAlignment="1">
      <alignment horizontal="left"/>
    </xf>
    <xf numFmtId="165" fontId="0" fillId="0" borderId="1" xfId="1" applyNumberFormat="1" applyFont="1" applyBorder="1"/>
    <xf numFmtId="43" fontId="0" fillId="0" borderId="1" xfId="1" applyFont="1" applyBorder="1"/>
    <xf numFmtId="9" fontId="0" fillId="0" borderId="1" xfId="7" applyFont="1" applyBorder="1"/>
    <xf numFmtId="0" fontId="2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165" fontId="0" fillId="6" borderId="1" xfId="0" applyNumberFormat="1" applyFill="1" applyBorder="1"/>
    <xf numFmtId="43" fontId="0" fillId="6" borderId="1" xfId="1" applyFont="1" applyFill="1" applyBorder="1"/>
    <xf numFmtId="9" fontId="0" fillId="6" borderId="1" xfId="7" applyFont="1" applyFill="1" applyBorder="1"/>
    <xf numFmtId="9" fontId="3" fillId="3" borderId="0" xfId="7" applyFont="1" applyFill="1"/>
    <xf numFmtId="0" fontId="3" fillId="7" borderId="1" xfId="0" applyFont="1" applyFill="1" applyBorder="1"/>
    <xf numFmtId="165" fontId="3" fillId="7" borderId="1" xfId="1" applyNumberFormat="1" applyFont="1" applyFill="1" applyBorder="1"/>
    <xf numFmtId="165" fontId="0" fillId="8" borderId="1" xfId="1" applyNumberFormat="1" applyFont="1" applyFill="1" applyBorder="1"/>
    <xf numFmtId="43" fontId="0" fillId="8" borderId="1" xfId="1" applyFont="1" applyFill="1" applyBorder="1"/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</cellXfs>
  <cellStyles count="9">
    <cellStyle name="Comma" xfId="1" builtinId="3"/>
    <cellStyle name="Comma 4 3" xfId="5" xr:uid="{00000000-0005-0000-0000-000001000000}"/>
    <cellStyle name="Normal" xfId="0" builtinId="0"/>
    <cellStyle name="Normal 2 2" xfId="2" xr:uid="{00000000-0005-0000-0000-000003000000}"/>
    <cellStyle name="Normal 3" xfId="4" xr:uid="{00000000-0005-0000-0000-000004000000}"/>
    <cellStyle name="Normal 5" xfId="8" xr:uid="{B3D36331-AB3B-4E6D-8495-D2CA8331041D}"/>
    <cellStyle name="Percent" xfId="7" builtinId="5"/>
    <cellStyle name="Percent 10" xfId="3" xr:uid="{00000000-0005-0000-0000-000005000000}"/>
    <cellStyle name="Percent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39" Type="http://schemas.openxmlformats.org/officeDocument/2006/relationships/externalLink" Target="externalLinks/externalLink36.xml"/><Relationship Id="rId21" Type="http://schemas.openxmlformats.org/officeDocument/2006/relationships/externalLink" Target="externalLinks/externalLink18.xml"/><Relationship Id="rId34" Type="http://schemas.openxmlformats.org/officeDocument/2006/relationships/externalLink" Target="externalLinks/externalLink31.xml"/><Relationship Id="rId42" Type="http://schemas.openxmlformats.org/officeDocument/2006/relationships/externalLink" Target="externalLinks/externalLink39.xml"/><Relationship Id="rId47" Type="http://schemas.openxmlformats.org/officeDocument/2006/relationships/externalLink" Target="externalLinks/externalLink44.xml"/><Relationship Id="rId50" Type="http://schemas.openxmlformats.org/officeDocument/2006/relationships/externalLink" Target="externalLinks/externalLink47.xml"/><Relationship Id="rId55" Type="http://schemas.openxmlformats.org/officeDocument/2006/relationships/calcChain" Target="calcChain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9" Type="http://schemas.openxmlformats.org/officeDocument/2006/relationships/externalLink" Target="externalLinks/externalLink26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externalLink" Target="externalLinks/externalLink29.xml"/><Relationship Id="rId37" Type="http://schemas.openxmlformats.org/officeDocument/2006/relationships/externalLink" Target="externalLinks/externalLink34.xml"/><Relationship Id="rId40" Type="http://schemas.openxmlformats.org/officeDocument/2006/relationships/externalLink" Target="externalLinks/externalLink37.xml"/><Relationship Id="rId45" Type="http://schemas.openxmlformats.org/officeDocument/2006/relationships/externalLink" Target="externalLinks/externalLink42.xml"/><Relationship Id="rId53" Type="http://schemas.openxmlformats.org/officeDocument/2006/relationships/styles" Target="styles.xml"/><Relationship Id="rId5" Type="http://schemas.openxmlformats.org/officeDocument/2006/relationships/externalLink" Target="externalLinks/externalLink2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externalLink" Target="externalLinks/externalLink28.xml"/><Relationship Id="rId44" Type="http://schemas.openxmlformats.org/officeDocument/2006/relationships/externalLink" Target="externalLinks/externalLink41.xml"/><Relationship Id="rId52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externalLink" Target="externalLinks/externalLink32.xml"/><Relationship Id="rId43" Type="http://schemas.openxmlformats.org/officeDocument/2006/relationships/externalLink" Target="externalLinks/externalLink40.xml"/><Relationship Id="rId48" Type="http://schemas.openxmlformats.org/officeDocument/2006/relationships/externalLink" Target="externalLinks/externalLink45.xml"/><Relationship Id="rId8" Type="http://schemas.openxmlformats.org/officeDocument/2006/relationships/externalLink" Target="externalLinks/externalLink5.xml"/><Relationship Id="rId51" Type="http://schemas.openxmlformats.org/officeDocument/2006/relationships/externalLink" Target="externalLinks/externalLink48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38" Type="http://schemas.openxmlformats.org/officeDocument/2006/relationships/externalLink" Target="externalLinks/externalLink35.xml"/><Relationship Id="rId46" Type="http://schemas.openxmlformats.org/officeDocument/2006/relationships/externalLink" Target="externalLinks/externalLink43.xml"/><Relationship Id="rId20" Type="http://schemas.openxmlformats.org/officeDocument/2006/relationships/externalLink" Target="externalLinks/externalLink17.xml"/><Relationship Id="rId41" Type="http://schemas.openxmlformats.org/officeDocument/2006/relationships/externalLink" Target="externalLinks/externalLink38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externalLink" Target="externalLinks/externalLink33.xml"/><Relationship Id="rId49" Type="http://schemas.openxmlformats.org/officeDocument/2006/relationships/externalLink" Target="externalLinks/externalLink4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aechat_A\AppData\Local\Temp\wz93cb\2011%20Sales%20Plan%20Budget%20Penalty%20Template_2010-10-14_V2_2ndRev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Daily%20Master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OM%20DAILY%20MEETING\2006\Daily%20Meeting%20KIDE%20Apr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btg208me\Data_centre\DATA%20REPORT%202007\A%20-%20DAILY%20REPORT\01%20-%20Report_IMM_07\04%20-%20DAILY%20REPORT%20IMM_APR_2007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ily%20Master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R%20I%20F%20A%20I%20(05Mar14)/BUDGET/SUMMARY/Y2014/Monthly/03%20Weekly%20Performance%20Updatemanual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REPORT\01.%20DAILY\2007\02.%20February\DAILY%20CONTRACTOR%20EQUIPMENT%20REPORT-February-2007_Progres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Budget%202008%20-%20All/Documents%20and%20Settings/yuliana_t.BANPUINDO/My%20Documents/Budget%202006/3.%20Bontang%20Revision/Macro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013\PLAN%202013\Sales\2013%20Sales%20Plan_2012-11-21_(V.3)%20Budget%20R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fdiyanto%20Nasution\REPORT\DPR\July\Users\MJAZUL~1\AppData\Local\Temp\notes758E9C\Users\MJAZUL~1\AppData\Local\Temp\notes758E9C\01_Hourly\2007\01_Jan\Hourly%2031_Jan_07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Tugas\Engineering\Trubaindo\Group_MoCo\Production%20Evaluator\DAILY_REPORT\2007\Production%20Evaluator\PLAN%20PRODUKSI\2006\Monthly\PLAN608_mo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Group_MoCo\Production%20Evaluator\DAILY_REPORT\2007\Production%20Evaluator\PLAN%20PRODUKSI\2006\Monthly\PLAN608_monthlty_r0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Group_MoCo\Production%20Evaluator\DAILY_REPORT\2007\Production%20Evaluator\PLAN%20PRODUKSI\2006\Monthly\PLAN608_monthlty_r00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ocuments%20and%20Settings\p6107156\My%20Documents\3%20November\Tugas\Engineering\Trubaindo\Group_MoCo\Production%20Evaluator\DAILY_REPORT\2007\Production%20Evaluat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3%20November\Tugas\Engineering\Trubaindo\Group_MoCo\Production%20Evaluator\DAILY_REPORT\2007\Production%20Evaluator\PLAN%20PRODUKSI\2006\Monthly\PLAN608_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Tugas\Engineering\Trubaindo\Group_MoCo\Production%20Evaluator\DAILY_REPORT\2007\Production%20Evaluator\PLAN%20PRODUKSI\2006\Monthly\PLAN608_monthlty_r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EGASA~1\AppData\Local\Temp\notes758E9C\CBM%20Template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Tugas\Engineering\Trubaindo\Group_MoCo\Production%20Evaluator\DAILY_REPORT\2007\Moco%20Adm\DATA_SURVEY\Haul%20Distance%20Oct%202006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Group_MoCo\Production%20Evaluator\DAILY_REPORT\2007\Moco%20Adm\DATA_SURVEY\Haul%20Distance%20Oct%202006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Group_MoCo\Production%20Evaluator\DAILY_REPORT\2007\Moco%20Adm\DATA_SURVEY\Haul%20Distance%20Oct%202006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ocuments%20and%20Settings\p6107156\My%20Documents\3%20November\Tugas\Engineering\Trubaindo\Group_MoCo\Production%20Evaluator\DAILY_REPORT\2007\Moco%20Adm\DATA_SURV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3%20November\Tugas\Engineering\Trubaindo\Group_MoCo\Production%20Evaluator\DAILY_REPORT\2007\Moco%20Adm\DATA_SURVEY\Haul%20Distance%20Oct%202006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Tugas\Engineering\Trubaindo\Group_MoCo\Production%20Evaluator\DAILY_REPORT\2007\Moco%20Adm\DATA_SURVEY\Haul%20Distance%20Oct%202006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Moco%20Adm\DATA_SURVEY\2007\Haul%20Distance%20NOV%202007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RENTAL\2007\Sub_Count%20JAN_07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DOCUME~1/Navo/LOCALS~1/Temp/_ZCTmp.Dir/33_08_83133_53000_Mine%20Planning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07%20BOD%20&amp;%20CBM%20JULY%202009/DOCUME~1/bono_b/LOCALS~1/Temp/notesFFF692/DOCUME~1/firman_a/LOCALS~1/Temp/notesE1EF34/2007%20BOD%20CBM%20Jan/DOCUME~1/Bono_b/LOCALS~1/Temp/notesFFF692/Document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rubaindo\Budget\Budget%202006\Production's%20template\31_08_86932_53000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ocuments%20and%20Settings\p6107156\My%20Documents\Hourly%20Monitoring%20master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Hourly%20Monitoring%20master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HITY~1\AppData\Local\Temp\7zO70FD.tmp\1212_sum_quality.xlsm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udget%202008%20-%20All\Documents%20and%20Settings\yuliana_t.BANPUINDO\My%20Documents\Budget%202006\3.%20Bontang%20Revision\Macro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2017\c\Monitor%20&amp;%20Control\Kideco\MIMS\Entry%20Data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02%20TRUBAINDO%20PROJECT\MOCO%20SECTION\04%20REPORT\DAILY\Hourly_MOM\NEW_PELIKAN_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btg208\2006\Documents%20and%20Settings\ETS\My%20Documents\My%20Documents\ERA%20on%20Era%20TS%20(Pcimm078)\PROD_2004\bgt_2005\33_08_83133_530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02%20TRUBAINDO%20PROJECT\MOCO%20SECTION\04%20REPORT\DAILY\Hourly_MOM\01_Jan\Hourly_16_Des_2006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Daily_Plan\2007\11.%20nOV\Daily%20Plan%20Nov'06R0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Tugas\Engineering\Trubaindo\Group_MoCo\Production%20Evaluator\DAILY_REPORT\2007\Production%20Evaluator\PLAN%20PRODUKSI\2007\PLAN701_monthlty_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Group_MoCo\Production%20Evaluator\DAILY_REPORT\2007\Production%20Evaluator\PLAN%20PRODUKSI\2007\PLAN701_monthlty_sim_r00---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Group_MoCo\Production%20Evaluator\DAILY_REPORT\2007\Production%20Evaluator\PLAN%20PRODUKSI\2007\PLAN701_monthlty_sim_r00---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3%20November\Tugas\Engineering\Trubaindo\Group_MoCo\Production%20Evaluator\DAILY_REPORT\2007\Production%20Evaluator\PLAN%20PRODUKSI\2007\PLAN701_monthlty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Tugas\Engineering\Trubaindo\Group_MoCo\Production%20Evaluator\DAILY_REPORT\2007\Production%20Evaluator\PLAN%20PRODUKSI\2007\PLAN701_monthlty_sim_r00---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3.111\gateway\DAILY%20REPORT%20PROJECT\COSTMTB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013\BALANCING%20INVENTORY\Coal%20Balancing%20%202013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imm113\My%20Folder\My%20Documents\Budget%202003\Tandung%20Mayang\Budget%20OC%202003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1.1%20First%20Draft%20TDM%20Coal%20Quality%20(27jul12)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DOCUME~1/Navo/LOCALS~1/Temp/_ZCTmp.Dir/Macro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OPERATION/Report%20P%20E%20R%20F%20O%20R%20M%20A%20N%20C%20E/09%20BOD%20&amp;%20CBM%20SEP%202013/2013%20BOD%20Report%20Act.%20AU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o_Detail"/>
      <sheetName val="IMM"/>
      <sheetName val="TCM"/>
      <sheetName val="JBG"/>
      <sheetName val="KTD"/>
      <sheetName val="BEK"/>
      <sheetName val="Blending"/>
      <sheetName val="Affiliated"/>
      <sheetName val="dBase"/>
      <sheetName val="Enel "/>
      <sheetName val="Chubu"/>
      <sheetName val="EPDC"/>
      <sheetName val="Formosa"/>
      <sheetName val="Mine Quality"/>
      <sheetName val="HEK"/>
      <sheetName val="Huaneng"/>
      <sheetName val="TJB"/>
      <sheetName val="CLP"/>
      <sheetName val="Tirreno"/>
      <sheetName val="Kobe Steel"/>
      <sheetName val="Shikoku"/>
      <sheetName val="Kospo"/>
      <sheetName val="Kowepo"/>
      <sheetName val="Validation"/>
      <sheetName val="Summary"/>
      <sheetName val="Base"/>
      <sheetName val="Base Actual"/>
      <sheetName val="Production Budget 2016"/>
      <sheetName val="form"/>
      <sheetName val="Control Effectiveness"/>
      <sheetName val="FC Quality"/>
      <sheetName val="Control Effectiveness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64">
          <cell r="V264">
            <v>-3.0115183829809804</v>
          </cell>
        </row>
        <row r="265">
          <cell r="V265">
            <v>-3.0115183829809804</v>
          </cell>
        </row>
      </sheetData>
      <sheetData sheetId="10">
        <row r="203">
          <cell r="V203">
            <v>-1.6655621484369298</v>
          </cell>
        </row>
        <row r="204">
          <cell r="V204">
            <v>-1.6655621484369298</v>
          </cell>
        </row>
      </sheetData>
      <sheetData sheetId="11">
        <row r="203">
          <cell r="V203">
            <v>-2.8734440434068853</v>
          </cell>
        </row>
        <row r="204">
          <cell r="V204">
            <v>-2.8734440434068853</v>
          </cell>
        </row>
      </sheetData>
      <sheetData sheetId="12">
        <row r="264">
          <cell r="V264">
            <v>-1.550674293427488</v>
          </cell>
        </row>
        <row r="265">
          <cell r="V265">
            <v>-1.550674293427488</v>
          </cell>
        </row>
      </sheetData>
      <sheetData sheetId="13"/>
      <sheetData sheetId="14">
        <row r="203">
          <cell r="V203">
            <v>-2.317566938832667</v>
          </cell>
        </row>
        <row r="204">
          <cell r="V204">
            <v>-2.317566938832667</v>
          </cell>
        </row>
      </sheetData>
      <sheetData sheetId="15">
        <row r="394">
          <cell r="V394">
            <v>-1.997424831979701</v>
          </cell>
        </row>
        <row r="395">
          <cell r="V395">
            <v>-1.997424831979701</v>
          </cell>
        </row>
      </sheetData>
      <sheetData sheetId="16">
        <row r="394">
          <cell r="V394">
            <v>-3.6861301847908656</v>
          </cell>
        </row>
        <row r="395">
          <cell r="V395">
            <v>-3.6861301847908656</v>
          </cell>
        </row>
      </sheetData>
      <sheetData sheetId="17">
        <row r="203">
          <cell r="V203">
            <v>-1.0510639196024039</v>
          </cell>
        </row>
        <row r="204">
          <cell r="V204">
            <v>-1.0510639196024039</v>
          </cell>
        </row>
      </sheetData>
      <sheetData sheetId="18">
        <row r="264">
          <cell r="V264">
            <v>-1.45</v>
          </cell>
        </row>
        <row r="265">
          <cell r="V265">
            <v>-1.45</v>
          </cell>
        </row>
      </sheetData>
      <sheetData sheetId="19">
        <row r="264">
          <cell r="V264">
            <v>-0.59307522880856678</v>
          </cell>
        </row>
        <row r="265">
          <cell r="V265">
            <v>-0.59307522880856678</v>
          </cell>
        </row>
      </sheetData>
      <sheetData sheetId="20">
        <row r="203">
          <cell r="V203">
            <v>-1.7121968761029578</v>
          </cell>
        </row>
        <row r="204">
          <cell r="V204">
            <v>-1.7121968761029578</v>
          </cell>
        </row>
      </sheetData>
      <sheetData sheetId="21">
        <row r="203">
          <cell r="V203">
            <v>-1.190901419749822</v>
          </cell>
        </row>
        <row r="204">
          <cell r="V204">
            <v>-1.190901419749822</v>
          </cell>
        </row>
      </sheetData>
      <sheetData sheetId="22">
        <row r="264">
          <cell r="V264">
            <v>-1.1475469602274877</v>
          </cell>
        </row>
        <row r="265">
          <cell r="V265">
            <v>-1.1475469602274877</v>
          </cell>
        </row>
      </sheetData>
      <sheetData sheetId="23">
        <row r="5">
          <cell r="A5" t="str">
            <v>Chubu</v>
          </cell>
        </row>
        <row r="6">
          <cell r="A6" t="str">
            <v>Chubu</v>
          </cell>
        </row>
        <row r="7">
          <cell r="A7" t="str">
            <v>Chubu</v>
          </cell>
        </row>
        <row r="8">
          <cell r="A8" t="str">
            <v>EPDC</v>
          </cell>
        </row>
        <row r="9">
          <cell r="A9" t="str">
            <v>Kobe Steel</v>
          </cell>
        </row>
        <row r="10">
          <cell r="A10" t="str">
            <v>Shikoku</v>
          </cell>
        </row>
        <row r="11">
          <cell r="A11" t="str">
            <v>ENEL</v>
          </cell>
        </row>
        <row r="12">
          <cell r="A12" t="str">
            <v>Tirreno</v>
          </cell>
        </row>
        <row r="13">
          <cell r="A13" t="str">
            <v>Kospo</v>
          </cell>
        </row>
        <row r="14">
          <cell r="A14" t="str">
            <v>Kowepo</v>
          </cell>
        </row>
        <row r="15">
          <cell r="A15" t="str">
            <v>Formosa</v>
          </cell>
        </row>
        <row r="16">
          <cell r="A16" t="str">
            <v>Formosa</v>
          </cell>
        </row>
        <row r="17">
          <cell r="A17" t="str">
            <v>CLP</v>
          </cell>
        </row>
        <row r="18">
          <cell r="A18" t="str">
            <v>Huaneng</v>
          </cell>
        </row>
        <row r="19">
          <cell r="A19" t="str">
            <v>Huaneng</v>
          </cell>
        </row>
        <row r="20">
          <cell r="A20" t="str">
            <v>Hongkong Electric</v>
          </cell>
        </row>
        <row r="21">
          <cell r="A21" t="str">
            <v>Hongkong Electric</v>
          </cell>
        </row>
        <row r="22">
          <cell r="A22" t="str">
            <v>Tj Jati B</v>
          </cell>
        </row>
        <row r="23">
          <cell r="A23" t="str">
            <v>Tj Jati B</v>
          </cell>
        </row>
        <row r="24">
          <cell r="A24" t="str">
            <v>Tj Jati B</v>
          </cell>
        </row>
        <row r="30">
          <cell r="A30">
            <v>40558</v>
          </cell>
        </row>
        <row r="31">
          <cell r="A31">
            <v>40589</v>
          </cell>
        </row>
        <row r="32">
          <cell r="A32">
            <v>40617</v>
          </cell>
        </row>
        <row r="33">
          <cell r="A33">
            <v>40648</v>
          </cell>
        </row>
        <row r="34">
          <cell r="A34">
            <v>40678</v>
          </cell>
        </row>
        <row r="35">
          <cell r="A35">
            <v>40709</v>
          </cell>
        </row>
        <row r="36">
          <cell r="A36">
            <v>40739</v>
          </cell>
        </row>
        <row r="37">
          <cell r="A37">
            <v>40770</v>
          </cell>
        </row>
        <row r="38">
          <cell r="A38">
            <v>40801</v>
          </cell>
        </row>
        <row r="39">
          <cell r="A39">
            <v>40831</v>
          </cell>
        </row>
        <row r="40">
          <cell r="A40">
            <v>40862</v>
          </cell>
        </row>
        <row r="41">
          <cell r="A41">
            <v>40892</v>
          </cell>
        </row>
      </sheetData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D OB Forecasting"/>
      <sheetName val="Base"/>
      <sheetName val="TABLE"/>
      <sheetName val="Housekeeping"/>
      <sheetName val="Summ PRM"/>
      <sheetName val="OVERBURDEN"/>
      <sheetName val="SUBKON"/>
      <sheetName val="MAINTENANCE"/>
      <sheetName val="rate"/>
      <sheetName val="summary"/>
      <sheetName val="Run"/>
      <sheetName val="Data"/>
      <sheetName val="Konversi Jarak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Konversi Jarak"/>
      <sheetName val="Master Evaluasi"/>
      <sheetName val="010306"/>
      <sheetName val="Produksi"/>
      <sheetName val="Target Lost Time"/>
      <sheetName val="Reference"/>
      <sheetName val="Sheet1"/>
      <sheetName val="Sheet2"/>
      <sheetName val="Sheet3"/>
      <sheetName val="Petrosea"/>
      <sheetName val="DTDummy"/>
      <sheetName val="PRA401"/>
      <sheetName val="KPTJ001"/>
      <sheetName val="Parameter"/>
      <sheetName val="Blasting_per_block"/>
      <sheetName val="Master "/>
      <sheetName val="Konversi_Jarak"/>
      <sheetName val="Master_Evaluasi"/>
      <sheetName val="Target_Lost_Time"/>
      <sheetName val="MASTER"/>
      <sheetName val="Productivity"/>
      <sheetName val="awal bulan"/>
      <sheetName val="FS01"/>
      <sheetName val="Lists"/>
      <sheetName val="Test Depre"/>
      <sheetName val="Asset List"/>
      <sheetName val="Component History"/>
      <sheetName val="Forecast"/>
      <sheetName val="EX2500FIX"/>
      <sheetName val="Cost Code"/>
      <sheetName val=" SAF 02"/>
      <sheetName val="Hotel"/>
      <sheetName val="H.Satuan"/>
      <sheetName val="Data Base"/>
      <sheetName val="Master_Evaluasi1"/>
      <sheetName val="Target_Lost_Time1"/>
      <sheetName val="Konversi_Jarak1"/>
      <sheetName val="Master_"/>
      <sheetName val="Data_Base"/>
      <sheetName val="Master_Evaluasi2"/>
      <sheetName val="Target_Lost_Time2"/>
      <sheetName val="Konversi_Jarak2"/>
      <sheetName val="Master_1"/>
      <sheetName val="Data_Base1"/>
      <sheetName val="Master_Evaluasi3"/>
      <sheetName val="Target_Lost_Time3"/>
      <sheetName val="Konversi_Jarak3"/>
      <sheetName val="Master_2"/>
      <sheetName val="Data_Base2"/>
      <sheetName val="1106-M&amp;E"/>
      <sheetName val="1105-B&amp;I-OK"/>
      <sheetName val="Validation"/>
      <sheetName val="Chubu"/>
      <sheetName val="CLP"/>
      <sheetName val="Enel "/>
      <sheetName val="EPDC"/>
      <sheetName val="Formosa"/>
      <sheetName val="HEK"/>
      <sheetName val="Huaneng"/>
      <sheetName val="Kobe Steel"/>
      <sheetName val="Kospo"/>
      <sheetName val="Kowepo"/>
      <sheetName val="Shikoku"/>
      <sheetName val="Tirreno"/>
      <sheetName val="TJB"/>
      <sheetName val="1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"/>
      <sheetName val="20"/>
      <sheetName val="3"/>
      <sheetName val="4"/>
      <sheetName val="5"/>
      <sheetName val="6"/>
      <sheetName val="7"/>
      <sheetName val="8"/>
      <sheetName val="9"/>
      <sheetName val="PS"/>
      <sheetName val="Plant"/>
      <sheetName val="EWH-UA"/>
      <sheetName val="Remarks"/>
      <sheetName val="Input"/>
      <sheetName val="Coal"/>
      <sheetName val="Block"/>
      <sheetName val="CondDaily"/>
      <sheetName val="epei "/>
      <sheetName val="DaiRep"/>
      <sheetName val="Safety"/>
      <sheetName val="CondMonthly"/>
      <sheetName val="Weather"/>
      <sheetName val="pexfee"/>
      <sheetName val="Busang1"/>
      <sheetName val="Busang2"/>
      <sheetName val="Busang3"/>
      <sheetName val="Jonggon1"/>
      <sheetName val="Jonggon2"/>
      <sheetName val="Jonggon3"/>
      <sheetName val="Trading Statement"/>
      <sheetName val="MTD OB Forecasting"/>
      <sheetName val="COA"/>
      <sheetName val="DRILL&amp;BLAST"/>
      <sheetName val="DOZING"/>
      <sheetName val="PLAN CC"/>
      <sheetName val="PLAN CM"/>
      <sheetName val="PLAN OB"/>
      <sheetName val="Formula"/>
      <sheetName val="CA110_sep10"/>
      <sheetName val="Cost from Acc"/>
      <sheetName val="SUPPORT"/>
      <sheetName val="DOZER"/>
      <sheetName val="EXCA"/>
      <sheetName val="HAULER"/>
      <sheetName val="Update"/>
      <sheetName val="Row Data"/>
      <sheetName val="March_april _2_"/>
      <sheetName val="KPI"/>
      <sheetName val="A_PROD"/>
      <sheetName val="VALUE"/>
      <sheetName val="D-PR_PTY"/>
      <sheetName val="PROD"/>
      <sheetName val="C-PF_ALL"/>
      <sheetName val="B-PF_ACT"/>
      <sheetName val="D_WF"/>
      <sheetName val="LIST"/>
      <sheetName val="March-april (2)"/>
      <sheetName val="Resume Eng"/>
      <sheetName val="Galian 1"/>
      <sheetName val="Cost Parameter"/>
      <sheetName val="TABEL STOCK"/>
      <sheetName val="smu"/>
      <sheetName val="Wheel Grp"/>
    </sheetNames>
    <sheetDataSet>
      <sheetData sheetId="0" refreshError="1">
        <row r="3">
          <cell r="B3">
            <v>38776</v>
          </cell>
          <cell r="C3">
            <v>38777</v>
          </cell>
          <cell r="D3">
            <v>38778</v>
          </cell>
          <cell r="E3">
            <v>38779</v>
          </cell>
          <cell r="F3">
            <v>38780</v>
          </cell>
          <cell r="G3">
            <v>38781</v>
          </cell>
          <cell r="H3">
            <v>38782</v>
          </cell>
          <cell r="I3">
            <v>38783</v>
          </cell>
          <cell r="J3">
            <v>38784</v>
          </cell>
          <cell r="K3">
            <v>38785</v>
          </cell>
          <cell r="L3">
            <v>38786</v>
          </cell>
          <cell r="M3">
            <v>38787</v>
          </cell>
          <cell r="N3">
            <v>38788</v>
          </cell>
          <cell r="O3">
            <v>38789</v>
          </cell>
          <cell r="P3">
            <v>38790</v>
          </cell>
          <cell r="Q3">
            <v>38791</v>
          </cell>
          <cell r="R3">
            <v>38792</v>
          </cell>
          <cell r="S3">
            <v>38793</v>
          </cell>
          <cell r="T3">
            <v>38794</v>
          </cell>
          <cell r="U3">
            <v>38795</v>
          </cell>
          <cell r="V3">
            <v>38796</v>
          </cell>
          <cell r="W3">
            <v>38797</v>
          </cell>
          <cell r="X3">
            <v>38798</v>
          </cell>
          <cell r="Y3">
            <v>38799</v>
          </cell>
          <cell r="Z3">
            <v>38800</v>
          </cell>
          <cell r="AA3">
            <v>38801</v>
          </cell>
          <cell r="AB3">
            <v>38802</v>
          </cell>
          <cell r="AC3">
            <v>38803</v>
          </cell>
          <cell r="AD3">
            <v>38804</v>
          </cell>
          <cell r="AE3">
            <v>38805</v>
          </cell>
          <cell r="AF3">
            <v>38806</v>
          </cell>
          <cell r="AG3">
            <v>38807</v>
          </cell>
          <cell r="AH3" t="str">
            <v>Avg</v>
          </cell>
        </row>
        <row r="4">
          <cell r="B4">
            <v>1658</v>
          </cell>
          <cell r="C4">
            <v>1658</v>
          </cell>
          <cell r="D4">
            <v>1646.47</v>
          </cell>
          <cell r="E4">
            <v>1673</v>
          </cell>
          <cell r="F4">
            <v>1673</v>
          </cell>
          <cell r="G4">
            <v>1673</v>
          </cell>
          <cell r="H4">
            <v>1673</v>
          </cell>
          <cell r="I4">
            <v>1673</v>
          </cell>
          <cell r="J4">
            <v>1450</v>
          </cell>
          <cell r="K4">
            <v>1450</v>
          </cell>
          <cell r="AH4">
            <v>1618.8300000000002</v>
          </cell>
        </row>
        <row r="5">
          <cell r="B5">
            <v>805.77</v>
          </cell>
          <cell r="C5">
            <v>805.77</v>
          </cell>
          <cell r="D5">
            <v>786.21</v>
          </cell>
          <cell r="E5">
            <v>809.45</v>
          </cell>
          <cell r="F5">
            <v>809.45</v>
          </cell>
          <cell r="G5">
            <v>809.45</v>
          </cell>
          <cell r="H5">
            <v>809.45</v>
          </cell>
          <cell r="I5">
            <v>809.45</v>
          </cell>
          <cell r="J5">
            <v>830</v>
          </cell>
          <cell r="K5">
            <v>800</v>
          </cell>
          <cell r="AH5">
            <v>807.6922222222222</v>
          </cell>
        </row>
        <row r="6">
          <cell r="B6">
            <v>834.66</v>
          </cell>
          <cell r="C6">
            <v>834.66</v>
          </cell>
          <cell r="D6">
            <v>754.84</v>
          </cell>
          <cell r="E6">
            <v>891.27</v>
          </cell>
          <cell r="F6">
            <v>891.27</v>
          </cell>
          <cell r="G6">
            <v>891.27</v>
          </cell>
          <cell r="H6">
            <v>891.27</v>
          </cell>
          <cell r="I6">
            <v>891.27</v>
          </cell>
          <cell r="J6">
            <v>875</v>
          </cell>
          <cell r="K6">
            <v>875</v>
          </cell>
          <cell r="AH6">
            <v>866.20555555555563</v>
          </cell>
        </row>
        <row r="7">
          <cell r="B7">
            <v>1047.33</v>
          </cell>
          <cell r="C7">
            <v>1047.33</v>
          </cell>
          <cell r="D7">
            <v>1028.78</v>
          </cell>
          <cell r="E7">
            <v>1067.23</v>
          </cell>
          <cell r="F7">
            <v>1067.23</v>
          </cell>
          <cell r="G7">
            <v>1067.23</v>
          </cell>
          <cell r="H7">
            <v>1067.23</v>
          </cell>
          <cell r="I7">
            <v>1067.23</v>
          </cell>
          <cell r="J7">
            <v>1050</v>
          </cell>
          <cell r="K7">
            <v>1050</v>
          </cell>
          <cell r="AH7">
            <v>1056.9177777777777</v>
          </cell>
        </row>
        <row r="8">
          <cell r="B8">
            <v>836.75</v>
          </cell>
          <cell r="C8">
            <v>836.75</v>
          </cell>
          <cell r="D8">
            <v>727.09</v>
          </cell>
          <cell r="E8">
            <v>781.65</v>
          </cell>
          <cell r="F8">
            <v>781.65</v>
          </cell>
          <cell r="G8">
            <v>781.65</v>
          </cell>
          <cell r="H8">
            <v>781.65</v>
          </cell>
          <cell r="I8">
            <v>781.65</v>
          </cell>
          <cell r="J8">
            <v>800</v>
          </cell>
          <cell r="K8">
            <v>800</v>
          </cell>
          <cell r="AH8">
            <v>785.78777777777782</v>
          </cell>
        </row>
        <row r="9">
          <cell r="B9">
            <v>761</v>
          </cell>
          <cell r="C9">
            <v>761</v>
          </cell>
          <cell r="D9">
            <v>737.45</v>
          </cell>
          <cell r="E9">
            <v>850</v>
          </cell>
          <cell r="F9">
            <v>850</v>
          </cell>
          <cell r="G9">
            <v>850</v>
          </cell>
          <cell r="H9">
            <v>850</v>
          </cell>
          <cell r="I9">
            <v>850</v>
          </cell>
          <cell r="J9">
            <v>750</v>
          </cell>
          <cell r="K9">
            <v>750</v>
          </cell>
          <cell r="AH9">
            <v>805.38333333333333</v>
          </cell>
        </row>
        <row r="10">
          <cell r="B10">
            <v>300</v>
          </cell>
          <cell r="C10">
            <v>300</v>
          </cell>
          <cell r="D10">
            <v>361.51</v>
          </cell>
          <cell r="E10">
            <v>388</v>
          </cell>
          <cell r="F10">
            <v>388</v>
          </cell>
          <cell r="G10">
            <v>388</v>
          </cell>
          <cell r="H10">
            <v>388</v>
          </cell>
          <cell r="I10">
            <v>388</v>
          </cell>
          <cell r="J10">
            <v>450</v>
          </cell>
          <cell r="K10">
            <v>450</v>
          </cell>
          <cell r="AH10">
            <v>389.05666666666667</v>
          </cell>
        </row>
        <row r="11">
          <cell r="B11">
            <v>338.61</v>
          </cell>
          <cell r="C11">
            <v>338.61</v>
          </cell>
          <cell r="D11">
            <v>293.01</v>
          </cell>
          <cell r="E11">
            <v>375.06</v>
          </cell>
          <cell r="F11">
            <v>375.06</v>
          </cell>
          <cell r="G11">
            <v>375.06</v>
          </cell>
          <cell r="H11">
            <v>375.06</v>
          </cell>
          <cell r="I11">
            <v>375.06</v>
          </cell>
          <cell r="J11">
            <v>300</v>
          </cell>
          <cell r="K11">
            <v>300</v>
          </cell>
          <cell r="AH11">
            <v>345.21333333333337</v>
          </cell>
        </row>
        <row r="12">
          <cell r="B12">
            <v>266.74</v>
          </cell>
          <cell r="C12">
            <v>266.74</v>
          </cell>
          <cell r="D12">
            <v>264.95</v>
          </cell>
          <cell r="E12">
            <v>333.31</v>
          </cell>
          <cell r="F12">
            <v>333.31</v>
          </cell>
          <cell r="G12">
            <v>333.31</v>
          </cell>
          <cell r="H12">
            <v>333.31</v>
          </cell>
          <cell r="I12">
            <v>333.31</v>
          </cell>
          <cell r="J12">
            <v>300</v>
          </cell>
          <cell r="K12">
            <v>300</v>
          </cell>
          <cell r="AH12">
            <v>310.91555555555556</v>
          </cell>
        </row>
        <row r="14">
          <cell r="B14">
            <v>420</v>
          </cell>
          <cell r="C14">
            <v>420</v>
          </cell>
          <cell r="D14">
            <v>420</v>
          </cell>
          <cell r="E14">
            <v>420</v>
          </cell>
          <cell r="F14">
            <v>420</v>
          </cell>
          <cell r="G14">
            <v>420</v>
          </cell>
          <cell r="H14">
            <v>420</v>
          </cell>
          <cell r="I14">
            <v>420</v>
          </cell>
          <cell r="J14">
            <v>420</v>
          </cell>
          <cell r="K14">
            <v>420</v>
          </cell>
          <cell r="L14">
            <v>420</v>
          </cell>
          <cell r="M14">
            <v>420</v>
          </cell>
          <cell r="N14">
            <v>420</v>
          </cell>
          <cell r="O14">
            <v>420</v>
          </cell>
          <cell r="P14">
            <v>420</v>
          </cell>
          <cell r="Q14">
            <v>420</v>
          </cell>
          <cell r="R14">
            <v>420</v>
          </cell>
          <cell r="S14">
            <v>420</v>
          </cell>
          <cell r="T14">
            <v>420</v>
          </cell>
          <cell r="U14">
            <v>420</v>
          </cell>
          <cell r="V14">
            <v>420</v>
          </cell>
          <cell r="W14">
            <v>420</v>
          </cell>
          <cell r="X14">
            <v>420</v>
          </cell>
          <cell r="Y14">
            <v>420</v>
          </cell>
          <cell r="Z14">
            <v>420</v>
          </cell>
          <cell r="AA14">
            <v>420</v>
          </cell>
          <cell r="AB14">
            <v>420</v>
          </cell>
          <cell r="AC14">
            <v>420</v>
          </cell>
          <cell r="AD14">
            <v>420</v>
          </cell>
          <cell r="AE14">
            <v>420</v>
          </cell>
          <cell r="AF14">
            <v>420</v>
          </cell>
          <cell r="AG14">
            <v>420</v>
          </cell>
          <cell r="AH14">
            <v>420</v>
          </cell>
        </row>
        <row r="15">
          <cell r="B15">
            <v>210</v>
          </cell>
          <cell r="C15">
            <v>210</v>
          </cell>
          <cell r="D15">
            <v>210</v>
          </cell>
          <cell r="E15">
            <v>210</v>
          </cell>
          <cell r="F15">
            <v>210</v>
          </cell>
          <cell r="G15">
            <v>210</v>
          </cell>
          <cell r="H15">
            <v>210</v>
          </cell>
          <cell r="I15">
            <v>210</v>
          </cell>
          <cell r="J15">
            <v>210</v>
          </cell>
          <cell r="K15">
            <v>210</v>
          </cell>
          <cell r="L15">
            <v>210</v>
          </cell>
          <cell r="M15">
            <v>210</v>
          </cell>
          <cell r="N15">
            <v>210</v>
          </cell>
          <cell r="O15">
            <v>210</v>
          </cell>
          <cell r="P15">
            <v>210</v>
          </cell>
          <cell r="Q15">
            <v>210</v>
          </cell>
          <cell r="R15">
            <v>210</v>
          </cell>
          <cell r="S15">
            <v>210</v>
          </cell>
          <cell r="T15">
            <v>210</v>
          </cell>
          <cell r="U15">
            <v>210</v>
          </cell>
          <cell r="V15">
            <v>210</v>
          </cell>
          <cell r="W15">
            <v>210</v>
          </cell>
          <cell r="X15">
            <v>210</v>
          </cell>
          <cell r="Y15">
            <v>210</v>
          </cell>
          <cell r="Z15">
            <v>210</v>
          </cell>
          <cell r="AA15">
            <v>210</v>
          </cell>
          <cell r="AB15">
            <v>210</v>
          </cell>
          <cell r="AC15">
            <v>210</v>
          </cell>
          <cell r="AD15">
            <v>210</v>
          </cell>
          <cell r="AE15">
            <v>210</v>
          </cell>
          <cell r="AF15">
            <v>210</v>
          </cell>
          <cell r="AG15">
            <v>210</v>
          </cell>
          <cell r="AH15">
            <v>210</v>
          </cell>
        </row>
        <row r="16">
          <cell r="B16">
            <v>210</v>
          </cell>
          <cell r="C16">
            <v>210</v>
          </cell>
          <cell r="D16">
            <v>210</v>
          </cell>
          <cell r="E16">
            <v>210</v>
          </cell>
          <cell r="F16">
            <v>210</v>
          </cell>
          <cell r="G16">
            <v>210</v>
          </cell>
          <cell r="H16">
            <v>210</v>
          </cell>
          <cell r="I16">
            <v>210</v>
          </cell>
          <cell r="J16">
            <v>210</v>
          </cell>
          <cell r="K16">
            <v>210</v>
          </cell>
          <cell r="L16">
            <v>210</v>
          </cell>
          <cell r="M16">
            <v>210</v>
          </cell>
          <cell r="N16">
            <v>210</v>
          </cell>
          <cell r="O16">
            <v>210</v>
          </cell>
          <cell r="P16">
            <v>210</v>
          </cell>
          <cell r="Q16">
            <v>210</v>
          </cell>
          <cell r="R16">
            <v>210</v>
          </cell>
          <cell r="S16">
            <v>210</v>
          </cell>
          <cell r="T16">
            <v>210</v>
          </cell>
          <cell r="U16">
            <v>210</v>
          </cell>
          <cell r="V16">
            <v>210</v>
          </cell>
          <cell r="W16">
            <v>210</v>
          </cell>
          <cell r="X16">
            <v>210</v>
          </cell>
          <cell r="Y16">
            <v>210</v>
          </cell>
          <cell r="Z16">
            <v>210</v>
          </cell>
          <cell r="AA16">
            <v>210</v>
          </cell>
          <cell r="AB16">
            <v>210</v>
          </cell>
          <cell r="AC16">
            <v>210</v>
          </cell>
          <cell r="AD16">
            <v>210</v>
          </cell>
          <cell r="AE16">
            <v>210</v>
          </cell>
          <cell r="AF16">
            <v>210</v>
          </cell>
          <cell r="AG16">
            <v>210</v>
          </cell>
          <cell r="AH16">
            <v>210</v>
          </cell>
        </row>
        <row r="20">
          <cell r="B20">
            <v>38776</v>
          </cell>
          <cell r="C20">
            <v>38777</v>
          </cell>
          <cell r="D20">
            <v>38778</v>
          </cell>
          <cell r="E20">
            <v>38779</v>
          </cell>
          <cell r="F20">
            <v>38780</v>
          </cell>
          <cell r="G20">
            <v>38781</v>
          </cell>
          <cell r="H20">
            <v>38782</v>
          </cell>
          <cell r="I20">
            <v>38783</v>
          </cell>
          <cell r="J20">
            <v>38784</v>
          </cell>
          <cell r="K20">
            <v>38785</v>
          </cell>
          <cell r="L20">
            <v>38786</v>
          </cell>
          <cell r="M20">
            <v>38787</v>
          </cell>
          <cell r="N20">
            <v>38788</v>
          </cell>
          <cell r="O20">
            <v>38789</v>
          </cell>
          <cell r="P20">
            <v>38790</v>
          </cell>
          <cell r="Q20">
            <v>38791</v>
          </cell>
          <cell r="R20">
            <v>38792</v>
          </cell>
          <cell r="S20">
            <v>38793</v>
          </cell>
          <cell r="T20">
            <v>38794</v>
          </cell>
          <cell r="U20">
            <v>38795</v>
          </cell>
          <cell r="V20">
            <v>38796</v>
          </cell>
          <cell r="W20">
            <v>38797</v>
          </cell>
          <cell r="X20">
            <v>38798</v>
          </cell>
          <cell r="Y20">
            <v>38799</v>
          </cell>
          <cell r="Z20">
            <v>38800</v>
          </cell>
          <cell r="AA20">
            <v>38801</v>
          </cell>
          <cell r="AB20">
            <v>38802</v>
          </cell>
          <cell r="AC20">
            <v>38803</v>
          </cell>
          <cell r="AD20">
            <v>38804</v>
          </cell>
          <cell r="AE20">
            <v>38805</v>
          </cell>
          <cell r="AF20">
            <v>38806</v>
          </cell>
          <cell r="AG20">
            <v>38807</v>
          </cell>
          <cell r="AH20" t="str">
            <v>Avg</v>
          </cell>
        </row>
        <row r="21">
          <cell r="B21">
            <v>1619.6</v>
          </cell>
          <cell r="C21">
            <v>1646.47</v>
          </cell>
          <cell r="D21">
            <v>1673</v>
          </cell>
          <cell r="E21">
            <v>1676.11</v>
          </cell>
          <cell r="F21">
            <v>1581.88</v>
          </cell>
          <cell r="G21">
            <v>1641.03</v>
          </cell>
          <cell r="H21">
            <v>1452.33</v>
          </cell>
          <cell r="I21">
            <v>1518</v>
          </cell>
          <cell r="J21">
            <v>1515</v>
          </cell>
          <cell r="K21">
            <v>1514.55</v>
          </cell>
          <cell r="AH21">
            <v>1579.8188888888888</v>
          </cell>
        </row>
        <row r="22">
          <cell r="B22">
            <v>787.25</v>
          </cell>
          <cell r="C22">
            <v>786.21</v>
          </cell>
          <cell r="D22">
            <v>809.45</v>
          </cell>
          <cell r="E22">
            <v>812.33</v>
          </cell>
          <cell r="F22">
            <v>798</v>
          </cell>
          <cell r="G22">
            <v>824.77</v>
          </cell>
          <cell r="H22">
            <v>829.95</v>
          </cell>
          <cell r="I22">
            <v>757</v>
          </cell>
          <cell r="J22">
            <v>789</v>
          </cell>
          <cell r="K22">
            <v>794.86</v>
          </cell>
          <cell r="AH22">
            <v>800.17444444444436</v>
          </cell>
        </row>
        <row r="23">
          <cell r="B23">
            <v>835.14</v>
          </cell>
          <cell r="C23">
            <v>754.84</v>
          </cell>
          <cell r="D23">
            <v>891.27</v>
          </cell>
          <cell r="E23">
            <v>763.69</v>
          </cell>
          <cell r="F23">
            <v>839.32</v>
          </cell>
          <cell r="G23">
            <v>699.53</v>
          </cell>
          <cell r="H23">
            <v>874.78</v>
          </cell>
          <cell r="I23">
            <v>835</v>
          </cell>
          <cell r="J23">
            <v>871</v>
          </cell>
          <cell r="K23">
            <v>907.01</v>
          </cell>
          <cell r="AH23">
            <v>826.27111111111117</v>
          </cell>
        </row>
        <row r="24">
          <cell r="B24">
            <v>1098.1500000000001</v>
          </cell>
          <cell r="C24">
            <v>1028.78</v>
          </cell>
          <cell r="D24">
            <v>1067.23</v>
          </cell>
          <cell r="E24">
            <v>1096.25</v>
          </cell>
          <cell r="F24">
            <v>1032.4100000000001</v>
          </cell>
          <cell r="G24">
            <v>1006.15</v>
          </cell>
          <cell r="H24">
            <v>1060.68</v>
          </cell>
          <cell r="I24">
            <v>1062</v>
          </cell>
          <cell r="J24">
            <v>968</v>
          </cell>
          <cell r="K24">
            <v>1091.6400000000001</v>
          </cell>
          <cell r="AH24">
            <v>1045.9044444444444</v>
          </cell>
        </row>
        <row r="25">
          <cell r="B25">
            <v>798.83</v>
          </cell>
          <cell r="C25">
            <v>727.09</v>
          </cell>
          <cell r="D25">
            <v>781.65</v>
          </cell>
          <cell r="E25">
            <v>803.32</v>
          </cell>
          <cell r="F25">
            <v>736.37</v>
          </cell>
          <cell r="G25">
            <v>752.08</v>
          </cell>
          <cell r="H25">
            <v>796.64</v>
          </cell>
          <cell r="I25">
            <v>869</v>
          </cell>
          <cell r="J25">
            <v>882</v>
          </cell>
          <cell r="K25">
            <v>853.16</v>
          </cell>
          <cell r="AH25">
            <v>800.14555555555546</v>
          </cell>
        </row>
        <row r="26">
          <cell r="B26">
            <v>733.74</v>
          </cell>
          <cell r="C26">
            <v>737.45</v>
          </cell>
          <cell r="D26">
            <v>466</v>
          </cell>
          <cell r="E26">
            <v>684.26</v>
          </cell>
          <cell r="F26">
            <v>729.18</v>
          </cell>
          <cell r="G26">
            <v>791.67</v>
          </cell>
          <cell r="H26">
            <v>762.06</v>
          </cell>
          <cell r="I26">
            <v>830</v>
          </cell>
          <cell r="J26">
            <v>833</v>
          </cell>
          <cell r="K26">
            <v>690.33</v>
          </cell>
          <cell r="AH26">
            <v>724.88333333333333</v>
          </cell>
        </row>
        <row r="27">
          <cell r="B27">
            <v>346.46</v>
          </cell>
          <cell r="C27">
            <v>361.51</v>
          </cell>
          <cell r="D27">
            <v>388</v>
          </cell>
          <cell r="E27">
            <v>439.55</v>
          </cell>
          <cell r="F27">
            <v>467.08</v>
          </cell>
          <cell r="G27">
            <v>419.03</v>
          </cell>
          <cell r="H27">
            <v>444.97</v>
          </cell>
          <cell r="I27">
            <v>384</v>
          </cell>
          <cell r="J27">
            <v>460</v>
          </cell>
          <cell r="K27">
            <v>390.21</v>
          </cell>
          <cell r="AH27">
            <v>417.15000000000003</v>
          </cell>
        </row>
        <row r="28">
          <cell r="B28">
            <v>277.68</v>
          </cell>
          <cell r="C28">
            <v>293.01</v>
          </cell>
          <cell r="D28">
            <v>375.06</v>
          </cell>
          <cell r="E28">
            <v>265.24</v>
          </cell>
          <cell r="F28">
            <v>340.77</v>
          </cell>
          <cell r="G28">
            <v>373.28</v>
          </cell>
          <cell r="H28">
            <v>315.69</v>
          </cell>
          <cell r="I28">
            <v>242</v>
          </cell>
          <cell r="J28">
            <v>430</v>
          </cell>
          <cell r="K28">
            <v>331.44</v>
          </cell>
          <cell r="AH28">
            <v>329.61</v>
          </cell>
        </row>
        <row r="29">
          <cell r="B29">
            <v>299.36</v>
          </cell>
          <cell r="C29">
            <v>264.95</v>
          </cell>
          <cell r="D29">
            <v>333.31</v>
          </cell>
          <cell r="E29">
            <v>338.03</v>
          </cell>
          <cell r="F29">
            <v>302.81</v>
          </cell>
          <cell r="G29">
            <v>300.27999999999997</v>
          </cell>
          <cell r="H29">
            <v>316.88</v>
          </cell>
          <cell r="I29">
            <v>223</v>
          </cell>
          <cell r="J29">
            <v>334</v>
          </cell>
          <cell r="K29">
            <v>365.75</v>
          </cell>
          <cell r="AH29">
            <v>308.77888888888884</v>
          </cell>
        </row>
        <row r="30">
          <cell r="K30">
            <v>598.84</v>
          </cell>
        </row>
        <row r="31">
          <cell r="B31">
            <v>421</v>
          </cell>
          <cell r="C31">
            <v>453</v>
          </cell>
          <cell r="D31">
            <v>419</v>
          </cell>
          <cell r="E31">
            <v>264</v>
          </cell>
          <cell r="F31">
            <v>273</v>
          </cell>
          <cell r="G31">
            <v>273</v>
          </cell>
          <cell r="H31">
            <v>143</v>
          </cell>
          <cell r="I31">
            <v>386</v>
          </cell>
          <cell r="J31">
            <v>366</v>
          </cell>
          <cell r="AH31">
            <v>322.125</v>
          </cell>
        </row>
        <row r="32">
          <cell r="B32">
            <v>197</v>
          </cell>
          <cell r="C32">
            <v>213</v>
          </cell>
          <cell r="D32">
            <v>213</v>
          </cell>
          <cell r="E32">
            <v>107</v>
          </cell>
          <cell r="F32">
            <v>94</v>
          </cell>
          <cell r="G32">
            <v>98</v>
          </cell>
          <cell r="H32">
            <v>84</v>
          </cell>
          <cell r="I32">
            <v>218</v>
          </cell>
          <cell r="J32">
            <v>221</v>
          </cell>
          <cell r="AH32">
            <v>156</v>
          </cell>
        </row>
        <row r="33">
          <cell r="B33">
            <v>210</v>
          </cell>
          <cell r="C33">
            <v>212</v>
          </cell>
          <cell r="D33">
            <v>196</v>
          </cell>
          <cell r="E33">
            <v>112</v>
          </cell>
          <cell r="F33">
            <v>123</v>
          </cell>
          <cell r="G33">
            <v>117</v>
          </cell>
          <cell r="H33">
            <v>84</v>
          </cell>
          <cell r="I33">
            <v>190</v>
          </cell>
          <cell r="J33">
            <v>183</v>
          </cell>
          <cell r="AH33">
            <v>152.125</v>
          </cell>
        </row>
        <row r="37">
          <cell r="B37">
            <v>38776</v>
          </cell>
          <cell r="C37">
            <v>38777</v>
          </cell>
          <cell r="D37">
            <v>38778</v>
          </cell>
          <cell r="E37">
            <v>38779</v>
          </cell>
          <cell r="F37">
            <v>38780</v>
          </cell>
          <cell r="G37">
            <v>38781</v>
          </cell>
          <cell r="H37">
            <v>38782</v>
          </cell>
          <cell r="I37">
            <v>38783</v>
          </cell>
          <cell r="J37">
            <v>38784</v>
          </cell>
          <cell r="K37">
            <v>38785</v>
          </cell>
          <cell r="L37">
            <v>38786</v>
          </cell>
          <cell r="M37">
            <v>38787</v>
          </cell>
          <cell r="N37">
            <v>38788</v>
          </cell>
          <cell r="O37">
            <v>38789</v>
          </cell>
          <cell r="P37">
            <v>38790</v>
          </cell>
          <cell r="Q37">
            <v>38791</v>
          </cell>
          <cell r="R37">
            <v>38792</v>
          </cell>
          <cell r="S37">
            <v>38793</v>
          </cell>
          <cell r="T37">
            <v>38794</v>
          </cell>
          <cell r="U37">
            <v>38795</v>
          </cell>
          <cell r="V37">
            <v>38796</v>
          </cell>
          <cell r="W37">
            <v>38797</v>
          </cell>
          <cell r="X37">
            <v>38798</v>
          </cell>
          <cell r="Y37">
            <v>38799</v>
          </cell>
          <cell r="Z37">
            <v>38800</v>
          </cell>
          <cell r="AA37">
            <v>38801</v>
          </cell>
          <cell r="AB37">
            <v>38802</v>
          </cell>
          <cell r="AC37">
            <v>38803</v>
          </cell>
          <cell r="AD37">
            <v>38804</v>
          </cell>
          <cell r="AE37">
            <v>38805</v>
          </cell>
          <cell r="AF37">
            <v>38806</v>
          </cell>
          <cell r="AG37">
            <v>38807</v>
          </cell>
        </row>
        <row r="38">
          <cell r="B38">
            <v>1.7</v>
          </cell>
          <cell r="C38">
            <v>2.2000000000000002</v>
          </cell>
          <cell r="D38">
            <v>2.1</v>
          </cell>
          <cell r="E38">
            <v>2.1</v>
          </cell>
          <cell r="F38">
            <v>1.8</v>
          </cell>
          <cell r="G38">
            <v>1.8</v>
          </cell>
          <cell r="H38">
            <v>1.8</v>
          </cell>
          <cell r="I38">
            <v>1.8</v>
          </cell>
        </row>
        <row r="39">
          <cell r="B39">
            <v>2.4</v>
          </cell>
          <cell r="C39">
            <v>2.5</v>
          </cell>
          <cell r="D39">
            <v>2.1</v>
          </cell>
          <cell r="E39">
            <v>2.8</v>
          </cell>
          <cell r="F39">
            <v>3</v>
          </cell>
          <cell r="G39">
            <v>3</v>
          </cell>
          <cell r="H39">
            <v>3</v>
          </cell>
          <cell r="I39">
            <v>2.2999999999999998</v>
          </cell>
        </row>
        <row r="40">
          <cell r="B40">
            <v>2.8</v>
          </cell>
          <cell r="C40">
            <v>2.5</v>
          </cell>
          <cell r="D40">
            <v>3</v>
          </cell>
          <cell r="E40">
            <v>2.8</v>
          </cell>
          <cell r="F40">
            <v>2.9</v>
          </cell>
          <cell r="G40">
            <v>2.9</v>
          </cell>
          <cell r="H40">
            <v>2.9</v>
          </cell>
          <cell r="I40">
            <v>2.8</v>
          </cell>
        </row>
        <row r="41">
          <cell r="B41">
            <v>1.5</v>
          </cell>
          <cell r="C41">
            <v>1.8</v>
          </cell>
          <cell r="D41">
            <v>1.7</v>
          </cell>
          <cell r="E41">
            <v>1.8</v>
          </cell>
          <cell r="F41">
            <v>1.8</v>
          </cell>
          <cell r="G41">
            <v>1.8</v>
          </cell>
          <cell r="H41">
            <v>1.8</v>
          </cell>
          <cell r="I41">
            <v>1.5</v>
          </cell>
        </row>
        <row r="42">
          <cell r="B42">
            <v>3.4</v>
          </cell>
          <cell r="C42">
            <v>3.3</v>
          </cell>
          <cell r="D42">
            <v>3.4</v>
          </cell>
          <cell r="E42">
            <v>2.8</v>
          </cell>
          <cell r="F42">
            <v>3.3</v>
          </cell>
          <cell r="G42">
            <v>3.3</v>
          </cell>
          <cell r="H42">
            <v>3.3</v>
          </cell>
          <cell r="I42">
            <v>3.4</v>
          </cell>
        </row>
        <row r="43">
          <cell r="B43">
            <v>2.4</v>
          </cell>
          <cell r="C43">
            <v>2.8</v>
          </cell>
          <cell r="D43">
            <v>2.8</v>
          </cell>
          <cell r="E43">
            <v>2.8</v>
          </cell>
          <cell r="F43">
            <v>2.5</v>
          </cell>
          <cell r="G43">
            <v>2.5</v>
          </cell>
          <cell r="H43">
            <v>2.5</v>
          </cell>
          <cell r="I43">
            <v>2.5</v>
          </cell>
        </row>
        <row r="44">
          <cell r="B44">
            <v>1.8</v>
          </cell>
          <cell r="C44">
            <v>1.5</v>
          </cell>
          <cell r="D44">
            <v>1.8</v>
          </cell>
          <cell r="E44">
            <v>1.7</v>
          </cell>
          <cell r="F44">
            <v>1.4</v>
          </cell>
          <cell r="G44">
            <v>1.4</v>
          </cell>
          <cell r="H44">
            <v>1.4</v>
          </cell>
          <cell r="I44">
            <v>1</v>
          </cell>
        </row>
        <row r="45">
          <cell r="B45">
            <v>2.6</v>
          </cell>
          <cell r="C45">
            <v>2.2999999999999998</v>
          </cell>
          <cell r="D45">
            <v>2.8</v>
          </cell>
          <cell r="E45">
            <v>2.6</v>
          </cell>
          <cell r="F45">
            <v>2.4</v>
          </cell>
          <cell r="G45">
            <v>2.4</v>
          </cell>
          <cell r="H45">
            <v>2.4</v>
          </cell>
          <cell r="I45">
            <v>3.2</v>
          </cell>
        </row>
        <row r="46">
          <cell r="B46">
            <v>2.9</v>
          </cell>
          <cell r="C46">
            <v>3.8</v>
          </cell>
          <cell r="D46">
            <v>3.1</v>
          </cell>
          <cell r="E46">
            <v>3.3</v>
          </cell>
          <cell r="F46">
            <v>3.3</v>
          </cell>
          <cell r="G46">
            <v>3.3</v>
          </cell>
          <cell r="H46">
            <v>3.3</v>
          </cell>
          <cell r="I46">
            <v>2.4</v>
          </cell>
        </row>
        <row r="51">
          <cell r="B51">
            <v>38776</v>
          </cell>
          <cell r="C51">
            <v>38777</v>
          </cell>
          <cell r="D51">
            <v>38778</v>
          </cell>
          <cell r="E51">
            <v>38779</v>
          </cell>
          <cell r="F51">
            <v>38780</v>
          </cell>
          <cell r="G51">
            <v>38781</v>
          </cell>
          <cell r="H51">
            <v>38782</v>
          </cell>
          <cell r="I51">
            <v>38783</v>
          </cell>
          <cell r="J51">
            <v>38784</v>
          </cell>
          <cell r="K51">
            <v>38785</v>
          </cell>
          <cell r="L51">
            <v>38786</v>
          </cell>
          <cell r="M51">
            <v>38787</v>
          </cell>
          <cell r="N51">
            <v>38788</v>
          </cell>
          <cell r="O51">
            <v>38789</v>
          </cell>
          <cell r="P51">
            <v>38790</v>
          </cell>
          <cell r="Q51">
            <v>38791</v>
          </cell>
          <cell r="R51">
            <v>38792</v>
          </cell>
          <cell r="S51">
            <v>38793</v>
          </cell>
          <cell r="T51">
            <v>38794</v>
          </cell>
          <cell r="U51">
            <v>38795</v>
          </cell>
          <cell r="V51">
            <v>38796</v>
          </cell>
          <cell r="W51">
            <v>38797</v>
          </cell>
          <cell r="X51">
            <v>38798</v>
          </cell>
          <cell r="Y51">
            <v>38799</v>
          </cell>
          <cell r="Z51">
            <v>38800</v>
          </cell>
          <cell r="AA51">
            <v>38801</v>
          </cell>
          <cell r="AB51">
            <v>38802</v>
          </cell>
          <cell r="AC51">
            <v>38803</v>
          </cell>
          <cell r="AD51">
            <v>38804</v>
          </cell>
          <cell r="AE51">
            <v>38805</v>
          </cell>
          <cell r="AF51">
            <v>38806</v>
          </cell>
          <cell r="AG51">
            <v>38807</v>
          </cell>
        </row>
        <row r="52">
          <cell r="B52">
            <v>2818.6</v>
          </cell>
          <cell r="C52">
            <v>3647.6000000000004</v>
          </cell>
          <cell r="D52">
            <v>3457.587</v>
          </cell>
          <cell r="E52">
            <v>3513.3</v>
          </cell>
          <cell r="F52">
            <v>3011.4</v>
          </cell>
          <cell r="G52">
            <v>3011.4</v>
          </cell>
          <cell r="H52">
            <v>3011.4</v>
          </cell>
          <cell r="I52">
            <v>3011.4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</row>
        <row r="53">
          <cell r="B53">
            <v>1933.848</v>
          </cell>
          <cell r="C53">
            <v>2014.425</v>
          </cell>
          <cell r="D53">
            <v>1651.0410000000002</v>
          </cell>
          <cell r="E53">
            <v>2266.46</v>
          </cell>
          <cell r="F53">
            <v>2428.3500000000004</v>
          </cell>
          <cell r="G53">
            <v>2428.3500000000004</v>
          </cell>
          <cell r="H53">
            <v>2428.3500000000004</v>
          </cell>
          <cell r="I53">
            <v>1861.7349999999999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</row>
        <row r="54">
          <cell r="B54">
            <v>2337.0479999999998</v>
          </cell>
          <cell r="C54">
            <v>2086.65</v>
          </cell>
          <cell r="D54">
            <v>2264.52</v>
          </cell>
          <cell r="E54">
            <v>2495.5559999999996</v>
          </cell>
          <cell r="F54">
            <v>2584.683</v>
          </cell>
          <cell r="G54">
            <v>2584.683</v>
          </cell>
          <cell r="H54">
            <v>2584.683</v>
          </cell>
          <cell r="I54">
            <v>2495.5559999999996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</row>
        <row r="55">
          <cell r="B55">
            <v>1570.9949999999999</v>
          </cell>
          <cell r="C55">
            <v>1885.194</v>
          </cell>
          <cell r="D55">
            <v>1748.9259999999999</v>
          </cell>
          <cell r="E55">
            <v>1921.0140000000001</v>
          </cell>
          <cell r="F55">
            <v>1921.0140000000001</v>
          </cell>
          <cell r="G55">
            <v>1921.0140000000001</v>
          </cell>
          <cell r="H55">
            <v>1921.0140000000001</v>
          </cell>
          <cell r="I55">
            <v>1600.845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</row>
        <row r="56">
          <cell r="B56">
            <v>2844.95</v>
          </cell>
          <cell r="C56">
            <v>2761.2749999999996</v>
          </cell>
          <cell r="D56">
            <v>2472.1060000000002</v>
          </cell>
          <cell r="E56">
            <v>2188.62</v>
          </cell>
          <cell r="F56">
            <v>2579.4449999999997</v>
          </cell>
          <cell r="G56">
            <v>2579.4449999999997</v>
          </cell>
          <cell r="H56">
            <v>2579.4449999999997</v>
          </cell>
          <cell r="I56">
            <v>2657.6099999999997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</row>
        <row r="57">
          <cell r="B57">
            <v>1826.3999999999999</v>
          </cell>
          <cell r="C57">
            <v>2130.7999999999997</v>
          </cell>
          <cell r="D57">
            <v>2064.86</v>
          </cell>
          <cell r="E57">
            <v>2380</v>
          </cell>
          <cell r="F57">
            <v>2125</v>
          </cell>
          <cell r="G57">
            <v>2125</v>
          </cell>
          <cell r="H57">
            <v>2125</v>
          </cell>
          <cell r="I57">
            <v>2125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</row>
        <row r="58">
          <cell r="B58">
            <v>540</v>
          </cell>
          <cell r="C58">
            <v>450</v>
          </cell>
          <cell r="D58">
            <v>650.71799999999996</v>
          </cell>
          <cell r="E58">
            <v>659.6</v>
          </cell>
          <cell r="F58">
            <v>543.19999999999993</v>
          </cell>
          <cell r="G58">
            <v>543.19999999999993</v>
          </cell>
          <cell r="H58">
            <v>543.19999999999993</v>
          </cell>
          <cell r="I58">
            <v>388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</row>
        <row r="59">
          <cell r="B59">
            <v>880.38600000000008</v>
          </cell>
          <cell r="C59">
            <v>778.803</v>
          </cell>
          <cell r="D59">
            <v>820.42799999999988</v>
          </cell>
          <cell r="E59">
            <v>975.15600000000006</v>
          </cell>
          <cell r="F59">
            <v>900.14400000000001</v>
          </cell>
          <cell r="G59">
            <v>900.14400000000001</v>
          </cell>
          <cell r="H59">
            <v>900.14400000000001</v>
          </cell>
          <cell r="I59">
            <v>1200.192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</row>
        <row r="60">
          <cell r="B60">
            <v>773.54600000000005</v>
          </cell>
          <cell r="C60">
            <v>1013.612</v>
          </cell>
          <cell r="D60">
            <v>821.34500000000003</v>
          </cell>
          <cell r="E60">
            <v>1099.923</v>
          </cell>
          <cell r="F60">
            <v>1099.923</v>
          </cell>
          <cell r="G60">
            <v>1099.923</v>
          </cell>
          <cell r="H60">
            <v>1099.923</v>
          </cell>
          <cell r="I60">
            <v>799.94399999999996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</row>
        <row r="63">
          <cell r="B63">
            <v>1.7</v>
          </cell>
          <cell r="C63">
            <v>2.2000000000000002</v>
          </cell>
          <cell r="D63">
            <v>2.1</v>
          </cell>
          <cell r="E63">
            <v>2.1</v>
          </cell>
          <cell r="F63">
            <v>1.8</v>
          </cell>
          <cell r="G63">
            <v>1.8</v>
          </cell>
          <cell r="H63">
            <v>1.8</v>
          </cell>
          <cell r="I63">
            <v>1.8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</row>
        <row r="64">
          <cell r="B64">
            <v>2.4646946667763747</v>
          </cell>
          <cell r="C64">
            <v>2.4819177701297486</v>
          </cell>
          <cell r="D64">
            <v>2.4679376508984143</v>
          </cell>
          <cell r="E64">
            <v>2.4993379535722333</v>
          </cell>
          <cell r="F64">
            <v>2.6801588911426641</v>
          </cell>
          <cell r="G64">
            <v>2.6801588911426641</v>
          </cell>
          <cell r="H64">
            <v>2.6801588911426641</v>
          </cell>
          <cell r="I64">
            <v>2.4272441965291862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</row>
        <row r="65">
          <cell r="B65">
            <v>2.4</v>
          </cell>
          <cell r="C65">
            <v>2.8</v>
          </cell>
          <cell r="D65">
            <v>2.8</v>
          </cell>
          <cell r="E65">
            <v>2.8</v>
          </cell>
          <cell r="F65">
            <v>2.5</v>
          </cell>
          <cell r="G65">
            <v>2.5</v>
          </cell>
          <cell r="H65">
            <v>2.5</v>
          </cell>
          <cell r="I65">
            <v>2.5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</row>
        <row r="66">
          <cell r="B66">
            <v>1.8</v>
          </cell>
          <cell r="C66">
            <v>1.5</v>
          </cell>
          <cell r="D66">
            <v>1.8</v>
          </cell>
          <cell r="E66">
            <v>1.7</v>
          </cell>
          <cell r="F66">
            <v>1.4</v>
          </cell>
          <cell r="G66">
            <v>1.4</v>
          </cell>
          <cell r="H66">
            <v>1.4</v>
          </cell>
          <cell r="I66">
            <v>1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</row>
        <row r="67">
          <cell r="B67">
            <v>2.7321912942925581</v>
          </cell>
          <cell r="C67">
            <v>2.9609564714627901</v>
          </cell>
          <cell r="D67">
            <v>2.942456448490931</v>
          </cell>
          <cell r="E67">
            <v>2.9293716560554515</v>
          </cell>
          <cell r="F67">
            <v>2.823477843499866</v>
          </cell>
          <cell r="G67">
            <v>2.823477843499866</v>
          </cell>
          <cell r="H67">
            <v>2.823477843499866</v>
          </cell>
          <cell r="I67">
            <v>2.8235752502223415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</row>
        <row r="68">
          <cell r="B68">
            <v>2.2669134717310619</v>
          </cell>
          <cell r="C68">
            <v>2.4483430819143628</v>
          </cell>
          <cell r="D68">
            <v>2.4167851206988762</v>
          </cell>
          <cell r="E68">
            <v>2.4410241638617536</v>
          </cell>
          <cell r="F68">
            <v>2.3982746475435102</v>
          </cell>
          <cell r="G68">
            <v>2.3982746475435102</v>
          </cell>
          <cell r="H68">
            <v>2.3982746475435102</v>
          </cell>
          <cell r="I68">
            <v>2.2514087797828695</v>
          </cell>
          <cell r="J68">
            <v>0</v>
          </cell>
          <cell r="K68">
            <v>0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  <cell r="T68" t="e">
            <v>#DIV/0!</v>
          </cell>
          <cell r="U68" t="e">
            <v>#DIV/0!</v>
          </cell>
          <cell r="V68" t="e">
            <v>#DIV/0!</v>
          </cell>
          <cell r="W68" t="e">
            <v>#DIV/0!</v>
          </cell>
          <cell r="X68" t="e">
            <v>#DIV/0!</v>
          </cell>
          <cell r="Y68" t="e">
            <v>#DIV/0!</v>
          </cell>
          <cell r="Z68" t="e">
            <v>#DIV/0!</v>
          </cell>
          <cell r="AA68" t="e">
            <v>#DIV/0!</v>
          </cell>
          <cell r="AB68" t="e">
            <v>#DIV/0!</v>
          </cell>
          <cell r="AC68" t="e">
            <v>#DIV/0!</v>
          </cell>
          <cell r="AD68" t="e">
            <v>#DIV/0!</v>
          </cell>
          <cell r="AE68" t="e">
            <v>#DIV/0!</v>
          </cell>
          <cell r="AF68" t="e">
            <v>#DIV/0!</v>
          </cell>
          <cell r="AG68" t="e">
            <v>#DIV/0!</v>
          </cell>
        </row>
        <row r="69">
          <cell r="B69">
            <v>0.63235859231368841</v>
          </cell>
          <cell r="C69">
            <v>0.60292665145096636</v>
          </cell>
          <cell r="D69">
            <v>0.60292665145096636</v>
          </cell>
          <cell r="E69">
            <v>0.60292665145096636</v>
          </cell>
          <cell r="F69">
            <v>0.61707549824002628</v>
          </cell>
          <cell r="G69">
            <v>0.61707549824002628</v>
          </cell>
          <cell r="H69">
            <v>0.61707549824002628</v>
          </cell>
          <cell r="I69">
            <v>0.63235859231368841</v>
          </cell>
          <cell r="J69">
            <v>0</v>
          </cell>
          <cell r="K69">
            <v>0</v>
          </cell>
          <cell r="L69" t="e">
            <v>#DIV/0!</v>
          </cell>
          <cell r="M69" t="e">
            <v>#DIV/0!</v>
          </cell>
          <cell r="N69" t="e">
            <v>#DIV/0!</v>
          </cell>
          <cell r="O69" t="e">
            <v>#DIV/0!</v>
          </cell>
          <cell r="P69" t="e">
            <v>#DIV/0!</v>
          </cell>
          <cell r="Q69" t="e">
            <v>#DIV/0!</v>
          </cell>
          <cell r="R69" t="e">
            <v>#DIV/0!</v>
          </cell>
          <cell r="S69" t="e">
            <v>#DIV/0!</v>
          </cell>
          <cell r="T69" t="e">
            <v>#DIV/0!</v>
          </cell>
          <cell r="U69" t="e">
            <v>#DIV/0!</v>
          </cell>
          <cell r="V69" t="e">
            <v>#DIV/0!</v>
          </cell>
          <cell r="W69" t="e">
            <v>#DIV/0!</v>
          </cell>
          <cell r="X69" t="e">
            <v>#DIV/0!</v>
          </cell>
          <cell r="Y69" t="e">
            <v>#DIV/0!</v>
          </cell>
          <cell r="Z69" t="e">
            <v>#DIV/0!</v>
          </cell>
          <cell r="AA69" t="e">
            <v>#DIV/0!</v>
          </cell>
          <cell r="AB69" t="e">
            <v>#DIV/0!</v>
          </cell>
          <cell r="AC69" t="e">
            <v>#DIV/0!</v>
          </cell>
          <cell r="AD69" t="e">
            <v>#DIV/0!</v>
          </cell>
          <cell r="AE69" t="e">
            <v>#DIV/0!</v>
          </cell>
          <cell r="AF69" t="e">
            <v>#DIV/0!</v>
          </cell>
          <cell r="AG69" t="e">
            <v>#DIV/0!</v>
          </cell>
        </row>
        <row r="73">
          <cell r="B73">
            <v>38776</v>
          </cell>
          <cell r="C73">
            <v>38777</v>
          </cell>
          <cell r="D73">
            <v>38778</v>
          </cell>
          <cell r="E73">
            <v>38779</v>
          </cell>
          <cell r="F73">
            <v>38780</v>
          </cell>
          <cell r="G73">
            <v>38781</v>
          </cell>
          <cell r="H73">
            <v>38782</v>
          </cell>
          <cell r="I73">
            <v>38783</v>
          </cell>
          <cell r="J73">
            <v>38784</v>
          </cell>
          <cell r="K73">
            <v>38785</v>
          </cell>
          <cell r="L73">
            <v>38786</v>
          </cell>
          <cell r="M73">
            <v>38787</v>
          </cell>
          <cell r="N73">
            <v>38788</v>
          </cell>
          <cell r="O73">
            <v>38789</v>
          </cell>
          <cell r="P73">
            <v>38790</v>
          </cell>
          <cell r="Q73">
            <v>38791</v>
          </cell>
          <cell r="R73">
            <v>38792</v>
          </cell>
          <cell r="S73">
            <v>38793</v>
          </cell>
          <cell r="T73">
            <v>38794</v>
          </cell>
          <cell r="U73">
            <v>38795</v>
          </cell>
          <cell r="V73">
            <v>38796</v>
          </cell>
          <cell r="W73">
            <v>38797</v>
          </cell>
          <cell r="X73">
            <v>38798</v>
          </cell>
          <cell r="Y73">
            <v>38799</v>
          </cell>
          <cell r="Z73">
            <v>38800</v>
          </cell>
          <cell r="AA73">
            <v>38801</v>
          </cell>
          <cell r="AB73">
            <v>38802</v>
          </cell>
          <cell r="AC73">
            <v>38803</v>
          </cell>
          <cell r="AD73">
            <v>38804</v>
          </cell>
          <cell r="AE73">
            <v>38805</v>
          </cell>
          <cell r="AF73">
            <v>38806</v>
          </cell>
          <cell r="AG73">
            <v>38807</v>
          </cell>
          <cell r="AH73" t="str">
            <v>AVG</v>
          </cell>
        </row>
        <row r="74">
          <cell r="B74">
            <v>0.95</v>
          </cell>
          <cell r="C74">
            <v>0.95</v>
          </cell>
          <cell r="D74">
            <v>0.98</v>
          </cell>
          <cell r="E74">
            <v>0.96</v>
          </cell>
          <cell r="F74">
            <v>0.95</v>
          </cell>
          <cell r="G74">
            <v>0.89900000000000002</v>
          </cell>
          <cell r="H74">
            <v>0.9</v>
          </cell>
          <cell r="I74">
            <v>0.9</v>
          </cell>
          <cell r="J74">
            <v>0.95</v>
          </cell>
          <cell r="K74">
            <v>0.95</v>
          </cell>
          <cell r="AH74">
            <v>0.93889999999999996</v>
          </cell>
        </row>
        <row r="75">
          <cell r="B75">
            <v>0.92500000000000004</v>
          </cell>
          <cell r="C75">
            <v>0.92500000000000004</v>
          </cell>
          <cell r="D75">
            <v>0.92</v>
          </cell>
          <cell r="E75">
            <v>0.85</v>
          </cell>
          <cell r="F75">
            <v>0.88</v>
          </cell>
          <cell r="G75">
            <v>0.88</v>
          </cell>
          <cell r="H75">
            <v>0.92</v>
          </cell>
          <cell r="I75">
            <v>0.92</v>
          </cell>
          <cell r="J75">
            <v>0.86</v>
          </cell>
          <cell r="K75">
            <v>0.9</v>
          </cell>
          <cell r="AH75">
            <v>0.89800000000000002</v>
          </cell>
        </row>
        <row r="76">
          <cell r="B76">
            <v>0.95</v>
          </cell>
          <cell r="C76">
            <v>0.95</v>
          </cell>
          <cell r="D76">
            <v>0.75</v>
          </cell>
          <cell r="E76">
            <v>0.97</v>
          </cell>
          <cell r="F76">
            <v>0.95</v>
          </cell>
          <cell r="G76">
            <v>0.749</v>
          </cell>
          <cell r="H76">
            <v>0.9</v>
          </cell>
          <cell r="I76">
            <v>0.9</v>
          </cell>
          <cell r="J76">
            <v>0.95</v>
          </cell>
          <cell r="K76">
            <v>0.95</v>
          </cell>
          <cell r="AH76">
            <v>0.90190000000000003</v>
          </cell>
        </row>
        <row r="77">
          <cell r="B77">
            <v>0.95</v>
          </cell>
          <cell r="C77">
            <v>0.6</v>
          </cell>
          <cell r="D77">
            <v>0.95</v>
          </cell>
          <cell r="E77">
            <v>0.95</v>
          </cell>
          <cell r="F77">
            <v>0.95</v>
          </cell>
          <cell r="G77">
            <v>1</v>
          </cell>
          <cell r="H77">
            <v>1</v>
          </cell>
          <cell r="I77">
            <v>1</v>
          </cell>
          <cell r="J77">
            <v>0.95</v>
          </cell>
          <cell r="K77">
            <v>0.95</v>
          </cell>
          <cell r="AH77">
            <v>0.92999999999999994</v>
          </cell>
        </row>
        <row r="78">
          <cell r="B78">
            <v>0.7</v>
          </cell>
          <cell r="C78">
            <v>0.92500000000000004</v>
          </cell>
          <cell r="D78">
            <v>0.9</v>
          </cell>
          <cell r="E78">
            <v>0.95</v>
          </cell>
          <cell r="F78">
            <v>0.95</v>
          </cell>
          <cell r="G78">
            <v>0.995</v>
          </cell>
          <cell r="H78">
            <v>0.5</v>
          </cell>
          <cell r="I78">
            <v>0.5</v>
          </cell>
          <cell r="J78">
            <v>0.95</v>
          </cell>
          <cell r="K78">
            <v>0.9</v>
          </cell>
          <cell r="AH78">
            <v>0.82699999999999996</v>
          </cell>
        </row>
        <row r="80">
          <cell r="B80">
            <v>0.96</v>
          </cell>
          <cell r="C80">
            <v>0.96</v>
          </cell>
          <cell r="D80">
            <v>0.96</v>
          </cell>
          <cell r="E80">
            <v>0.97</v>
          </cell>
          <cell r="F80">
            <v>0.91</v>
          </cell>
          <cell r="G80">
            <v>0.79600000000000004</v>
          </cell>
          <cell r="H80">
            <v>0.8</v>
          </cell>
          <cell r="I80">
            <v>0.8</v>
          </cell>
          <cell r="J80">
            <v>0.68</v>
          </cell>
          <cell r="K80">
            <v>0.8</v>
          </cell>
          <cell r="AH80">
            <v>0.86359999999999992</v>
          </cell>
        </row>
        <row r="81">
          <cell r="B81">
            <v>0.83340000000000003</v>
          </cell>
          <cell r="C81">
            <v>0.83330000000000004</v>
          </cell>
          <cell r="D81">
            <v>0.84</v>
          </cell>
          <cell r="E81">
            <v>0.86660000000000004</v>
          </cell>
          <cell r="F81">
            <v>0.87</v>
          </cell>
          <cell r="G81">
            <v>0.88200000000000001</v>
          </cell>
          <cell r="H81">
            <v>0.9</v>
          </cell>
          <cell r="I81">
            <v>0.9</v>
          </cell>
          <cell r="J81">
            <v>0.83</v>
          </cell>
          <cell r="K81">
            <v>0.83</v>
          </cell>
          <cell r="AH81">
            <v>0.85853000000000002</v>
          </cell>
        </row>
        <row r="82">
          <cell r="B82">
            <v>0.91180000000000005</v>
          </cell>
          <cell r="C82">
            <v>0.9264</v>
          </cell>
          <cell r="D82">
            <v>0.92</v>
          </cell>
          <cell r="E82">
            <v>0.91169999999999995</v>
          </cell>
          <cell r="F82">
            <v>0.95</v>
          </cell>
          <cell r="G82">
            <v>0.95899999999999996</v>
          </cell>
          <cell r="H82">
            <v>0.92</v>
          </cell>
          <cell r="I82">
            <v>0.92</v>
          </cell>
          <cell r="J82">
            <v>0.92</v>
          </cell>
          <cell r="K82">
            <v>0.91</v>
          </cell>
          <cell r="AH82">
            <v>0.9248900000000001</v>
          </cell>
        </row>
        <row r="86">
          <cell r="B86">
            <v>38776</v>
          </cell>
          <cell r="C86">
            <v>38777</v>
          </cell>
          <cell r="D86">
            <v>38778</v>
          </cell>
          <cell r="E86">
            <v>38779</v>
          </cell>
          <cell r="F86">
            <v>38780</v>
          </cell>
          <cell r="G86">
            <v>38781</v>
          </cell>
          <cell r="H86">
            <v>38782</v>
          </cell>
          <cell r="I86">
            <v>38783</v>
          </cell>
          <cell r="J86">
            <v>38784</v>
          </cell>
          <cell r="K86">
            <v>38785</v>
          </cell>
          <cell r="L86">
            <v>38786</v>
          </cell>
          <cell r="M86">
            <v>38787</v>
          </cell>
          <cell r="N86">
            <v>38788</v>
          </cell>
          <cell r="O86">
            <v>38789</v>
          </cell>
          <cell r="P86">
            <v>38790</v>
          </cell>
          <cell r="Q86">
            <v>38791</v>
          </cell>
          <cell r="R86">
            <v>38792</v>
          </cell>
          <cell r="S86">
            <v>38793</v>
          </cell>
          <cell r="T86">
            <v>38794</v>
          </cell>
          <cell r="U86">
            <v>38795</v>
          </cell>
          <cell r="V86">
            <v>38796</v>
          </cell>
          <cell r="W86">
            <v>38797</v>
          </cell>
          <cell r="X86">
            <v>38798</v>
          </cell>
          <cell r="Y86">
            <v>38799</v>
          </cell>
          <cell r="Z86">
            <v>38800</v>
          </cell>
          <cell r="AA86">
            <v>38801</v>
          </cell>
          <cell r="AB86">
            <v>38802</v>
          </cell>
          <cell r="AC86">
            <v>38803</v>
          </cell>
          <cell r="AD86">
            <v>38804</v>
          </cell>
          <cell r="AE86">
            <v>38805</v>
          </cell>
          <cell r="AF86">
            <v>38806</v>
          </cell>
          <cell r="AG86">
            <v>38807</v>
          </cell>
          <cell r="AH86" t="str">
            <v>AVG</v>
          </cell>
        </row>
        <row r="87">
          <cell r="B87">
            <v>0.97919999999999996</v>
          </cell>
          <cell r="C87">
            <v>1</v>
          </cell>
          <cell r="D87">
            <v>1</v>
          </cell>
          <cell r="E87">
            <v>0.99650000000000005</v>
          </cell>
          <cell r="F87">
            <v>0.89929999999999999</v>
          </cell>
          <cell r="G87">
            <v>0.98960000000000004</v>
          </cell>
          <cell r="H87">
            <v>0.93059999999999998</v>
          </cell>
          <cell r="I87">
            <v>1</v>
          </cell>
          <cell r="J87">
            <v>1</v>
          </cell>
          <cell r="AH87">
            <v>0.97724444444444458</v>
          </cell>
        </row>
        <row r="88">
          <cell r="B88">
            <v>0.99219999999999997</v>
          </cell>
          <cell r="C88">
            <v>0.9627</v>
          </cell>
          <cell r="D88">
            <v>0.95920000000000005</v>
          </cell>
          <cell r="E88">
            <v>0.90969999999999995</v>
          </cell>
          <cell r="F88">
            <v>0.84719999999999995</v>
          </cell>
          <cell r="G88">
            <v>0.80159999999999998</v>
          </cell>
          <cell r="H88">
            <v>0.95309999999999995</v>
          </cell>
          <cell r="I88">
            <v>0.87170000000000003</v>
          </cell>
          <cell r="J88">
            <v>0.87150000000000005</v>
          </cell>
          <cell r="AH88">
            <v>0.90765555555555544</v>
          </cell>
        </row>
        <row r="89">
          <cell r="B89">
            <v>0.94099999999999995</v>
          </cell>
          <cell r="C89">
            <v>0.93400000000000005</v>
          </cell>
          <cell r="D89">
            <v>0.83330000000000004</v>
          </cell>
          <cell r="E89">
            <v>1</v>
          </cell>
          <cell r="F89">
            <v>0.73260000000000003</v>
          </cell>
          <cell r="G89">
            <v>0.99170000000000003</v>
          </cell>
          <cell r="H89">
            <v>0.94789999999999996</v>
          </cell>
          <cell r="I89">
            <v>1</v>
          </cell>
          <cell r="J89">
            <v>0.89929999999999999</v>
          </cell>
          <cell r="AH89">
            <v>0.91997777777777778</v>
          </cell>
        </row>
        <row r="90">
          <cell r="B90">
            <v>1</v>
          </cell>
          <cell r="C90">
            <v>0.59719999999999995</v>
          </cell>
          <cell r="D90">
            <v>0.71179999999999999</v>
          </cell>
          <cell r="E90">
            <v>1</v>
          </cell>
          <cell r="F90">
            <v>1</v>
          </cell>
          <cell r="G90">
            <v>1</v>
          </cell>
          <cell r="H90">
            <v>1</v>
          </cell>
          <cell r="I90">
            <v>0.99309999999999998</v>
          </cell>
          <cell r="J90">
            <v>0.97219999999999995</v>
          </cell>
          <cell r="AH90">
            <v>0.91936666666666667</v>
          </cell>
        </row>
        <row r="91">
          <cell r="B91">
            <v>0.89059999999999995</v>
          </cell>
          <cell r="C91">
            <v>1</v>
          </cell>
          <cell r="D91">
            <v>0.98260000000000003</v>
          </cell>
          <cell r="E91">
            <v>1</v>
          </cell>
          <cell r="F91">
            <v>0.98440000000000005</v>
          </cell>
          <cell r="G91">
            <v>0.98089999999999999</v>
          </cell>
          <cell r="H91">
            <v>0.82640000000000002</v>
          </cell>
          <cell r="I91">
            <v>1</v>
          </cell>
          <cell r="J91">
            <v>1</v>
          </cell>
          <cell r="AH91">
            <v>0.96276666666666677</v>
          </cell>
        </row>
        <row r="93">
          <cell r="B93">
            <v>1</v>
          </cell>
          <cell r="C93">
            <v>0.97289999999999999</v>
          </cell>
          <cell r="D93">
            <v>0.99860000000000004</v>
          </cell>
          <cell r="E93">
            <v>1</v>
          </cell>
          <cell r="F93">
            <v>0.78610000000000002</v>
          </cell>
          <cell r="G93">
            <v>0.76600000000000001</v>
          </cell>
          <cell r="H93">
            <v>0.7</v>
          </cell>
          <cell r="I93">
            <v>0.57720000000000005</v>
          </cell>
          <cell r="J93">
            <v>0.62709999999999999</v>
          </cell>
          <cell r="AH93">
            <v>0.82532222222222229</v>
          </cell>
        </row>
        <row r="94">
          <cell r="B94">
            <v>0.85880000000000001</v>
          </cell>
          <cell r="C94">
            <v>0.82620000000000005</v>
          </cell>
          <cell r="D94">
            <v>0.81830000000000003</v>
          </cell>
          <cell r="E94">
            <v>0.87819999999999998</v>
          </cell>
          <cell r="F94">
            <v>0.87690000000000001</v>
          </cell>
          <cell r="G94">
            <v>0.85829999999999995</v>
          </cell>
          <cell r="H94">
            <v>0.93799999999999994</v>
          </cell>
          <cell r="I94">
            <v>0.88270000000000004</v>
          </cell>
          <cell r="J94">
            <v>0.8861</v>
          </cell>
          <cell r="AH94">
            <v>0.8692777777777777</v>
          </cell>
        </row>
        <row r="95">
          <cell r="B95">
            <v>0.91159999999999997</v>
          </cell>
          <cell r="C95">
            <v>0.85289999999999999</v>
          </cell>
          <cell r="D95">
            <v>0.97760000000000002</v>
          </cell>
          <cell r="E95">
            <v>0.97909999999999997</v>
          </cell>
          <cell r="F95">
            <v>0.97360000000000002</v>
          </cell>
          <cell r="G95">
            <v>0.98380000000000001</v>
          </cell>
          <cell r="H95">
            <v>0.99019999999999997</v>
          </cell>
          <cell r="I95">
            <v>0.95750000000000002</v>
          </cell>
          <cell r="J95">
            <v>0.95940000000000003</v>
          </cell>
          <cell r="AH95">
            <v>0.95396666666666663</v>
          </cell>
        </row>
        <row r="99">
          <cell r="B99">
            <v>38776</v>
          </cell>
          <cell r="C99">
            <v>38777</v>
          </cell>
          <cell r="D99">
            <v>38778</v>
          </cell>
          <cell r="E99">
            <v>38779</v>
          </cell>
          <cell r="F99">
            <v>38780</v>
          </cell>
          <cell r="G99">
            <v>38781</v>
          </cell>
          <cell r="H99">
            <v>38782</v>
          </cell>
          <cell r="I99">
            <v>38783</v>
          </cell>
          <cell r="J99">
            <v>38784</v>
          </cell>
          <cell r="K99">
            <v>38785</v>
          </cell>
          <cell r="L99">
            <v>38786</v>
          </cell>
          <cell r="M99">
            <v>38787</v>
          </cell>
          <cell r="N99">
            <v>38788</v>
          </cell>
          <cell r="O99">
            <v>38789</v>
          </cell>
          <cell r="P99">
            <v>38790</v>
          </cell>
          <cell r="Q99">
            <v>38791</v>
          </cell>
          <cell r="R99">
            <v>38792</v>
          </cell>
          <cell r="S99">
            <v>38793</v>
          </cell>
          <cell r="T99">
            <v>38794</v>
          </cell>
          <cell r="U99">
            <v>38795</v>
          </cell>
          <cell r="V99">
            <v>38796</v>
          </cell>
          <cell r="W99">
            <v>38797</v>
          </cell>
          <cell r="X99">
            <v>38798</v>
          </cell>
          <cell r="Y99">
            <v>38799</v>
          </cell>
          <cell r="Z99">
            <v>38800</v>
          </cell>
          <cell r="AA99">
            <v>38801</v>
          </cell>
          <cell r="AB99">
            <v>38802</v>
          </cell>
          <cell r="AC99">
            <v>38803</v>
          </cell>
          <cell r="AD99">
            <v>38804</v>
          </cell>
          <cell r="AE99">
            <v>38805</v>
          </cell>
          <cell r="AF99">
            <v>38806</v>
          </cell>
          <cell r="AG99">
            <v>38807</v>
          </cell>
        </row>
        <row r="100">
          <cell r="B100">
            <v>0.69069852049478531</v>
          </cell>
          <cell r="C100">
            <v>0.89160401002506262</v>
          </cell>
          <cell r="D100">
            <v>0.89492225461613217</v>
          </cell>
          <cell r="E100">
            <v>0.69392041090629797</v>
          </cell>
          <cell r="F100">
            <v>0.89160401002506262</v>
          </cell>
          <cell r="G100">
            <v>0.88545473806875363</v>
          </cell>
          <cell r="H100">
            <v>0.88558201058201058</v>
          </cell>
          <cell r="I100">
            <v>0.88558201058201058</v>
          </cell>
          <cell r="J100">
            <v>0.89160401002506262</v>
          </cell>
          <cell r="K100">
            <v>0.89160401002506262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</row>
        <row r="101">
          <cell r="B101">
            <v>0.66303400174367921</v>
          </cell>
          <cell r="C101">
            <v>0.86936936936936948</v>
          </cell>
          <cell r="D101">
            <v>0.8686594202898551</v>
          </cell>
          <cell r="E101">
            <v>0.63330170777988615</v>
          </cell>
          <cell r="F101">
            <v>0.86268939393939403</v>
          </cell>
          <cell r="G101">
            <v>0.86268939393939403</v>
          </cell>
          <cell r="H101">
            <v>0.8686594202898551</v>
          </cell>
          <cell r="I101">
            <v>0.8686594202898551</v>
          </cell>
          <cell r="J101">
            <v>0.85949612403100784</v>
          </cell>
          <cell r="K101">
            <v>0.86574074074074081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</row>
        <row r="102">
          <cell r="B102">
            <v>0.67190152801358227</v>
          </cell>
          <cell r="C102">
            <v>0.8728070175438597</v>
          </cell>
          <cell r="D102">
            <v>0.83888888888888891</v>
          </cell>
          <cell r="E102">
            <v>0.67866644496175588</v>
          </cell>
          <cell r="F102">
            <v>0.8728070175438597</v>
          </cell>
          <cell r="G102">
            <v>0.8386737872719181</v>
          </cell>
          <cell r="H102">
            <v>0.86574074074074081</v>
          </cell>
          <cell r="I102">
            <v>0.86574074074074081</v>
          </cell>
          <cell r="J102">
            <v>0.8728070175438597</v>
          </cell>
          <cell r="K102">
            <v>0.8728070175438597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</row>
        <row r="103">
          <cell r="B103">
            <v>0.65310453553237924</v>
          </cell>
          <cell r="C103">
            <v>0.76884920634920628</v>
          </cell>
          <cell r="D103">
            <v>0.85401002506265655</v>
          </cell>
          <cell r="E103">
            <v>0.65310453553237924</v>
          </cell>
          <cell r="F103">
            <v>0.85401002506265655</v>
          </cell>
          <cell r="G103">
            <v>0.86130952380952375</v>
          </cell>
          <cell r="H103">
            <v>0.86130952380952375</v>
          </cell>
          <cell r="I103">
            <v>0.86130952380952375</v>
          </cell>
          <cell r="J103">
            <v>0.85401002506265655</v>
          </cell>
          <cell r="K103">
            <v>0.85401002506265655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</row>
        <row r="104">
          <cell r="B104">
            <v>0.52921329822251473</v>
          </cell>
          <cell r="C104">
            <v>0.8500643500643501</v>
          </cell>
          <cell r="D104">
            <v>0.84589947089947093</v>
          </cell>
          <cell r="E104">
            <v>0.65310453553237924</v>
          </cell>
          <cell r="F104">
            <v>0.85401002506265655</v>
          </cell>
          <cell r="G104">
            <v>0.86061258674323993</v>
          </cell>
          <cell r="H104">
            <v>0.72261904761904761</v>
          </cell>
          <cell r="I104">
            <v>0.72261904761904761</v>
          </cell>
          <cell r="J104">
            <v>0.85401002506265655</v>
          </cell>
          <cell r="K104">
            <v>0.84589947089947093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</row>
        <row r="106">
          <cell r="B106">
            <v>0.64328383683222401</v>
          </cell>
          <cell r="C106">
            <v>0.84209656084656082</v>
          </cell>
          <cell r="D106">
            <v>0.84209656084656082</v>
          </cell>
          <cell r="E106">
            <v>0.64696132305044851</v>
          </cell>
          <cell r="F106">
            <v>0.83342054770626195</v>
          </cell>
          <cell r="G106">
            <v>0.80956369147323914</v>
          </cell>
          <cell r="H106">
            <v>0.81051587301587302</v>
          </cell>
          <cell r="I106">
            <v>0.81051587301587302</v>
          </cell>
          <cell r="J106">
            <v>0.77707749766573286</v>
          </cell>
          <cell r="K106">
            <v>0.81051587301587302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</row>
        <row r="107">
          <cell r="B107">
            <v>0.55969344265054799</v>
          </cell>
          <cell r="C107">
            <v>0.78868202347141503</v>
          </cell>
          <cell r="D107">
            <v>0.79036753590325015</v>
          </cell>
          <cell r="E107">
            <v>0.57656186834175716</v>
          </cell>
          <cell r="F107">
            <v>0.79759624156175879</v>
          </cell>
          <cell r="G107">
            <v>0.80035003419357165</v>
          </cell>
          <cell r="H107">
            <v>0.80434303350970027</v>
          </cell>
          <cell r="I107">
            <v>0.80434303350970027</v>
          </cell>
          <cell r="J107">
            <v>0.78784184356473508</v>
          </cell>
          <cell r="K107">
            <v>0.78784184356473508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</row>
        <row r="108">
          <cell r="B108">
            <v>0.59755265968958848</v>
          </cell>
          <cell r="C108">
            <v>0.80991875017134085</v>
          </cell>
          <cell r="D108">
            <v>0.8085964458247068</v>
          </cell>
          <cell r="E108">
            <v>0.59750851717118214</v>
          </cell>
          <cell r="F108">
            <v>0.81464076858813705</v>
          </cell>
          <cell r="G108">
            <v>0.81638032341890532</v>
          </cell>
          <cell r="H108">
            <v>0.8085964458247068</v>
          </cell>
          <cell r="I108">
            <v>0.8085964458247068</v>
          </cell>
          <cell r="J108">
            <v>0.8085964458247068</v>
          </cell>
          <cell r="K108">
            <v>0.80649311006453872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</row>
        <row r="112">
          <cell r="B112">
            <v>38776</v>
          </cell>
          <cell r="C112">
            <v>38777</v>
          </cell>
          <cell r="D112">
            <v>38778</v>
          </cell>
          <cell r="E112">
            <v>38779</v>
          </cell>
          <cell r="F112">
            <v>38780</v>
          </cell>
          <cell r="G112">
            <v>38781</v>
          </cell>
          <cell r="H112">
            <v>38782</v>
          </cell>
          <cell r="I112">
            <v>38783</v>
          </cell>
          <cell r="J112">
            <v>38784</v>
          </cell>
          <cell r="K112">
            <v>38785</v>
          </cell>
          <cell r="L112">
            <v>38786</v>
          </cell>
          <cell r="M112">
            <v>38787</v>
          </cell>
          <cell r="N112">
            <v>38788</v>
          </cell>
          <cell r="O112">
            <v>38789</v>
          </cell>
          <cell r="P112">
            <v>38790</v>
          </cell>
          <cell r="Q112">
            <v>38791</v>
          </cell>
          <cell r="R112">
            <v>38792</v>
          </cell>
          <cell r="S112">
            <v>38793</v>
          </cell>
          <cell r="T112">
            <v>38794</v>
          </cell>
          <cell r="U112">
            <v>38795</v>
          </cell>
          <cell r="V112">
            <v>38796</v>
          </cell>
          <cell r="W112">
            <v>38797</v>
          </cell>
          <cell r="X112">
            <v>38798</v>
          </cell>
          <cell r="Y112">
            <v>38799</v>
          </cell>
          <cell r="Z112">
            <v>38800</v>
          </cell>
          <cell r="AA112">
            <v>38801</v>
          </cell>
          <cell r="AB112">
            <v>38802</v>
          </cell>
          <cell r="AC112">
            <v>38803</v>
          </cell>
          <cell r="AD112">
            <v>38804</v>
          </cell>
          <cell r="AE112">
            <v>38805</v>
          </cell>
          <cell r="AF112">
            <v>38806</v>
          </cell>
          <cell r="AG112">
            <v>38807</v>
          </cell>
          <cell r="AH112" t="str">
            <v>AVG</v>
          </cell>
        </row>
        <row r="113">
          <cell r="B113">
            <v>0.84960000000000002</v>
          </cell>
          <cell r="C113">
            <v>0.90969999999999995</v>
          </cell>
          <cell r="D113">
            <v>0.7903</v>
          </cell>
          <cell r="E113">
            <v>0.64459999999999995</v>
          </cell>
          <cell r="F113">
            <v>0.87260000000000004</v>
          </cell>
          <cell r="G113">
            <v>0.78879999999999995</v>
          </cell>
          <cell r="H113">
            <v>0.54479999999999995</v>
          </cell>
          <cell r="I113">
            <v>0.86880000000000002</v>
          </cell>
          <cell r="J113">
            <v>0.52780000000000005</v>
          </cell>
          <cell r="AH113">
            <v>0.75522222222222224</v>
          </cell>
        </row>
        <row r="114">
          <cell r="B114">
            <v>0.75470000000000004</v>
          </cell>
          <cell r="C114">
            <v>0.88939999999999997</v>
          </cell>
          <cell r="D114">
            <v>0.747</v>
          </cell>
          <cell r="E114">
            <v>0.69289999999999996</v>
          </cell>
          <cell r="F114">
            <v>0.83399999999999996</v>
          </cell>
          <cell r="G114">
            <v>0.75660000000000005</v>
          </cell>
          <cell r="H114">
            <v>0.53210000000000002</v>
          </cell>
          <cell r="I114">
            <v>0.82550000000000001</v>
          </cell>
          <cell r="J114">
            <v>0.53149999999999997</v>
          </cell>
          <cell r="AH114">
            <v>0.72929999999999995</v>
          </cell>
        </row>
        <row r="115">
          <cell r="B115">
            <v>0.74760000000000004</v>
          </cell>
          <cell r="C115">
            <v>0.87960000000000005</v>
          </cell>
          <cell r="D115">
            <v>0.72919999999999996</v>
          </cell>
          <cell r="E115">
            <v>0.60629999999999995</v>
          </cell>
          <cell r="F115">
            <v>0.81799999999999995</v>
          </cell>
          <cell r="G115">
            <v>0.75629999999999997</v>
          </cell>
          <cell r="H115">
            <v>0.54139999999999999</v>
          </cell>
          <cell r="I115">
            <v>0.83889999999999998</v>
          </cell>
          <cell r="J115">
            <v>0.5514</v>
          </cell>
          <cell r="AH115">
            <v>0.71874444444444452</v>
          </cell>
        </row>
        <row r="116">
          <cell r="B116">
            <v>0.90490000000000004</v>
          </cell>
          <cell r="C116">
            <v>0.64529999999999998</v>
          </cell>
          <cell r="D116">
            <v>0.81459999999999999</v>
          </cell>
          <cell r="E116">
            <v>0.67359999999999998</v>
          </cell>
          <cell r="F116">
            <v>0.85760000000000003</v>
          </cell>
          <cell r="G116">
            <v>0.77080000000000004</v>
          </cell>
          <cell r="H116">
            <v>0.43059999999999998</v>
          </cell>
          <cell r="I116">
            <v>0.83430000000000004</v>
          </cell>
          <cell r="J116">
            <v>0.57779999999999998</v>
          </cell>
          <cell r="AH116">
            <v>0.7232777777777778</v>
          </cell>
        </row>
        <row r="117">
          <cell r="B117">
            <v>0.85960000000000003</v>
          </cell>
          <cell r="C117">
            <v>0.88649999999999995</v>
          </cell>
          <cell r="D117">
            <v>0.80210000000000004</v>
          </cell>
          <cell r="E117">
            <v>0.75349999999999995</v>
          </cell>
          <cell r="F117">
            <v>0.81020000000000003</v>
          </cell>
          <cell r="G117">
            <v>0.84279999999999999</v>
          </cell>
          <cell r="H117">
            <v>0.47899999999999998</v>
          </cell>
          <cell r="I117">
            <v>0.83679999999999999</v>
          </cell>
          <cell r="J117">
            <v>0.51700000000000002</v>
          </cell>
          <cell r="AH117">
            <v>0.75416666666666687</v>
          </cell>
        </row>
        <row r="119">
          <cell r="B119">
            <v>0.87</v>
          </cell>
          <cell r="C119">
            <v>0.87280000000000002</v>
          </cell>
          <cell r="D119">
            <v>0.83279999999999998</v>
          </cell>
          <cell r="E119">
            <v>0.74080000000000001</v>
          </cell>
          <cell r="F119">
            <v>0.8226</v>
          </cell>
          <cell r="G119">
            <v>0.78979999999999995</v>
          </cell>
          <cell r="H119">
            <v>0.78979999999999995</v>
          </cell>
          <cell r="I119">
            <v>0.89080000000000004</v>
          </cell>
          <cell r="J119">
            <v>0.52229999999999999</v>
          </cell>
          <cell r="AH119">
            <v>0.79241111111111096</v>
          </cell>
        </row>
        <row r="120">
          <cell r="B120">
            <v>0.71160000000000001</v>
          </cell>
          <cell r="C120">
            <v>0.80530000000000002</v>
          </cell>
          <cell r="D120">
            <v>0.72309999999999997</v>
          </cell>
          <cell r="E120">
            <v>0.61680000000000001</v>
          </cell>
          <cell r="F120">
            <v>0.68430000000000002</v>
          </cell>
          <cell r="G120">
            <v>0.68930000000000002</v>
          </cell>
          <cell r="H120">
            <v>0.68930000000000002</v>
          </cell>
          <cell r="I120">
            <v>0.79610000000000003</v>
          </cell>
          <cell r="J120">
            <v>0.52349999999999997</v>
          </cell>
          <cell r="AH120">
            <v>0.69325555555555562</v>
          </cell>
        </row>
        <row r="121">
          <cell r="B121">
            <v>0.7621</v>
          </cell>
          <cell r="C121">
            <v>0.86099999999999999</v>
          </cell>
          <cell r="D121">
            <v>0.7177</v>
          </cell>
          <cell r="E121">
            <v>0.64129999999999998</v>
          </cell>
          <cell r="F121">
            <v>0.82299999999999995</v>
          </cell>
          <cell r="G121">
            <v>0.7823</v>
          </cell>
          <cell r="H121">
            <v>0.7823</v>
          </cell>
          <cell r="I121">
            <v>0.81130000000000002</v>
          </cell>
          <cell r="J121">
            <v>0.55130000000000001</v>
          </cell>
          <cell r="AH121">
            <v>0.74803333333333333</v>
          </cell>
        </row>
        <row r="125">
          <cell r="B125">
            <v>38776</v>
          </cell>
          <cell r="C125">
            <v>38777</v>
          </cell>
          <cell r="D125">
            <v>38778</v>
          </cell>
          <cell r="E125">
            <v>38779</v>
          </cell>
          <cell r="F125">
            <v>38780</v>
          </cell>
          <cell r="G125">
            <v>38781</v>
          </cell>
          <cell r="H125">
            <v>38782</v>
          </cell>
          <cell r="I125">
            <v>38783</v>
          </cell>
          <cell r="J125">
            <v>38784</v>
          </cell>
          <cell r="K125">
            <v>38785</v>
          </cell>
          <cell r="L125">
            <v>38786</v>
          </cell>
          <cell r="M125">
            <v>38787</v>
          </cell>
          <cell r="N125">
            <v>38788</v>
          </cell>
          <cell r="O125">
            <v>38789</v>
          </cell>
          <cell r="P125">
            <v>38790</v>
          </cell>
          <cell r="Q125">
            <v>38791</v>
          </cell>
          <cell r="R125">
            <v>38792</v>
          </cell>
          <cell r="S125">
            <v>38793</v>
          </cell>
          <cell r="T125">
            <v>38794</v>
          </cell>
          <cell r="U125">
            <v>38795</v>
          </cell>
          <cell r="V125">
            <v>38796</v>
          </cell>
          <cell r="W125">
            <v>38797</v>
          </cell>
          <cell r="X125">
            <v>38798</v>
          </cell>
          <cell r="Y125">
            <v>38799</v>
          </cell>
          <cell r="Z125">
            <v>38800</v>
          </cell>
          <cell r="AA125">
            <v>38801</v>
          </cell>
          <cell r="AB125">
            <v>38802</v>
          </cell>
          <cell r="AC125">
            <v>38803</v>
          </cell>
          <cell r="AD125">
            <v>38804</v>
          </cell>
          <cell r="AE125">
            <v>38805</v>
          </cell>
          <cell r="AF125">
            <v>38806</v>
          </cell>
          <cell r="AG125">
            <v>38807</v>
          </cell>
        </row>
        <row r="126">
          <cell r="B126">
            <v>1</v>
          </cell>
          <cell r="C126">
            <v>1</v>
          </cell>
          <cell r="D126">
            <v>1</v>
          </cell>
          <cell r="E126">
            <v>1</v>
          </cell>
          <cell r="F126">
            <v>1</v>
          </cell>
          <cell r="G126">
            <v>1</v>
          </cell>
          <cell r="H126">
            <v>1</v>
          </cell>
          <cell r="I126">
            <v>1</v>
          </cell>
          <cell r="J126">
            <v>1</v>
          </cell>
          <cell r="K126">
            <v>1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</row>
        <row r="127">
          <cell r="B127">
            <v>4</v>
          </cell>
          <cell r="C127">
            <v>4</v>
          </cell>
          <cell r="D127">
            <v>4</v>
          </cell>
          <cell r="E127">
            <v>4</v>
          </cell>
          <cell r="F127">
            <v>4</v>
          </cell>
          <cell r="G127">
            <v>4</v>
          </cell>
          <cell r="H127">
            <v>4</v>
          </cell>
          <cell r="I127">
            <v>4</v>
          </cell>
          <cell r="J127">
            <v>4</v>
          </cell>
          <cell r="K127">
            <v>4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</row>
        <row r="128">
          <cell r="B128">
            <v>1</v>
          </cell>
          <cell r="C128">
            <v>1</v>
          </cell>
          <cell r="D128">
            <v>1</v>
          </cell>
          <cell r="E128">
            <v>1</v>
          </cell>
          <cell r="F128">
            <v>1</v>
          </cell>
          <cell r="G128">
            <v>1</v>
          </cell>
          <cell r="H128">
            <v>1</v>
          </cell>
          <cell r="I128">
            <v>1</v>
          </cell>
          <cell r="J128">
            <v>1</v>
          </cell>
          <cell r="K128">
            <v>1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</row>
        <row r="129">
          <cell r="B129">
            <v>1</v>
          </cell>
          <cell r="C129">
            <v>1</v>
          </cell>
          <cell r="D129">
            <v>1</v>
          </cell>
          <cell r="E129">
            <v>1</v>
          </cell>
          <cell r="F129">
            <v>1</v>
          </cell>
          <cell r="G129">
            <v>1</v>
          </cell>
          <cell r="H129">
            <v>1</v>
          </cell>
          <cell r="I129">
            <v>1</v>
          </cell>
          <cell r="J129">
            <v>1</v>
          </cell>
          <cell r="K129">
            <v>1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</row>
        <row r="130">
          <cell r="B130">
            <v>2</v>
          </cell>
          <cell r="C130">
            <v>2</v>
          </cell>
          <cell r="D130">
            <v>2</v>
          </cell>
          <cell r="E130">
            <v>2</v>
          </cell>
          <cell r="F130">
            <v>2</v>
          </cell>
          <cell r="G130">
            <v>2</v>
          </cell>
          <cell r="H130">
            <v>1</v>
          </cell>
          <cell r="I130">
            <v>1</v>
          </cell>
          <cell r="J130">
            <v>2</v>
          </cell>
          <cell r="K130">
            <v>2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</row>
        <row r="132">
          <cell r="B132">
            <v>5</v>
          </cell>
          <cell r="C132">
            <v>5</v>
          </cell>
          <cell r="D132">
            <v>5</v>
          </cell>
          <cell r="E132">
            <v>5</v>
          </cell>
          <cell r="F132">
            <v>5</v>
          </cell>
          <cell r="G132">
            <v>4</v>
          </cell>
          <cell r="H132">
            <v>4</v>
          </cell>
          <cell r="I132">
            <v>4</v>
          </cell>
          <cell r="J132">
            <v>4</v>
          </cell>
          <cell r="K132">
            <v>4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</row>
        <row r="133">
          <cell r="B133">
            <v>13</v>
          </cell>
          <cell r="C133">
            <v>13</v>
          </cell>
          <cell r="D133">
            <v>13</v>
          </cell>
          <cell r="E133">
            <v>13</v>
          </cell>
          <cell r="F133">
            <v>14</v>
          </cell>
          <cell r="G133">
            <v>14</v>
          </cell>
          <cell r="H133">
            <v>14</v>
          </cell>
          <cell r="I133">
            <v>14</v>
          </cell>
          <cell r="J133">
            <v>13</v>
          </cell>
          <cell r="K133">
            <v>13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</row>
        <row r="134">
          <cell r="B134">
            <v>32</v>
          </cell>
          <cell r="C134">
            <v>32</v>
          </cell>
          <cell r="D134">
            <v>32</v>
          </cell>
          <cell r="E134">
            <v>31</v>
          </cell>
          <cell r="F134">
            <v>33</v>
          </cell>
          <cell r="G134">
            <v>33</v>
          </cell>
          <cell r="H134">
            <v>32</v>
          </cell>
          <cell r="I134">
            <v>32</v>
          </cell>
          <cell r="J134">
            <v>32</v>
          </cell>
          <cell r="K134">
            <v>31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</row>
        <row r="135">
          <cell r="B135">
            <v>50</v>
          </cell>
          <cell r="C135">
            <v>50</v>
          </cell>
          <cell r="D135">
            <v>50</v>
          </cell>
          <cell r="E135">
            <v>49</v>
          </cell>
          <cell r="F135">
            <v>52</v>
          </cell>
          <cell r="G135">
            <v>51</v>
          </cell>
          <cell r="H135">
            <v>50</v>
          </cell>
          <cell r="I135">
            <v>50</v>
          </cell>
          <cell r="J135">
            <v>49</v>
          </cell>
          <cell r="K135">
            <v>48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</row>
        <row r="139">
          <cell r="B139">
            <v>38776</v>
          </cell>
          <cell r="C139">
            <v>38777</v>
          </cell>
          <cell r="D139">
            <v>38778</v>
          </cell>
          <cell r="E139">
            <v>38779</v>
          </cell>
          <cell r="F139">
            <v>38780</v>
          </cell>
          <cell r="G139">
            <v>38781</v>
          </cell>
          <cell r="H139">
            <v>38782</v>
          </cell>
          <cell r="I139">
            <v>38783</v>
          </cell>
          <cell r="J139">
            <v>38784</v>
          </cell>
          <cell r="K139">
            <v>38785</v>
          </cell>
          <cell r="L139">
            <v>38786</v>
          </cell>
          <cell r="M139">
            <v>38787</v>
          </cell>
          <cell r="N139">
            <v>38788</v>
          </cell>
          <cell r="O139">
            <v>38789</v>
          </cell>
          <cell r="P139">
            <v>38790</v>
          </cell>
          <cell r="Q139">
            <v>38791</v>
          </cell>
          <cell r="R139">
            <v>38792</v>
          </cell>
          <cell r="S139">
            <v>38793</v>
          </cell>
          <cell r="T139">
            <v>38794</v>
          </cell>
          <cell r="U139">
            <v>38795</v>
          </cell>
          <cell r="V139">
            <v>38796</v>
          </cell>
          <cell r="W139">
            <v>38797</v>
          </cell>
          <cell r="X139">
            <v>38798</v>
          </cell>
          <cell r="Y139">
            <v>38799</v>
          </cell>
          <cell r="Z139">
            <v>38800</v>
          </cell>
          <cell r="AA139">
            <v>38801</v>
          </cell>
          <cell r="AB139">
            <v>38802</v>
          </cell>
          <cell r="AC139">
            <v>38803</v>
          </cell>
          <cell r="AD139">
            <v>38804</v>
          </cell>
          <cell r="AE139">
            <v>38805</v>
          </cell>
          <cell r="AF139">
            <v>38806</v>
          </cell>
          <cell r="AG139">
            <v>38807</v>
          </cell>
        </row>
        <row r="140">
          <cell r="B140">
            <v>185.80645161290323</v>
          </cell>
          <cell r="E140">
            <v>185.80645161290323</v>
          </cell>
        </row>
        <row r="141">
          <cell r="B141">
            <v>89.032258064516128</v>
          </cell>
          <cell r="E141">
            <v>89.032258064516128</v>
          </cell>
        </row>
        <row r="149">
          <cell r="B149">
            <v>38776</v>
          </cell>
          <cell r="C149">
            <v>38777</v>
          </cell>
          <cell r="D149">
            <v>38778</v>
          </cell>
          <cell r="E149">
            <v>38779</v>
          </cell>
          <cell r="F149">
            <v>38780</v>
          </cell>
          <cell r="G149">
            <v>38781</v>
          </cell>
          <cell r="H149">
            <v>38782</v>
          </cell>
          <cell r="I149">
            <v>38783</v>
          </cell>
          <cell r="J149">
            <v>38784</v>
          </cell>
          <cell r="K149">
            <v>38785</v>
          </cell>
          <cell r="L149">
            <v>38786</v>
          </cell>
          <cell r="M149">
            <v>38787</v>
          </cell>
          <cell r="N149">
            <v>38788</v>
          </cell>
          <cell r="O149">
            <v>38789</v>
          </cell>
          <cell r="P149">
            <v>38790</v>
          </cell>
          <cell r="Q149">
            <v>38791</v>
          </cell>
          <cell r="R149">
            <v>38792</v>
          </cell>
          <cell r="S149">
            <v>38793</v>
          </cell>
          <cell r="T149">
            <v>38794</v>
          </cell>
          <cell r="U149">
            <v>38795</v>
          </cell>
          <cell r="V149">
            <v>38796</v>
          </cell>
          <cell r="W149">
            <v>38797</v>
          </cell>
          <cell r="X149">
            <v>38798</v>
          </cell>
          <cell r="Y149">
            <v>38799</v>
          </cell>
          <cell r="Z149">
            <v>38800</v>
          </cell>
          <cell r="AA149">
            <v>38801</v>
          </cell>
          <cell r="AB149">
            <v>38802</v>
          </cell>
          <cell r="AC149">
            <v>38803</v>
          </cell>
          <cell r="AD149">
            <v>38804</v>
          </cell>
          <cell r="AE149">
            <v>38805</v>
          </cell>
          <cell r="AF149">
            <v>38806</v>
          </cell>
          <cell r="AG149">
            <v>38807</v>
          </cell>
        </row>
        <row r="150">
          <cell r="B150">
            <v>101021.43163275535</v>
          </cell>
          <cell r="C150">
            <v>132042.07258157295</v>
          </cell>
          <cell r="D150">
            <v>131686.23491871305</v>
          </cell>
          <cell r="E150">
            <v>98126.420116878187</v>
          </cell>
          <cell r="F150">
            <v>137793.26729474697</v>
          </cell>
          <cell r="G150">
            <v>131750.96274806035</v>
          </cell>
          <cell r="H150">
            <v>128566.26078466355</v>
          </cell>
          <cell r="I150">
            <v>131750.45828379469</v>
          </cell>
          <cell r="J150">
            <v>131750.45828379469</v>
          </cell>
          <cell r="K150">
            <v>0</v>
          </cell>
          <cell r="L150" t="e">
            <v>#DIV/0!</v>
          </cell>
          <cell r="M150" t="e">
            <v>#DIV/0!</v>
          </cell>
          <cell r="N150" t="e">
            <v>#DIV/0!</v>
          </cell>
          <cell r="O150" t="e">
            <v>#DIV/0!</v>
          </cell>
          <cell r="P150" t="e">
            <v>#DIV/0!</v>
          </cell>
          <cell r="Q150" t="e">
            <v>#DIV/0!</v>
          </cell>
          <cell r="R150" t="e">
            <v>#DIV/0!</v>
          </cell>
          <cell r="S150" t="e">
            <v>#DIV/0!</v>
          </cell>
          <cell r="T150" t="e">
            <v>#DIV/0!</v>
          </cell>
          <cell r="U150" t="e">
            <v>#DIV/0!</v>
          </cell>
          <cell r="V150" t="e">
            <v>#DIV/0!</v>
          </cell>
          <cell r="W150" t="e">
            <v>#DIV/0!</v>
          </cell>
          <cell r="X150" t="e">
            <v>#DIV/0!</v>
          </cell>
          <cell r="Y150" t="e">
            <v>#DIV/0!</v>
          </cell>
          <cell r="Z150" t="e">
            <v>#DIV/0!</v>
          </cell>
          <cell r="AA150" t="e">
            <v>#DIV/0!</v>
          </cell>
          <cell r="AB150" t="e">
            <v>#DIV/0!</v>
          </cell>
          <cell r="AC150" t="e">
            <v>#DIV/0!</v>
          </cell>
          <cell r="AD150" t="e">
            <v>#DIV/0!</v>
          </cell>
          <cell r="AE150" t="e">
            <v>#DIV/0!</v>
          </cell>
          <cell r="AF150" t="e">
            <v>#DIV/0!</v>
          </cell>
          <cell r="AG150" t="e">
            <v>#DIV/0!</v>
          </cell>
          <cell r="AH150" t="e">
            <v>#DIV/0!</v>
          </cell>
        </row>
        <row r="151">
          <cell r="B151">
            <v>3397360.6919347653</v>
          </cell>
          <cell r="C151">
            <v>132042.07258157295</v>
          </cell>
          <cell r="D151">
            <v>263728.30750028603</v>
          </cell>
          <cell r="E151">
            <v>361854.7276171642</v>
          </cell>
          <cell r="F151">
            <v>499647.9949119112</v>
          </cell>
          <cell r="G151">
            <v>631398.95765997155</v>
          </cell>
          <cell r="H151">
            <v>759965.21844463516</v>
          </cell>
          <cell r="I151">
            <v>891715.67672842985</v>
          </cell>
          <cell r="J151">
            <v>1023466.1350122245</v>
          </cell>
          <cell r="K151">
            <v>1023466.1350122245</v>
          </cell>
          <cell r="L151" t="e">
            <v>#DIV/0!</v>
          </cell>
          <cell r="M151" t="e">
            <v>#DIV/0!</v>
          </cell>
          <cell r="N151" t="e">
            <v>#DIV/0!</v>
          </cell>
          <cell r="O151" t="e">
            <v>#DIV/0!</v>
          </cell>
          <cell r="P151" t="e">
            <v>#DIV/0!</v>
          </cell>
          <cell r="Q151" t="e">
            <v>#DIV/0!</v>
          </cell>
          <cell r="R151" t="e">
            <v>#DIV/0!</v>
          </cell>
          <cell r="S151" t="e">
            <v>#DIV/0!</v>
          </cell>
          <cell r="T151" t="e">
            <v>#DIV/0!</v>
          </cell>
          <cell r="U151" t="e">
            <v>#DIV/0!</v>
          </cell>
          <cell r="V151" t="e">
            <v>#DIV/0!</v>
          </cell>
          <cell r="W151" t="e">
            <v>#DIV/0!</v>
          </cell>
          <cell r="X151" t="e">
            <v>#DIV/0!</v>
          </cell>
          <cell r="Y151" t="e">
            <v>#DIV/0!</v>
          </cell>
          <cell r="Z151" t="e">
            <v>#DIV/0!</v>
          </cell>
          <cell r="AA151" t="e">
            <v>#DIV/0!</v>
          </cell>
          <cell r="AB151" t="e">
            <v>#DIV/0!</v>
          </cell>
          <cell r="AC151" t="e">
            <v>#DIV/0!</v>
          </cell>
          <cell r="AD151" t="e">
            <v>#DIV/0!</v>
          </cell>
          <cell r="AE151" t="e">
            <v>#DIV/0!</v>
          </cell>
          <cell r="AF151" t="e">
            <v>#DIV/0!</v>
          </cell>
          <cell r="AG151" t="e">
            <v>#DIV/0!</v>
          </cell>
        </row>
        <row r="152">
          <cell r="B152">
            <v>126160</v>
          </cell>
          <cell r="C152">
            <v>133104</v>
          </cell>
          <cell r="D152">
            <v>118514</v>
          </cell>
          <cell r="E152">
            <v>106508</v>
          </cell>
          <cell r="F152">
            <v>120224</v>
          </cell>
          <cell r="G152">
            <v>112276</v>
          </cell>
          <cell r="H152">
            <v>81016</v>
          </cell>
          <cell r="I152">
            <v>127642</v>
          </cell>
          <cell r="J152">
            <v>89946</v>
          </cell>
          <cell r="AH152">
            <v>889230</v>
          </cell>
        </row>
        <row r="153">
          <cell r="B153">
            <v>3372992</v>
          </cell>
          <cell r="C153">
            <v>133104</v>
          </cell>
          <cell r="D153">
            <v>251618</v>
          </cell>
          <cell r="E153">
            <v>358126</v>
          </cell>
          <cell r="F153">
            <v>478350</v>
          </cell>
          <cell r="G153">
            <v>590626</v>
          </cell>
          <cell r="H153">
            <v>671642</v>
          </cell>
          <cell r="I153">
            <v>799284</v>
          </cell>
          <cell r="J153">
            <v>889230</v>
          </cell>
          <cell r="K153">
            <v>889230</v>
          </cell>
          <cell r="L153">
            <v>889230</v>
          </cell>
          <cell r="M153">
            <v>889230</v>
          </cell>
          <cell r="N153">
            <v>889230</v>
          </cell>
          <cell r="O153">
            <v>889230</v>
          </cell>
          <cell r="P153">
            <v>889230</v>
          </cell>
          <cell r="Q153">
            <v>889230</v>
          </cell>
          <cell r="R153">
            <v>889230</v>
          </cell>
          <cell r="S153">
            <v>889230</v>
          </cell>
          <cell r="T153">
            <v>889230</v>
          </cell>
          <cell r="U153">
            <v>889230</v>
          </cell>
          <cell r="V153">
            <v>889230</v>
          </cell>
          <cell r="W153">
            <v>889230</v>
          </cell>
          <cell r="X153">
            <v>889230</v>
          </cell>
          <cell r="Y153">
            <v>889230</v>
          </cell>
          <cell r="Z153">
            <v>889230</v>
          </cell>
          <cell r="AA153">
            <v>889230</v>
          </cell>
          <cell r="AB153">
            <v>889230</v>
          </cell>
          <cell r="AC153">
            <v>889230</v>
          </cell>
          <cell r="AD153">
            <v>889230</v>
          </cell>
          <cell r="AE153">
            <v>889230</v>
          </cell>
          <cell r="AF153">
            <v>889230</v>
          </cell>
          <cell r="AG153">
            <v>889230</v>
          </cell>
        </row>
        <row r="157">
          <cell r="B157">
            <v>38776</v>
          </cell>
          <cell r="C157">
            <v>38777</v>
          </cell>
          <cell r="D157">
            <v>38778</v>
          </cell>
          <cell r="E157">
            <v>38779</v>
          </cell>
          <cell r="F157">
            <v>38780</v>
          </cell>
          <cell r="G157">
            <v>38781</v>
          </cell>
          <cell r="H157">
            <v>38782</v>
          </cell>
          <cell r="I157">
            <v>38783</v>
          </cell>
          <cell r="J157">
            <v>38784</v>
          </cell>
          <cell r="K157">
            <v>38785</v>
          </cell>
          <cell r="L157">
            <v>38786</v>
          </cell>
          <cell r="M157">
            <v>38787</v>
          </cell>
          <cell r="N157">
            <v>38788</v>
          </cell>
          <cell r="O157">
            <v>38789</v>
          </cell>
          <cell r="P157">
            <v>38790</v>
          </cell>
          <cell r="Q157">
            <v>38791</v>
          </cell>
          <cell r="R157">
            <v>38792</v>
          </cell>
          <cell r="S157">
            <v>38793</v>
          </cell>
          <cell r="T157">
            <v>38794</v>
          </cell>
          <cell r="U157">
            <v>38795</v>
          </cell>
          <cell r="V157">
            <v>38796</v>
          </cell>
          <cell r="W157">
            <v>38797</v>
          </cell>
          <cell r="X157">
            <v>38798</v>
          </cell>
          <cell r="Y157">
            <v>38799</v>
          </cell>
          <cell r="Z157">
            <v>38800</v>
          </cell>
          <cell r="AA157">
            <v>38801</v>
          </cell>
          <cell r="AB157">
            <v>38802</v>
          </cell>
          <cell r="AC157">
            <v>38803</v>
          </cell>
          <cell r="AD157">
            <v>38804</v>
          </cell>
          <cell r="AE157">
            <v>38805</v>
          </cell>
          <cell r="AF157">
            <v>38806</v>
          </cell>
          <cell r="AG157">
            <v>38807</v>
          </cell>
          <cell r="AH157" t="str">
            <v>Avg</v>
          </cell>
        </row>
        <row r="158">
          <cell r="B158">
            <v>2.2669134717310619</v>
          </cell>
          <cell r="C158">
            <v>2.4483430819143628</v>
          </cell>
          <cell r="D158">
            <v>2.4167851206988762</v>
          </cell>
          <cell r="E158">
            <v>2.4410241638617536</v>
          </cell>
          <cell r="F158">
            <v>2.3982746475435102</v>
          </cell>
          <cell r="G158">
            <v>2.3982746475435102</v>
          </cell>
          <cell r="H158">
            <v>2.3982746475435102</v>
          </cell>
          <cell r="I158">
            <v>2.2514087797828695</v>
          </cell>
          <cell r="J158">
            <v>0</v>
          </cell>
          <cell r="K158">
            <v>0</v>
          </cell>
          <cell r="L158" t="e">
            <v>#DIV/0!</v>
          </cell>
          <cell r="M158" t="e">
            <v>#DIV/0!</v>
          </cell>
          <cell r="N158" t="e">
            <v>#DIV/0!</v>
          </cell>
          <cell r="O158" t="e">
            <v>#DIV/0!</v>
          </cell>
          <cell r="P158" t="e">
            <v>#DIV/0!</v>
          </cell>
          <cell r="Q158" t="e">
            <v>#DIV/0!</v>
          </cell>
          <cell r="R158" t="e">
            <v>#DIV/0!</v>
          </cell>
          <cell r="S158" t="e">
            <v>#DIV/0!</v>
          </cell>
          <cell r="T158" t="e">
            <v>#DIV/0!</v>
          </cell>
          <cell r="U158" t="e">
            <v>#DIV/0!</v>
          </cell>
          <cell r="V158" t="e">
            <v>#DIV/0!</v>
          </cell>
          <cell r="W158" t="e">
            <v>#DIV/0!</v>
          </cell>
          <cell r="X158" t="e">
            <v>#DIV/0!</v>
          </cell>
          <cell r="Y158" t="e">
            <v>#DIV/0!</v>
          </cell>
          <cell r="Z158" t="e">
            <v>#DIV/0!</v>
          </cell>
          <cell r="AA158" t="e">
            <v>#DIV/0!</v>
          </cell>
          <cell r="AB158" t="e">
            <v>#DIV/0!</v>
          </cell>
          <cell r="AC158" t="e">
            <v>#DIV/0!</v>
          </cell>
          <cell r="AD158" t="e">
            <v>#DIV/0!</v>
          </cell>
          <cell r="AE158" t="e">
            <v>#DIV/0!</v>
          </cell>
          <cell r="AF158" t="e">
            <v>#DIV/0!</v>
          </cell>
          <cell r="AG158" t="e">
            <v>#DIV/0!</v>
          </cell>
        </row>
        <row r="159">
          <cell r="B159">
            <v>2.2290000000000001</v>
          </cell>
          <cell r="C159">
            <v>2.4990000000000001</v>
          </cell>
          <cell r="D159">
            <v>2.327</v>
          </cell>
          <cell r="E159">
            <v>2.2949999999999999</v>
          </cell>
          <cell r="F159">
            <v>2.2469999999999999</v>
          </cell>
          <cell r="G159">
            <v>2.3090000000000002</v>
          </cell>
          <cell r="H159">
            <v>2.2599999999999998</v>
          </cell>
          <cell r="I159">
            <v>2.2210000000000001</v>
          </cell>
          <cell r="J159">
            <v>2.14</v>
          </cell>
        </row>
        <row r="160">
          <cell r="B160">
            <v>281210.64</v>
          </cell>
          <cell r="C160">
            <v>332626.89600000001</v>
          </cell>
          <cell r="D160">
            <v>275782.07799999998</v>
          </cell>
          <cell r="E160">
            <v>244435.86</v>
          </cell>
          <cell r="F160">
            <v>270143.32799999998</v>
          </cell>
          <cell r="G160">
            <v>259245.28400000001</v>
          </cell>
          <cell r="H160">
            <v>183096.15999999997</v>
          </cell>
          <cell r="I160">
            <v>283492.88199999998</v>
          </cell>
          <cell r="J160">
            <v>192484.44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</row>
        <row r="161">
          <cell r="C161">
            <v>2.4990000000000001</v>
          </cell>
          <cell r="D161">
            <v>2.4179866861671262</v>
          </cell>
          <cell r="E161">
            <v>2.3814099897801331</v>
          </cell>
          <cell r="F161">
            <v>2.347628644298108</v>
          </cell>
          <cell r="G161">
            <v>2.340285469992855</v>
          </cell>
          <cell r="H161">
            <v>2.3306011327463141</v>
          </cell>
          <cell r="I161">
            <v>2.3130983330080421</v>
          </cell>
          <cell r="J161">
            <v>2.2955893615824925</v>
          </cell>
          <cell r="K161">
            <v>2.2955893615824925</v>
          </cell>
          <cell r="L161">
            <v>2.2955893615824925</v>
          </cell>
          <cell r="M161">
            <v>2.2955893615824925</v>
          </cell>
          <cell r="N161">
            <v>2.2955893615824925</v>
          </cell>
          <cell r="O161">
            <v>2.2955893615824925</v>
          </cell>
          <cell r="P161">
            <v>2.2955893615824925</v>
          </cell>
          <cell r="Q161">
            <v>2.2955893615824925</v>
          </cell>
          <cell r="R161">
            <v>2.2955893615824925</v>
          </cell>
          <cell r="S161">
            <v>2.2955893615824925</v>
          </cell>
          <cell r="T161">
            <v>2.2955893615824925</v>
          </cell>
          <cell r="U161">
            <v>2.2955893615824925</v>
          </cell>
          <cell r="V161">
            <v>2.2955893615824925</v>
          </cell>
          <cell r="W161">
            <v>2.2955893615824925</v>
          </cell>
          <cell r="X161">
            <v>2.2955893615824925</v>
          </cell>
          <cell r="Y161">
            <v>2.2955893615824925</v>
          </cell>
          <cell r="Z161">
            <v>2.2955893615824925</v>
          </cell>
          <cell r="AA161">
            <v>2.2955893615824925</v>
          </cell>
          <cell r="AB161">
            <v>2.2955893615824925</v>
          </cell>
          <cell r="AC161">
            <v>2.2955893615824925</v>
          </cell>
          <cell r="AD161">
            <v>2.2955893615824925</v>
          </cell>
          <cell r="AE161">
            <v>2.2955893615824925</v>
          </cell>
          <cell r="AF161">
            <v>2.2955893615824925</v>
          </cell>
          <cell r="AG161">
            <v>2.2955893615824925</v>
          </cell>
          <cell r="AH161">
            <v>2.2955893615824925</v>
          </cell>
        </row>
        <row r="166">
          <cell r="B166">
            <v>38776</v>
          </cell>
          <cell r="C166">
            <v>38777</v>
          </cell>
          <cell r="D166">
            <v>38778</v>
          </cell>
          <cell r="E166">
            <v>38779</v>
          </cell>
          <cell r="F166">
            <v>38780</v>
          </cell>
          <cell r="G166">
            <v>38781</v>
          </cell>
          <cell r="H166">
            <v>38782</v>
          </cell>
          <cell r="I166">
            <v>38783</v>
          </cell>
          <cell r="J166">
            <v>38784</v>
          </cell>
          <cell r="K166">
            <v>38785</v>
          </cell>
          <cell r="L166">
            <v>38786</v>
          </cell>
          <cell r="M166">
            <v>38787</v>
          </cell>
          <cell r="N166">
            <v>38788</v>
          </cell>
          <cell r="O166">
            <v>38789</v>
          </cell>
          <cell r="P166">
            <v>38790</v>
          </cell>
          <cell r="Q166">
            <v>38791</v>
          </cell>
          <cell r="R166">
            <v>38792</v>
          </cell>
          <cell r="S166">
            <v>38793</v>
          </cell>
          <cell r="T166">
            <v>38794</v>
          </cell>
          <cell r="U166">
            <v>38795</v>
          </cell>
          <cell r="V166">
            <v>38796</v>
          </cell>
          <cell r="W166">
            <v>38797</v>
          </cell>
          <cell r="X166">
            <v>38798</v>
          </cell>
          <cell r="Y166">
            <v>38799</v>
          </cell>
          <cell r="Z166">
            <v>38800</v>
          </cell>
          <cell r="AA166">
            <v>38801</v>
          </cell>
          <cell r="AB166">
            <v>38802</v>
          </cell>
          <cell r="AC166">
            <v>38803</v>
          </cell>
          <cell r="AD166">
            <v>38804</v>
          </cell>
          <cell r="AE166">
            <v>38805</v>
          </cell>
          <cell r="AF166">
            <v>38806</v>
          </cell>
          <cell r="AG166">
            <v>38807</v>
          </cell>
          <cell r="AH166" t="str">
            <v>Total</v>
          </cell>
        </row>
        <row r="167">
          <cell r="B167">
            <v>222174</v>
          </cell>
          <cell r="C167">
            <v>283524</v>
          </cell>
          <cell r="D167">
            <v>287410</v>
          </cell>
          <cell r="E167">
            <v>263312</v>
          </cell>
          <cell r="F167">
            <v>299905</v>
          </cell>
          <cell r="G167">
            <v>133721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</row>
        <row r="168">
          <cell r="B168">
            <v>143791</v>
          </cell>
          <cell r="C168">
            <v>165760</v>
          </cell>
          <cell r="D168">
            <v>148524</v>
          </cell>
          <cell r="E168">
            <v>113100</v>
          </cell>
          <cell r="F168">
            <v>168867</v>
          </cell>
          <cell r="G168">
            <v>141459</v>
          </cell>
          <cell r="H168">
            <v>106789</v>
          </cell>
          <cell r="I168">
            <v>149705</v>
          </cell>
          <cell r="J168">
            <v>110370</v>
          </cell>
          <cell r="K168">
            <v>98586</v>
          </cell>
          <cell r="L168">
            <v>101760</v>
          </cell>
          <cell r="M168">
            <v>155727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</row>
        <row r="169">
          <cell r="B169">
            <v>231900</v>
          </cell>
          <cell r="C169">
            <v>339900</v>
          </cell>
          <cell r="D169">
            <v>454900</v>
          </cell>
          <cell r="E169">
            <v>560600</v>
          </cell>
          <cell r="F169">
            <v>0</v>
          </cell>
          <cell r="G169">
            <v>723700</v>
          </cell>
          <cell r="H169">
            <v>599900</v>
          </cell>
          <cell r="I169">
            <v>479900</v>
          </cell>
          <cell r="J169">
            <v>340900</v>
          </cell>
          <cell r="K169">
            <v>241900</v>
          </cell>
          <cell r="L169">
            <v>146900</v>
          </cell>
          <cell r="M169">
            <v>81000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</row>
        <row r="170"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</row>
        <row r="171">
          <cell r="B171">
            <v>1.1397511097019657</v>
          </cell>
          <cell r="C171">
            <v>1.2453419882197378</v>
          </cell>
          <cell r="D171">
            <v>1.2532190289754797</v>
          </cell>
          <cell r="E171">
            <v>1.0618920644458631</v>
          </cell>
          <cell r="F171">
            <v>1.4046030742613789</v>
          </cell>
          <cell r="G171">
            <v>1.2599219779828281</v>
          </cell>
          <cell r="H171">
            <v>1.3181223462032192</v>
          </cell>
          <cell r="I171">
            <v>1.1728506291032732</v>
          </cell>
          <cell r="J171">
            <v>1.2270695750783804</v>
          </cell>
          <cell r="K171" t="e">
            <v>#DIV/0!</v>
          </cell>
          <cell r="L171" t="e">
            <v>#DIV/0!</v>
          </cell>
          <cell r="M171" t="e">
            <v>#DIV/0!</v>
          </cell>
          <cell r="N171" t="e">
            <v>#DIV/0!</v>
          </cell>
          <cell r="O171" t="e">
            <v>#DIV/0!</v>
          </cell>
          <cell r="P171" t="e">
            <v>#DIV/0!</v>
          </cell>
          <cell r="Q171" t="e">
            <v>#DIV/0!</v>
          </cell>
          <cell r="R171" t="e">
            <v>#DIV/0!</v>
          </cell>
          <cell r="S171" t="e">
            <v>#DIV/0!</v>
          </cell>
          <cell r="T171" t="e">
            <v>#DIV/0!</v>
          </cell>
          <cell r="U171" t="e">
            <v>#DIV/0!</v>
          </cell>
          <cell r="V171" t="e">
            <v>#DIV/0!</v>
          </cell>
          <cell r="W171" t="e">
            <v>#DIV/0!</v>
          </cell>
          <cell r="X171" t="e">
            <v>#DIV/0!</v>
          </cell>
          <cell r="Y171" t="e">
            <v>#DIV/0!</v>
          </cell>
          <cell r="Z171" t="e">
            <v>#DIV/0!</v>
          </cell>
          <cell r="AA171" t="e">
            <v>#DIV/0!</v>
          </cell>
          <cell r="AB171" t="e">
            <v>#DIV/0!</v>
          </cell>
          <cell r="AC171" t="e">
            <v>#DIV/0!</v>
          </cell>
          <cell r="AD171" t="e">
            <v>#DIV/0!</v>
          </cell>
          <cell r="AE171" t="e">
            <v>#DIV/0!</v>
          </cell>
          <cell r="AF171" t="e">
            <v>#DIV/0!</v>
          </cell>
          <cell r="AG171" t="e">
            <v>#DIV/0!</v>
          </cell>
        </row>
        <row r="172">
          <cell r="B172">
            <v>3415456</v>
          </cell>
          <cell r="C172">
            <v>1.2453419882197378</v>
          </cell>
          <cell r="D172">
            <v>2.4985610171952173</v>
          </cell>
          <cell r="E172">
            <v>3.5604530816410804</v>
          </cell>
          <cell r="F172">
            <v>4.9650561559024595</v>
          </cell>
          <cell r="G172">
            <v>6.2249781338852879</v>
          </cell>
          <cell r="H172">
            <v>7.5431004800885066</v>
          </cell>
          <cell r="I172">
            <v>8.7159511091917796</v>
          </cell>
          <cell r="J172">
            <v>9.9430206842701594</v>
          </cell>
          <cell r="K172" t="e">
            <v>#DIV/0!</v>
          </cell>
          <cell r="L172" t="e">
            <v>#DIV/0!</v>
          </cell>
          <cell r="M172" t="e">
            <v>#DIV/0!</v>
          </cell>
          <cell r="N172" t="e">
            <v>#DIV/0!</v>
          </cell>
          <cell r="O172" t="e">
            <v>#DIV/0!</v>
          </cell>
          <cell r="P172" t="e">
            <v>#DIV/0!</v>
          </cell>
          <cell r="Q172" t="e">
            <v>#DIV/0!</v>
          </cell>
          <cell r="R172" t="e">
            <v>#DIV/0!</v>
          </cell>
          <cell r="S172" t="e">
            <v>#DIV/0!</v>
          </cell>
          <cell r="T172" t="e">
            <v>#DIV/0!</v>
          </cell>
          <cell r="U172" t="e">
            <v>#DIV/0!</v>
          </cell>
          <cell r="V172" t="e">
            <v>#DIV/0!</v>
          </cell>
          <cell r="W172" t="e">
            <v>#DIV/0!</v>
          </cell>
          <cell r="X172" t="e">
            <v>#DIV/0!</v>
          </cell>
          <cell r="Y172" t="e">
            <v>#DIV/0!</v>
          </cell>
          <cell r="Z172" t="e">
            <v>#DIV/0!</v>
          </cell>
          <cell r="AA172" t="e">
            <v>#DIV/0!</v>
          </cell>
          <cell r="AB172" t="e">
            <v>#DIV/0!</v>
          </cell>
          <cell r="AC172" t="e">
            <v>#DIV/0!</v>
          </cell>
          <cell r="AD172" t="e">
            <v>#DIV/0!</v>
          </cell>
          <cell r="AE172" t="e">
            <v>#DIV/0!</v>
          </cell>
          <cell r="AF172" t="e">
            <v>#DIV/0!</v>
          </cell>
          <cell r="AG172" t="e">
            <v>#DIV/0!</v>
          </cell>
        </row>
        <row r="173">
          <cell r="B173">
            <v>121980.57142857143</v>
          </cell>
          <cell r="C173">
            <v>1.2453419882197378</v>
          </cell>
          <cell r="D173">
            <v>1.2492805085976086</v>
          </cell>
          <cell r="E173">
            <v>1.1868176938803601</v>
          </cell>
          <cell r="F173">
            <v>1.2412640389756149</v>
          </cell>
          <cell r="G173">
            <v>1.2449956267770577</v>
          </cell>
          <cell r="H173">
            <v>1.2571834133480844</v>
          </cell>
          <cell r="I173">
            <v>1.2451358727416828</v>
          </cell>
          <cell r="J173">
            <v>1.2428775855337699</v>
          </cell>
          <cell r="K173" t="e">
            <v>#DIV/0!</v>
          </cell>
          <cell r="L173" t="e">
            <v>#DIV/0!</v>
          </cell>
          <cell r="M173" t="e">
            <v>#DIV/0!</v>
          </cell>
          <cell r="N173" t="e">
            <v>#DIV/0!</v>
          </cell>
          <cell r="O173" t="e">
            <v>#DIV/0!</v>
          </cell>
          <cell r="P173" t="e">
            <v>#DIV/0!</v>
          </cell>
          <cell r="Q173" t="e">
            <v>#DIV/0!</v>
          </cell>
          <cell r="R173" t="e">
            <v>#DIV/0!</v>
          </cell>
          <cell r="S173" t="e">
            <v>#DIV/0!</v>
          </cell>
          <cell r="T173" t="e">
            <v>#DIV/0!</v>
          </cell>
          <cell r="U173" t="e">
            <v>#DIV/0!</v>
          </cell>
          <cell r="V173" t="e">
            <v>#DIV/0!</v>
          </cell>
          <cell r="W173" t="e">
            <v>#DIV/0!</v>
          </cell>
          <cell r="X173" t="e">
            <v>#DIV/0!</v>
          </cell>
          <cell r="Y173" t="e">
            <v>#DIV/0!</v>
          </cell>
          <cell r="Z173" t="e">
            <v>#DIV/0!</v>
          </cell>
          <cell r="AA173" t="e">
            <v>#DIV/0!</v>
          </cell>
          <cell r="AB173" t="e">
            <v>#DIV/0!</v>
          </cell>
          <cell r="AC173" t="e">
            <v>#DIV/0!</v>
          </cell>
          <cell r="AD173" t="e">
            <v>#DIV/0!</v>
          </cell>
          <cell r="AE173" t="e">
            <v>#DIV/0!</v>
          </cell>
          <cell r="AF173" t="e">
            <v>#DIV/0!</v>
          </cell>
          <cell r="AG173" t="e">
            <v>#DIV/0!</v>
          </cell>
        </row>
        <row r="177">
          <cell r="B177">
            <v>38776</v>
          </cell>
          <cell r="C177">
            <v>38777</v>
          </cell>
          <cell r="D177">
            <v>38778</v>
          </cell>
          <cell r="E177">
            <v>38779</v>
          </cell>
          <cell r="F177">
            <v>38780</v>
          </cell>
          <cell r="G177">
            <v>38781</v>
          </cell>
          <cell r="H177">
            <v>38782</v>
          </cell>
          <cell r="I177">
            <v>38783</v>
          </cell>
          <cell r="J177">
            <v>38784</v>
          </cell>
          <cell r="K177">
            <v>38785</v>
          </cell>
          <cell r="L177">
            <v>38786</v>
          </cell>
          <cell r="M177">
            <v>38787</v>
          </cell>
          <cell r="N177">
            <v>38788</v>
          </cell>
          <cell r="O177">
            <v>38789</v>
          </cell>
          <cell r="P177">
            <v>38790</v>
          </cell>
          <cell r="Q177">
            <v>38791</v>
          </cell>
          <cell r="R177">
            <v>38792</v>
          </cell>
          <cell r="S177">
            <v>38793</v>
          </cell>
          <cell r="T177">
            <v>38794</v>
          </cell>
          <cell r="U177">
            <v>38795</v>
          </cell>
          <cell r="V177">
            <v>38796</v>
          </cell>
          <cell r="W177">
            <v>38797</v>
          </cell>
          <cell r="X177">
            <v>38798</v>
          </cell>
          <cell r="Y177">
            <v>38799</v>
          </cell>
          <cell r="Z177">
            <v>38800</v>
          </cell>
          <cell r="AA177">
            <v>38801</v>
          </cell>
          <cell r="AB177">
            <v>38802</v>
          </cell>
          <cell r="AC177">
            <v>38803</v>
          </cell>
          <cell r="AD177">
            <v>38804</v>
          </cell>
          <cell r="AE177">
            <v>38805</v>
          </cell>
          <cell r="AF177">
            <v>38806</v>
          </cell>
          <cell r="AG177">
            <v>38807</v>
          </cell>
          <cell r="AH177" t="str">
            <v>Total</v>
          </cell>
        </row>
        <row r="178">
          <cell r="B178">
            <v>17290</v>
          </cell>
          <cell r="C178">
            <v>18400</v>
          </cell>
          <cell r="D178">
            <v>15794</v>
          </cell>
          <cell r="E178">
            <v>10609</v>
          </cell>
          <cell r="F178">
            <v>14064</v>
          </cell>
          <cell r="G178">
            <v>13520</v>
          </cell>
          <cell r="H178">
            <v>6222</v>
          </cell>
          <cell r="I178">
            <v>10412</v>
          </cell>
          <cell r="J178">
            <v>6817</v>
          </cell>
          <cell r="K178">
            <v>9262</v>
          </cell>
          <cell r="L178">
            <v>3809</v>
          </cell>
          <cell r="M178">
            <v>9447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118356</v>
          </cell>
        </row>
        <row r="179">
          <cell r="B179">
            <v>2914</v>
          </cell>
          <cell r="C179">
            <v>22668</v>
          </cell>
          <cell r="D179">
            <v>19764</v>
          </cell>
          <cell r="E179">
            <v>16002</v>
          </cell>
          <cell r="F179">
            <v>26050</v>
          </cell>
          <cell r="G179">
            <v>15646</v>
          </cell>
          <cell r="H179">
            <v>12940</v>
          </cell>
          <cell r="I179">
            <v>23823</v>
          </cell>
          <cell r="J179">
            <v>16306</v>
          </cell>
          <cell r="K179">
            <v>14292</v>
          </cell>
          <cell r="L179">
            <v>13071</v>
          </cell>
          <cell r="M179">
            <v>24947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205509</v>
          </cell>
        </row>
        <row r="180">
          <cell r="B180">
            <v>18000</v>
          </cell>
          <cell r="C180">
            <v>18502</v>
          </cell>
          <cell r="D180">
            <v>16607</v>
          </cell>
          <cell r="E180">
            <v>13130</v>
          </cell>
          <cell r="F180">
            <v>21961</v>
          </cell>
          <cell r="G180">
            <v>19659</v>
          </cell>
          <cell r="H180">
            <v>13640</v>
          </cell>
          <cell r="I180">
            <v>19962</v>
          </cell>
          <cell r="J180">
            <v>13183</v>
          </cell>
          <cell r="K180">
            <v>12312</v>
          </cell>
          <cell r="L180">
            <v>10357</v>
          </cell>
          <cell r="M180">
            <v>21028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180341</v>
          </cell>
        </row>
        <row r="181">
          <cell r="B181">
            <v>54513</v>
          </cell>
          <cell r="C181">
            <v>30050</v>
          </cell>
          <cell r="D181">
            <v>22687</v>
          </cell>
          <cell r="E181">
            <v>18436</v>
          </cell>
          <cell r="F181">
            <v>29683</v>
          </cell>
          <cell r="G181">
            <v>22113</v>
          </cell>
          <cell r="H181">
            <v>17928</v>
          </cell>
          <cell r="I181">
            <v>26852</v>
          </cell>
          <cell r="J181">
            <v>18526</v>
          </cell>
          <cell r="K181">
            <v>14035</v>
          </cell>
          <cell r="L181">
            <v>16400</v>
          </cell>
          <cell r="M181">
            <v>26750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243460</v>
          </cell>
        </row>
        <row r="182">
          <cell r="B182">
            <v>7553</v>
          </cell>
          <cell r="C182">
            <v>10073</v>
          </cell>
          <cell r="D182">
            <v>7948</v>
          </cell>
          <cell r="E182">
            <v>6320</v>
          </cell>
          <cell r="F182">
            <v>9385</v>
          </cell>
          <cell r="G182">
            <v>9947</v>
          </cell>
          <cell r="H182">
            <v>5133</v>
          </cell>
          <cell r="I182">
            <v>11422</v>
          </cell>
          <cell r="J182">
            <v>5540</v>
          </cell>
          <cell r="K182">
            <v>4991</v>
          </cell>
          <cell r="L182">
            <v>4726</v>
          </cell>
          <cell r="M182">
            <v>9224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</row>
        <row r="183">
          <cell r="B183">
            <v>2575</v>
          </cell>
          <cell r="C183">
            <v>2928</v>
          </cell>
          <cell r="D183">
            <v>2645</v>
          </cell>
          <cell r="E183">
            <v>2534</v>
          </cell>
          <cell r="F183">
            <v>2395</v>
          </cell>
          <cell r="G183">
            <v>2550</v>
          </cell>
          <cell r="H183">
            <v>2804</v>
          </cell>
          <cell r="I183">
            <v>2705</v>
          </cell>
          <cell r="J183">
            <v>2358</v>
          </cell>
          <cell r="K183">
            <v>1850</v>
          </cell>
          <cell r="L183">
            <v>2083</v>
          </cell>
          <cell r="M183">
            <v>2616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27468</v>
          </cell>
        </row>
        <row r="184">
          <cell r="B184">
            <v>7191</v>
          </cell>
          <cell r="C184">
            <v>7636</v>
          </cell>
          <cell r="D184">
            <v>8017</v>
          </cell>
          <cell r="E184">
            <v>6942</v>
          </cell>
          <cell r="F184">
            <v>7662</v>
          </cell>
          <cell r="G184">
            <v>8861</v>
          </cell>
          <cell r="H184">
            <v>9766</v>
          </cell>
          <cell r="I184">
            <v>8214</v>
          </cell>
          <cell r="J184">
            <v>8084</v>
          </cell>
          <cell r="K184">
            <v>6418</v>
          </cell>
          <cell r="L184">
            <v>7239</v>
          </cell>
          <cell r="M184">
            <v>9377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88216</v>
          </cell>
        </row>
        <row r="185"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</row>
        <row r="186">
          <cell r="B186">
            <v>6238</v>
          </cell>
          <cell r="C186">
            <v>7066</v>
          </cell>
          <cell r="D186">
            <v>6355</v>
          </cell>
          <cell r="E186">
            <v>4220</v>
          </cell>
          <cell r="F186">
            <v>6982</v>
          </cell>
          <cell r="G186">
            <v>5864</v>
          </cell>
          <cell r="H186">
            <v>4149</v>
          </cell>
          <cell r="I186">
            <v>6783</v>
          </cell>
          <cell r="J186">
            <v>3826</v>
          </cell>
          <cell r="K186">
            <v>6182</v>
          </cell>
          <cell r="L186">
            <v>3787</v>
          </cell>
          <cell r="M186">
            <v>6513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61727</v>
          </cell>
        </row>
        <row r="187">
          <cell r="B187">
            <v>15512</v>
          </cell>
          <cell r="C187">
            <v>18312</v>
          </cell>
          <cell r="D187">
            <v>15964</v>
          </cell>
          <cell r="E187">
            <v>12577</v>
          </cell>
          <cell r="F187">
            <v>19000</v>
          </cell>
          <cell r="G187">
            <v>12950</v>
          </cell>
          <cell r="H187">
            <v>10467</v>
          </cell>
          <cell r="I187">
            <v>15715</v>
          </cell>
          <cell r="J187">
            <v>9819</v>
          </cell>
          <cell r="K187">
            <v>8038</v>
          </cell>
          <cell r="L187">
            <v>8460</v>
          </cell>
          <cell r="M187">
            <v>13317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144619</v>
          </cell>
        </row>
        <row r="188">
          <cell r="B188">
            <v>2149</v>
          </cell>
          <cell r="C188">
            <v>1158</v>
          </cell>
          <cell r="D188">
            <v>1306</v>
          </cell>
          <cell r="E188">
            <v>1718</v>
          </cell>
          <cell r="F188">
            <v>2407</v>
          </cell>
          <cell r="G188">
            <v>1734</v>
          </cell>
          <cell r="H188">
            <v>1233</v>
          </cell>
          <cell r="I188">
            <v>1862</v>
          </cell>
          <cell r="J188">
            <v>1390</v>
          </cell>
          <cell r="K188">
            <v>1833</v>
          </cell>
          <cell r="L188">
            <v>1140</v>
          </cell>
          <cell r="M188">
            <v>2163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17944</v>
          </cell>
        </row>
        <row r="189">
          <cell r="B189">
            <v>3144</v>
          </cell>
          <cell r="C189">
            <v>3736</v>
          </cell>
          <cell r="D189">
            <v>2982</v>
          </cell>
          <cell r="E189">
            <v>2645</v>
          </cell>
          <cell r="F189">
            <v>3059</v>
          </cell>
          <cell r="G189">
            <v>4525</v>
          </cell>
          <cell r="H189">
            <v>2561</v>
          </cell>
          <cell r="I189">
            <v>3200</v>
          </cell>
          <cell r="J189">
            <v>2395</v>
          </cell>
          <cell r="K189">
            <v>1566</v>
          </cell>
          <cell r="L189">
            <v>2254</v>
          </cell>
          <cell r="M189">
            <v>4387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33310</v>
          </cell>
        </row>
        <row r="190">
          <cell r="B190">
            <v>2407</v>
          </cell>
          <cell r="C190">
            <v>3446</v>
          </cell>
          <cell r="D190">
            <v>3140</v>
          </cell>
          <cell r="E190">
            <v>2185</v>
          </cell>
          <cell r="F190">
            <v>4421</v>
          </cell>
          <cell r="G190">
            <v>2481</v>
          </cell>
          <cell r="H190">
            <v>1457</v>
          </cell>
          <cell r="I190">
            <v>3234</v>
          </cell>
          <cell r="J190">
            <v>2124</v>
          </cell>
          <cell r="K190">
            <v>2878</v>
          </cell>
          <cell r="L190">
            <v>1943</v>
          </cell>
          <cell r="M190">
            <v>3360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30669</v>
          </cell>
        </row>
        <row r="191">
          <cell r="B191">
            <v>667</v>
          </cell>
          <cell r="C191">
            <v>422</v>
          </cell>
          <cell r="D191">
            <v>1037</v>
          </cell>
          <cell r="E191">
            <v>308</v>
          </cell>
          <cell r="F191">
            <v>307</v>
          </cell>
          <cell r="G191">
            <v>870</v>
          </cell>
          <cell r="H191">
            <v>1117</v>
          </cell>
          <cell r="I191">
            <v>892</v>
          </cell>
          <cell r="J191">
            <v>484</v>
          </cell>
          <cell r="K191">
            <v>525</v>
          </cell>
          <cell r="L191">
            <v>206</v>
          </cell>
          <cell r="M191">
            <v>718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6886</v>
          </cell>
        </row>
        <row r="192">
          <cell r="B192">
            <v>200</v>
          </cell>
          <cell r="C192">
            <v>0</v>
          </cell>
          <cell r="D192">
            <v>713</v>
          </cell>
          <cell r="E192">
            <v>1000</v>
          </cell>
          <cell r="F192">
            <v>271</v>
          </cell>
          <cell r="G192">
            <v>790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443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3217</v>
          </cell>
        </row>
        <row r="193">
          <cell r="B193">
            <v>606</v>
          </cell>
          <cell r="C193">
            <v>568</v>
          </cell>
          <cell r="D193">
            <v>1084</v>
          </cell>
          <cell r="E193">
            <v>587</v>
          </cell>
          <cell r="F193">
            <v>532</v>
          </cell>
          <cell r="G193">
            <v>1061</v>
          </cell>
          <cell r="H193">
            <v>1061</v>
          </cell>
          <cell r="I193">
            <v>1181</v>
          </cell>
          <cell r="J193">
            <v>1157</v>
          </cell>
          <cell r="K193">
            <v>841</v>
          </cell>
          <cell r="L193">
            <v>607</v>
          </cell>
          <cell r="M193">
            <v>490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9169</v>
          </cell>
        </row>
        <row r="194">
          <cell r="B194">
            <v>926</v>
          </cell>
          <cell r="C194">
            <v>1530</v>
          </cell>
          <cell r="D194">
            <v>1421</v>
          </cell>
          <cell r="E194">
            <v>1253</v>
          </cell>
          <cell r="F194">
            <v>1299</v>
          </cell>
          <cell r="G194">
            <v>0</v>
          </cell>
          <cell r="H194">
            <v>0</v>
          </cell>
          <cell r="I194">
            <v>992</v>
          </cell>
          <cell r="J194">
            <v>242</v>
          </cell>
          <cell r="K194">
            <v>940</v>
          </cell>
          <cell r="L194">
            <v>1171</v>
          </cell>
          <cell r="M194">
            <v>1701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10549</v>
          </cell>
        </row>
        <row r="195">
          <cell r="B195">
            <v>0</v>
          </cell>
          <cell r="C195">
            <v>2476</v>
          </cell>
          <cell r="D195">
            <v>1621</v>
          </cell>
          <cell r="E195">
            <v>458</v>
          </cell>
          <cell r="F195">
            <v>2568</v>
          </cell>
          <cell r="G195">
            <v>1929</v>
          </cell>
          <cell r="H195">
            <v>2934</v>
          </cell>
          <cell r="I195">
            <v>794</v>
          </cell>
          <cell r="J195">
            <v>2335</v>
          </cell>
          <cell r="K195">
            <v>778</v>
          </cell>
          <cell r="L195">
            <v>452</v>
          </cell>
          <cell r="M195">
            <v>1063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17408</v>
          </cell>
        </row>
        <row r="196"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411</v>
          </cell>
          <cell r="I196">
            <v>0</v>
          </cell>
          <cell r="J196">
            <v>398</v>
          </cell>
          <cell r="K196">
            <v>0</v>
          </cell>
          <cell r="L196">
            <v>440</v>
          </cell>
          <cell r="M196">
            <v>361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1610</v>
          </cell>
        </row>
        <row r="197">
          <cell r="B197">
            <v>3901</v>
          </cell>
          <cell r="C197">
            <v>4657</v>
          </cell>
          <cell r="D197">
            <v>4178</v>
          </cell>
          <cell r="E197">
            <v>4428</v>
          </cell>
          <cell r="F197">
            <v>4070</v>
          </cell>
          <cell r="G197">
            <v>3830</v>
          </cell>
          <cell r="H197">
            <v>3600</v>
          </cell>
          <cell r="I197">
            <v>3309</v>
          </cell>
          <cell r="J197">
            <v>2519</v>
          </cell>
          <cell r="K197">
            <v>2784</v>
          </cell>
          <cell r="L197">
            <v>3456</v>
          </cell>
          <cell r="M197">
            <v>4315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41146</v>
          </cell>
        </row>
        <row r="198">
          <cell r="B198">
            <v>317</v>
          </cell>
          <cell r="C198">
            <v>768</v>
          </cell>
          <cell r="D198">
            <v>753</v>
          </cell>
          <cell r="E198">
            <v>170</v>
          </cell>
          <cell r="F198">
            <v>501</v>
          </cell>
          <cell r="G198">
            <v>370</v>
          </cell>
          <cell r="H198">
            <v>0</v>
          </cell>
          <cell r="I198">
            <v>709</v>
          </cell>
          <cell r="J198">
            <v>293</v>
          </cell>
          <cell r="K198">
            <v>391</v>
          </cell>
          <cell r="L198">
            <v>556</v>
          </cell>
          <cell r="M198">
            <v>230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4741</v>
          </cell>
        </row>
        <row r="199">
          <cell r="B199">
            <v>947</v>
          </cell>
          <cell r="C199">
            <v>721</v>
          </cell>
          <cell r="D199">
            <v>892</v>
          </cell>
          <cell r="E199">
            <v>1113</v>
          </cell>
          <cell r="F199">
            <v>982</v>
          </cell>
          <cell r="G199">
            <v>433</v>
          </cell>
          <cell r="H199">
            <v>646</v>
          </cell>
          <cell r="I199">
            <v>795</v>
          </cell>
          <cell r="J199">
            <v>779</v>
          </cell>
          <cell r="K199">
            <v>1104</v>
          </cell>
          <cell r="L199">
            <v>956</v>
          </cell>
          <cell r="M199">
            <v>902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9323</v>
          </cell>
        </row>
        <row r="200">
          <cell r="B200">
            <v>423</v>
          </cell>
          <cell r="C200">
            <v>606</v>
          </cell>
          <cell r="D200">
            <v>464</v>
          </cell>
          <cell r="E200">
            <v>47</v>
          </cell>
          <cell r="F200">
            <v>724</v>
          </cell>
          <cell r="G200">
            <v>893</v>
          </cell>
          <cell r="H200">
            <v>576</v>
          </cell>
          <cell r="I200">
            <v>387</v>
          </cell>
          <cell r="J200">
            <v>669</v>
          </cell>
          <cell r="K200">
            <v>229</v>
          </cell>
          <cell r="L200">
            <v>421</v>
          </cell>
          <cell r="M200">
            <v>611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5627</v>
          </cell>
        </row>
        <row r="201"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</row>
        <row r="202"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</row>
        <row r="203">
          <cell r="B203">
            <v>0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</row>
        <row r="204"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</row>
        <row r="205">
          <cell r="B205">
            <v>0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</row>
        <row r="206">
          <cell r="B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</row>
        <row r="207">
          <cell r="B207">
            <v>0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</row>
        <row r="208">
          <cell r="B208">
            <v>147473</v>
          </cell>
          <cell r="C208">
            <v>155723</v>
          </cell>
          <cell r="D208">
            <v>135372</v>
          </cell>
          <cell r="E208">
            <v>106682</v>
          </cell>
          <cell r="F208">
            <v>158323</v>
          </cell>
          <cell r="G208">
            <v>130026</v>
          </cell>
          <cell r="H208">
            <v>98645</v>
          </cell>
          <cell r="I208">
            <v>143243</v>
          </cell>
          <cell r="J208">
            <v>99244</v>
          </cell>
          <cell r="K208">
            <v>91249</v>
          </cell>
          <cell r="L208">
            <v>83534</v>
          </cell>
          <cell r="M208">
            <v>143963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1261295</v>
          </cell>
        </row>
        <row r="212">
          <cell r="B212">
            <v>38776</v>
          </cell>
          <cell r="C212">
            <v>38777</v>
          </cell>
          <cell r="D212">
            <v>38778</v>
          </cell>
          <cell r="E212">
            <v>38779</v>
          </cell>
          <cell r="F212">
            <v>38780</v>
          </cell>
          <cell r="G212">
            <v>38781</v>
          </cell>
          <cell r="H212">
            <v>38782</v>
          </cell>
          <cell r="I212">
            <v>38783</v>
          </cell>
          <cell r="J212">
            <v>38784</v>
          </cell>
          <cell r="K212">
            <v>38785</v>
          </cell>
          <cell r="L212">
            <v>38786</v>
          </cell>
          <cell r="M212">
            <v>38787</v>
          </cell>
          <cell r="N212">
            <v>38788</v>
          </cell>
          <cell r="O212">
            <v>38789</v>
          </cell>
          <cell r="P212">
            <v>38790</v>
          </cell>
          <cell r="Q212">
            <v>38791</v>
          </cell>
          <cell r="R212">
            <v>38792</v>
          </cell>
          <cell r="S212">
            <v>38793</v>
          </cell>
          <cell r="T212">
            <v>38794</v>
          </cell>
          <cell r="U212">
            <v>38795</v>
          </cell>
          <cell r="V212">
            <v>38796</v>
          </cell>
          <cell r="W212">
            <v>38797</v>
          </cell>
          <cell r="X212">
            <v>38798</v>
          </cell>
          <cell r="Y212">
            <v>38799</v>
          </cell>
          <cell r="Z212">
            <v>38800</v>
          </cell>
          <cell r="AA212">
            <v>38801</v>
          </cell>
          <cell r="AB212">
            <v>38802</v>
          </cell>
          <cell r="AC212">
            <v>38803</v>
          </cell>
          <cell r="AD212">
            <v>38804</v>
          </cell>
          <cell r="AE212">
            <v>38805</v>
          </cell>
          <cell r="AF212">
            <v>38806</v>
          </cell>
          <cell r="AG212">
            <v>38807</v>
          </cell>
          <cell r="AH212" t="str">
            <v>Total</v>
          </cell>
        </row>
        <row r="213">
          <cell r="B213">
            <v>45.8</v>
          </cell>
          <cell r="C213">
            <v>101.9</v>
          </cell>
          <cell r="D213">
            <v>99.8</v>
          </cell>
          <cell r="E213">
            <v>88.9</v>
          </cell>
          <cell r="F213">
            <v>77.599999999999994</v>
          </cell>
          <cell r="G213">
            <v>72.599999999999994</v>
          </cell>
          <cell r="H213">
            <v>35.1</v>
          </cell>
          <cell r="J213">
            <v>39.299999999999997</v>
          </cell>
          <cell r="AH213">
            <v>515.20000000000005</v>
          </cell>
        </row>
        <row r="214">
          <cell r="B214">
            <v>96</v>
          </cell>
          <cell r="C214">
            <v>239.5</v>
          </cell>
          <cell r="D214">
            <v>213</v>
          </cell>
          <cell r="E214">
            <v>195</v>
          </cell>
          <cell r="F214">
            <v>216</v>
          </cell>
          <cell r="G214">
            <v>213</v>
          </cell>
          <cell r="H214">
            <v>143</v>
          </cell>
          <cell r="J214">
            <v>167</v>
          </cell>
          <cell r="AH214">
            <v>1386.5</v>
          </cell>
        </row>
        <row r="215">
          <cell r="B215">
            <v>81.5</v>
          </cell>
          <cell r="C215">
            <v>197.5</v>
          </cell>
          <cell r="D215">
            <v>193.5</v>
          </cell>
          <cell r="E215">
            <v>178.5</v>
          </cell>
          <cell r="F215">
            <v>223.5</v>
          </cell>
          <cell r="G215">
            <v>224.5</v>
          </cell>
          <cell r="H215">
            <v>151.5</v>
          </cell>
          <cell r="J215">
            <v>139.5</v>
          </cell>
          <cell r="AH215">
            <v>1308.5</v>
          </cell>
        </row>
        <row r="216">
          <cell r="B216">
            <v>82.5</v>
          </cell>
          <cell r="C216">
            <v>419</v>
          </cell>
          <cell r="D216">
            <v>252.4</v>
          </cell>
          <cell r="E216">
            <v>432.6</v>
          </cell>
          <cell r="F216">
            <v>300</v>
          </cell>
          <cell r="G216">
            <v>268</v>
          </cell>
          <cell r="H216">
            <v>185</v>
          </cell>
          <cell r="J216">
            <v>209</v>
          </cell>
          <cell r="AH216">
            <v>2066</v>
          </cell>
        </row>
        <row r="217">
          <cell r="D217">
            <v>99.5</v>
          </cell>
          <cell r="E217">
            <v>84.5</v>
          </cell>
          <cell r="F217">
            <v>96.5</v>
          </cell>
          <cell r="G217">
            <v>118</v>
          </cell>
          <cell r="H217">
            <v>111.5</v>
          </cell>
          <cell r="J217">
            <v>105.5</v>
          </cell>
        </row>
        <row r="218">
          <cell r="B218">
            <v>50.5</v>
          </cell>
          <cell r="C218">
            <v>94.5</v>
          </cell>
          <cell r="D218">
            <v>179</v>
          </cell>
          <cell r="E218">
            <v>84.5</v>
          </cell>
          <cell r="F218">
            <v>76.5</v>
          </cell>
          <cell r="G218">
            <v>102.5</v>
          </cell>
          <cell r="H218">
            <v>63</v>
          </cell>
          <cell r="J218">
            <v>69</v>
          </cell>
          <cell r="AH218">
            <v>669</v>
          </cell>
        </row>
        <row r="219">
          <cell r="B219">
            <v>136.6</v>
          </cell>
          <cell r="C219">
            <v>175.5</v>
          </cell>
          <cell r="D219">
            <v>21</v>
          </cell>
          <cell r="E219">
            <v>72</v>
          </cell>
          <cell r="F219">
            <v>19</v>
          </cell>
          <cell r="G219">
            <v>20</v>
          </cell>
          <cell r="H219">
            <v>19</v>
          </cell>
          <cell r="J219">
            <v>16.5</v>
          </cell>
          <cell r="AH219">
            <v>343</v>
          </cell>
        </row>
        <row r="220">
          <cell r="B220">
            <v>7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J220">
            <v>0</v>
          </cell>
          <cell r="AH220">
            <v>0</v>
          </cell>
        </row>
        <row r="221">
          <cell r="B221">
            <v>9.4</v>
          </cell>
          <cell r="C221">
            <v>22.6</v>
          </cell>
          <cell r="D221">
            <v>20.8</v>
          </cell>
          <cell r="E221">
            <v>16</v>
          </cell>
          <cell r="F221">
            <v>20.399999999999999</v>
          </cell>
          <cell r="G221">
            <v>19.3</v>
          </cell>
          <cell r="H221">
            <v>13.3</v>
          </cell>
          <cell r="J221">
            <v>14.5</v>
          </cell>
          <cell r="AH221">
            <v>126.9</v>
          </cell>
        </row>
        <row r="222">
          <cell r="B222">
            <v>33.4</v>
          </cell>
          <cell r="C222">
            <v>87.5</v>
          </cell>
          <cell r="D222">
            <v>77</v>
          </cell>
          <cell r="E222">
            <v>72</v>
          </cell>
          <cell r="F222">
            <v>74.5</v>
          </cell>
          <cell r="G222">
            <v>66.5</v>
          </cell>
          <cell r="H222">
            <v>54.5</v>
          </cell>
          <cell r="J222">
            <v>50.2</v>
          </cell>
          <cell r="AH222">
            <v>482.2</v>
          </cell>
        </row>
        <row r="223">
          <cell r="B223">
            <v>3.4</v>
          </cell>
          <cell r="C223">
            <v>11.5</v>
          </cell>
          <cell r="D223">
            <v>15</v>
          </cell>
          <cell r="E223">
            <v>22</v>
          </cell>
          <cell r="F223">
            <v>21.5</v>
          </cell>
          <cell r="G223">
            <v>19</v>
          </cell>
          <cell r="H223">
            <v>13.4</v>
          </cell>
          <cell r="J223">
            <v>14.5</v>
          </cell>
          <cell r="AH223">
            <v>116.9</v>
          </cell>
        </row>
        <row r="224">
          <cell r="B224">
            <v>7.5</v>
          </cell>
          <cell r="C224">
            <v>21.5</v>
          </cell>
          <cell r="D224">
            <v>18.5</v>
          </cell>
          <cell r="E224">
            <v>18.5</v>
          </cell>
          <cell r="F224">
            <v>17</v>
          </cell>
          <cell r="G224">
            <v>20</v>
          </cell>
          <cell r="H224">
            <v>14</v>
          </cell>
          <cell r="J224">
            <v>13.5</v>
          </cell>
          <cell r="AH224">
            <v>123</v>
          </cell>
        </row>
        <row r="225">
          <cell r="B225">
            <v>22.5</v>
          </cell>
          <cell r="C225">
            <v>43.5</v>
          </cell>
          <cell r="D225">
            <v>40</v>
          </cell>
          <cell r="E225">
            <v>37.5</v>
          </cell>
          <cell r="F225">
            <v>40.5</v>
          </cell>
          <cell r="G225">
            <v>41</v>
          </cell>
          <cell r="H225">
            <v>22</v>
          </cell>
          <cell r="J225">
            <v>26.5</v>
          </cell>
          <cell r="AH225">
            <v>251</v>
          </cell>
        </row>
        <row r="226">
          <cell r="B226">
            <v>0</v>
          </cell>
          <cell r="C226">
            <v>8.6</v>
          </cell>
          <cell r="D226">
            <v>13</v>
          </cell>
          <cell r="E226">
            <v>5</v>
          </cell>
          <cell r="F226">
            <v>11</v>
          </cell>
          <cell r="G226">
            <v>19</v>
          </cell>
          <cell r="H226">
            <v>11</v>
          </cell>
          <cell r="J226">
            <v>13</v>
          </cell>
          <cell r="AH226">
            <v>80.599999999999994</v>
          </cell>
        </row>
        <row r="227">
          <cell r="B227">
            <v>0</v>
          </cell>
          <cell r="C227">
            <v>7</v>
          </cell>
          <cell r="D227">
            <v>15.5</v>
          </cell>
          <cell r="E227">
            <v>8.5</v>
          </cell>
          <cell r="F227">
            <v>33</v>
          </cell>
          <cell r="G227">
            <v>35</v>
          </cell>
          <cell r="H227">
            <v>26</v>
          </cell>
          <cell r="J227">
            <v>20</v>
          </cell>
          <cell r="AH227">
            <v>145</v>
          </cell>
        </row>
        <row r="228">
          <cell r="B228">
            <v>0</v>
          </cell>
          <cell r="C228">
            <v>13</v>
          </cell>
          <cell r="D228">
            <v>28.5</v>
          </cell>
          <cell r="E228">
            <v>36</v>
          </cell>
          <cell r="F228">
            <v>0</v>
          </cell>
          <cell r="G228">
            <v>0</v>
          </cell>
          <cell r="H228">
            <v>0</v>
          </cell>
          <cell r="J228">
            <v>0</v>
          </cell>
          <cell r="AH228">
            <v>77.5</v>
          </cell>
        </row>
        <row r="229">
          <cell r="B229">
            <v>11</v>
          </cell>
          <cell r="C229">
            <v>22</v>
          </cell>
          <cell r="D229">
            <v>758.7</v>
          </cell>
          <cell r="E229">
            <v>24.2</v>
          </cell>
          <cell r="F229">
            <v>12.8</v>
          </cell>
          <cell r="G229">
            <v>0</v>
          </cell>
          <cell r="H229">
            <v>0</v>
          </cell>
          <cell r="J229">
            <v>17</v>
          </cell>
          <cell r="AH229">
            <v>834.7</v>
          </cell>
        </row>
        <row r="230">
          <cell r="AH230">
            <v>0</v>
          </cell>
        </row>
        <row r="231">
          <cell r="AH231">
            <v>0</v>
          </cell>
        </row>
        <row r="232">
          <cell r="AH232">
            <v>0</v>
          </cell>
        </row>
        <row r="233">
          <cell r="AH233">
            <v>0</v>
          </cell>
        </row>
        <row r="234">
          <cell r="AH234">
            <v>0</v>
          </cell>
        </row>
        <row r="235">
          <cell r="AH235">
            <v>0</v>
          </cell>
        </row>
        <row r="236">
          <cell r="AH236">
            <v>0</v>
          </cell>
        </row>
        <row r="237">
          <cell r="AH237">
            <v>0</v>
          </cell>
        </row>
        <row r="238">
          <cell r="AH238">
            <v>0</v>
          </cell>
        </row>
        <row r="239">
          <cell r="AH239">
            <v>0</v>
          </cell>
        </row>
        <row r="240">
          <cell r="AH240">
            <v>0</v>
          </cell>
        </row>
        <row r="241">
          <cell r="AH241">
            <v>0</v>
          </cell>
        </row>
        <row r="242">
          <cell r="AH242">
            <v>0</v>
          </cell>
        </row>
        <row r="243">
          <cell r="B243">
            <v>587.09999999999991</v>
          </cell>
          <cell r="C243">
            <v>1465.1</v>
          </cell>
          <cell r="D243">
            <v>2045.2</v>
          </cell>
          <cell r="E243">
            <v>1375.7</v>
          </cell>
          <cell r="F243">
            <v>1239.8</v>
          </cell>
          <cell r="G243">
            <v>1238.4000000000001</v>
          </cell>
          <cell r="H243">
            <v>862.3</v>
          </cell>
          <cell r="I243">
            <v>0</v>
          </cell>
          <cell r="J243">
            <v>915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8526</v>
          </cell>
        </row>
        <row r="247">
          <cell r="B247">
            <v>38776</v>
          </cell>
          <cell r="C247">
            <v>38777</v>
          </cell>
          <cell r="D247">
            <v>38778</v>
          </cell>
          <cell r="E247">
            <v>38779</v>
          </cell>
          <cell r="F247">
            <v>38780</v>
          </cell>
          <cell r="G247">
            <v>38781</v>
          </cell>
          <cell r="H247">
            <v>38782</v>
          </cell>
          <cell r="I247">
            <v>38783</v>
          </cell>
          <cell r="J247">
            <v>38784</v>
          </cell>
          <cell r="K247">
            <v>38785</v>
          </cell>
          <cell r="L247">
            <v>38786</v>
          </cell>
          <cell r="M247">
            <v>38787</v>
          </cell>
          <cell r="N247">
            <v>38788</v>
          </cell>
          <cell r="O247">
            <v>38789</v>
          </cell>
          <cell r="P247">
            <v>38790</v>
          </cell>
          <cell r="Q247">
            <v>38791</v>
          </cell>
          <cell r="R247">
            <v>38792</v>
          </cell>
          <cell r="S247">
            <v>38793</v>
          </cell>
          <cell r="T247">
            <v>38794</v>
          </cell>
          <cell r="U247">
            <v>38795</v>
          </cell>
          <cell r="V247">
            <v>38796</v>
          </cell>
          <cell r="W247">
            <v>38797</v>
          </cell>
          <cell r="X247">
            <v>38798</v>
          </cell>
          <cell r="Y247">
            <v>38799</v>
          </cell>
          <cell r="Z247">
            <v>38800</v>
          </cell>
          <cell r="AA247">
            <v>38801</v>
          </cell>
          <cell r="AB247">
            <v>38802</v>
          </cell>
          <cell r="AC247">
            <v>38803</v>
          </cell>
          <cell r="AD247">
            <v>38804</v>
          </cell>
          <cell r="AE247">
            <v>38805</v>
          </cell>
          <cell r="AF247">
            <v>38806</v>
          </cell>
          <cell r="AG247">
            <v>38807</v>
          </cell>
        </row>
        <row r="248">
          <cell r="B248">
            <v>377.51091703056773</v>
          </cell>
          <cell r="C248">
            <v>180.5691854759568</v>
          </cell>
          <cell r="D248">
            <v>169.52900347050075</v>
          </cell>
          <cell r="E248">
            <v>154.17412250516173</v>
          </cell>
          <cell r="F248">
            <v>159.87778381314502</v>
          </cell>
          <cell r="G248">
            <v>164.21733212341195</v>
          </cell>
          <cell r="H248">
            <v>165.1796595923513</v>
          </cell>
          <cell r="I248">
            <v>187.05820550535825</v>
          </cell>
          <cell r="J248">
            <v>186.02096273291923</v>
          </cell>
          <cell r="K248">
            <v>203.99844720496893</v>
          </cell>
          <cell r="L248">
            <v>211.39169254658384</v>
          </cell>
          <cell r="M248">
            <v>229.72826086956519</v>
          </cell>
          <cell r="N248">
            <v>229.72826086956519</v>
          </cell>
          <cell r="O248">
            <v>229.72826086956519</v>
          </cell>
          <cell r="P248">
            <v>229.72826086956519</v>
          </cell>
          <cell r="Q248">
            <v>229.72826086956519</v>
          </cell>
          <cell r="R248">
            <v>229.72826086956519</v>
          </cell>
          <cell r="S248">
            <v>229.72826086956519</v>
          </cell>
          <cell r="T248">
            <v>229.72826086956519</v>
          </cell>
          <cell r="U248">
            <v>229.72826086956519</v>
          </cell>
          <cell r="V248">
            <v>229.72826086956519</v>
          </cell>
          <cell r="W248">
            <v>229.72826086956519</v>
          </cell>
          <cell r="X248">
            <v>229.72826086956519</v>
          </cell>
          <cell r="Y248">
            <v>229.72826086956519</v>
          </cell>
          <cell r="Z248">
            <v>229.72826086956519</v>
          </cell>
          <cell r="AA248">
            <v>229.72826086956519</v>
          </cell>
          <cell r="AB248">
            <v>229.72826086956519</v>
          </cell>
          <cell r="AC248">
            <v>229.72826086956519</v>
          </cell>
          <cell r="AD248">
            <v>229.72826086956519</v>
          </cell>
          <cell r="AE248">
            <v>229.72826086956519</v>
          </cell>
          <cell r="AF248">
            <v>229.72826086956519</v>
          </cell>
          <cell r="AG248">
            <v>229.72826086956519</v>
          </cell>
        </row>
        <row r="249">
          <cell r="B249">
            <v>30.354166666666668</v>
          </cell>
          <cell r="C249">
            <v>94.647181628392488</v>
          </cell>
          <cell r="D249">
            <v>93.772375690607731</v>
          </cell>
          <cell r="E249">
            <v>90.245559845559839</v>
          </cell>
          <cell r="F249">
            <v>97.839027214823389</v>
          </cell>
          <cell r="G249">
            <v>93.014398513701806</v>
          </cell>
          <cell r="H249">
            <v>92.718327183271839</v>
          </cell>
          <cell r="I249">
            <v>112.25338253382535</v>
          </cell>
          <cell r="J249">
            <v>110.49332852506311</v>
          </cell>
          <cell r="K249">
            <v>120.80129823296069</v>
          </cell>
          <cell r="L249">
            <v>130.22863324918862</v>
          </cell>
          <cell r="M249">
            <v>148.22142084385143</v>
          </cell>
          <cell r="N249">
            <v>148.22142084385143</v>
          </cell>
          <cell r="O249">
            <v>148.22142084385143</v>
          </cell>
          <cell r="P249">
            <v>148.22142084385143</v>
          </cell>
          <cell r="Q249">
            <v>148.22142084385143</v>
          </cell>
          <cell r="R249">
            <v>148.22142084385143</v>
          </cell>
          <cell r="S249">
            <v>148.22142084385143</v>
          </cell>
          <cell r="T249">
            <v>148.22142084385143</v>
          </cell>
          <cell r="U249">
            <v>148.22142084385143</v>
          </cell>
          <cell r="V249">
            <v>148.22142084385143</v>
          </cell>
          <cell r="W249">
            <v>148.22142084385143</v>
          </cell>
          <cell r="X249">
            <v>148.22142084385143</v>
          </cell>
          <cell r="Y249">
            <v>148.22142084385143</v>
          </cell>
          <cell r="Z249">
            <v>148.22142084385143</v>
          </cell>
          <cell r="AA249">
            <v>148.22142084385143</v>
          </cell>
          <cell r="AB249">
            <v>148.22142084385143</v>
          </cell>
          <cell r="AC249">
            <v>148.22142084385143</v>
          </cell>
          <cell r="AD249">
            <v>148.22142084385143</v>
          </cell>
          <cell r="AE249">
            <v>148.22142084385143</v>
          </cell>
          <cell r="AF249">
            <v>148.22142084385143</v>
          </cell>
          <cell r="AG249">
            <v>148.22142084385143</v>
          </cell>
        </row>
        <row r="250">
          <cell r="B250">
            <v>220.85889570552146</v>
          </cell>
          <cell r="C250">
            <v>93.681012658227843</v>
          </cell>
          <cell r="D250">
            <v>89.792838874680314</v>
          </cell>
          <cell r="E250">
            <v>84.704126426690081</v>
          </cell>
          <cell r="F250">
            <v>88.52459016393442</v>
          </cell>
          <cell r="G250">
            <v>88.313513513513513</v>
          </cell>
          <cell r="H250">
            <v>88.536355859709147</v>
          </cell>
          <cell r="I250">
            <v>105.61248930710009</v>
          </cell>
          <cell r="J250">
            <v>104.42797095911349</v>
          </cell>
          <cell r="K250">
            <v>113.83721818876576</v>
          </cell>
          <cell r="L250">
            <v>121.75238823079863</v>
          </cell>
          <cell r="M250">
            <v>137.82269774551011</v>
          </cell>
          <cell r="N250">
            <v>137.82269774551011</v>
          </cell>
          <cell r="O250">
            <v>137.82269774551011</v>
          </cell>
          <cell r="P250">
            <v>137.82269774551011</v>
          </cell>
          <cell r="Q250">
            <v>137.82269774551011</v>
          </cell>
          <cell r="R250">
            <v>137.82269774551011</v>
          </cell>
          <cell r="S250">
            <v>137.82269774551011</v>
          </cell>
          <cell r="T250">
            <v>137.82269774551011</v>
          </cell>
          <cell r="U250">
            <v>137.82269774551011</v>
          </cell>
          <cell r="V250">
            <v>137.82269774551011</v>
          </cell>
          <cell r="W250">
            <v>137.82269774551011</v>
          </cell>
          <cell r="X250">
            <v>137.82269774551011</v>
          </cell>
          <cell r="Y250">
            <v>137.82269774551011</v>
          </cell>
          <cell r="Z250">
            <v>137.82269774551011</v>
          </cell>
          <cell r="AA250">
            <v>137.82269774551011</v>
          </cell>
          <cell r="AB250">
            <v>137.82269774551011</v>
          </cell>
          <cell r="AC250">
            <v>137.82269774551011</v>
          </cell>
          <cell r="AD250">
            <v>137.82269774551011</v>
          </cell>
          <cell r="AE250">
            <v>137.82269774551011</v>
          </cell>
          <cell r="AF250">
            <v>137.82269774551011</v>
          </cell>
          <cell r="AG250">
            <v>137.82269774551011</v>
          </cell>
        </row>
        <row r="251">
          <cell r="B251">
            <v>660.76363636363635</v>
          </cell>
          <cell r="C251">
            <v>71.718377088305488</v>
          </cell>
          <cell r="D251">
            <v>78.547810545129579</v>
          </cell>
          <cell r="E251">
            <v>64.468297101449281</v>
          </cell>
          <cell r="F251">
            <v>71.834757834757838</v>
          </cell>
          <cell r="G251">
            <v>73.546052631578945</v>
          </cell>
          <cell r="H251">
            <v>75.873451803984921</v>
          </cell>
          <cell r="I251">
            <v>90.333333333333329</v>
          </cell>
          <cell r="J251">
            <v>90.162149080348499</v>
          </cell>
          <cell r="K251">
            <v>96.955469506292346</v>
          </cell>
          <cell r="L251">
            <v>104.89351403678606</v>
          </cell>
          <cell r="M251">
            <v>117.84123910939013</v>
          </cell>
          <cell r="N251">
            <v>117.84123910939013</v>
          </cell>
          <cell r="O251">
            <v>117.84123910939013</v>
          </cell>
          <cell r="P251">
            <v>117.84123910939013</v>
          </cell>
          <cell r="Q251">
            <v>117.84123910939013</v>
          </cell>
          <cell r="R251">
            <v>117.84123910939013</v>
          </cell>
          <cell r="S251">
            <v>117.84123910939013</v>
          </cell>
          <cell r="T251">
            <v>117.84123910939013</v>
          </cell>
          <cell r="U251">
            <v>117.84123910939013</v>
          </cell>
          <cell r="V251">
            <v>117.84123910939013</v>
          </cell>
          <cell r="W251">
            <v>117.84123910939013</v>
          </cell>
          <cell r="X251">
            <v>117.84123910939013</v>
          </cell>
          <cell r="Y251">
            <v>117.84123910939013</v>
          </cell>
          <cell r="Z251">
            <v>117.84123910939013</v>
          </cell>
          <cell r="AA251">
            <v>117.84123910939013</v>
          </cell>
          <cell r="AB251">
            <v>117.84123910939013</v>
          </cell>
          <cell r="AC251">
            <v>117.84123910939013</v>
          </cell>
          <cell r="AD251">
            <v>117.84123910939013</v>
          </cell>
          <cell r="AE251">
            <v>117.84123910939013</v>
          </cell>
          <cell r="AF251">
            <v>117.84123910939013</v>
          </cell>
          <cell r="AG251">
            <v>117.84123910939013</v>
          </cell>
        </row>
        <row r="252">
          <cell r="B252">
            <v>0</v>
          </cell>
          <cell r="C252">
            <v>0</v>
          </cell>
          <cell r="D252">
            <v>181.11557788944722</v>
          </cell>
          <cell r="E252">
            <v>132.28804347826087</v>
          </cell>
          <cell r="F252">
            <v>120.23529411764706</v>
          </cell>
          <cell r="G252">
            <v>109.59347553324969</v>
          </cell>
          <cell r="H252">
            <v>95.698039215686279</v>
          </cell>
          <cell r="I252">
            <v>118.09411764705882</v>
          </cell>
          <cell r="J252">
            <v>106.85296506904956</v>
          </cell>
          <cell r="K252">
            <v>114.96181965881397</v>
          </cell>
          <cell r="L252">
            <v>122.64012997562956</v>
          </cell>
          <cell r="M252">
            <v>137.62632006498782</v>
          </cell>
          <cell r="N252">
            <v>137.62632006498782</v>
          </cell>
          <cell r="O252">
            <v>137.62632006498782</v>
          </cell>
          <cell r="P252">
            <v>137.62632006498782</v>
          </cell>
          <cell r="Q252">
            <v>137.62632006498782</v>
          </cell>
          <cell r="R252">
            <v>137.62632006498782</v>
          </cell>
          <cell r="S252">
            <v>137.62632006498782</v>
          </cell>
          <cell r="T252">
            <v>137.62632006498782</v>
          </cell>
          <cell r="U252">
            <v>137.62632006498782</v>
          </cell>
          <cell r="V252">
            <v>137.62632006498782</v>
          </cell>
          <cell r="W252">
            <v>137.62632006498782</v>
          </cell>
          <cell r="X252">
            <v>137.62632006498782</v>
          </cell>
          <cell r="Y252">
            <v>137.62632006498782</v>
          </cell>
          <cell r="Z252">
            <v>137.62632006498782</v>
          </cell>
          <cell r="AA252">
            <v>137.62632006498782</v>
          </cell>
          <cell r="AB252">
            <v>137.62632006498782</v>
          </cell>
          <cell r="AC252">
            <v>137.62632006498782</v>
          </cell>
          <cell r="AD252">
            <v>137.62632006498782</v>
          </cell>
          <cell r="AE252">
            <v>137.62632006498782</v>
          </cell>
          <cell r="AF252">
            <v>137.62632006498782</v>
          </cell>
          <cell r="AG252">
            <v>137.62632006498782</v>
          </cell>
        </row>
        <row r="253">
          <cell r="B253">
            <v>50.990099009900987</v>
          </cell>
          <cell r="C253">
            <v>30.984126984126984</v>
          </cell>
          <cell r="D253">
            <v>20.376599634369288</v>
          </cell>
          <cell r="E253">
            <v>22.645251396648046</v>
          </cell>
          <cell r="F253">
            <v>24.170310701956272</v>
          </cell>
          <cell r="G253">
            <v>24.305400372439479</v>
          </cell>
          <cell r="H253">
            <v>26.426666666666666</v>
          </cell>
          <cell r="I253">
            <v>30.934999999999999</v>
          </cell>
          <cell r="J253">
            <v>31.269058295964125</v>
          </cell>
          <cell r="K253">
            <v>34.034379671150973</v>
          </cell>
          <cell r="L253">
            <v>37.147982062780272</v>
          </cell>
          <cell r="M253">
            <v>41.058295964125563</v>
          </cell>
          <cell r="N253">
            <v>41.058295964125563</v>
          </cell>
          <cell r="O253">
            <v>41.058295964125563</v>
          </cell>
          <cell r="P253">
            <v>41.058295964125563</v>
          </cell>
          <cell r="Q253">
            <v>41.058295964125563</v>
          </cell>
          <cell r="R253">
            <v>41.058295964125563</v>
          </cell>
          <cell r="S253">
            <v>41.058295964125563</v>
          </cell>
          <cell r="T253">
            <v>41.058295964125563</v>
          </cell>
          <cell r="U253">
            <v>41.058295964125563</v>
          </cell>
          <cell r="V253">
            <v>41.058295964125563</v>
          </cell>
          <cell r="W253">
            <v>41.058295964125563</v>
          </cell>
          <cell r="X253">
            <v>41.058295964125563</v>
          </cell>
          <cell r="Y253">
            <v>41.058295964125563</v>
          </cell>
          <cell r="Z253">
            <v>41.058295964125563</v>
          </cell>
          <cell r="AA253">
            <v>41.058295964125563</v>
          </cell>
          <cell r="AB253">
            <v>41.058295964125563</v>
          </cell>
          <cell r="AC253">
            <v>41.058295964125563</v>
          </cell>
          <cell r="AD253">
            <v>41.058295964125563</v>
          </cell>
          <cell r="AE253">
            <v>41.058295964125563</v>
          </cell>
          <cell r="AF253">
            <v>41.058295964125563</v>
          </cell>
          <cell r="AG253">
            <v>41.058295964125563</v>
          </cell>
        </row>
        <row r="254">
          <cell r="B254">
            <v>52.642752562225475</v>
          </cell>
          <cell r="C254">
            <v>43.509971509971507</v>
          </cell>
          <cell r="D254">
            <v>79.659033078880412</v>
          </cell>
          <cell r="E254">
            <v>84.152700186219732</v>
          </cell>
          <cell r="F254">
            <v>105.24173913043478</v>
          </cell>
          <cell r="G254">
            <v>127.21300813008131</v>
          </cell>
          <cell r="H254">
            <v>149.72128637059726</v>
          </cell>
          <cell r="I254">
            <v>174.87901990811639</v>
          </cell>
          <cell r="J254">
            <v>190.03498542274053</v>
          </cell>
          <cell r="K254">
            <v>208.74635568513119</v>
          </cell>
          <cell r="L254">
            <v>229.85131195335276</v>
          </cell>
          <cell r="M254">
            <v>257.18950437317784</v>
          </cell>
          <cell r="N254">
            <v>257.18950437317784</v>
          </cell>
          <cell r="O254">
            <v>257.18950437317784</v>
          </cell>
          <cell r="P254">
            <v>257.18950437317784</v>
          </cell>
          <cell r="Q254">
            <v>257.18950437317784</v>
          </cell>
          <cell r="R254">
            <v>257.18950437317784</v>
          </cell>
          <cell r="S254">
            <v>257.18950437317784</v>
          </cell>
          <cell r="T254">
            <v>257.18950437317784</v>
          </cell>
          <cell r="U254">
            <v>257.18950437317784</v>
          </cell>
          <cell r="V254">
            <v>257.18950437317784</v>
          </cell>
          <cell r="W254">
            <v>257.18950437317784</v>
          </cell>
          <cell r="X254">
            <v>257.18950437317784</v>
          </cell>
          <cell r="Y254">
            <v>257.18950437317784</v>
          </cell>
          <cell r="Z254">
            <v>257.18950437317784</v>
          </cell>
          <cell r="AA254">
            <v>257.18950437317784</v>
          </cell>
          <cell r="AB254">
            <v>257.18950437317784</v>
          </cell>
          <cell r="AC254">
            <v>257.18950437317784</v>
          </cell>
          <cell r="AD254">
            <v>257.18950437317784</v>
          </cell>
          <cell r="AE254">
            <v>257.18950437317784</v>
          </cell>
          <cell r="AF254">
            <v>257.18950437317784</v>
          </cell>
          <cell r="AG254">
            <v>257.18950437317784</v>
          </cell>
        </row>
        <row r="255"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</row>
        <row r="256">
          <cell r="B256">
            <v>663.61702127659566</v>
          </cell>
          <cell r="C256">
            <v>312.65486725663715</v>
          </cell>
          <cell r="D256">
            <v>309.23963133640547</v>
          </cell>
          <cell r="E256">
            <v>296.98653198653199</v>
          </cell>
          <cell r="F256">
            <v>308.55889724310771</v>
          </cell>
          <cell r="G256">
            <v>307.63874873864779</v>
          </cell>
          <cell r="H256">
            <v>308.14946619217079</v>
          </cell>
          <cell r="I256">
            <v>368.49644128113874</v>
          </cell>
          <cell r="J256">
            <v>356.54058313632783</v>
          </cell>
          <cell r="K256">
            <v>405.25610717100079</v>
          </cell>
          <cell r="L256">
            <v>435.09850275807719</v>
          </cell>
          <cell r="M256">
            <v>486.42237982663511</v>
          </cell>
          <cell r="N256">
            <v>486.42237982663511</v>
          </cell>
          <cell r="O256">
            <v>486.42237982663511</v>
          </cell>
          <cell r="P256">
            <v>486.42237982663511</v>
          </cell>
          <cell r="Q256">
            <v>486.42237982663511</v>
          </cell>
          <cell r="R256">
            <v>486.42237982663511</v>
          </cell>
          <cell r="S256">
            <v>486.42237982663511</v>
          </cell>
          <cell r="T256">
            <v>486.42237982663511</v>
          </cell>
          <cell r="U256">
            <v>486.42237982663511</v>
          </cell>
          <cell r="V256">
            <v>486.42237982663511</v>
          </cell>
          <cell r="W256">
            <v>486.42237982663511</v>
          </cell>
          <cell r="X256">
            <v>486.42237982663511</v>
          </cell>
          <cell r="Y256">
            <v>486.42237982663511</v>
          </cell>
          <cell r="Z256">
            <v>486.42237982663511</v>
          </cell>
          <cell r="AA256">
            <v>486.42237982663511</v>
          </cell>
          <cell r="AB256">
            <v>486.42237982663511</v>
          </cell>
          <cell r="AC256">
            <v>486.42237982663511</v>
          </cell>
          <cell r="AD256">
            <v>486.42237982663511</v>
          </cell>
          <cell r="AE256">
            <v>486.42237982663511</v>
          </cell>
          <cell r="AF256">
            <v>486.42237982663511</v>
          </cell>
          <cell r="AG256">
            <v>486.42237982663511</v>
          </cell>
        </row>
        <row r="257">
          <cell r="B257">
            <v>464.43113772455092</v>
          </cell>
          <cell r="C257">
            <v>209.28</v>
          </cell>
          <cell r="D257">
            <v>208.36474164133739</v>
          </cell>
          <cell r="E257">
            <v>198.10993657505284</v>
          </cell>
          <cell r="F257">
            <v>211.74598070739549</v>
          </cell>
          <cell r="G257">
            <v>208.74966887417219</v>
          </cell>
          <cell r="H257">
            <v>206.6435185185185</v>
          </cell>
          <cell r="I257">
            <v>243.02083333333334</v>
          </cell>
          <cell r="J257">
            <v>238.08378266279553</v>
          </cell>
          <cell r="K257">
            <v>254.75321443384487</v>
          </cell>
          <cell r="L257">
            <v>272.29780174201579</v>
          </cell>
          <cell r="M257">
            <v>299.91497304023227</v>
          </cell>
          <cell r="N257">
            <v>299.91497304023227</v>
          </cell>
          <cell r="O257">
            <v>299.91497304023227</v>
          </cell>
          <cell r="P257">
            <v>299.91497304023227</v>
          </cell>
          <cell r="Q257">
            <v>299.91497304023227</v>
          </cell>
          <cell r="R257">
            <v>299.91497304023227</v>
          </cell>
          <cell r="S257">
            <v>299.91497304023227</v>
          </cell>
          <cell r="T257">
            <v>299.91497304023227</v>
          </cell>
          <cell r="U257">
            <v>299.91497304023227</v>
          </cell>
          <cell r="V257">
            <v>299.91497304023227</v>
          </cell>
          <cell r="W257">
            <v>299.91497304023227</v>
          </cell>
          <cell r="X257">
            <v>299.91497304023227</v>
          </cell>
          <cell r="Y257">
            <v>299.91497304023227</v>
          </cell>
          <cell r="Z257">
            <v>299.91497304023227</v>
          </cell>
          <cell r="AA257">
            <v>299.91497304023227</v>
          </cell>
          <cell r="AB257">
            <v>299.91497304023227</v>
          </cell>
          <cell r="AC257">
            <v>299.91497304023227</v>
          </cell>
          <cell r="AD257">
            <v>299.91497304023227</v>
          </cell>
          <cell r="AE257">
            <v>299.91497304023227</v>
          </cell>
          <cell r="AF257">
            <v>299.91497304023227</v>
          </cell>
          <cell r="AG257">
            <v>299.91497304023227</v>
          </cell>
        </row>
        <row r="258">
          <cell r="B258">
            <v>632.05882352941182</v>
          </cell>
          <cell r="C258">
            <v>100.69565217391305</v>
          </cell>
          <cell r="D258">
            <v>92.981132075471692</v>
          </cell>
          <cell r="E258">
            <v>86.226804123711347</v>
          </cell>
          <cell r="F258">
            <v>94.128571428571433</v>
          </cell>
          <cell r="G258">
            <v>93.516853932584269</v>
          </cell>
          <cell r="H258">
            <v>93.3203125</v>
          </cell>
          <cell r="I258">
            <v>111.50390625</v>
          </cell>
          <cell r="J258">
            <v>109.56372968349015</v>
          </cell>
          <cell r="K258">
            <v>125.24379811804961</v>
          </cell>
          <cell r="L258">
            <v>134.9957228400342</v>
          </cell>
          <cell r="M258">
            <v>153.49871685201026</v>
          </cell>
          <cell r="N258">
            <v>153.49871685201026</v>
          </cell>
          <cell r="O258">
            <v>153.49871685201026</v>
          </cell>
          <cell r="P258">
            <v>153.49871685201026</v>
          </cell>
          <cell r="Q258">
            <v>153.49871685201026</v>
          </cell>
          <cell r="R258">
            <v>153.49871685201026</v>
          </cell>
          <cell r="S258">
            <v>153.49871685201026</v>
          </cell>
          <cell r="T258">
            <v>153.49871685201026</v>
          </cell>
          <cell r="U258">
            <v>153.49871685201026</v>
          </cell>
          <cell r="V258">
            <v>153.49871685201026</v>
          </cell>
          <cell r="W258">
            <v>153.49871685201026</v>
          </cell>
          <cell r="X258">
            <v>153.49871685201026</v>
          </cell>
          <cell r="Y258">
            <v>153.49871685201026</v>
          </cell>
          <cell r="Z258">
            <v>153.49871685201026</v>
          </cell>
          <cell r="AA258">
            <v>153.49871685201026</v>
          </cell>
          <cell r="AB258">
            <v>153.49871685201026</v>
          </cell>
          <cell r="AC258">
            <v>153.49871685201026</v>
          </cell>
          <cell r="AD258">
            <v>153.49871685201026</v>
          </cell>
          <cell r="AE258">
            <v>153.49871685201026</v>
          </cell>
          <cell r="AF258">
            <v>153.49871685201026</v>
          </cell>
          <cell r="AG258">
            <v>153.49871685201026</v>
          </cell>
        </row>
        <row r="259">
          <cell r="B259">
            <v>419.2</v>
          </cell>
          <cell r="C259">
            <v>173.76744186046511</v>
          </cell>
          <cell r="D259">
            <v>167.95</v>
          </cell>
          <cell r="E259">
            <v>160.05128205128204</v>
          </cell>
          <cell r="F259">
            <v>164.52980132450332</v>
          </cell>
          <cell r="G259">
            <v>177.45549738219896</v>
          </cell>
          <cell r="H259">
            <v>178.1552511415525</v>
          </cell>
          <cell r="I259">
            <v>207.37899543378995</v>
          </cell>
          <cell r="J259">
            <v>204.08943089430895</v>
          </cell>
          <cell r="K259">
            <v>216.82113821138211</v>
          </cell>
          <cell r="L259">
            <v>235.14634146341464</v>
          </cell>
          <cell r="M259">
            <v>270.8130081300813</v>
          </cell>
          <cell r="N259">
            <v>270.8130081300813</v>
          </cell>
          <cell r="O259">
            <v>270.8130081300813</v>
          </cell>
          <cell r="P259">
            <v>270.8130081300813</v>
          </cell>
          <cell r="Q259">
            <v>270.8130081300813</v>
          </cell>
          <cell r="R259">
            <v>270.8130081300813</v>
          </cell>
          <cell r="S259">
            <v>270.8130081300813</v>
          </cell>
          <cell r="T259">
            <v>270.8130081300813</v>
          </cell>
          <cell r="U259">
            <v>270.8130081300813</v>
          </cell>
          <cell r="V259">
            <v>270.8130081300813</v>
          </cell>
          <cell r="W259">
            <v>270.8130081300813</v>
          </cell>
          <cell r="X259">
            <v>270.8130081300813</v>
          </cell>
          <cell r="Y259">
            <v>270.8130081300813</v>
          </cell>
          <cell r="Z259">
            <v>270.8130081300813</v>
          </cell>
          <cell r="AA259">
            <v>270.8130081300813</v>
          </cell>
          <cell r="AB259">
            <v>270.8130081300813</v>
          </cell>
          <cell r="AC259">
            <v>270.8130081300813</v>
          </cell>
          <cell r="AD259">
            <v>270.8130081300813</v>
          </cell>
          <cell r="AE259">
            <v>270.8130081300813</v>
          </cell>
          <cell r="AF259">
            <v>270.8130081300813</v>
          </cell>
          <cell r="AG259">
            <v>270.8130081300813</v>
          </cell>
        </row>
        <row r="260">
          <cell r="B260">
            <v>106.97777777777777</v>
          </cell>
          <cell r="C260">
            <v>79.218390804597703</v>
          </cell>
          <cell r="D260">
            <v>78.874251497005986</v>
          </cell>
          <cell r="E260">
            <v>72.487603305785129</v>
          </cell>
          <cell r="F260">
            <v>81.684210526315795</v>
          </cell>
          <cell r="G260">
            <v>77.397530864197535</v>
          </cell>
          <cell r="H260">
            <v>76.302895322939861</v>
          </cell>
          <cell r="I260">
            <v>90.708240534521153</v>
          </cell>
          <cell r="J260">
            <v>89.593625498007967</v>
          </cell>
          <cell r="K260">
            <v>101.0597609561753</v>
          </cell>
          <cell r="L260">
            <v>108.800796812749</v>
          </cell>
          <cell r="M260">
            <v>122.18725099601593</v>
          </cell>
          <cell r="N260">
            <v>122.18725099601593</v>
          </cell>
          <cell r="O260">
            <v>122.18725099601593</v>
          </cell>
          <cell r="P260">
            <v>122.18725099601593</v>
          </cell>
          <cell r="Q260">
            <v>122.18725099601593</v>
          </cell>
          <cell r="R260">
            <v>122.18725099601593</v>
          </cell>
          <cell r="S260">
            <v>122.18725099601593</v>
          </cell>
          <cell r="T260">
            <v>122.18725099601593</v>
          </cell>
          <cell r="U260">
            <v>122.18725099601593</v>
          </cell>
          <cell r="V260">
            <v>122.18725099601593</v>
          </cell>
          <cell r="W260">
            <v>122.18725099601593</v>
          </cell>
          <cell r="X260">
            <v>122.18725099601593</v>
          </cell>
          <cell r="Y260">
            <v>122.18725099601593</v>
          </cell>
          <cell r="Z260">
            <v>122.18725099601593</v>
          </cell>
          <cell r="AA260">
            <v>122.18725099601593</v>
          </cell>
          <cell r="AB260">
            <v>122.18725099601593</v>
          </cell>
          <cell r="AC260">
            <v>122.18725099601593</v>
          </cell>
          <cell r="AD260">
            <v>122.18725099601593</v>
          </cell>
          <cell r="AE260">
            <v>122.18725099601593</v>
          </cell>
          <cell r="AF260">
            <v>122.18725099601593</v>
          </cell>
          <cell r="AG260">
            <v>122.18725099601593</v>
          </cell>
        </row>
        <row r="261">
          <cell r="B261">
            <v>0</v>
          </cell>
          <cell r="C261">
            <v>49.069767441860471</v>
          </cell>
          <cell r="D261">
            <v>67.546296296296291</v>
          </cell>
          <cell r="E261">
            <v>66.428571428571431</v>
          </cell>
          <cell r="F261">
            <v>55.159574468085104</v>
          </cell>
          <cell r="G261">
            <v>52.014134275618375</v>
          </cell>
          <cell r="H261">
            <v>60.073964497041423</v>
          </cell>
          <cell r="I261">
            <v>73.269230769230774</v>
          </cell>
          <cell r="J261">
            <v>67.456575682382137</v>
          </cell>
          <cell r="K261">
            <v>73.970223325062037</v>
          </cell>
          <cell r="L261">
            <v>76.526054590570723</v>
          </cell>
          <cell r="M261">
            <v>85.434243176178668</v>
          </cell>
          <cell r="N261">
            <v>85.434243176178668</v>
          </cell>
          <cell r="O261">
            <v>85.434243176178668</v>
          </cell>
          <cell r="P261">
            <v>85.434243176178668</v>
          </cell>
          <cell r="Q261">
            <v>85.434243176178668</v>
          </cell>
          <cell r="R261">
            <v>85.434243176178668</v>
          </cell>
          <cell r="S261">
            <v>85.434243176178668</v>
          </cell>
          <cell r="T261">
            <v>85.434243176178668</v>
          </cell>
          <cell r="U261">
            <v>85.434243176178668</v>
          </cell>
          <cell r="V261">
            <v>85.434243176178668</v>
          </cell>
          <cell r="W261">
            <v>85.434243176178668</v>
          </cell>
          <cell r="X261">
            <v>85.434243176178668</v>
          </cell>
          <cell r="Y261">
            <v>85.434243176178668</v>
          </cell>
          <cell r="Z261">
            <v>85.434243176178668</v>
          </cell>
          <cell r="AA261">
            <v>85.434243176178668</v>
          </cell>
          <cell r="AB261">
            <v>85.434243176178668</v>
          </cell>
          <cell r="AC261">
            <v>85.434243176178668</v>
          </cell>
          <cell r="AD261">
            <v>85.434243176178668</v>
          </cell>
          <cell r="AE261">
            <v>85.434243176178668</v>
          </cell>
          <cell r="AF261">
            <v>85.434243176178668</v>
          </cell>
          <cell r="AG261">
            <v>85.434243176178668</v>
          </cell>
        </row>
        <row r="262">
          <cell r="B262">
            <v>0</v>
          </cell>
          <cell r="C262">
            <v>0</v>
          </cell>
          <cell r="D262">
            <v>31.68888888888889</v>
          </cell>
          <cell r="E262">
            <v>55.258064516129032</v>
          </cell>
          <cell r="F262">
            <v>31</v>
          </cell>
          <cell r="G262">
            <v>28.020202020202021</v>
          </cell>
          <cell r="H262">
            <v>22.192</v>
          </cell>
          <cell r="I262">
            <v>22.192</v>
          </cell>
          <cell r="J262">
            <v>19.131034482758622</v>
          </cell>
          <cell r="K262">
            <v>19.131034482758622</v>
          </cell>
          <cell r="L262">
            <v>19.131034482758622</v>
          </cell>
          <cell r="M262">
            <v>22.186206896551724</v>
          </cell>
          <cell r="N262">
            <v>22.186206896551724</v>
          </cell>
          <cell r="O262">
            <v>22.186206896551724</v>
          </cell>
          <cell r="P262">
            <v>22.186206896551724</v>
          </cell>
          <cell r="Q262">
            <v>22.186206896551724</v>
          </cell>
          <cell r="R262">
            <v>22.186206896551724</v>
          </cell>
          <cell r="S262">
            <v>22.186206896551724</v>
          </cell>
          <cell r="T262">
            <v>22.186206896551724</v>
          </cell>
          <cell r="U262">
            <v>22.186206896551724</v>
          </cell>
          <cell r="V262">
            <v>22.186206896551724</v>
          </cell>
          <cell r="W262">
            <v>22.186206896551724</v>
          </cell>
          <cell r="X262">
            <v>22.186206896551724</v>
          </cell>
          <cell r="Y262">
            <v>22.186206896551724</v>
          </cell>
          <cell r="Z262">
            <v>22.186206896551724</v>
          </cell>
          <cell r="AA262">
            <v>22.186206896551724</v>
          </cell>
          <cell r="AB262">
            <v>22.186206896551724</v>
          </cell>
          <cell r="AC262">
            <v>22.186206896551724</v>
          </cell>
          <cell r="AD262">
            <v>22.186206896551724</v>
          </cell>
          <cell r="AE262">
            <v>22.186206896551724</v>
          </cell>
          <cell r="AF262">
            <v>22.186206896551724</v>
          </cell>
          <cell r="AG262">
            <v>22.186206896551724</v>
          </cell>
        </row>
        <row r="263">
          <cell r="B263">
            <v>0</v>
          </cell>
          <cell r="C263">
            <v>43.692307692307693</v>
          </cell>
          <cell r="D263">
            <v>39.807228915662648</v>
          </cell>
          <cell r="E263">
            <v>28.890322580645162</v>
          </cell>
          <cell r="F263">
            <v>35.754838709677422</v>
          </cell>
          <cell r="G263">
            <v>49.445161290322581</v>
          </cell>
          <cell r="H263">
            <v>63.13548387096774</v>
          </cell>
          <cell r="I263">
            <v>78.374193548387098</v>
          </cell>
          <cell r="J263">
            <v>93.303225806451607</v>
          </cell>
          <cell r="K263">
            <v>104.15483870967742</v>
          </cell>
          <cell r="L263">
            <v>111.98709677419355</v>
          </cell>
          <cell r="M263">
            <v>118.30967741935484</v>
          </cell>
          <cell r="N263">
            <v>118.30967741935484</v>
          </cell>
          <cell r="O263">
            <v>118.30967741935484</v>
          </cell>
          <cell r="P263">
            <v>118.30967741935484</v>
          </cell>
          <cell r="Q263">
            <v>118.30967741935484</v>
          </cell>
          <cell r="R263">
            <v>118.30967741935484</v>
          </cell>
          <cell r="S263">
            <v>118.30967741935484</v>
          </cell>
          <cell r="T263">
            <v>118.30967741935484</v>
          </cell>
          <cell r="U263">
            <v>118.30967741935484</v>
          </cell>
          <cell r="V263">
            <v>118.30967741935484</v>
          </cell>
          <cell r="W263">
            <v>118.30967741935484</v>
          </cell>
          <cell r="X263">
            <v>118.30967741935484</v>
          </cell>
          <cell r="Y263">
            <v>118.30967741935484</v>
          </cell>
          <cell r="Z263">
            <v>118.30967741935484</v>
          </cell>
          <cell r="AA263">
            <v>118.30967741935484</v>
          </cell>
          <cell r="AB263">
            <v>118.30967741935484</v>
          </cell>
          <cell r="AC263">
            <v>118.30967741935484</v>
          </cell>
          <cell r="AD263">
            <v>118.30967741935484</v>
          </cell>
          <cell r="AE263">
            <v>118.30967741935484</v>
          </cell>
          <cell r="AF263">
            <v>118.30967741935484</v>
          </cell>
          <cell r="AG263">
            <v>118.30967741935484</v>
          </cell>
        </row>
        <row r="264">
          <cell r="B264">
            <v>84.181818181818187</v>
          </cell>
          <cell r="C264">
            <v>69.545454545454547</v>
          </cell>
          <cell r="D264">
            <v>3.7799410785192773</v>
          </cell>
          <cell r="E264">
            <v>5.2230090694496205</v>
          </cell>
          <cell r="F264">
            <v>6.7298520239696709</v>
          </cell>
          <cell r="G264">
            <v>6.7298520239696709</v>
          </cell>
          <cell r="H264">
            <v>6.7298520239696709</v>
          </cell>
          <cell r="I264">
            <v>7.9430108841873546</v>
          </cell>
          <cell r="J264">
            <v>8.0711632922007901</v>
          </cell>
          <cell r="K264">
            <v>9.1973164011021922</v>
          </cell>
          <cell r="L264">
            <v>10.600215646340002</v>
          </cell>
          <cell r="M264">
            <v>12.638073559362645</v>
          </cell>
          <cell r="N264">
            <v>12.638073559362645</v>
          </cell>
          <cell r="O264">
            <v>12.638073559362645</v>
          </cell>
          <cell r="P264">
            <v>12.638073559362645</v>
          </cell>
          <cell r="Q264">
            <v>12.638073559362645</v>
          </cell>
          <cell r="R264">
            <v>12.638073559362645</v>
          </cell>
          <cell r="S264">
            <v>12.638073559362645</v>
          </cell>
          <cell r="T264">
            <v>12.638073559362645</v>
          </cell>
          <cell r="U264">
            <v>12.638073559362645</v>
          </cell>
          <cell r="V264">
            <v>12.638073559362645</v>
          </cell>
          <cell r="W264">
            <v>12.638073559362645</v>
          </cell>
          <cell r="X264">
            <v>12.638073559362645</v>
          </cell>
          <cell r="Y264">
            <v>12.638073559362645</v>
          </cell>
          <cell r="Z264">
            <v>12.638073559362645</v>
          </cell>
          <cell r="AA264">
            <v>12.638073559362645</v>
          </cell>
          <cell r="AB264">
            <v>12.638073559362645</v>
          </cell>
          <cell r="AC264">
            <v>12.638073559362645</v>
          </cell>
          <cell r="AD264">
            <v>12.638073559362645</v>
          </cell>
          <cell r="AE264">
            <v>12.638073559362645</v>
          </cell>
          <cell r="AF264">
            <v>12.638073559362645</v>
          </cell>
          <cell r="AG264">
            <v>12.638073559362645</v>
          </cell>
        </row>
        <row r="265">
          <cell r="B265">
            <v>0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</row>
        <row r="266"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</row>
        <row r="267"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</row>
        <row r="268">
          <cell r="B268">
            <v>0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</row>
        <row r="269">
          <cell r="B269">
            <v>0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</row>
        <row r="270"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</row>
        <row r="271"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</row>
        <row r="272"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</row>
        <row r="273"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</row>
        <row r="274"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</row>
        <row r="275"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</row>
        <row r="276">
          <cell r="B276">
            <v>0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</row>
        <row r="277"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</row>
        <row r="316">
          <cell r="B316">
            <v>38776</v>
          </cell>
          <cell r="C316">
            <v>38777</v>
          </cell>
          <cell r="D316">
            <v>38778</v>
          </cell>
          <cell r="E316">
            <v>38779</v>
          </cell>
          <cell r="F316">
            <v>38780</v>
          </cell>
          <cell r="G316">
            <v>38781</v>
          </cell>
          <cell r="H316">
            <v>38782</v>
          </cell>
          <cell r="I316">
            <v>38783</v>
          </cell>
          <cell r="J316">
            <v>38784</v>
          </cell>
          <cell r="K316">
            <v>38785</v>
          </cell>
          <cell r="L316">
            <v>38786</v>
          </cell>
          <cell r="M316">
            <v>38787</v>
          </cell>
          <cell r="N316">
            <v>38788</v>
          </cell>
          <cell r="O316">
            <v>38789</v>
          </cell>
          <cell r="P316">
            <v>38790</v>
          </cell>
          <cell r="Q316">
            <v>38791</v>
          </cell>
          <cell r="R316">
            <v>38792</v>
          </cell>
          <cell r="S316">
            <v>38793</v>
          </cell>
          <cell r="T316">
            <v>38794</v>
          </cell>
          <cell r="U316">
            <v>38795</v>
          </cell>
          <cell r="V316">
            <v>38796</v>
          </cell>
          <cell r="W316">
            <v>38797</v>
          </cell>
          <cell r="X316">
            <v>38798</v>
          </cell>
          <cell r="Y316">
            <v>38799</v>
          </cell>
          <cell r="Z316">
            <v>38800</v>
          </cell>
          <cell r="AA316">
            <v>38801</v>
          </cell>
          <cell r="AB316">
            <v>38802</v>
          </cell>
          <cell r="AC316">
            <v>38803</v>
          </cell>
          <cell r="AD316">
            <v>38804</v>
          </cell>
          <cell r="AE316">
            <v>38805</v>
          </cell>
          <cell r="AF316">
            <v>38806</v>
          </cell>
          <cell r="AG316">
            <v>38807</v>
          </cell>
          <cell r="AH316" t="str">
            <v>Total</v>
          </cell>
        </row>
        <row r="317">
          <cell r="B317">
            <v>0</v>
          </cell>
          <cell r="C317">
            <v>1.7309512486050824E-2</v>
          </cell>
          <cell r="D317">
            <v>3.9177274117631077E-2</v>
          </cell>
          <cell r="E317">
            <v>3.7588375666205424E-2</v>
          </cell>
          <cell r="F317">
            <v>3.2304259966057722E-2</v>
          </cell>
          <cell r="G317">
            <v>4.1399957998999412E-2</v>
          </cell>
          <cell r="H317">
            <v>3.9847323845536277E-2</v>
          </cell>
          <cell r="I317">
            <v>0</v>
          </cell>
          <cell r="J317">
            <v>3.1249111301300682E-2</v>
          </cell>
          <cell r="K317" t="e">
            <v>#DIV/0!</v>
          </cell>
          <cell r="L317" t="e">
            <v>#DIV/0!</v>
          </cell>
          <cell r="M317" t="e">
            <v>#DIV/0!</v>
          </cell>
          <cell r="N317" t="e">
            <v>#DIV/0!</v>
          </cell>
          <cell r="O317" t="e">
            <v>#DIV/0!</v>
          </cell>
          <cell r="P317" t="e">
            <v>#DIV/0!</v>
          </cell>
          <cell r="Q317" t="e">
            <v>#DIV/0!</v>
          </cell>
          <cell r="R317" t="e">
            <v>#DIV/0!</v>
          </cell>
          <cell r="S317" t="e">
            <v>#DIV/0!</v>
          </cell>
          <cell r="T317" t="e">
            <v>#DIV/0!</v>
          </cell>
          <cell r="U317" t="e">
            <v>#DIV/0!</v>
          </cell>
          <cell r="V317" t="e">
            <v>#DIV/0!</v>
          </cell>
          <cell r="W317" t="e">
            <v>#DIV/0!</v>
          </cell>
          <cell r="X317" t="e">
            <v>#DIV/0!</v>
          </cell>
          <cell r="Y317" t="e">
            <v>#DIV/0!</v>
          </cell>
          <cell r="Z317" t="e">
            <v>#DIV/0!</v>
          </cell>
          <cell r="AA317" t="e">
            <v>#DIV/0!</v>
          </cell>
          <cell r="AB317" t="e">
            <v>#DIV/0!</v>
          </cell>
          <cell r="AC317" t="e">
            <v>#DIV/0!</v>
          </cell>
          <cell r="AD317" t="e">
            <v>#DIV/0!</v>
          </cell>
          <cell r="AE317" t="e">
            <v>#DIV/0!</v>
          </cell>
          <cell r="AF317" t="e">
            <v>#DIV/0!</v>
          </cell>
          <cell r="AH317">
            <v>3.4125116483111631E-2</v>
          </cell>
        </row>
        <row r="318">
          <cell r="B318">
            <v>0.13</v>
          </cell>
          <cell r="C318">
            <v>0.13</v>
          </cell>
          <cell r="D318">
            <v>0.13</v>
          </cell>
          <cell r="E318">
            <v>0.13</v>
          </cell>
          <cell r="F318">
            <v>0.13</v>
          </cell>
          <cell r="G318">
            <v>0.13</v>
          </cell>
          <cell r="H318">
            <v>0.13</v>
          </cell>
          <cell r="I318">
            <v>0.13</v>
          </cell>
          <cell r="J318">
            <v>0.13</v>
          </cell>
          <cell r="K318" t="e">
            <v>#DIV/0!</v>
          </cell>
          <cell r="L318" t="e">
            <v>#DIV/0!</v>
          </cell>
          <cell r="M318" t="e">
            <v>#DIV/0!</v>
          </cell>
          <cell r="N318" t="e">
            <v>#DIV/0!</v>
          </cell>
          <cell r="O318" t="e">
            <v>#DIV/0!</v>
          </cell>
          <cell r="P318" t="e">
            <v>#DIV/0!</v>
          </cell>
          <cell r="Q318" t="e">
            <v>#DIV/0!</v>
          </cell>
          <cell r="R318" t="e">
            <v>#DIV/0!</v>
          </cell>
          <cell r="S318" t="e">
            <v>#DIV/0!</v>
          </cell>
          <cell r="T318" t="e">
            <v>#DIV/0!</v>
          </cell>
          <cell r="U318" t="e">
            <v>#DIV/0!</v>
          </cell>
          <cell r="V318" t="e">
            <v>#DIV/0!</v>
          </cell>
          <cell r="W318" t="e">
            <v>#DIV/0!</v>
          </cell>
          <cell r="X318" t="e">
            <v>#DIV/0!</v>
          </cell>
          <cell r="Y318" t="e">
            <v>#DIV/0!</v>
          </cell>
          <cell r="Z318" t="e">
            <v>#DIV/0!</v>
          </cell>
          <cell r="AA318" t="e">
            <v>#DIV/0!</v>
          </cell>
          <cell r="AB318" t="e">
            <v>#DIV/0!</v>
          </cell>
          <cell r="AC318" t="e">
            <v>#DIV/0!</v>
          </cell>
          <cell r="AD318" t="e">
            <v>#DIV/0!</v>
          </cell>
          <cell r="AE318" t="e">
            <v>#DIV/0!</v>
          </cell>
          <cell r="AF318" t="e">
            <v>#DIV/0!</v>
          </cell>
          <cell r="AH318">
            <v>0.13</v>
          </cell>
        </row>
        <row r="319">
          <cell r="B319">
            <v>6.8132462456341081E-2</v>
          </cell>
          <cell r="C319">
            <v>8.2968087715712402E-2</v>
          </cell>
          <cell r="D319">
            <v>1.1149995828858084E-2</v>
          </cell>
          <cell r="E319">
            <v>4.2537830204398983E-2</v>
          </cell>
          <cell r="F319">
            <v>9.9446040040988785E-3</v>
          </cell>
          <cell r="G319">
            <v>1.1209032551257929E-2</v>
          </cell>
          <cell r="H319">
            <v>1.4757332771165985E-2</v>
          </cell>
          <cell r="I319">
            <v>0</v>
          </cell>
          <cell r="J319">
            <v>1.1543224873236765E-2</v>
          </cell>
          <cell r="K319" t="e">
            <v>#DIV/0!</v>
          </cell>
          <cell r="L319" t="e">
            <v>#DIV/0!</v>
          </cell>
          <cell r="M319" t="e">
            <v>#DIV/0!</v>
          </cell>
          <cell r="N319" t="e">
            <v>#DIV/0!</v>
          </cell>
          <cell r="O319" t="e">
            <v>#DIV/0!</v>
          </cell>
          <cell r="P319" t="e">
            <v>#DIV/0!</v>
          </cell>
          <cell r="Q319" t="e">
            <v>#DIV/0!</v>
          </cell>
          <cell r="R319" t="e">
            <v>#DIV/0!</v>
          </cell>
          <cell r="S319" t="e">
            <v>#DIV/0!</v>
          </cell>
          <cell r="T319" t="e">
            <v>#DIV/0!</v>
          </cell>
          <cell r="U319" t="e">
            <v>#DIV/0!</v>
          </cell>
          <cell r="V319" t="e">
            <v>#DIV/0!</v>
          </cell>
          <cell r="W319" t="e">
            <v>#DIV/0!</v>
          </cell>
          <cell r="X319" t="e">
            <v>#DIV/0!</v>
          </cell>
          <cell r="Y319" t="e">
            <v>#DIV/0!</v>
          </cell>
          <cell r="Z319" t="e">
            <v>#DIV/0!</v>
          </cell>
          <cell r="AA319" t="e">
            <v>#DIV/0!</v>
          </cell>
          <cell r="AB319" t="e">
            <v>#DIV/0!</v>
          </cell>
          <cell r="AC319" t="e">
            <v>#DIV/0!</v>
          </cell>
          <cell r="AD319" t="e">
            <v>#DIV/0!</v>
          </cell>
          <cell r="AE319" t="e">
            <v>#DIV/0!</v>
          </cell>
          <cell r="AF319" t="e">
            <v>#DIV/0!</v>
          </cell>
          <cell r="AH319">
            <v>2.6301443992675571E-2</v>
          </cell>
        </row>
        <row r="320">
          <cell r="B320">
            <v>7.6749904868317856E-2</v>
          </cell>
          <cell r="C320">
            <v>0.18270460101084107</v>
          </cell>
          <cell r="D320">
            <v>0.18566269977948832</v>
          </cell>
          <cell r="E320">
            <v>0.19326146083503842</v>
          </cell>
          <cell r="F320">
            <v>0.1816401246290244</v>
          </cell>
          <cell r="G320">
            <v>0.18511457851498875</v>
          </cell>
          <cell r="H320">
            <v>0.18715359341501428</v>
          </cell>
          <cell r="I320">
            <v>0</v>
          </cell>
          <cell r="J320">
            <v>0.16826064346815189</v>
          </cell>
          <cell r="K320" t="e">
            <v>#DIV/0!</v>
          </cell>
          <cell r="L320" t="e">
            <v>#DIV/0!</v>
          </cell>
          <cell r="M320" t="e">
            <v>#DIV/0!</v>
          </cell>
          <cell r="N320" t="e">
            <v>#DIV/0!</v>
          </cell>
          <cell r="O320" t="e">
            <v>#DIV/0!</v>
          </cell>
          <cell r="P320" t="e">
            <v>#DIV/0!</v>
          </cell>
          <cell r="Q320" t="e">
            <v>#DIV/0!</v>
          </cell>
          <cell r="R320" t="e">
            <v>#DIV/0!</v>
          </cell>
          <cell r="S320" t="e">
            <v>#DIV/0!</v>
          </cell>
          <cell r="T320" t="e">
            <v>#DIV/0!</v>
          </cell>
          <cell r="U320" t="e">
            <v>#DIV/0!</v>
          </cell>
          <cell r="V320" t="e">
            <v>#DIV/0!</v>
          </cell>
          <cell r="W320" t="e">
            <v>#DIV/0!</v>
          </cell>
          <cell r="X320" t="e">
            <v>#DIV/0!</v>
          </cell>
          <cell r="Y320" t="e">
            <v>#DIV/0!</v>
          </cell>
          <cell r="Z320" t="e">
            <v>#DIV/0!</v>
          </cell>
          <cell r="AA320" t="e">
            <v>#DIV/0!</v>
          </cell>
          <cell r="AB320" t="e">
            <v>#DIV/0!</v>
          </cell>
          <cell r="AC320" t="e">
            <v>#DIV/0!</v>
          </cell>
          <cell r="AD320" t="e">
            <v>#DIV/0!</v>
          </cell>
          <cell r="AE320" t="e">
            <v>#DIV/0!</v>
          </cell>
          <cell r="AF320" t="e">
            <v>#DIV/0!</v>
          </cell>
          <cell r="AH320">
            <v>0.18339967166464963</v>
          </cell>
        </row>
        <row r="321">
          <cell r="B321">
            <v>0.18766274123573545</v>
          </cell>
          <cell r="C321">
            <v>0.53232169914543082</v>
          </cell>
          <cell r="D321">
            <v>0.48622572165130107</v>
          </cell>
          <cell r="E321">
            <v>0.61630017524946623</v>
          </cell>
          <cell r="F321">
            <v>0.49718843013468739</v>
          </cell>
          <cell r="G321">
            <v>0.50630175966412683</v>
          </cell>
          <cell r="H321">
            <v>0.45214326544701472</v>
          </cell>
          <cell r="I321">
            <v>0</v>
          </cell>
          <cell r="J321">
            <v>0.44071493701573555</v>
          </cell>
          <cell r="K321" t="e">
            <v>#DIV/0!</v>
          </cell>
          <cell r="L321" t="e">
            <v>#DIV/0!</v>
          </cell>
          <cell r="M321" t="e">
            <v>#DIV/0!</v>
          </cell>
          <cell r="N321" t="e">
            <v>#DIV/0!</v>
          </cell>
          <cell r="O321" t="e">
            <v>#DIV/0!</v>
          </cell>
          <cell r="P321" t="e">
            <v>#DIV/0!</v>
          </cell>
          <cell r="Q321" t="e">
            <v>#DIV/0!</v>
          </cell>
          <cell r="R321" t="e">
            <v>#DIV/0!</v>
          </cell>
          <cell r="S321" t="e">
            <v>#DIV/0!</v>
          </cell>
          <cell r="T321" t="e">
            <v>#DIV/0!</v>
          </cell>
          <cell r="U321" t="e">
            <v>#DIV/0!</v>
          </cell>
          <cell r="V321" t="e">
            <v>#DIV/0!</v>
          </cell>
          <cell r="W321" t="e">
            <v>#DIV/0!</v>
          </cell>
          <cell r="X321" t="e">
            <v>#DIV/0!</v>
          </cell>
          <cell r="Y321" t="e">
            <v>#DIV/0!</v>
          </cell>
          <cell r="Z321" t="e">
            <v>#DIV/0!</v>
          </cell>
          <cell r="AA321" t="e">
            <v>#DIV/0!</v>
          </cell>
          <cell r="AB321" t="e">
            <v>#DIV/0!</v>
          </cell>
          <cell r="AC321" t="e">
            <v>#DIV/0!</v>
          </cell>
          <cell r="AD321" t="e">
            <v>#DIV/0!</v>
          </cell>
          <cell r="AE321" t="e">
            <v>#DIV/0!</v>
          </cell>
          <cell r="AF321" t="e">
            <v>#DIV/0!</v>
          </cell>
          <cell r="AH321">
            <v>0.50445656975825182</v>
          </cell>
        </row>
        <row r="322">
          <cell r="B322">
            <v>0.10443354533254803</v>
          </cell>
          <cell r="C322">
            <v>0.11893522115232374</v>
          </cell>
          <cell r="D322">
            <v>0.6083024489014307</v>
          </cell>
          <cell r="E322">
            <v>0.12663901071135747</v>
          </cell>
          <cell r="F322">
            <v>0.11182769009610682</v>
          </cell>
          <cell r="G322">
            <v>0.11441668045699716</v>
          </cell>
          <cell r="H322">
            <v>0.10931580326732909</v>
          </cell>
          <cell r="I322">
            <v>0.08</v>
          </cell>
          <cell r="J322">
            <v>0.12283630480014807</v>
          </cell>
          <cell r="K322" t="e">
            <v>#DIV/0!</v>
          </cell>
          <cell r="L322" t="e">
            <v>#DIV/0!</v>
          </cell>
          <cell r="M322" t="e">
            <v>#DIV/0!</v>
          </cell>
          <cell r="N322" t="e">
            <v>#DIV/0!</v>
          </cell>
          <cell r="O322" t="e">
            <v>#DIV/0!</v>
          </cell>
          <cell r="P322" t="e">
            <v>#DIV/0!</v>
          </cell>
          <cell r="Q322" t="e">
            <v>#DIV/0!</v>
          </cell>
          <cell r="R322" t="e">
            <v>#DIV/0!</v>
          </cell>
          <cell r="S322" t="e">
            <v>#DIV/0!</v>
          </cell>
          <cell r="T322" t="e">
            <v>#DIV/0!</v>
          </cell>
          <cell r="U322" t="e">
            <v>#DIV/0!</v>
          </cell>
          <cell r="V322" t="e">
            <v>#DIV/0!</v>
          </cell>
          <cell r="W322" t="e">
            <v>#DIV/0!</v>
          </cell>
          <cell r="X322" t="e">
            <v>#DIV/0!</v>
          </cell>
          <cell r="Y322" t="e">
            <v>#DIV/0!</v>
          </cell>
          <cell r="Z322" t="e">
            <v>#DIV/0!</v>
          </cell>
          <cell r="AA322" t="e">
            <v>#DIV/0!</v>
          </cell>
          <cell r="AB322" t="e">
            <v>#DIV/0!</v>
          </cell>
          <cell r="AC322" t="e">
            <v>#DIV/0!</v>
          </cell>
          <cell r="AD322" t="e">
            <v>#DIV/0!</v>
          </cell>
          <cell r="AE322" t="e">
            <v>#DIV/0!</v>
          </cell>
          <cell r="AF322" t="e">
            <v>#DIV/0!</v>
          </cell>
          <cell r="AH322">
            <v>0.17403414492321168</v>
          </cell>
        </row>
        <row r="323">
          <cell r="B323">
            <v>0.56697865389294244</v>
          </cell>
          <cell r="C323">
            <v>1.0642391215103588</v>
          </cell>
          <cell r="D323">
            <v>1.4605181402787093</v>
          </cell>
          <cell r="E323">
            <v>1.1463268526664665</v>
          </cell>
          <cell r="F323">
            <v>0.96290510882997526</v>
          </cell>
          <cell r="G323">
            <v>0.98844200918637004</v>
          </cell>
          <cell r="H323">
            <v>0.9332173187460604</v>
          </cell>
          <cell r="I323">
            <v>0.21000000000000002</v>
          </cell>
          <cell r="J323">
            <v>0.90460422145857289</v>
          </cell>
          <cell r="K323" t="e">
            <v>#DIV/0!</v>
          </cell>
          <cell r="L323" t="e">
            <v>#DIV/0!</v>
          </cell>
          <cell r="M323" t="e">
            <v>#DIV/0!</v>
          </cell>
          <cell r="N323" t="e">
            <v>#DIV/0!</v>
          </cell>
          <cell r="O323" t="e">
            <v>#DIV/0!</v>
          </cell>
          <cell r="P323" t="e">
            <v>#DIV/0!</v>
          </cell>
          <cell r="Q323" t="e">
            <v>#DIV/0!</v>
          </cell>
          <cell r="R323" t="e">
            <v>#DIV/0!</v>
          </cell>
          <cell r="S323" t="e">
            <v>#DIV/0!</v>
          </cell>
          <cell r="T323" t="e">
            <v>#DIV/0!</v>
          </cell>
          <cell r="U323" t="e">
            <v>#DIV/0!</v>
          </cell>
          <cell r="V323" t="e">
            <v>#DIV/0!</v>
          </cell>
          <cell r="W323" t="e">
            <v>#DIV/0!</v>
          </cell>
          <cell r="X323" t="e">
            <v>#DIV/0!</v>
          </cell>
          <cell r="Y323" t="e">
            <v>#DIV/0!</v>
          </cell>
          <cell r="Z323" t="e">
            <v>#DIV/0!</v>
          </cell>
          <cell r="AA323" t="e">
            <v>#DIV/0!</v>
          </cell>
          <cell r="AB323" t="e">
            <v>#DIV/0!</v>
          </cell>
          <cell r="AC323" t="e">
            <v>#DIV/0!</v>
          </cell>
          <cell r="AD323" t="e">
            <v>#DIV/0!</v>
          </cell>
          <cell r="AE323" t="e">
            <v>#DIV/0!</v>
          </cell>
          <cell r="AF323" t="e">
            <v>#DIV/0!</v>
          </cell>
          <cell r="AH323">
            <v>1.0523169468219002</v>
          </cell>
        </row>
        <row r="324">
          <cell r="B324">
            <v>0.4979860595347646</v>
          </cell>
          <cell r="C324">
            <v>0.85286836192537141</v>
          </cell>
          <cell r="D324">
            <v>1.2743303980725011</v>
          </cell>
          <cell r="E324">
            <v>0.91974938868043221</v>
          </cell>
          <cell r="F324">
            <v>0.78011805448991134</v>
          </cell>
          <cell r="G324">
            <v>0.79456666012678634</v>
          </cell>
          <cell r="H324">
            <v>0.76699073216123415</v>
          </cell>
          <cell r="I324">
            <v>0.21000000000000002</v>
          </cell>
          <cell r="J324">
            <v>0.7498771712892871</v>
          </cell>
          <cell r="K324" t="e">
            <v>#N/A</v>
          </cell>
          <cell r="L324" t="e">
            <v>#N/A</v>
          </cell>
          <cell r="M324" t="e">
            <v>#N/A</v>
          </cell>
          <cell r="N324" t="e">
            <v>#N/A</v>
          </cell>
          <cell r="O324" t="e">
            <v>#N/A</v>
          </cell>
          <cell r="P324" t="e">
            <v>#N/A</v>
          </cell>
          <cell r="Q324" t="e">
            <v>#N/A</v>
          </cell>
          <cell r="R324" t="e">
            <v>#N/A</v>
          </cell>
          <cell r="S324" t="e">
            <v>#N/A</v>
          </cell>
          <cell r="T324" t="e">
            <v>#N/A</v>
          </cell>
          <cell r="U324" t="e">
            <v>#N/A</v>
          </cell>
          <cell r="V324" t="e">
            <v>#N/A</v>
          </cell>
          <cell r="W324" t="e">
            <v>#N/A</v>
          </cell>
          <cell r="X324" t="e">
            <v>#N/A</v>
          </cell>
          <cell r="Y324" t="e">
            <v>#N/A</v>
          </cell>
          <cell r="Z324" t="e">
            <v>#N/A</v>
          </cell>
          <cell r="AA324" t="e">
            <v>#N/A</v>
          </cell>
          <cell r="AB324" t="e">
            <v>#N/A</v>
          </cell>
          <cell r="AC324" t="e">
            <v>#N/A</v>
          </cell>
          <cell r="AD324" t="e">
            <v>#N/A</v>
          </cell>
          <cell r="AE324" t="e">
            <v>#N/A</v>
          </cell>
          <cell r="AF324" t="e">
            <v>#N/A</v>
          </cell>
          <cell r="AH324">
            <v>0.86685782339936857</v>
          </cell>
        </row>
      </sheetData>
      <sheetData sheetId="1" refreshError="1">
        <row r="4">
          <cell r="A4">
            <v>1</v>
          </cell>
          <cell r="B4">
            <v>1</v>
          </cell>
        </row>
        <row r="5">
          <cell r="A5">
            <v>1.1000000000000001</v>
          </cell>
          <cell r="B5">
            <v>0.94517661372648376</v>
          </cell>
        </row>
        <row r="6">
          <cell r="A6">
            <v>1.2</v>
          </cell>
          <cell r="B6">
            <v>0.89769818970993409</v>
          </cell>
        </row>
        <row r="7">
          <cell r="A7">
            <v>1.3</v>
          </cell>
          <cell r="B7">
            <v>0.85618025631148298</v>
          </cell>
        </row>
        <row r="8">
          <cell r="A8">
            <v>1.4</v>
          </cell>
          <cell r="B8">
            <v>0.81956594377427239</v>
          </cell>
        </row>
        <row r="9">
          <cell r="A9">
            <v>1.5</v>
          </cell>
          <cell r="B9">
            <v>0.7870344435379697</v>
          </cell>
        </row>
        <row r="10">
          <cell r="A10">
            <v>1.6</v>
          </cell>
          <cell r="B10">
            <v>0.75793855265137944</v>
          </cell>
        </row>
        <row r="11">
          <cell r="A11">
            <v>1.7</v>
          </cell>
          <cell r="B11">
            <v>0.73176105947053027</v>
          </cell>
        </row>
        <row r="12">
          <cell r="A12">
            <v>1.8</v>
          </cell>
          <cell r="B12">
            <v>0.70808365418802566</v>
          </cell>
        </row>
        <row r="13">
          <cell r="A13">
            <v>1.9</v>
          </cell>
          <cell r="B13">
            <v>0.68656435806639615</v>
          </cell>
        </row>
        <row r="14">
          <cell r="A14">
            <v>2</v>
          </cell>
          <cell r="B14">
            <v>0.66692086617391466</v>
          </cell>
        </row>
        <row r="15">
          <cell r="A15">
            <v>2.1</v>
          </cell>
          <cell r="B15">
            <v>0.64891807113004341</v>
          </cell>
        </row>
        <row r="16">
          <cell r="A16">
            <v>2.2000000000000002</v>
          </cell>
          <cell r="B16">
            <v>0.63235859231368841</v>
          </cell>
        </row>
        <row r="17">
          <cell r="A17">
            <v>2.2999999999999998</v>
          </cell>
          <cell r="B17">
            <v>0.61707549824002628</v>
          </cell>
        </row>
        <row r="18">
          <cell r="A18">
            <v>2.4</v>
          </cell>
          <cell r="B18">
            <v>0.60292665145096636</v>
          </cell>
        </row>
        <row r="19">
          <cell r="A19">
            <v>2.5</v>
          </cell>
          <cell r="B19">
            <v>0.5897902689167408</v>
          </cell>
        </row>
        <row r="20">
          <cell r="A20">
            <v>2.6</v>
          </cell>
          <cell r="B20">
            <v>0.57756140361557107</v>
          </cell>
        </row>
        <row r="21">
          <cell r="A21">
            <v>2.7</v>
          </cell>
          <cell r="B21">
            <v>0.56614913170552594</v>
          </cell>
        </row>
        <row r="22">
          <cell r="A22">
            <v>2.8</v>
          </cell>
          <cell r="B22">
            <v>0.55547428551040745</v>
          </cell>
        </row>
        <row r="23">
          <cell r="A23">
            <v>2.9</v>
          </cell>
          <cell r="B23">
            <v>0.54546761260316701</v>
          </cell>
        </row>
        <row r="24">
          <cell r="A24">
            <v>3</v>
          </cell>
          <cell r="B24">
            <v>0.53606827037312177</v>
          </cell>
        </row>
        <row r="25">
          <cell r="A25">
            <v>3.1</v>
          </cell>
          <cell r="B25">
            <v>0.52722258684026568</v>
          </cell>
        </row>
        <row r="26">
          <cell r="A26">
            <v>3.2</v>
          </cell>
          <cell r="B26">
            <v>0.51888303434512562</v>
          </cell>
        </row>
        <row r="27">
          <cell r="A27">
            <v>3.3</v>
          </cell>
          <cell r="B27">
            <v>0.51100737463121515</v>
          </cell>
        </row>
        <row r="28">
          <cell r="A28">
            <v>3.4</v>
          </cell>
          <cell r="B28">
            <v>0.50355794282680588</v>
          </cell>
        </row>
        <row r="29">
          <cell r="A29">
            <v>3.5</v>
          </cell>
          <cell r="B29">
            <v>0.49650104468826967</v>
          </cell>
        </row>
        <row r="30">
          <cell r="A30">
            <v>3.6</v>
          </cell>
          <cell r="B30">
            <v>0.48980644673718038</v>
          </cell>
        </row>
        <row r="31">
          <cell r="A31">
            <v>3.7</v>
          </cell>
          <cell r="B31">
            <v>0.48344694300502128</v>
          </cell>
        </row>
        <row r="32">
          <cell r="A32">
            <v>3.8</v>
          </cell>
          <cell r="B32">
            <v>0.47739798528318395</v>
          </cell>
        </row>
        <row r="33">
          <cell r="A33">
            <v>3.9</v>
          </cell>
          <cell r="B33">
            <v>0.46919868300472994</v>
          </cell>
        </row>
        <row r="34">
          <cell r="A34">
            <v>4</v>
          </cell>
          <cell r="B34">
            <v>0.46136913806921398</v>
          </cell>
        </row>
      </sheetData>
      <sheetData sheetId="2">
        <row r="3">
          <cell r="B3">
            <v>38776</v>
          </cell>
        </row>
      </sheetData>
      <sheetData sheetId="3">
        <row r="4">
          <cell r="A4">
            <v>1</v>
          </cell>
        </row>
      </sheetData>
      <sheetData sheetId="4">
        <row r="4">
          <cell r="A4">
            <v>1</v>
          </cell>
        </row>
      </sheetData>
      <sheetData sheetId="5">
        <row r="4">
          <cell r="A4">
            <v>1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>
        <row r="4">
          <cell r="A4">
            <v>1</v>
          </cell>
        </row>
      </sheetData>
      <sheetData sheetId="35">
        <row r="4">
          <cell r="A4">
            <v>1</v>
          </cell>
        </row>
      </sheetData>
      <sheetData sheetId="36">
        <row r="4">
          <cell r="A4">
            <v>1</v>
          </cell>
        </row>
      </sheetData>
      <sheetData sheetId="37">
        <row r="4">
          <cell r="A4">
            <v>1</v>
          </cell>
        </row>
      </sheetData>
      <sheetData sheetId="38">
        <row r="4">
          <cell r="A4">
            <v>1</v>
          </cell>
        </row>
      </sheetData>
      <sheetData sheetId="39">
        <row r="4">
          <cell r="A4">
            <v>1</v>
          </cell>
        </row>
      </sheetData>
      <sheetData sheetId="40">
        <row r="4">
          <cell r="A4">
            <v>1</v>
          </cell>
        </row>
      </sheetData>
      <sheetData sheetId="41">
        <row r="4">
          <cell r="A4">
            <v>1</v>
          </cell>
        </row>
      </sheetData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"/>
      <sheetName val="samsidb"/>
      <sheetName val="COAL CRUSH PLAN"/>
      <sheetName val="COAL MINE PLAN"/>
      <sheetName val="OB PLAN"/>
      <sheetName val="REPORT01"/>
      <sheetName val="REPORT 02"/>
      <sheetName val="REPORT 03"/>
      <sheetName val="ACT COAL"/>
      <sheetName val="ACT DIRTY COAL"/>
      <sheetName val="WASHPLANT"/>
      <sheetName val="ACT OB"/>
      <sheetName val="DRILLBLAST"/>
      <sheetName val="HAUL C1,C2,C3"/>
      <sheetName val="DOZING"/>
      <sheetName val="PITINVENTORY"/>
      <sheetName val="Rain &amp; Slippery Method"/>
      <sheetName val="DAILY_SUM"/>
      <sheetName val="REPORT01 for P'GANIS"/>
      <sheetName val="REPORT01 TS"/>
      <sheetName val="ACT OB TS"/>
      <sheetName val="04 - DAILY REPORT IMM_APR_2007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6">
          <cell r="B46">
            <v>1</v>
          </cell>
          <cell r="C46">
            <v>2</v>
          </cell>
          <cell r="D46">
            <v>3</v>
          </cell>
          <cell r="E46">
            <v>4</v>
          </cell>
          <cell r="F46">
            <v>5</v>
          </cell>
          <cell r="G46">
            <v>6</v>
          </cell>
          <cell r="H46">
            <v>7</v>
          </cell>
          <cell r="I46">
            <v>8</v>
          </cell>
          <cell r="J46">
            <v>9</v>
          </cell>
          <cell r="K46">
            <v>10</v>
          </cell>
          <cell r="L46">
            <v>11</v>
          </cell>
          <cell r="M46">
            <v>12</v>
          </cell>
          <cell r="N46">
            <v>13</v>
          </cell>
          <cell r="O46">
            <v>14</v>
          </cell>
          <cell r="P46">
            <v>15</v>
          </cell>
          <cell r="Q46">
            <v>16</v>
          </cell>
        </row>
        <row r="47">
          <cell r="B47" t="str">
            <v>DATE</v>
          </cell>
          <cell r="C47" t="str">
            <v>PLAN</v>
          </cell>
          <cell r="D47" t="str">
            <v>MTD</v>
          </cell>
          <cell r="G47" t="str">
            <v>DATE</v>
          </cell>
          <cell r="H47" t="str">
            <v>PLAN</v>
          </cell>
          <cell r="I47" t="str">
            <v>MTD</v>
          </cell>
          <cell r="K47" t="str">
            <v>DATE</v>
          </cell>
          <cell r="L47" t="str">
            <v>PLAN</v>
          </cell>
          <cell r="M47" t="str">
            <v>MTD</v>
          </cell>
          <cell r="O47" t="str">
            <v>DATE</v>
          </cell>
          <cell r="P47" t="str">
            <v>PLAN</v>
          </cell>
          <cell r="Q47" t="str">
            <v>MTD</v>
          </cell>
        </row>
        <row r="49">
          <cell r="B49">
            <v>39173</v>
          </cell>
          <cell r="C49">
            <v>24672.027972027972</v>
          </cell>
          <cell r="D49">
            <v>24672.027972027972</v>
          </cell>
          <cell r="G49">
            <v>39173</v>
          </cell>
          <cell r="I49">
            <v>0</v>
          </cell>
          <cell r="K49">
            <v>39173</v>
          </cell>
          <cell r="L49">
            <v>19654.545454545456</v>
          </cell>
          <cell r="M49">
            <v>19654.545454545456</v>
          </cell>
          <cell r="O49">
            <v>39173</v>
          </cell>
          <cell r="P49">
            <v>5017.4825174825173</v>
          </cell>
          <cell r="Q49">
            <v>5017.4825174825173</v>
          </cell>
        </row>
        <row r="50">
          <cell r="B50">
            <v>39174</v>
          </cell>
          <cell r="C50">
            <v>24672.027972027972</v>
          </cell>
          <cell r="D50">
            <v>49344.055944055945</v>
          </cell>
          <cell r="G50">
            <v>39174</v>
          </cell>
          <cell r="I50">
            <v>0</v>
          </cell>
          <cell r="K50">
            <v>39174</v>
          </cell>
          <cell r="L50">
            <v>19654.545454545456</v>
          </cell>
          <cell r="M50">
            <v>39309.090909090912</v>
          </cell>
          <cell r="O50">
            <v>39174</v>
          </cell>
          <cell r="P50">
            <v>5017.4825174825173</v>
          </cell>
          <cell r="Q50">
            <v>10034.965034965035</v>
          </cell>
        </row>
        <row r="51">
          <cell r="B51">
            <v>39175</v>
          </cell>
          <cell r="C51">
            <v>24672.027972027972</v>
          </cell>
          <cell r="D51">
            <v>74016.08391608391</v>
          </cell>
          <cell r="G51">
            <v>39175</v>
          </cell>
          <cell r="H51">
            <v>62385</v>
          </cell>
          <cell r="I51">
            <v>62385</v>
          </cell>
          <cell r="K51">
            <v>39175</v>
          </cell>
          <cell r="L51">
            <v>19654.545454545456</v>
          </cell>
          <cell r="M51">
            <v>58963.636363636368</v>
          </cell>
          <cell r="O51">
            <v>39175</v>
          </cell>
          <cell r="P51">
            <v>5017.4825174825173</v>
          </cell>
          <cell r="Q51">
            <v>15052.447552447553</v>
          </cell>
        </row>
        <row r="52">
          <cell r="B52">
            <v>39176</v>
          </cell>
          <cell r="C52">
            <v>24672.027972027972</v>
          </cell>
          <cell r="D52">
            <v>98688.111888111889</v>
          </cell>
          <cell r="G52">
            <v>39176</v>
          </cell>
          <cell r="I52">
            <v>62385</v>
          </cell>
          <cell r="K52">
            <v>39176</v>
          </cell>
          <cell r="L52">
            <v>19654.545454545456</v>
          </cell>
          <cell r="M52">
            <v>78618.181818181823</v>
          </cell>
          <cell r="O52">
            <v>39176</v>
          </cell>
          <cell r="P52">
            <v>5017.4825174825173</v>
          </cell>
          <cell r="Q52">
            <v>20069.930069930069</v>
          </cell>
        </row>
        <row r="53">
          <cell r="B53">
            <v>39177</v>
          </cell>
          <cell r="C53">
            <v>24672.027972027972</v>
          </cell>
          <cell r="D53">
            <v>123360.13986013987</v>
          </cell>
          <cell r="G53">
            <v>39177</v>
          </cell>
          <cell r="H53">
            <v>91612</v>
          </cell>
          <cell r="I53">
            <v>153997</v>
          </cell>
          <cell r="K53">
            <v>39177</v>
          </cell>
          <cell r="L53">
            <v>19654.545454545456</v>
          </cell>
          <cell r="M53">
            <v>98272.727272727279</v>
          </cell>
          <cell r="O53">
            <v>39177</v>
          </cell>
          <cell r="P53">
            <v>5017.4825174825173</v>
          </cell>
          <cell r="Q53">
            <v>25087.412587412586</v>
          </cell>
        </row>
        <row r="54">
          <cell r="B54">
            <v>39178</v>
          </cell>
          <cell r="C54">
            <v>23259.090909090908</v>
          </cell>
          <cell r="D54">
            <v>146619.23076923078</v>
          </cell>
          <cell r="G54">
            <v>39178</v>
          </cell>
          <cell r="H54">
            <v>32000</v>
          </cell>
          <cell r="I54">
            <v>185997</v>
          </cell>
          <cell r="K54">
            <v>39178</v>
          </cell>
          <cell r="L54">
            <v>18372.727272727272</v>
          </cell>
          <cell r="M54">
            <v>116645.45454545456</v>
          </cell>
          <cell r="O54">
            <v>39178</v>
          </cell>
          <cell r="P54">
            <v>4886.363636363636</v>
          </cell>
          <cell r="Q54">
            <v>29973.776223776222</v>
          </cell>
        </row>
        <row r="55">
          <cell r="B55">
            <v>39179</v>
          </cell>
          <cell r="C55">
            <v>24672.027972027972</v>
          </cell>
          <cell r="D55">
            <v>171291.25874125876</v>
          </cell>
          <cell r="G55">
            <v>39179</v>
          </cell>
          <cell r="I55">
            <v>185997</v>
          </cell>
          <cell r="K55">
            <v>39179</v>
          </cell>
          <cell r="L55">
            <v>19654.545454545456</v>
          </cell>
          <cell r="M55">
            <v>136300</v>
          </cell>
          <cell r="O55">
            <v>39179</v>
          </cell>
          <cell r="P55">
            <v>5017.4825174825173</v>
          </cell>
          <cell r="Q55">
            <v>34991.258741258738</v>
          </cell>
        </row>
        <row r="56">
          <cell r="B56">
            <v>39180</v>
          </cell>
          <cell r="C56">
            <v>24672.027972027972</v>
          </cell>
          <cell r="D56">
            <v>195963.28671328674</v>
          </cell>
          <cell r="G56">
            <v>39180</v>
          </cell>
          <cell r="H56">
            <v>67612</v>
          </cell>
          <cell r="I56">
            <v>253609</v>
          </cell>
          <cell r="K56">
            <v>39180</v>
          </cell>
          <cell r="L56">
            <v>19654.545454545456</v>
          </cell>
          <cell r="M56">
            <v>155954.54545454547</v>
          </cell>
          <cell r="O56">
            <v>39180</v>
          </cell>
          <cell r="P56">
            <v>5017.4825174825173</v>
          </cell>
          <cell r="Q56">
            <v>40008.741258741255</v>
          </cell>
        </row>
        <row r="57">
          <cell r="B57">
            <v>39181</v>
          </cell>
          <cell r="C57">
            <v>24672.027972027972</v>
          </cell>
          <cell r="D57">
            <v>220635.31468531472</v>
          </cell>
          <cell r="G57">
            <v>39181</v>
          </cell>
          <cell r="I57">
            <v>253609</v>
          </cell>
          <cell r="K57">
            <v>39181</v>
          </cell>
          <cell r="L57">
            <v>19654.545454545456</v>
          </cell>
          <cell r="M57">
            <v>175609.09090909094</v>
          </cell>
          <cell r="O57">
            <v>39181</v>
          </cell>
          <cell r="P57">
            <v>5017.4825174825173</v>
          </cell>
          <cell r="Q57">
            <v>45026.223776223771</v>
          </cell>
        </row>
        <row r="58">
          <cell r="B58">
            <v>39182</v>
          </cell>
          <cell r="C58">
            <v>24672.027972027972</v>
          </cell>
          <cell r="D58">
            <v>245307.3426573427</v>
          </cell>
          <cell r="G58">
            <v>39182</v>
          </cell>
          <cell r="H58">
            <v>80000</v>
          </cell>
          <cell r="I58">
            <v>333609</v>
          </cell>
          <cell r="K58">
            <v>39182</v>
          </cell>
          <cell r="L58">
            <v>19654.545454545456</v>
          </cell>
          <cell r="M58">
            <v>195263.63636363641</v>
          </cell>
          <cell r="O58">
            <v>39182</v>
          </cell>
          <cell r="P58">
            <v>5017.4825174825173</v>
          </cell>
          <cell r="Q58">
            <v>50043.706293706287</v>
          </cell>
        </row>
        <row r="59">
          <cell r="B59">
            <v>39183</v>
          </cell>
          <cell r="C59">
            <v>24672.027972027972</v>
          </cell>
          <cell r="D59">
            <v>269979.37062937068</v>
          </cell>
          <cell r="G59">
            <v>39183</v>
          </cell>
          <cell r="H59">
            <v>8000</v>
          </cell>
          <cell r="I59">
            <v>341609</v>
          </cell>
          <cell r="K59">
            <v>39183</v>
          </cell>
          <cell r="L59">
            <v>19654.545454545456</v>
          </cell>
          <cell r="M59">
            <v>214918.18181818188</v>
          </cell>
          <cell r="O59">
            <v>39183</v>
          </cell>
          <cell r="P59">
            <v>5017.4825174825173</v>
          </cell>
          <cell r="Q59">
            <v>55061.188811188804</v>
          </cell>
        </row>
        <row r="60">
          <cell r="B60">
            <v>39184</v>
          </cell>
          <cell r="C60">
            <v>24672.027972027972</v>
          </cell>
          <cell r="D60">
            <v>294651.39860139863</v>
          </cell>
          <cell r="G60">
            <v>39184</v>
          </cell>
          <cell r="H60">
            <v>8000</v>
          </cell>
          <cell r="I60">
            <v>349609</v>
          </cell>
          <cell r="K60">
            <v>39184</v>
          </cell>
          <cell r="L60">
            <v>19654.545454545456</v>
          </cell>
          <cell r="M60">
            <v>234572.72727272735</v>
          </cell>
          <cell r="O60">
            <v>39184</v>
          </cell>
          <cell r="P60">
            <v>5017.4825174825173</v>
          </cell>
          <cell r="Q60">
            <v>60078.67132867132</v>
          </cell>
        </row>
        <row r="61">
          <cell r="B61">
            <v>39185</v>
          </cell>
          <cell r="C61">
            <v>23259.090909090908</v>
          </cell>
          <cell r="D61">
            <v>317910.48951048951</v>
          </cell>
          <cell r="G61">
            <v>39185</v>
          </cell>
          <cell r="I61">
            <v>349609</v>
          </cell>
          <cell r="K61">
            <v>39185</v>
          </cell>
          <cell r="L61">
            <v>18372.727272727272</v>
          </cell>
          <cell r="M61">
            <v>252945.45454545462</v>
          </cell>
          <cell r="O61">
            <v>39185</v>
          </cell>
          <cell r="P61">
            <v>4886.363636363636</v>
          </cell>
          <cell r="Q61">
            <v>64965.034965034953</v>
          </cell>
        </row>
        <row r="62">
          <cell r="B62">
            <v>39186</v>
          </cell>
          <cell r="C62">
            <v>24672.027972027972</v>
          </cell>
          <cell r="D62">
            <v>342582.51748251746</v>
          </cell>
          <cell r="G62">
            <v>39186</v>
          </cell>
          <cell r="I62">
            <v>349609</v>
          </cell>
          <cell r="K62">
            <v>39186</v>
          </cell>
          <cell r="L62">
            <v>19654.545454545456</v>
          </cell>
          <cell r="M62">
            <v>272600.00000000006</v>
          </cell>
          <cell r="O62">
            <v>39186</v>
          </cell>
          <cell r="P62">
            <v>5017.4825174825173</v>
          </cell>
          <cell r="Q62">
            <v>69982.517482517476</v>
          </cell>
        </row>
        <row r="63">
          <cell r="B63">
            <v>39187</v>
          </cell>
          <cell r="C63">
            <v>24672.027972027972</v>
          </cell>
          <cell r="D63">
            <v>367254.54545454541</v>
          </cell>
          <cell r="G63">
            <v>39187</v>
          </cell>
          <cell r="I63">
            <v>349609</v>
          </cell>
          <cell r="K63">
            <v>39187</v>
          </cell>
          <cell r="L63">
            <v>19654.545454545456</v>
          </cell>
          <cell r="M63">
            <v>292254.54545454553</v>
          </cell>
          <cell r="O63">
            <v>39187</v>
          </cell>
          <cell r="P63">
            <v>5017.4825174825173</v>
          </cell>
          <cell r="Q63">
            <v>75000</v>
          </cell>
        </row>
        <row r="64">
          <cell r="B64">
            <v>39188</v>
          </cell>
          <cell r="C64">
            <v>24672.027972027972</v>
          </cell>
          <cell r="D64">
            <v>391926.57342657336</v>
          </cell>
          <cell r="G64">
            <v>39188</v>
          </cell>
          <cell r="I64">
            <v>349609</v>
          </cell>
          <cell r="K64">
            <v>39188</v>
          </cell>
          <cell r="L64">
            <v>19654.545454545456</v>
          </cell>
          <cell r="M64">
            <v>311909.090909091</v>
          </cell>
          <cell r="O64">
            <v>39188</v>
          </cell>
          <cell r="P64">
            <v>5017.4825174825173</v>
          </cell>
          <cell r="Q64">
            <v>80017.482517482524</v>
          </cell>
        </row>
        <row r="65">
          <cell r="B65">
            <v>39189</v>
          </cell>
          <cell r="C65">
            <v>24672.027972027972</v>
          </cell>
          <cell r="D65">
            <v>416598.60139860131</v>
          </cell>
          <cell r="G65">
            <v>39189</v>
          </cell>
          <cell r="I65">
            <v>349609</v>
          </cell>
          <cell r="K65">
            <v>39189</v>
          </cell>
          <cell r="L65">
            <v>19654.545454545456</v>
          </cell>
          <cell r="M65">
            <v>331563.63636363647</v>
          </cell>
          <cell r="O65">
            <v>39189</v>
          </cell>
          <cell r="P65">
            <v>5017.4825174825173</v>
          </cell>
          <cell r="Q65">
            <v>85034.965034965047</v>
          </cell>
        </row>
        <row r="66">
          <cell r="B66">
            <v>39190</v>
          </cell>
          <cell r="C66">
            <v>24672.027972027972</v>
          </cell>
          <cell r="D66">
            <v>441270.62937062926</v>
          </cell>
          <cell r="G66">
            <v>39190</v>
          </cell>
          <cell r="I66">
            <v>349609</v>
          </cell>
          <cell r="K66">
            <v>39190</v>
          </cell>
          <cell r="L66">
            <v>19654.545454545456</v>
          </cell>
          <cell r="M66">
            <v>351218.18181818194</v>
          </cell>
          <cell r="O66">
            <v>39190</v>
          </cell>
          <cell r="P66">
            <v>5017.4825174825173</v>
          </cell>
          <cell r="Q66">
            <v>90052.447552447571</v>
          </cell>
        </row>
        <row r="67">
          <cell r="B67">
            <v>39191</v>
          </cell>
          <cell r="C67">
            <v>24672.027972027972</v>
          </cell>
          <cell r="D67">
            <v>465942.65734265721</v>
          </cell>
          <cell r="G67">
            <v>39191</v>
          </cell>
          <cell r="I67">
            <v>349609</v>
          </cell>
          <cell r="K67">
            <v>39191</v>
          </cell>
          <cell r="L67">
            <v>19654.545454545456</v>
          </cell>
          <cell r="M67">
            <v>370872.72727272741</v>
          </cell>
          <cell r="O67">
            <v>39191</v>
          </cell>
          <cell r="P67">
            <v>5017.4825174825173</v>
          </cell>
          <cell r="Q67">
            <v>95069.930069930095</v>
          </cell>
        </row>
        <row r="68">
          <cell r="B68">
            <v>39192</v>
          </cell>
          <cell r="C68">
            <v>23259.090909090908</v>
          </cell>
          <cell r="D68">
            <v>489201.7482517481</v>
          </cell>
          <cell r="G68">
            <v>39192</v>
          </cell>
          <cell r="I68">
            <v>349609</v>
          </cell>
          <cell r="K68">
            <v>39192</v>
          </cell>
          <cell r="L68">
            <v>18372.727272727272</v>
          </cell>
          <cell r="M68">
            <v>389245.4545454547</v>
          </cell>
          <cell r="O68">
            <v>39192</v>
          </cell>
          <cell r="P68">
            <v>4886.363636363636</v>
          </cell>
          <cell r="Q68">
            <v>99956.293706293727</v>
          </cell>
        </row>
        <row r="69">
          <cell r="B69">
            <v>39193</v>
          </cell>
          <cell r="C69">
            <v>24672.027972027972</v>
          </cell>
          <cell r="D69">
            <v>513873.77622377605</v>
          </cell>
          <cell r="G69">
            <v>39193</v>
          </cell>
          <cell r="I69">
            <v>349609</v>
          </cell>
          <cell r="K69">
            <v>39193</v>
          </cell>
          <cell r="L69">
            <v>19654.545454545456</v>
          </cell>
          <cell r="M69">
            <v>408900.00000000017</v>
          </cell>
          <cell r="O69">
            <v>39193</v>
          </cell>
          <cell r="P69">
            <v>5017.4825174825173</v>
          </cell>
          <cell r="Q69">
            <v>104973.77622377625</v>
          </cell>
        </row>
        <row r="70">
          <cell r="B70">
            <v>39194</v>
          </cell>
          <cell r="C70">
            <v>24672.027972027972</v>
          </cell>
          <cell r="D70">
            <v>538545.80419580406</v>
          </cell>
          <cell r="G70">
            <v>39194</v>
          </cell>
          <cell r="I70">
            <v>349609</v>
          </cell>
          <cell r="K70">
            <v>39194</v>
          </cell>
          <cell r="L70">
            <v>19654.545454545456</v>
          </cell>
          <cell r="M70">
            <v>428554.54545454565</v>
          </cell>
          <cell r="O70">
            <v>39194</v>
          </cell>
          <cell r="P70">
            <v>5017.4825174825173</v>
          </cell>
          <cell r="Q70">
            <v>109991.25874125877</v>
          </cell>
        </row>
        <row r="71">
          <cell r="B71">
            <v>39195</v>
          </cell>
          <cell r="C71">
            <v>24672.027972027972</v>
          </cell>
          <cell r="D71">
            <v>563217.83216783206</v>
          </cell>
          <cell r="G71">
            <v>39195</v>
          </cell>
          <cell r="I71">
            <v>349609</v>
          </cell>
          <cell r="K71">
            <v>39195</v>
          </cell>
          <cell r="L71">
            <v>19654.545454545456</v>
          </cell>
          <cell r="M71">
            <v>448209.09090909112</v>
          </cell>
          <cell r="O71">
            <v>39195</v>
          </cell>
          <cell r="P71">
            <v>5017.4825174825173</v>
          </cell>
          <cell r="Q71">
            <v>115008.7412587413</v>
          </cell>
        </row>
        <row r="72">
          <cell r="B72">
            <v>39196</v>
          </cell>
          <cell r="C72">
            <v>24672.027972027972</v>
          </cell>
          <cell r="D72">
            <v>587889.86013986007</v>
          </cell>
          <cell r="G72">
            <v>39196</v>
          </cell>
          <cell r="I72">
            <v>349609</v>
          </cell>
          <cell r="K72">
            <v>39196</v>
          </cell>
          <cell r="L72">
            <v>19654.545454545456</v>
          </cell>
          <cell r="M72">
            <v>467863.63636363659</v>
          </cell>
          <cell r="O72">
            <v>39196</v>
          </cell>
          <cell r="P72">
            <v>5017.4825174825173</v>
          </cell>
          <cell r="Q72">
            <v>120026.22377622382</v>
          </cell>
        </row>
        <row r="73">
          <cell r="B73">
            <v>39197</v>
          </cell>
          <cell r="C73">
            <v>24672.027972027972</v>
          </cell>
          <cell r="D73">
            <v>612561.88811188808</v>
          </cell>
          <cell r="G73">
            <v>39197</v>
          </cell>
          <cell r="I73">
            <v>349609</v>
          </cell>
          <cell r="K73">
            <v>39197</v>
          </cell>
          <cell r="L73">
            <v>19654.545454545456</v>
          </cell>
          <cell r="M73">
            <v>487518.18181818206</v>
          </cell>
          <cell r="O73">
            <v>39197</v>
          </cell>
          <cell r="P73">
            <v>5017.4825174825173</v>
          </cell>
          <cell r="Q73">
            <v>125043.70629370635</v>
          </cell>
        </row>
        <row r="74">
          <cell r="B74">
            <v>39198</v>
          </cell>
          <cell r="C74">
            <v>24672.027972027972</v>
          </cell>
          <cell r="D74">
            <v>637233.91608391609</v>
          </cell>
          <cell r="G74">
            <v>39198</v>
          </cell>
          <cell r="I74">
            <v>349609</v>
          </cell>
          <cell r="K74">
            <v>39198</v>
          </cell>
          <cell r="L74">
            <v>19654.545454545456</v>
          </cell>
          <cell r="M74">
            <v>507172.72727272753</v>
          </cell>
          <cell r="O74">
            <v>39198</v>
          </cell>
          <cell r="P74">
            <v>5017.4825174825173</v>
          </cell>
          <cell r="Q74">
            <v>130061.18881118887</v>
          </cell>
        </row>
        <row r="75">
          <cell r="B75">
            <v>39199</v>
          </cell>
          <cell r="C75">
            <v>23259.090909090908</v>
          </cell>
          <cell r="D75">
            <v>660493.00699300703</v>
          </cell>
          <cell r="G75">
            <v>39199</v>
          </cell>
          <cell r="I75">
            <v>349609</v>
          </cell>
          <cell r="K75">
            <v>39199</v>
          </cell>
          <cell r="L75">
            <v>18372.727272727272</v>
          </cell>
          <cell r="M75">
            <v>525545.45454545482</v>
          </cell>
          <cell r="O75">
            <v>39199</v>
          </cell>
          <cell r="P75">
            <v>4886.363636363636</v>
          </cell>
          <cell r="Q75">
            <v>134947.5524475525</v>
          </cell>
        </row>
        <row r="76">
          <cell r="B76">
            <v>39200</v>
          </cell>
          <cell r="C76">
            <v>24672.027972027972</v>
          </cell>
          <cell r="D76">
            <v>685165.03496503504</v>
          </cell>
          <cell r="G76">
            <v>39200</v>
          </cell>
          <cell r="I76">
            <v>349609</v>
          </cell>
          <cell r="K76">
            <v>39200</v>
          </cell>
          <cell r="L76">
            <v>19654.545454545456</v>
          </cell>
          <cell r="M76">
            <v>545200.00000000023</v>
          </cell>
          <cell r="O76">
            <v>39200</v>
          </cell>
          <cell r="P76">
            <v>5017.4825174825173</v>
          </cell>
          <cell r="Q76">
            <v>139965.03496503501</v>
          </cell>
        </row>
        <row r="77">
          <cell r="B77">
            <v>39201</v>
          </cell>
          <cell r="C77">
            <v>14417.482517482516</v>
          </cell>
          <cell r="D77">
            <v>699582.51748251752</v>
          </cell>
          <cell r="G77">
            <v>39201</v>
          </cell>
          <cell r="I77">
            <v>349609</v>
          </cell>
          <cell r="K77">
            <v>39201</v>
          </cell>
          <cell r="L77">
            <v>9400</v>
          </cell>
          <cell r="M77">
            <v>554600.00000000023</v>
          </cell>
          <cell r="O77">
            <v>39201</v>
          </cell>
          <cell r="P77">
            <v>5017.4825174825173</v>
          </cell>
          <cell r="Q77">
            <v>144982.51748251752</v>
          </cell>
        </row>
        <row r="78">
          <cell r="B78">
            <v>39202</v>
          </cell>
          <cell r="C78">
            <v>14417.482517482516</v>
          </cell>
          <cell r="D78">
            <v>714000</v>
          </cell>
          <cell r="G78">
            <v>39202</v>
          </cell>
          <cell r="I78">
            <v>349609</v>
          </cell>
          <cell r="K78">
            <v>39202</v>
          </cell>
          <cell r="L78">
            <v>9400</v>
          </cell>
          <cell r="M78">
            <v>564000.00000000023</v>
          </cell>
          <cell r="O78">
            <v>39202</v>
          </cell>
          <cell r="P78">
            <v>5017.4825174825173</v>
          </cell>
          <cell r="Q78">
            <v>150000.00000000003</v>
          </cell>
        </row>
        <row r="79">
          <cell r="B79">
            <v>39203</v>
          </cell>
          <cell r="D79">
            <v>714000</v>
          </cell>
          <cell r="G79">
            <v>39203</v>
          </cell>
          <cell r="I79">
            <v>349609</v>
          </cell>
          <cell r="K79">
            <v>39203</v>
          </cell>
          <cell r="M79">
            <v>564000.00000000023</v>
          </cell>
          <cell r="O79">
            <v>39203</v>
          </cell>
          <cell r="Q79">
            <v>150000.00000000003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7">
          <cell r="BL7" t="str">
            <v>Lokasi</v>
          </cell>
        </row>
        <row r="8">
          <cell r="BL8" t="str">
            <v>Dumping Bin</v>
          </cell>
          <cell r="BM8" t="str">
            <v>Manual</v>
          </cell>
        </row>
        <row r="9">
          <cell r="B9">
            <v>39172</v>
          </cell>
          <cell r="V9">
            <v>39172</v>
          </cell>
          <cell r="AF9">
            <v>39172</v>
          </cell>
          <cell r="AP9">
            <v>39172</v>
          </cell>
          <cell r="AQ9">
            <v>0</v>
          </cell>
          <cell r="AR9">
            <v>0</v>
          </cell>
          <cell r="AS9">
            <v>16632</v>
          </cell>
          <cell r="AT9">
            <v>50701</v>
          </cell>
          <cell r="AU9">
            <v>38913</v>
          </cell>
          <cell r="AV9">
            <v>34311</v>
          </cell>
          <cell r="AW9">
            <v>59446</v>
          </cell>
          <cell r="AX9">
            <v>200003</v>
          </cell>
        </row>
        <row r="10">
          <cell r="B10">
            <v>39173</v>
          </cell>
          <cell r="E10">
            <v>4761</v>
          </cell>
          <cell r="I10">
            <v>21011</v>
          </cell>
          <cell r="J10">
            <v>25772</v>
          </cell>
          <cell r="K10">
            <v>33109</v>
          </cell>
          <cell r="O10">
            <v>4761</v>
          </cell>
          <cell r="P10">
            <v>0</v>
          </cell>
          <cell r="Q10">
            <v>0</v>
          </cell>
          <cell r="R10">
            <v>0</v>
          </cell>
          <cell r="S10">
            <v>21011</v>
          </cell>
          <cell r="T10">
            <v>25772</v>
          </cell>
          <cell r="U10">
            <v>33109</v>
          </cell>
          <cell r="V10">
            <v>39173</v>
          </cell>
          <cell r="Z10">
            <v>7460</v>
          </cell>
          <cell r="AA10">
            <v>7548</v>
          </cell>
          <cell r="AD10">
            <v>15008</v>
          </cell>
          <cell r="AF10">
            <v>39173</v>
          </cell>
          <cell r="AG10">
            <v>0</v>
          </cell>
          <cell r="AH10">
            <v>0</v>
          </cell>
          <cell r="AI10">
            <v>0</v>
          </cell>
          <cell r="AJ10">
            <v>7460</v>
          </cell>
          <cell r="AK10">
            <v>7548</v>
          </cell>
          <cell r="AL10">
            <v>0</v>
          </cell>
          <cell r="AM10">
            <v>0</v>
          </cell>
          <cell r="AN10">
            <v>15008</v>
          </cell>
          <cell r="AP10">
            <v>39173</v>
          </cell>
          <cell r="AQ10">
            <v>0</v>
          </cell>
          <cell r="AR10">
            <v>0</v>
          </cell>
          <cell r="AS10">
            <v>21393</v>
          </cell>
          <cell r="AT10">
            <v>43241</v>
          </cell>
          <cell r="AU10">
            <v>31365</v>
          </cell>
          <cell r="AV10">
            <v>34311</v>
          </cell>
          <cell r="AW10">
            <v>80457</v>
          </cell>
          <cell r="AX10">
            <v>210767</v>
          </cell>
          <cell r="BC10">
            <v>43241</v>
          </cell>
          <cell r="BD10">
            <v>31365</v>
          </cell>
          <cell r="BE10">
            <v>34311</v>
          </cell>
          <cell r="BF10">
            <v>80457</v>
          </cell>
          <cell r="BG10">
            <v>210767</v>
          </cell>
          <cell r="BJ10">
            <v>0</v>
          </cell>
          <cell r="BL10">
            <v>21011</v>
          </cell>
          <cell r="BM10">
            <v>4761</v>
          </cell>
        </row>
        <row r="11">
          <cell r="B11">
            <v>39174</v>
          </cell>
          <cell r="D11">
            <v>265</v>
          </cell>
          <cell r="E11">
            <v>11809</v>
          </cell>
          <cell r="I11">
            <v>4836</v>
          </cell>
          <cell r="J11">
            <v>16910</v>
          </cell>
          <cell r="K11">
            <v>34068</v>
          </cell>
          <cell r="O11">
            <v>16570</v>
          </cell>
          <cell r="P11">
            <v>0</v>
          </cell>
          <cell r="Q11">
            <v>0</v>
          </cell>
          <cell r="R11">
            <v>0</v>
          </cell>
          <cell r="S11">
            <v>25847</v>
          </cell>
          <cell r="T11">
            <v>42682</v>
          </cell>
          <cell r="U11">
            <v>67177</v>
          </cell>
          <cell r="V11">
            <v>39174</v>
          </cell>
          <cell r="X11">
            <v>6720</v>
          </cell>
          <cell r="Y11">
            <v>6228</v>
          </cell>
          <cell r="Z11">
            <v>14104</v>
          </cell>
          <cell r="AA11">
            <v>20050</v>
          </cell>
          <cell r="AD11">
            <v>47102</v>
          </cell>
          <cell r="AF11">
            <v>39174</v>
          </cell>
          <cell r="AG11">
            <v>0</v>
          </cell>
          <cell r="AH11">
            <v>6720</v>
          </cell>
          <cell r="AI11">
            <v>6228</v>
          </cell>
          <cell r="AJ11">
            <v>21564</v>
          </cell>
          <cell r="AK11">
            <v>27598</v>
          </cell>
          <cell r="AL11">
            <v>0</v>
          </cell>
          <cell r="AM11">
            <v>0</v>
          </cell>
          <cell r="AN11">
            <v>62110</v>
          </cell>
          <cell r="AP11">
            <v>39174</v>
          </cell>
          <cell r="AQ11">
            <v>0</v>
          </cell>
          <cell r="AR11">
            <v>0</v>
          </cell>
          <cell r="AS11">
            <v>33190</v>
          </cell>
          <cell r="AT11">
            <v>29137</v>
          </cell>
          <cell r="AU11">
            <v>11315</v>
          </cell>
          <cell r="AV11">
            <v>34311</v>
          </cell>
          <cell r="AW11">
            <v>86760</v>
          </cell>
          <cell r="AX11">
            <v>194713</v>
          </cell>
          <cell r="BC11">
            <v>72378</v>
          </cell>
          <cell r="BD11">
            <v>42680</v>
          </cell>
          <cell r="BE11">
            <v>68622</v>
          </cell>
          <cell r="BF11">
            <v>167217</v>
          </cell>
          <cell r="BG11">
            <v>405480</v>
          </cell>
          <cell r="BJ11">
            <v>0</v>
          </cell>
          <cell r="BL11">
            <v>14903</v>
          </cell>
          <cell r="BM11">
            <v>2007</v>
          </cell>
        </row>
        <row r="12">
          <cell r="B12">
            <v>39175</v>
          </cell>
          <cell r="E12">
            <v>28</v>
          </cell>
          <cell r="G12">
            <v>15923</v>
          </cell>
          <cell r="J12">
            <v>15951</v>
          </cell>
          <cell r="K12">
            <v>37318.5</v>
          </cell>
          <cell r="O12">
            <v>16598</v>
          </cell>
          <cell r="P12">
            <v>0</v>
          </cell>
          <cell r="Q12">
            <v>15923</v>
          </cell>
          <cell r="R12">
            <v>0</v>
          </cell>
          <cell r="S12">
            <v>25847</v>
          </cell>
          <cell r="T12">
            <v>58633</v>
          </cell>
          <cell r="U12">
            <v>104495.5</v>
          </cell>
          <cell r="V12">
            <v>39175</v>
          </cell>
          <cell r="X12">
            <v>1298</v>
          </cell>
          <cell r="Y12">
            <v>18371</v>
          </cell>
          <cell r="AB12">
            <v>20774</v>
          </cell>
          <cell r="AD12">
            <v>40443</v>
          </cell>
          <cell r="AF12">
            <v>39175</v>
          </cell>
          <cell r="AG12">
            <v>0</v>
          </cell>
          <cell r="AH12">
            <v>8018</v>
          </cell>
          <cell r="AI12">
            <v>24599</v>
          </cell>
          <cell r="AJ12">
            <v>21564</v>
          </cell>
          <cell r="AK12">
            <v>27598</v>
          </cell>
          <cell r="AL12">
            <v>20774</v>
          </cell>
          <cell r="AM12">
            <v>0</v>
          </cell>
          <cell r="AN12">
            <v>102553</v>
          </cell>
          <cell r="AP12">
            <v>39175</v>
          </cell>
          <cell r="AQ12">
            <v>0</v>
          </cell>
          <cell r="AR12">
            <v>0</v>
          </cell>
          <cell r="AS12">
            <v>15267</v>
          </cell>
          <cell r="AT12">
            <v>30480.5</v>
          </cell>
          <cell r="AU12">
            <v>34003</v>
          </cell>
          <cell r="AV12">
            <v>13537</v>
          </cell>
          <cell r="AW12">
            <v>86760</v>
          </cell>
          <cell r="AX12">
            <v>180047.5</v>
          </cell>
          <cell r="BC12">
            <v>102858.5</v>
          </cell>
          <cell r="BD12">
            <v>76683</v>
          </cell>
          <cell r="BE12">
            <v>82159</v>
          </cell>
          <cell r="BF12">
            <v>253977</v>
          </cell>
          <cell r="BG12">
            <v>585527.5</v>
          </cell>
          <cell r="BI12">
            <v>62345</v>
          </cell>
          <cell r="BJ12">
            <v>62345</v>
          </cell>
          <cell r="BL12">
            <v>15923</v>
          </cell>
          <cell r="BM12">
            <v>28</v>
          </cell>
        </row>
        <row r="13">
          <cell r="B13">
            <v>39176</v>
          </cell>
          <cell r="D13">
            <v>19859</v>
          </cell>
          <cell r="F13">
            <v>1890</v>
          </cell>
          <cell r="J13">
            <v>21749</v>
          </cell>
          <cell r="K13">
            <v>36039</v>
          </cell>
          <cell r="O13">
            <v>16598</v>
          </cell>
          <cell r="P13">
            <v>1890</v>
          </cell>
          <cell r="T13">
            <v>80382</v>
          </cell>
          <cell r="V13">
            <v>39176</v>
          </cell>
          <cell r="X13">
            <v>3000</v>
          </cell>
          <cell r="Y13">
            <v>5449</v>
          </cell>
          <cell r="Z13">
            <v>2175</v>
          </cell>
          <cell r="AB13">
            <v>9898</v>
          </cell>
          <cell r="AD13">
            <v>20522</v>
          </cell>
          <cell r="AF13">
            <v>39176</v>
          </cell>
          <cell r="AG13">
            <v>0</v>
          </cell>
          <cell r="AH13">
            <v>11018</v>
          </cell>
          <cell r="AI13">
            <v>30048</v>
          </cell>
          <cell r="AJ13">
            <v>23739</v>
          </cell>
          <cell r="AK13">
            <v>27598</v>
          </cell>
          <cell r="AL13">
            <v>30672</v>
          </cell>
          <cell r="AM13">
            <v>0</v>
          </cell>
          <cell r="AN13">
            <v>123075</v>
          </cell>
          <cell r="AP13">
            <v>39176</v>
          </cell>
          <cell r="AQ13">
            <v>0</v>
          </cell>
          <cell r="AR13">
            <v>0</v>
          </cell>
          <cell r="AS13">
            <v>9818</v>
          </cell>
          <cell r="AT13">
            <v>30195.5</v>
          </cell>
          <cell r="AU13">
            <v>34003</v>
          </cell>
          <cell r="AV13">
            <v>3639</v>
          </cell>
          <cell r="AW13">
            <v>86760</v>
          </cell>
          <cell r="AX13">
            <v>164415.5</v>
          </cell>
          <cell r="BC13">
            <v>133054</v>
          </cell>
          <cell r="BD13">
            <v>110686</v>
          </cell>
          <cell r="BE13">
            <v>85798</v>
          </cell>
          <cell r="BF13">
            <v>340737</v>
          </cell>
          <cell r="BG13">
            <v>749943</v>
          </cell>
          <cell r="BJ13">
            <v>62345</v>
          </cell>
          <cell r="BL13">
            <v>18848</v>
          </cell>
          <cell r="BM13">
            <v>2901</v>
          </cell>
        </row>
        <row r="14">
          <cell r="B14">
            <v>39177</v>
          </cell>
          <cell r="D14">
            <v>6703</v>
          </cell>
          <cell r="E14">
            <v>1963</v>
          </cell>
          <cell r="F14">
            <v>1190</v>
          </cell>
          <cell r="H14">
            <v>15310</v>
          </cell>
          <cell r="J14">
            <v>25166</v>
          </cell>
          <cell r="K14">
            <v>24027</v>
          </cell>
          <cell r="O14">
            <v>18561</v>
          </cell>
          <cell r="P14">
            <v>3080</v>
          </cell>
          <cell r="T14">
            <v>105548</v>
          </cell>
          <cell r="V14">
            <v>39177</v>
          </cell>
          <cell r="W14">
            <v>339</v>
          </cell>
          <cell r="X14">
            <v>5030</v>
          </cell>
          <cell r="Y14">
            <v>6497</v>
          </cell>
          <cell r="Z14">
            <v>4123</v>
          </cell>
          <cell r="AB14">
            <v>20553</v>
          </cell>
          <cell r="AD14">
            <v>36542</v>
          </cell>
          <cell r="AF14">
            <v>39177</v>
          </cell>
          <cell r="AG14">
            <v>339</v>
          </cell>
          <cell r="AH14">
            <v>16048</v>
          </cell>
          <cell r="AI14">
            <v>36545</v>
          </cell>
          <cell r="AJ14">
            <v>27862</v>
          </cell>
          <cell r="AK14">
            <v>27598</v>
          </cell>
          <cell r="AL14">
            <v>51225</v>
          </cell>
          <cell r="AM14">
            <v>0</v>
          </cell>
          <cell r="AN14">
            <v>159617</v>
          </cell>
          <cell r="AP14">
            <v>39177</v>
          </cell>
          <cell r="AQ14">
            <v>0</v>
          </cell>
          <cell r="AR14">
            <v>0</v>
          </cell>
          <cell r="AS14">
            <v>5284</v>
          </cell>
          <cell r="AT14">
            <v>27262.5</v>
          </cell>
          <cell r="AU14">
            <v>34003</v>
          </cell>
          <cell r="AV14">
            <v>-1604</v>
          </cell>
          <cell r="AW14">
            <v>86760</v>
          </cell>
          <cell r="AX14">
            <v>151705.5</v>
          </cell>
          <cell r="BC14">
            <v>160316.5</v>
          </cell>
          <cell r="BD14">
            <v>144689</v>
          </cell>
          <cell r="BE14">
            <v>84194</v>
          </cell>
          <cell r="BF14">
            <v>427497</v>
          </cell>
          <cell r="BG14">
            <v>901648.5</v>
          </cell>
          <cell r="BI14">
            <v>91907</v>
          </cell>
          <cell r="BJ14">
            <v>154252</v>
          </cell>
          <cell r="BL14">
            <v>22013</v>
          </cell>
          <cell r="BM14">
            <v>3153</v>
          </cell>
        </row>
        <row r="15">
          <cell r="B15">
            <v>39178</v>
          </cell>
          <cell r="E15">
            <v>3396</v>
          </cell>
          <cell r="F15">
            <v>3742</v>
          </cell>
          <cell r="H15">
            <v>7072</v>
          </cell>
          <cell r="J15">
            <v>14210</v>
          </cell>
          <cell r="K15">
            <v>24489</v>
          </cell>
          <cell r="O15">
            <v>21957</v>
          </cell>
          <cell r="P15">
            <v>6822</v>
          </cell>
          <cell r="T15">
            <v>119758</v>
          </cell>
          <cell r="V15">
            <v>39178</v>
          </cell>
          <cell r="X15">
            <v>19321</v>
          </cell>
          <cell r="Y15">
            <v>3172</v>
          </cell>
          <cell r="AB15">
            <v>6133</v>
          </cell>
          <cell r="AC15">
            <v>3366</v>
          </cell>
          <cell r="AD15">
            <v>31992</v>
          </cell>
          <cell r="AF15">
            <v>39178</v>
          </cell>
          <cell r="AG15">
            <v>339</v>
          </cell>
          <cell r="AH15">
            <v>35369</v>
          </cell>
          <cell r="AI15">
            <v>39717</v>
          </cell>
          <cell r="AJ15">
            <v>27862</v>
          </cell>
          <cell r="AK15">
            <v>27598</v>
          </cell>
          <cell r="AL15">
            <v>57358</v>
          </cell>
          <cell r="AM15">
            <v>3366</v>
          </cell>
          <cell r="AN15">
            <v>191609</v>
          </cell>
          <cell r="AP15">
            <v>39178</v>
          </cell>
          <cell r="AQ15">
            <v>0</v>
          </cell>
          <cell r="AR15">
            <v>0</v>
          </cell>
          <cell r="AS15">
            <v>5508</v>
          </cell>
          <cell r="AT15">
            <v>31004.5</v>
          </cell>
          <cell r="AU15">
            <v>34003</v>
          </cell>
          <cell r="AV15">
            <v>12587</v>
          </cell>
          <cell r="AW15">
            <v>83394</v>
          </cell>
          <cell r="AX15">
            <v>166496.5</v>
          </cell>
          <cell r="BC15">
            <v>191321</v>
          </cell>
          <cell r="BD15">
            <v>178692</v>
          </cell>
          <cell r="BE15">
            <v>96781</v>
          </cell>
          <cell r="BF15">
            <v>510891</v>
          </cell>
          <cell r="BG15">
            <v>1068145</v>
          </cell>
          <cell r="BI15">
            <v>31058</v>
          </cell>
          <cell r="BJ15">
            <v>185310</v>
          </cell>
          <cell r="BL15">
            <v>7072</v>
          </cell>
          <cell r="BM15">
            <v>7138</v>
          </cell>
        </row>
        <row r="16">
          <cell r="B16">
            <v>39179</v>
          </cell>
          <cell r="E16">
            <v>3580</v>
          </cell>
          <cell r="F16">
            <v>4802</v>
          </cell>
          <cell r="H16">
            <v>5057</v>
          </cell>
          <cell r="J16">
            <v>13439</v>
          </cell>
          <cell r="K16">
            <v>25136</v>
          </cell>
          <cell r="O16">
            <v>25537</v>
          </cell>
          <cell r="P16">
            <v>11624</v>
          </cell>
          <cell r="T16">
            <v>133197</v>
          </cell>
          <cell r="V16">
            <v>39179</v>
          </cell>
          <cell r="X16">
            <v>11943</v>
          </cell>
          <cell r="AA16">
            <v>5325</v>
          </cell>
          <cell r="AC16">
            <v>5852</v>
          </cell>
          <cell r="AD16">
            <v>23120</v>
          </cell>
          <cell r="AF16">
            <v>39179</v>
          </cell>
          <cell r="AG16">
            <v>339</v>
          </cell>
          <cell r="AH16">
            <v>47312</v>
          </cell>
          <cell r="AI16">
            <v>39717</v>
          </cell>
          <cell r="AJ16">
            <v>27862</v>
          </cell>
          <cell r="AK16">
            <v>32923</v>
          </cell>
          <cell r="AL16">
            <v>57358</v>
          </cell>
          <cell r="AM16">
            <v>9218</v>
          </cell>
          <cell r="AN16">
            <v>214729</v>
          </cell>
          <cell r="AP16">
            <v>39179</v>
          </cell>
          <cell r="AQ16">
            <v>0</v>
          </cell>
          <cell r="AR16">
            <v>0</v>
          </cell>
          <cell r="AS16">
            <v>9088</v>
          </cell>
          <cell r="AT16">
            <v>40111.5</v>
          </cell>
          <cell r="AU16">
            <v>28678</v>
          </cell>
          <cell r="AV16">
            <v>28481</v>
          </cell>
          <cell r="AW16">
            <v>77542</v>
          </cell>
          <cell r="AX16">
            <v>183900.5</v>
          </cell>
          <cell r="BC16">
            <v>231432.5</v>
          </cell>
          <cell r="BD16">
            <v>207370</v>
          </cell>
          <cell r="BE16">
            <v>125262</v>
          </cell>
          <cell r="BF16">
            <v>588433</v>
          </cell>
          <cell r="BG16">
            <v>1252045.5</v>
          </cell>
          <cell r="BJ16">
            <v>185310</v>
          </cell>
        </row>
        <row r="17">
          <cell r="B17">
            <v>39180</v>
          </cell>
          <cell r="E17">
            <v>7013</v>
          </cell>
          <cell r="F17">
            <v>17739</v>
          </cell>
          <cell r="J17">
            <v>24752</v>
          </cell>
          <cell r="K17">
            <v>26397</v>
          </cell>
          <cell r="O17">
            <v>32550</v>
          </cell>
          <cell r="P17">
            <v>29363</v>
          </cell>
          <cell r="T17">
            <v>157949</v>
          </cell>
          <cell r="V17">
            <v>39180</v>
          </cell>
          <cell r="X17">
            <v>5992</v>
          </cell>
          <cell r="Z17">
            <v>12837</v>
          </cell>
          <cell r="AA17">
            <v>3873</v>
          </cell>
          <cell r="AC17">
            <v>14037</v>
          </cell>
          <cell r="AD17">
            <v>36739</v>
          </cell>
          <cell r="AF17">
            <v>39180</v>
          </cell>
          <cell r="AG17">
            <v>339</v>
          </cell>
          <cell r="AH17">
            <v>53304</v>
          </cell>
          <cell r="AI17">
            <v>39717</v>
          </cell>
          <cell r="AJ17">
            <v>40699</v>
          </cell>
          <cell r="AK17">
            <v>36796</v>
          </cell>
          <cell r="AL17">
            <v>57358</v>
          </cell>
          <cell r="AM17">
            <v>23255</v>
          </cell>
          <cell r="AN17">
            <v>251468</v>
          </cell>
          <cell r="AP17">
            <v>39180</v>
          </cell>
          <cell r="AQ17">
            <v>0</v>
          </cell>
          <cell r="AR17">
            <v>0</v>
          </cell>
          <cell r="AS17">
            <v>16101</v>
          </cell>
          <cell r="AT17">
            <v>45836.5</v>
          </cell>
          <cell r="AU17">
            <v>24805</v>
          </cell>
          <cell r="AV17">
            <v>28481</v>
          </cell>
          <cell r="AW17">
            <v>63505</v>
          </cell>
          <cell r="AX17">
            <v>178728.5</v>
          </cell>
          <cell r="BC17">
            <v>277269</v>
          </cell>
          <cell r="BD17">
            <v>232175</v>
          </cell>
          <cell r="BE17">
            <v>153743</v>
          </cell>
          <cell r="BF17">
            <v>651938</v>
          </cell>
          <cell r="BG17">
            <v>1430774</v>
          </cell>
          <cell r="BI17">
            <v>45501</v>
          </cell>
          <cell r="BJ17">
            <v>230811</v>
          </cell>
          <cell r="BL17">
            <v>21215</v>
          </cell>
          <cell r="BM17">
            <v>3537</v>
          </cell>
        </row>
        <row r="18">
          <cell r="B18">
            <v>39181</v>
          </cell>
          <cell r="E18">
            <v>14442</v>
          </cell>
          <cell r="J18">
            <v>14442</v>
          </cell>
          <cell r="K18">
            <v>29359</v>
          </cell>
          <cell r="O18">
            <v>46992</v>
          </cell>
          <cell r="P18">
            <v>29363</v>
          </cell>
          <cell r="T18">
            <v>172391</v>
          </cell>
          <cell r="V18">
            <v>39181</v>
          </cell>
          <cell r="X18">
            <v>1229</v>
          </cell>
          <cell r="Z18">
            <v>23616</v>
          </cell>
          <cell r="AC18">
            <v>15991</v>
          </cell>
          <cell r="AD18">
            <v>40836</v>
          </cell>
          <cell r="AF18">
            <v>39181</v>
          </cell>
          <cell r="AG18">
            <v>339</v>
          </cell>
          <cell r="AH18">
            <v>54533</v>
          </cell>
          <cell r="AI18">
            <v>39717</v>
          </cell>
          <cell r="AJ18">
            <v>64315</v>
          </cell>
          <cell r="AK18">
            <v>36796</v>
          </cell>
          <cell r="AL18">
            <v>57358</v>
          </cell>
          <cell r="AM18">
            <v>39246</v>
          </cell>
          <cell r="AN18">
            <v>292304</v>
          </cell>
          <cell r="AP18">
            <v>39181</v>
          </cell>
          <cell r="AQ18">
            <v>0</v>
          </cell>
          <cell r="AR18">
            <v>0</v>
          </cell>
          <cell r="AS18">
            <v>45372</v>
          </cell>
          <cell r="AT18">
            <v>22220.5</v>
          </cell>
          <cell r="AU18">
            <v>24805</v>
          </cell>
          <cell r="AV18">
            <v>28481</v>
          </cell>
          <cell r="AW18">
            <v>47514</v>
          </cell>
          <cell r="AX18">
            <v>168392.5</v>
          </cell>
          <cell r="BC18">
            <v>299489.5</v>
          </cell>
          <cell r="BD18">
            <v>256980</v>
          </cell>
          <cell r="BE18">
            <v>182224</v>
          </cell>
          <cell r="BF18">
            <v>699452</v>
          </cell>
          <cell r="BG18">
            <v>1599166.5</v>
          </cell>
          <cell r="BJ18">
            <v>230811</v>
          </cell>
          <cell r="BL18">
            <v>9019</v>
          </cell>
          <cell r="BM18">
            <v>5423</v>
          </cell>
        </row>
        <row r="19">
          <cell r="B19">
            <v>39182</v>
          </cell>
          <cell r="E19">
            <v>9084</v>
          </cell>
          <cell r="F19">
            <v>1302</v>
          </cell>
          <cell r="I19">
            <v>1427</v>
          </cell>
          <cell r="J19">
            <v>11813</v>
          </cell>
          <cell r="K19">
            <v>26861</v>
          </cell>
          <cell r="O19">
            <v>56076</v>
          </cell>
          <cell r="P19">
            <v>30665</v>
          </cell>
          <cell r="T19">
            <v>184204</v>
          </cell>
          <cell r="V19">
            <v>39182</v>
          </cell>
          <cell r="Z19">
            <v>18958</v>
          </cell>
          <cell r="AA19">
            <v>1327</v>
          </cell>
          <cell r="AC19">
            <v>16174</v>
          </cell>
          <cell r="AD19">
            <v>36459</v>
          </cell>
          <cell r="AF19">
            <v>39182</v>
          </cell>
          <cell r="AG19">
            <v>339</v>
          </cell>
          <cell r="AH19">
            <v>54533</v>
          </cell>
          <cell r="AI19">
            <v>39717</v>
          </cell>
          <cell r="AJ19">
            <v>83273</v>
          </cell>
          <cell r="AK19">
            <v>38123</v>
          </cell>
          <cell r="AL19">
            <v>57358</v>
          </cell>
          <cell r="AM19">
            <v>55420</v>
          </cell>
          <cell r="AN19">
            <v>328763</v>
          </cell>
          <cell r="AP19">
            <v>39182</v>
          </cell>
          <cell r="AQ19">
            <v>0</v>
          </cell>
          <cell r="AR19">
            <v>0</v>
          </cell>
          <cell r="AS19">
            <v>65805</v>
          </cell>
          <cell r="AT19">
            <v>4564.5</v>
          </cell>
          <cell r="AU19">
            <v>23478</v>
          </cell>
          <cell r="AV19">
            <v>28481</v>
          </cell>
          <cell r="AW19">
            <v>36466</v>
          </cell>
          <cell r="AX19">
            <v>158794.5</v>
          </cell>
          <cell r="BC19">
            <v>304054</v>
          </cell>
          <cell r="BD19">
            <v>280458</v>
          </cell>
          <cell r="BE19">
            <v>210705</v>
          </cell>
          <cell r="BF19">
            <v>735918</v>
          </cell>
          <cell r="BG19">
            <v>1757961</v>
          </cell>
          <cell r="BI19">
            <v>80032</v>
          </cell>
          <cell r="BJ19">
            <v>310843</v>
          </cell>
          <cell r="BL19">
            <v>5293</v>
          </cell>
          <cell r="BM19">
            <v>6520</v>
          </cell>
        </row>
        <row r="20">
          <cell r="B20">
            <v>39183</v>
          </cell>
          <cell r="E20">
            <v>420</v>
          </cell>
          <cell r="F20">
            <v>3678</v>
          </cell>
          <cell r="I20">
            <v>19581</v>
          </cell>
          <cell r="J20">
            <v>23679</v>
          </cell>
          <cell r="K20">
            <v>28007</v>
          </cell>
          <cell r="O20">
            <v>56496</v>
          </cell>
          <cell r="P20">
            <v>34343</v>
          </cell>
          <cell r="T20">
            <v>207883</v>
          </cell>
          <cell r="V20">
            <v>39183</v>
          </cell>
          <cell r="Z20">
            <v>2652</v>
          </cell>
          <cell r="AC20">
            <v>5651</v>
          </cell>
          <cell r="AD20">
            <v>8303</v>
          </cell>
          <cell r="AF20">
            <v>39183</v>
          </cell>
          <cell r="AG20">
            <v>339</v>
          </cell>
          <cell r="AH20">
            <v>54533</v>
          </cell>
          <cell r="AI20">
            <v>39717</v>
          </cell>
          <cell r="AJ20">
            <v>85925</v>
          </cell>
          <cell r="AK20">
            <v>38123</v>
          </cell>
          <cell r="AL20">
            <v>57358</v>
          </cell>
          <cell r="AM20">
            <v>61071</v>
          </cell>
          <cell r="AN20">
            <v>337066</v>
          </cell>
          <cell r="AP20">
            <v>39183</v>
          </cell>
          <cell r="AQ20">
            <v>0</v>
          </cell>
          <cell r="AR20">
            <v>0</v>
          </cell>
          <cell r="AS20">
            <v>66225</v>
          </cell>
          <cell r="AT20">
            <v>5590.5</v>
          </cell>
          <cell r="AU20">
            <v>23478</v>
          </cell>
          <cell r="AV20">
            <v>28481</v>
          </cell>
          <cell r="AW20">
            <v>52134</v>
          </cell>
          <cell r="AX20">
            <v>175908.5</v>
          </cell>
          <cell r="BC20">
            <v>309644.5</v>
          </cell>
          <cell r="BD20">
            <v>303936</v>
          </cell>
          <cell r="BE20">
            <v>239186</v>
          </cell>
          <cell r="BF20">
            <v>788052</v>
          </cell>
          <cell r="BG20">
            <v>1933869.5</v>
          </cell>
          <cell r="BI20">
            <v>8011</v>
          </cell>
          <cell r="BJ20">
            <v>318854</v>
          </cell>
          <cell r="BL20">
            <v>19581</v>
          </cell>
          <cell r="BM20">
            <v>4098</v>
          </cell>
        </row>
        <row r="21">
          <cell r="B21">
            <v>39184</v>
          </cell>
          <cell r="F21">
            <v>2572</v>
          </cell>
          <cell r="I21">
            <v>21442</v>
          </cell>
          <cell r="J21">
            <v>24014</v>
          </cell>
          <cell r="K21">
            <v>23267</v>
          </cell>
          <cell r="O21">
            <v>56496</v>
          </cell>
          <cell r="P21">
            <v>36915</v>
          </cell>
          <cell r="T21">
            <v>231897</v>
          </cell>
          <cell r="V21">
            <v>39184</v>
          </cell>
          <cell r="AC21">
            <v>1297</v>
          </cell>
          <cell r="AD21">
            <v>1297</v>
          </cell>
          <cell r="AF21">
            <v>39184</v>
          </cell>
          <cell r="AG21">
            <v>339</v>
          </cell>
          <cell r="AH21">
            <v>54533</v>
          </cell>
          <cell r="AI21">
            <v>39717</v>
          </cell>
          <cell r="AJ21">
            <v>85925</v>
          </cell>
          <cell r="AK21">
            <v>38123</v>
          </cell>
          <cell r="AL21">
            <v>57358</v>
          </cell>
          <cell r="AM21">
            <v>62368</v>
          </cell>
          <cell r="AN21">
            <v>338363</v>
          </cell>
          <cell r="AP21">
            <v>39184</v>
          </cell>
          <cell r="AQ21">
            <v>0</v>
          </cell>
          <cell r="AR21">
            <v>0</v>
          </cell>
          <cell r="AS21">
            <v>66225</v>
          </cell>
          <cell r="AT21">
            <v>8162.5</v>
          </cell>
          <cell r="AU21">
            <v>23478</v>
          </cell>
          <cell r="AV21">
            <v>28481</v>
          </cell>
          <cell r="AW21">
            <v>72279</v>
          </cell>
          <cell r="AX21">
            <v>198625.5</v>
          </cell>
          <cell r="BC21">
            <v>317807</v>
          </cell>
          <cell r="BD21">
            <v>327414</v>
          </cell>
          <cell r="BE21">
            <v>267667</v>
          </cell>
          <cell r="BF21">
            <v>860331</v>
          </cell>
          <cell r="BG21">
            <v>2132495</v>
          </cell>
          <cell r="BI21">
            <v>8027</v>
          </cell>
          <cell r="BJ21">
            <v>326881</v>
          </cell>
          <cell r="BL21">
            <v>21442</v>
          </cell>
          <cell r="BM21">
            <v>2572</v>
          </cell>
        </row>
        <row r="22">
          <cell r="B22">
            <v>39185</v>
          </cell>
          <cell r="D22">
            <v>2548</v>
          </cell>
          <cell r="F22">
            <v>2790</v>
          </cell>
          <cell r="G22">
            <v>951</v>
          </cell>
          <cell r="I22">
            <v>8570</v>
          </cell>
          <cell r="J22">
            <v>14859</v>
          </cell>
          <cell r="K22">
            <v>25276</v>
          </cell>
          <cell r="O22">
            <v>56496</v>
          </cell>
          <cell r="P22">
            <v>39705</v>
          </cell>
          <cell r="T22">
            <v>246756</v>
          </cell>
          <cell r="V22">
            <v>39185</v>
          </cell>
          <cell r="AD22">
            <v>0</v>
          </cell>
          <cell r="AF22">
            <v>39185</v>
          </cell>
          <cell r="AG22">
            <v>339</v>
          </cell>
          <cell r="AH22">
            <v>54533</v>
          </cell>
          <cell r="AI22">
            <v>39717</v>
          </cell>
          <cell r="AJ22">
            <v>85925</v>
          </cell>
          <cell r="AK22">
            <v>38123</v>
          </cell>
          <cell r="AL22">
            <v>57358</v>
          </cell>
          <cell r="AM22">
            <v>62368</v>
          </cell>
          <cell r="AN22">
            <v>338363</v>
          </cell>
          <cell r="AP22">
            <v>39185</v>
          </cell>
          <cell r="AQ22">
            <v>0</v>
          </cell>
          <cell r="AR22">
            <v>2548</v>
          </cell>
          <cell r="AS22">
            <v>66225</v>
          </cell>
          <cell r="AT22">
            <v>10952.5</v>
          </cell>
          <cell r="AU22">
            <v>28003</v>
          </cell>
          <cell r="AV22">
            <v>28481</v>
          </cell>
          <cell r="AW22">
            <v>90691</v>
          </cell>
          <cell r="AX22">
            <v>226900.5</v>
          </cell>
          <cell r="BC22">
            <v>328759.5</v>
          </cell>
          <cell r="BD22">
            <v>355417</v>
          </cell>
          <cell r="BE22">
            <v>296148</v>
          </cell>
          <cell r="BF22">
            <v>951022</v>
          </cell>
          <cell r="BG22">
            <v>2359395.5</v>
          </cell>
          <cell r="BJ22">
            <v>326881</v>
          </cell>
          <cell r="BL22">
            <v>9521</v>
          </cell>
          <cell r="BM22">
            <v>5338</v>
          </cell>
        </row>
        <row r="23">
          <cell r="B23">
            <v>39186</v>
          </cell>
          <cell r="D23">
            <v>6178</v>
          </cell>
          <cell r="F23">
            <v>5871</v>
          </cell>
          <cell r="G23">
            <v>2069</v>
          </cell>
          <cell r="J23">
            <v>14118</v>
          </cell>
          <cell r="K23">
            <v>28088</v>
          </cell>
          <cell r="O23">
            <v>56496</v>
          </cell>
          <cell r="P23">
            <v>45576</v>
          </cell>
          <cell r="T23">
            <v>260874</v>
          </cell>
          <cell r="V23">
            <v>39186</v>
          </cell>
          <cell r="AD23">
            <v>0</v>
          </cell>
          <cell r="AF23">
            <v>39186</v>
          </cell>
          <cell r="AG23">
            <v>339</v>
          </cell>
          <cell r="AH23">
            <v>54533</v>
          </cell>
          <cell r="AI23">
            <v>39717</v>
          </cell>
          <cell r="AJ23">
            <v>85925</v>
          </cell>
          <cell r="AK23">
            <v>38123</v>
          </cell>
          <cell r="AL23">
            <v>57358</v>
          </cell>
          <cell r="AM23">
            <v>62368</v>
          </cell>
          <cell r="AN23">
            <v>338363</v>
          </cell>
          <cell r="AP23">
            <v>39186</v>
          </cell>
          <cell r="AQ23">
            <v>0</v>
          </cell>
          <cell r="AR23">
            <v>18876</v>
          </cell>
          <cell r="AS23">
            <v>66225</v>
          </cell>
          <cell r="AT23">
            <v>17958.5</v>
          </cell>
          <cell r="AU23">
            <v>35648</v>
          </cell>
          <cell r="AV23">
            <v>28481</v>
          </cell>
          <cell r="AW23">
            <v>90691</v>
          </cell>
          <cell r="AX23">
            <v>257879.5</v>
          </cell>
          <cell r="BC23">
            <v>346718</v>
          </cell>
          <cell r="BD23">
            <v>391065</v>
          </cell>
          <cell r="BE23">
            <v>324629</v>
          </cell>
          <cell r="BF23">
            <v>1041713</v>
          </cell>
          <cell r="BG23">
            <v>2617275</v>
          </cell>
          <cell r="BJ23">
            <v>326881</v>
          </cell>
          <cell r="BL23">
            <v>7177</v>
          </cell>
          <cell r="BM23">
            <v>6941</v>
          </cell>
        </row>
        <row r="24">
          <cell r="B24">
            <v>39187</v>
          </cell>
          <cell r="F24">
            <v>23839</v>
          </cell>
          <cell r="J24">
            <v>23839</v>
          </cell>
          <cell r="K24">
            <v>26700</v>
          </cell>
          <cell r="O24">
            <v>56496</v>
          </cell>
          <cell r="P24">
            <v>69415</v>
          </cell>
          <cell r="T24">
            <v>284713</v>
          </cell>
          <cell r="V24">
            <v>39187</v>
          </cell>
          <cell r="AD24">
            <v>0</v>
          </cell>
          <cell r="AF24">
            <v>39187</v>
          </cell>
          <cell r="AG24">
            <v>339</v>
          </cell>
          <cell r="AH24">
            <v>54533</v>
          </cell>
          <cell r="AI24">
            <v>39717</v>
          </cell>
          <cell r="AJ24">
            <v>85925</v>
          </cell>
          <cell r="AK24">
            <v>38123</v>
          </cell>
          <cell r="AL24">
            <v>57358</v>
          </cell>
          <cell r="AM24">
            <v>62368</v>
          </cell>
          <cell r="AN24">
            <v>338363</v>
          </cell>
          <cell r="AP24">
            <v>39187</v>
          </cell>
          <cell r="AQ24">
            <v>0</v>
          </cell>
          <cell r="AR24">
            <v>18876</v>
          </cell>
          <cell r="AS24">
            <v>66225</v>
          </cell>
          <cell r="AT24">
            <v>45530.5</v>
          </cell>
          <cell r="AU24">
            <v>35648</v>
          </cell>
          <cell r="AV24">
            <v>28481</v>
          </cell>
          <cell r="AW24">
            <v>90691</v>
          </cell>
          <cell r="AX24">
            <v>285451.5</v>
          </cell>
          <cell r="BC24">
            <v>392248.5</v>
          </cell>
          <cell r="BD24">
            <v>426713</v>
          </cell>
          <cell r="BE24">
            <v>353110</v>
          </cell>
          <cell r="BF24">
            <v>1132404</v>
          </cell>
          <cell r="BG24">
            <v>2902726.5</v>
          </cell>
          <cell r="BJ24">
            <v>326881</v>
          </cell>
          <cell r="BL24">
            <v>20322</v>
          </cell>
          <cell r="BM24">
            <v>3517</v>
          </cell>
        </row>
        <row r="25">
          <cell r="B25">
            <v>39188</v>
          </cell>
          <cell r="F25">
            <v>16736</v>
          </cell>
          <cell r="J25">
            <v>16736</v>
          </cell>
          <cell r="O25">
            <v>56496</v>
          </cell>
          <cell r="P25">
            <v>86151</v>
          </cell>
          <cell r="T25">
            <v>301449</v>
          </cell>
          <cell r="V25">
            <v>39188</v>
          </cell>
          <cell r="AD25">
            <v>0</v>
          </cell>
          <cell r="AF25">
            <v>39188</v>
          </cell>
          <cell r="AG25">
            <v>339</v>
          </cell>
          <cell r="AH25">
            <v>54533</v>
          </cell>
          <cell r="AI25">
            <v>39717</v>
          </cell>
          <cell r="AJ25">
            <v>85925</v>
          </cell>
          <cell r="AK25">
            <v>38123</v>
          </cell>
          <cell r="AL25">
            <v>57358</v>
          </cell>
          <cell r="AM25">
            <v>62368</v>
          </cell>
          <cell r="AN25">
            <v>338363</v>
          </cell>
          <cell r="AP25">
            <v>39188</v>
          </cell>
          <cell r="AQ25">
            <v>0</v>
          </cell>
          <cell r="AR25">
            <v>18876</v>
          </cell>
          <cell r="AS25">
            <v>66225</v>
          </cell>
          <cell r="AT25">
            <v>62266.5</v>
          </cell>
          <cell r="AU25">
            <v>35648</v>
          </cell>
          <cell r="AV25">
            <v>28481</v>
          </cell>
          <cell r="AW25">
            <v>90691</v>
          </cell>
          <cell r="AX25">
            <v>302187.5</v>
          </cell>
          <cell r="BC25">
            <v>454515</v>
          </cell>
          <cell r="BD25">
            <v>462361</v>
          </cell>
          <cell r="BE25">
            <v>381591</v>
          </cell>
          <cell r="BF25">
            <v>1223095</v>
          </cell>
          <cell r="BG25">
            <v>3204914</v>
          </cell>
          <cell r="BJ25">
            <v>326881</v>
          </cell>
        </row>
        <row r="26">
          <cell r="B26">
            <v>39189</v>
          </cell>
          <cell r="J26">
            <v>0</v>
          </cell>
          <cell r="O26">
            <v>56496</v>
          </cell>
          <cell r="P26">
            <v>86151</v>
          </cell>
          <cell r="T26">
            <v>301449</v>
          </cell>
          <cell r="V26">
            <v>39189</v>
          </cell>
          <cell r="AD26">
            <v>0</v>
          </cell>
          <cell r="AF26">
            <v>39189</v>
          </cell>
          <cell r="AG26">
            <v>339</v>
          </cell>
          <cell r="AH26">
            <v>54533</v>
          </cell>
          <cell r="AI26">
            <v>39717</v>
          </cell>
          <cell r="AJ26">
            <v>85925</v>
          </cell>
          <cell r="AK26">
            <v>38123</v>
          </cell>
          <cell r="AL26">
            <v>57358</v>
          </cell>
          <cell r="AM26">
            <v>62368</v>
          </cell>
          <cell r="AN26">
            <v>338363</v>
          </cell>
          <cell r="AP26">
            <v>39189</v>
          </cell>
          <cell r="AQ26">
            <v>0</v>
          </cell>
          <cell r="AR26">
            <v>18876</v>
          </cell>
          <cell r="AS26">
            <v>66225</v>
          </cell>
          <cell r="AT26">
            <v>62266.5</v>
          </cell>
          <cell r="AU26">
            <v>35648</v>
          </cell>
          <cell r="AV26">
            <v>28481</v>
          </cell>
          <cell r="AW26">
            <v>90691</v>
          </cell>
          <cell r="AX26">
            <v>302187.5</v>
          </cell>
          <cell r="BC26">
            <v>516781.5</v>
          </cell>
          <cell r="BD26">
            <v>498009</v>
          </cell>
          <cell r="BE26">
            <v>410072</v>
          </cell>
          <cell r="BF26">
            <v>1313786</v>
          </cell>
          <cell r="BG26">
            <v>3507101.5</v>
          </cell>
          <cell r="BJ26">
            <v>326881</v>
          </cell>
        </row>
        <row r="27">
          <cell r="B27">
            <v>39190</v>
          </cell>
          <cell r="J27">
            <v>0</v>
          </cell>
          <cell r="O27">
            <v>56496</v>
          </cell>
          <cell r="P27">
            <v>86151</v>
          </cell>
          <cell r="T27">
            <v>301449</v>
          </cell>
          <cell r="V27">
            <v>39190</v>
          </cell>
          <cell r="AD27">
            <v>0</v>
          </cell>
          <cell r="AF27">
            <v>39190</v>
          </cell>
          <cell r="AG27">
            <v>339</v>
          </cell>
          <cell r="AH27">
            <v>54533</v>
          </cell>
          <cell r="AI27">
            <v>39717</v>
          </cell>
          <cell r="AJ27">
            <v>85925</v>
          </cell>
          <cell r="AK27">
            <v>38123</v>
          </cell>
          <cell r="AL27">
            <v>57358</v>
          </cell>
          <cell r="AM27">
            <v>62368</v>
          </cell>
          <cell r="AN27">
            <v>338363</v>
          </cell>
          <cell r="AP27">
            <v>39190</v>
          </cell>
          <cell r="AQ27">
            <v>0</v>
          </cell>
          <cell r="AR27">
            <v>18876</v>
          </cell>
          <cell r="AS27">
            <v>66225</v>
          </cell>
          <cell r="AT27">
            <v>62266.5</v>
          </cell>
          <cell r="AU27">
            <v>35648</v>
          </cell>
          <cell r="AV27">
            <v>28481</v>
          </cell>
          <cell r="AW27">
            <v>90691</v>
          </cell>
          <cell r="AX27">
            <v>302187.5</v>
          </cell>
          <cell r="BC27">
            <v>579048</v>
          </cell>
          <cell r="BD27">
            <v>533657</v>
          </cell>
          <cell r="BE27">
            <v>438553</v>
          </cell>
          <cell r="BF27">
            <v>1404477</v>
          </cell>
          <cell r="BG27">
            <v>3809289</v>
          </cell>
          <cell r="BJ27">
            <v>326881</v>
          </cell>
        </row>
        <row r="28">
          <cell r="B28">
            <v>39191</v>
          </cell>
          <cell r="J28">
            <v>0</v>
          </cell>
          <cell r="O28">
            <v>56496</v>
          </cell>
          <cell r="P28">
            <v>86151</v>
          </cell>
          <cell r="T28">
            <v>301449</v>
          </cell>
          <cell r="V28">
            <v>39191</v>
          </cell>
          <cell r="AD28">
            <v>0</v>
          </cell>
          <cell r="AF28">
            <v>39191</v>
          </cell>
          <cell r="AG28">
            <v>339</v>
          </cell>
          <cell r="AH28">
            <v>54533</v>
          </cell>
          <cell r="AI28">
            <v>39717</v>
          </cell>
          <cell r="AJ28">
            <v>85925</v>
          </cell>
          <cell r="AK28">
            <v>38123</v>
          </cell>
          <cell r="AL28">
            <v>57358</v>
          </cell>
          <cell r="AM28">
            <v>62368</v>
          </cell>
          <cell r="AN28">
            <v>338363</v>
          </cell>
          <cell r="AP28">
            <v>39191</v>
          </cell>
          <cell r="AQ28">
            <v>0</v>
          </cell>
          <cell r="AR28">
            <v>18876</v>
          </cell>
          <cell r="AS28">
            <v>66225</v>
          </cell>
          <cell r="AT28">
            <v>62266.5</v>
          </cell>
          <cell r="AU28">
            <v>35648</v>
          </cell>
          <cell r="AV28">
            <v>28481</v>
          </cell>
          <cell r="AW28">
            <v>90691</v>
          </cell>
          <cell r="AX28">
            <v>302187.5</v>
          </cell>
          <cell r="BC28">
            <v>641314.5</v>
          </cell>
          <cell r="BD28">
            <v>569305</v>
          </cell>
          <cell r="BE28">
            <v>467034</v>
          </cell>
          <cell r="BF28">
            <v>1495168</v>
          </cell>
          <cell r="BG28">
            <v>4111476.5</v>
          </cell>
          <cell r="BJ28">
            <v>326881</v>
          </cell>
        </row>
        <row r="29">
          <cell r="B29">
            <v>39192</v>
          </cell>
          <cell r="J29">
            <v>0</v>
          </cell>
          <cell r="O29">
            <v>56496</v>
          </cell>
          <cell r="P29">
            <v>86151</v>
          </cell>
          <cell r="T29">
            <v>301449</v>
          </cell>
          <cell r="V29">
            <v>39192</v>
          </cell>
          <cell r="AD29">
            <v>0</v>
          </cell>
          <cell r="AF29">
            <v>39192</v>
          </cell>
          <cell r="AG29">
            <v>339</v>
          </cell>
          <cell r="AH29">
            <v>54533</v>
          </cell>
          <cell r="AI29">
            <v>39717</v>
          </cell>
          <cell r="AJ29">
            <v>85925</v>
          </cell>
          <cell r="AK29">
            <v>38123</v>
          </cell>
          <cell r="AL29">
            <v>57358</v>
          </cell>
          <cell r="AM29">
            <v>62368</v>
          </cell>
          <cell r="AN29">
            <v>338363</v>
          </cell>
          <cell r="AP29">
            <v>39192</v>
          </cell>
          <cell r="AQ29">
            <v>0</v>
          </cell>
          <cell r="AR29">
            <v>18876</v>
          </cell>
          <cell r="AS29">
            <v>66225</v>
          </cell>
          <cell r="AT29">
            <v>62266.5</v>
          </cell>
          <cell r="AU29">
            <v>35648</v>
          </cell>
          <cell r="AV29">
            <v>28481</v>
          </cell>
          <cell r="AW29">
            <v>90691</v>
          </cell>
          <cell r="AX29">
            <v>302187.5</v>
          </cell>
          <cell r="BC29">
            <v>703581</v>
          </cell>
          <cell r="BD29">
            <v>604953</v>
          </cell>
          <cell r="BE29">
            <v>495515</v>
          </cell>
          <cell r="BF29">
            <v>1585859</v>
          </cell>
          <cell r="BG29">
            <v>4413664</v>
          </cell>
          <cell r="BJ29">
            <v>326881</v>
          </cell>
        </row>
        <row r="30">
          <cell r="B30">
            <v>39193</v>
          </cell>
          <cell r="J30">
            <v>0</v>
          </cell>
          <cell r="O30">
            <v>56496</v>
          </cell>
          <cell r="P30">
            <v>86151</v>
          </cell>
          <cell r="T30">
            <v>301449</v>
          </cell>
          <cell r="V30">
            <v>39193</v>
          </cell>
          <cell r="AD30">
            <v>0</v>
          </cell>
          <cell r="AF30">
            <v>39193</v>
          </cell>
          <cell r="AG30">
            <v>339</v>
          </cell>
          <cell r="AH30">
            <v>54533</v>
          </cell>
          <cell r="AI30">
            <v>39717</v>
          </cell>
          <cell r="AJ30">
            <v>85925</v>
          </cell>
          <cell r="AK30">
            <v>38123</v>
          </cell>
          <cell r="AL30">
            <v>57358</v>
          </cell>
          <cell r="AM30">
            <v>62368</v>
          </cell>
          <cell r="AN30">
            <v>338363</v>
          </cell>
          <cell r="AP30">
            <v>39193</v>
          </cell>
          <cell r="AQ30">
            <v>0</v>
          </cell>
          <cell r="AR30">
            <v>18876</v>
          </cell>
          <cell r="AS30">
            <v>66225</v>
          </cell>
          <cell r="AT30">
            <v>62266.5</v>
          </cell>
          <cell r="AU30">
            <v>35648</v>
          </cell>
          <cell r="AV30">
            <v>28481</v>
          </cell>
          <cell r="AW30">
            <v>90691</v>
          </cell>
          <cell r="AX30">
            <v>302187.5</v>
          </cell>
          <cell r="BC30">
            <v>765847.5</v>
          </cell>
          <cell r="BD30">
            <v>640601</v>
          </cell>
          <cell r="BE30">
            <v>523996</v>
          </cell>
          <cell r="BF30">
            <v>1676550</v>
          </cell>
          <cell r="BG30">
            <v>4715851.5</v>
          </cell>
          <cell r="BJ30">
            <v>326881</v>
          </cell>
        </row>
        <row r="31">
          <cell r="B31">
            <v>39194</v>
          </cell>
          <cell r="J31">
            <v>0</v>
          </cell>
          <cell r="O31">
            <v>56496</v>
          </cell>
          <cell r="P31">
            <v>86151</v>
          </cell>
          <cell r="T31">
            <v>301449</v>
          </cell>
          <cell r="V31">
            <v>39194</v>
          </cell>
          <cell r="AD31">
            <v>0</v>
          </cell>
          <cell r="AF31">
            <v>39194</v>
          </cell>
          <cell r="AG31">
            <v>339</v>
          </cell>
          <cell r="AH31">
            <v>54533</v>
          </cell>
          <cell r="AI31">
            <v>39717</v>
          </cell>
          <cell r="AJ31">
            <v>85925</v>
          </cell>
          <cell r="AK31">
            <v>38123</v>
          </cell>
          <cell r="AL31">
            <v>57358</v>
          </cell>
          <cell r="AM31">
            <v>62368</v>
          </cell>
          <cell r="AN31">
            <v>338363</v>
          </cell>
          <cell r="AP31">
            <v>39194</v>
          </cell>
          <cell r="AQ31">
            <v>0</v>
          </cell>
          <cell r="AR31">
            <v>18876</v>
          </cell>
          <cell r="AS31">
            <v>66225</v>
          </cell>
          <cell r="AT31">
            <v>62266.5</v>
          </cell>
          <cell r="AU31">
            <v>35648</v>
          </cell>
          <cell r="AV31">
            <v>28481</v>
          </cell>
          <cell r="AW31">
            <v>90691</v>
          </cell>
          <cell r="AX31">
            <v>302187.5</v>
          </cell>
          <cell r="BC31">
            <v>828114</v>
          </cell>
          <cell r="BD31">
            <v>676249</v>
          </cell>
          <cell r="BE31">
            <v>552477</v>
          </cell>
          <cell r="BF31">
            <v>1767241</v>
          </cell>
          <cell r="BG31">
            <v>5018039</v>
          </cell>
          <cell r="BJ31">
            <v>326881</v>
          </cell>
        </row>
        <row r="32">
          <cell r="B32">
            <v>39195</v>
          </cell>
          <cell r="J32">
            <v>0</v>
          </cell>
          <cell r="O32">
            <v>56496</v>
          </cell>
          <cell r="P32">
            <v>86151</v>
          </cell>
          <cell r="T32">
            <v>301449</v>
          </cell>
          <cell r="V32">
            <v>39195</v>
          </cell>
          <cell r="AD32">
            <v>0</v>
          </cell>
          <cell r="AF32">
            <v>39195</v>
          </cell>
          <cell r="AG32">
            <v>339</v>
          </cell>
          <cell r="AH32">
            <v>54533</v>
          </cell>
          <cell r="AI32">
            <v>39717</v>
          </cell>
          <cell r="AJ32">
            <v>85925</v>
          </cell>
          <cell r="AK32">
            <v>38123</v>
          </cell>
          <cell r="AL32">
            <v>57358</v>
          </cell>
          <cell r="AM32">
            <v>62368</v>
          </cell>
          <cell r="AN32">
            <v>338363</v>
          </cell>
          <cell r="AP32">
            <v>39195</v>
          </cell>
          <cell r="AQ32">
            <v>0</v>
          </cell>
          <cell r="AR32">
            <v>18876</v>
          </cell>
          <cell r="AS32">
            <v>66225</v>
          </cell>
          <cell r="AT32">
            <v>62266.5</v>
          </cell>
          <cell r="AU32">
            <v>35648</v>
          </cell>
          <cell r="AV32">
            <v>28481</v>
          </cell>
          <cell r="AW32">
            <v>90691</v>
          </cell>
          <cell r="AX32">
            <v>302187.5</v>
          </cell>
          <cell r="BC32">
            <v>890380.5</v>
          </cell>
          <cell r="BD32">
            <v>711897</v>
          </cell>
          <cell r="BE32">
            <v>580958</v>
          </cell>
          <cell r="BF32">
            <v>1857932</v>
          </cell>
          <cell r="BG32">
            <v>5320226.5</v>
          </cell>
          <cell r="BJ32">
            <v>326881</v>
          </cell>
        </row>
        <row r="33">
          <cell r="B33">
            <v>39196</v>
          </cell>
          <cell r="J33">
            <v>0</v>
          </cell>
          <cell r="O33">
            <v>56496</v>
          </cell>
          <cell r="P33">
            <v>86151</v>
          </cell>
          <cell r="T33">
            <v>301449</v>
          </cell>
          <cell r="V33">
            <v>39196</v>
          </cell>
          <cell r="AD33">
            <v>0</v>
          </cell>
          <cell r="AF33">
            <v>39196</v>
          </cell>
          <cell r="AG33">
            <v>339</v>
          </cell>
          <cell r="AH33">
            <v>54533</v>
          </cell>
          <cell r="AI33">
            <v>39717</v>
          </cell>
          <cell r="AJ33">
            <v>85925</v>
          </cell>
          <cell r="AK33">
            <v>38123</v>
          </cell>
          <cell r="AL33">
            <v>57358</v>
          </cell>
          <cell r="AM33">
            <v>62368</v>
          </cell>
          <cell r="AN33">
            <v>338363</v>
          </cell>
          <cell r="AP33">
            <v>39196</v>
          </cell>
          <cell r="AQ33">
            <v>0</v>
          </cell>
          <cell r="AR33">
            <v>18876</v>
          </cell>
          <cell r="AS33">
            <v>66225</v>
          </cell>
          <cell r="AT33">
            <v>62266.5</v>
          </cell>
          <cell r="AU33">
            <v>35648</v>
          </cell>
          <cell r="AV33">
            <v>28481</v>
          </cell>
          <cell r="AW33">
            <v>90691</v>
          </cell>
          <cell r="AX33">
            <v>302187.5</v>
          </cell>
          <cell r="BC33">
            <v>952647</v>
          </cell>
          <cell r="BD33">
            <v>747545</v>
          </cell>
          <cell r="BE33">
            <v>609439</v>
          </cell>
          <cell r="BF33">
            <v>1948623</v>
          </cell>
          <cell r="BG33">
            <v>5622414</v>
          </cell>
          <cell r="BJ33">
            <v>326881</v>
          </cell>
        </row>
        <row r="34">
          <cell r="B34">
            <v>39197</v>
          </cell>
          <cell r="J34">
            <v>0</v>
          </cell>
          <cell r="O34">
            <v>56496</v>
          </cell>
          <cell r="P34">
            <v>86151</v>
          </cell>
          <cell r="T34">
            <v>301449</v>
          </cell>
          <cell r="V34">
            <v>39197</v>
          </cell>
          <cell r="AD34">
            <v>0</v>
          </cell>
          <cell r="AF34">
            <v>39197</v>
          </cell>
          <cell r="AG34">
            <v>339</v>
          </cell>
          <cell r="AH34">
            <v>54533</v>
          </cell>
          <cell r="AI34">
            <v>39717</v>
          </cell>
          <cell r="AJ34">
            <v>85925</v>
          </cell>
          <cell r="AK34">
            <v>38123</v>
          </cell>
          <cell r="AL34">
            <v>57358</v>
          </cell>
          <cell r="AM34">
            <v>62368</v>
          </cell>
          <cell r="AN34">
            <v>338363</v>
          </cell>
          <cell r="AP34">
            <v>39197</v>
          </cell>
          <cell r="AQ34">
            <v>0</v>
          </cell>
          <cell r="AR34">
            <v>18876</v>
          </cell>
          <cell r="AS34">
            <v>66225</v>
          </cell>
          <cell r="AT34">
            <v>62266.5</v>
          </cell>
          <cell r="AU34">
            <v>35648</v>
          </cell>
          <cell r="AV34">
            <v>28481</v>
          </cell>
          <cell r="AW34">
            <v>90691</v>
          </cell>
          <cell r="AX34">
            <v>302187.5</v>
          </cell>
          <cell r="BC34">
            <v>1014913.5</v>
          </cell>
          <cell r="BD34">
            <v>783193</v>
          </cell>
          <cell r="BE34">
            <v>637920</v>
          </cell>
          <cell r="BF34">
            <v>2039314</v>
          </cell>
          <cell r="BG34">
            <v>5924601.5</v>
          </cell>
          <cell r="BJ34">
            <v>326881</v>
          </cell>
        </row>
        <row r="35">
          <cell r="B35">
            <v>39198</v>
          </cell>
          <cell r="J35">
            <v>0</v>
          </cell>
          <cell r="O35">
            <v>56496</v>
          </cell>
          <cell r="P35">
            <v>86151</v>
          </cell>
          <cell r="T35">
            <v>301449</v>
          </cell>
          <cell r="V35">
            <v>39198</v>
          </cell>
          <cell r="AD35">
            <v>0</v>
          </cell>
          <cell r="AF35">
            <v>39198</v>
          </cell>
          <cell r="AG35">
            <v>339</v>
          </cell>
          <cell r="AH35">
            <v>54533</v>
          </cell>
          <cell r="AI35">
            <v>39717</v>
          </cell>
          <cell r="AJ35">
            <v>85925</v>
          </cell>
          <cell r="AK35">
            <v>38123</v>
          </cell>
          <cell r="AL35">
            <v>57358</v>
          </cell>
          <cell r="AM35">
            <v>62368</v>
          </cell>
          <cell r="AN35">
            <v>338363</v>
          </cell>
          <cell r="AP35">
            <v>39198</v>
          </cell>
          <cell r="AQ35">
            <v>0</v>
          </cell>
          <cell r="AR35">
            <v>18876</v>
          </cell>
          <cell r="AS35">
            <v>66225</v>
          </cell>
          <cell r="AT35">
            <v>62266.5</v>
          </cell>
          <cell r="AU35">
            <v>35648</v>
          </cell>
          <cell r="AV35">
            <v>28481</v>
          </cell>
          <cell r="AW35">
            <v>90691</v>
          </cell>
          <cell r="AX35">
            <v>302187.5</v>
          </cell>
          <cell r="BC35">
            <v>1077180</v>
          </cell>
          <cell r="BD35">
            <v>818841</v>
          </cell>
          <cell r="BE35">
            <v>666401</v>
          </cell>
          <cell r="BF35">
            <v>2130005</v>
          </cell>
          <cell r="BG35">
            <v>6226789</v>
          </cell>
          <cell r="BJ35">
            <v>326881</v>
          </cell>
        </row>
        <row r="36">
          <cell r="B36">
            <v>39199</v>
          </cell>
          <cell r="J36">
            <v>0</v>
          </cell>
          <cell r="O36">
            <v>56496</v>
          </cell>
          <cell r="P36">
            <v>86151</v>
          </cell>
          <cell r="T36">
            <v>301449</v>
          </cell>
          <cell r="V36">
            <v>39199</v>
          </cell>
          <cell r="AD36">
            <v>0</v>
          </cell>
          <cell r="AF36">
            <v>39199</v>
          </cell>
          <cell r="AG36">
            <v>339</v>
          </cell>
          <cell r="AH36">
            <v>54533</v>
          </cell>
          <cell r="AI36">
            <v>39717</v>
          </cell>
          <cell r="AJ36">
            <v>85925</v>
          </cell>
          <cell r="AK36">
            <v>38123</v>
          </cell>
          <cell r="AL36">
            <v>57358</v>
          </cell>
          <cell r="AM36">
            <v>62368</v>
          </cell>
          <cell r="AN36">
            <v>338363</v>
          </cell>
          <cell r="AP36">
            <v>39199</v>
          </cell>
          <cell r="AQ36">
            <v>0</v>
          </cell>
          <cell r="AR36">
            <v>18876</v>
          </cell>
          <cell r="AS36">
            <v>66225</v>
          </cell>
          <cell r="AT36">
            <v>62266.5</v>
          </cell>
          <cell r="AU36">
            <v>35648</v>
          </cell>
          <cell r="AV36">
            <v>28481</v>
          </cell>
          <cell r="AW36">
            <v>90691</v>
          </cell>
          <cell r="AX36">
            <v>302187.5</v>
          </cell>
          <cell r="BC36">
            <v>1139446.5</v>
          </cell>
          <cell r="BD36">
            <v>854489</v>
          </cell>
          <cell r="BE36">
            <v>694882</v>
          </cell>
          <cell r="BF36">
            <v>2220696</v>
          </cell>
          <cell r="BG36">
            <v>6528976.5</v>
          </cell>
          <cell r="BJ36">
            <v>326881</v>
          </cell>
        </row>
        <row r="37">
          <cell r="B37">
            <v>39200</v>
          </cell>
          <cell r="J37">
            <v>0</v>
          </cell>
          <cell r="O37">
            <v>56496</v>
          </cell>
          <cell r="P37">
            <v>86151</v>
          </cell>
          <cell r="T37">
            <v>301449</v>
          </cell>
          <cell r="V37">
            <v>39200</v>
          </cell>
          <cell r="AD37">
            <v>0</v>
          </cell>
          <cell r="AF37">
            <v>39200</v>
          </cell>
          <cell r="AG37">
            <v>339</v>
          </cell>
          <cell r="AH37">
            <v>54533</v>
          </cell>
          <cell r="AI37">
            <v>39717</v>
          </cell>
          <cell r="AJ37">
            <v>85925</v>
          </cell>
          <cell r="AK37">
            <v>38123</v>
          </cell>
          <cell r="AL37">
            <v>57358</v>
          </cell>
          <cell r="AM37">
            <v>62368</v>
          </cell>
          <cell r="AN37">
            <v>338363</v>
          </cell>
          <cell r="AP37">
            <v>39200</v>
          </cell>
          <cell r="AQ37">
            <v>0</v>
          </cell>
          <cell r="AR37">
            <v>18876</v>
          </cell>
          <cell r="AS37">
            <v>66225</v>
          </cell>
          <cell r="AT37">
            <v>62266.5</v>
          </cell>
          <cell r="AU37">
            <v>35648</v>
          </cell>
          <cell r="AV37">
            <v>28481</v>
          </cell>
          <cell r="AW37">
            <v>90691</v>
          </cell>
          <cell r="AX37">
            <v>302187.5</v>
          </cell>
          <cell r="BC37">
            <v>1201713</v>
          </cell>
          <cell r="BD37">
            <v>890137</v>
          </cell>
          <cell r="BE37">
            <v>723363</v>
          </cell>
          <cell r="BF37">
            <v>2311387</v>
          </cell>
          <cell r="BG37">
            <v>6831164</v>
          </cell>
          <cell r="BJ37">
            <v>326881</v>
          </cell>
        </row>
        <row r="38">
          <cell r="B38">
            <v>39201</v>
          </cell>
          <cell r="J38">
            <v>0</v>
          </cell>
          <cell r="O38">
            <v>56496</v>
          </cell>
          <cell r="P38">
            <v>86151</v>
          </cell>
          <cell r="T38">
            <v>301449</v>
          </cell>
          <cell r="V38">
            <v>39201</v>
          </cell>
          <cell r="AD38">
            <v>0</v>
          </cell>
          <cell r="AF38">
            <v>39201</v>
          </cell>
          <cell r="AG38">
            <v>339</v>
          </cell>
          <cell r="AH38">
            <v>54533</v>
          </cell>
          <cell r="AI38">
            <v>39717</v>
          </cell>
          <cell r="AJ38">
            <v>85925</v>
          </cell>
          <cell r="AK38">
            <v>38123</v>
          </cell>
          <cell r="AL38">
            <v>57358</v>
          </cell>
          <cell r="AM38">
            <v>62368</v>
          </cell>
          <cell r="AN38">
            <v>338363</v>
          </cell>
          <cell r="AP38">
            <v>39201</v>
          </cell>
          <cell r="AQ38">
            <v>0</v>
          </cell>
          <cell r="AR38">
            <v>18876</v>
          </cell>
          <cell r="AS38">
            <v>66225</v>
          </cell>
          <cell r="AT38">
            <v>62266.5</v>
          </cell>
          <cell r="AU38">
            <v>35648</v>
          </cell>
          <cell r="AV38">
            <v>28481</v>
          </cell>
          <cell r="AW38">
            <v>90691</v>
          </cell>
          <cell r="AX38">
            <v>302187.5</v>
          </cell>
          <cell r="BC38">
            <v>1263979.5</v>
          </cell>
          <cell r="BD38">
            <v>925785</v>
          </cell>
          <cell r="BE38">
            <v>751844</v>
          </cell>
          <cell r="BF38">
            <v>2402078</v>
          </cell>
          <cell r="BG38">
            <v>7133351.5</v>
          </cell>
          <cell r="BJ38">
            <v>326881</v>
          </cell>
        </row>
        <row r="39">
          <cell r="B39">
            <v>39202</v>
          </cell>
          <cell r="J39">
            <v>0</v>
          </cell>
          <cell r="O39">
            <v>56496</v>
          </cell>
          <cell r="P39">
            <v>86151</v>
          </cell>
          <cell r="T39">
            <v>301449</v>
          </cell>
          <cell r="V39">
            <v>39202</v>
          </cell>
          <cell r="AD39">
            <v>0</v>
          </cell>
          <cell r="AF39">
            <v>39202</v>
          </cell>
          <cell r="AG39">
            <v>339</v>
          </cell>
          <cell r="AH39">
            <v>54533</v>
          </cell>
          <cell r="AI39">
            <v>39717</v>
          </cell>
          <cell r="AJ39">
            <v>85925</v>
          </cell>
          <cell r="AK39">
            <v>38123</v>
          </cell>
          <cell r="AL39">
            <v>57358</v>
          </cell>
          <cell r="AM39">
            <v>62368</v>
          </cell>
          <cell r="AN39">
            <v>338363</v>
          </cell>
          <cell r="AP39">
            <v>39202</v>
          </cell>
          <cell r="AQ39">
            <v>0</v>
          </cell>
          <cell r="AR39">
            <v>18876</v>
          </cell>
          <cell r="AS39">
            <v>66225</v>
          </cell>
          <cell r="AT39">
            <v>62266.5</v>
          </cell>
          <cell r="AU39">
            <v>35648</v>
          </cell>
          <cell r="AV39">
            <v>28481</v>
          </cell>
          <cell r="AW39">
            <v>90691</v>
          </cell>
          <cell r="AX39">
            <v>302187.5</v>
          </cell>
          <cell r="BC39">
            <v>1326246</v>
          </cell>
          <cell r="BD39">
            <v>961433</v>
          </cell>
          <cell r="BE39">
            <v>780325</v>
          </cell>
          <cell r="BF39">
            <v>2492769</v>
          </cell>
          <cell r="BG39">
            <v>7435539</v>
          </cell>
          <cell r="BJ39">
            <v>326881</v>
          </cell>
        </row>
        <row r="40">
          <cell r="B40">
            <v>39203</v>
          </cell>
          <cell r="J40">
            <v>0</v>
          </cell>
          <cell r="O40">
            <v>56496</v>
          </cell>
          <cell r="P40">
            <v>86151</v>
          </cell>
          <cell r="T40">
            <v>301449</v>
          </cell>
          <cell r="V40">
            <v>39203</v>
          </cell>
          <cell r="AD40">
            <v>0</v>
          </cell>
          <cell r="AF40">
            <v>39203</v>
          </cell>
          <cell r="AG40">
            <v>339</v>
          </cell>
          <cell r="AH40">
            <v>54533</v>
          </cell>
          <cell r="AI40">
            <v>39717</v>
          </cell>
          <cell r="AJ40">
            <v>85925</v>
          </cell>
          <cell r="AK40">
            <v>38123</v>
          </cell>
          <cell r="AL40">
            <v>57358</v>
          </cell>
          <cell r="AM40">
            <v>62368</v>
          </cell>
          <cell r="AN40">
            <v>338363</v>
          </cell>
          <cell r="AP40">
            <v>39203</v>
          </cell>
          <cell r="AQ40">
            <v>0</v>
          </cell>
          <cell r="AR40">
            <v>18876</v>
          </cell>
          <cell r="AS40">
            <v>66225</v>
          </cell>
          <cell r="AT40">
            <v>62266.5</v>
          </cell>
          <cell r="AU40">
            <v>35648</v>
          </cell>
          <cell r="AV40">
            <v>28481</v>
          </cell>
          <cell r="AW40">
            <v>90691</v>
          </cell>
          <cell r="AX40">
            <v>302187.5</v>
          </cell>
          <cell r="BC40">
            <v>1388512.5</v>
          </cell>
          <cell r="BD40">
            <v>997081</v>
          </cell>
          <cell r="BE40">
            <v>808806</v>
          </cell>
          <cell r="BF40">
            <v>2583460</v>
          </cell>
          <cell r="BG40">
            <v>7737726.5</v>
          </cell>
          <cell r="BJ40">
            <v>326881</v>
          </cell>
        </row>
        <row r="41">
          <cell r="B41" t="str">
            <v>TOTAL</v>
          </cell>
          <cell r="C41">
            <v>0</v>
          </cell>
          <cell r="D41">
            <v>35553</v>
          </cell>
          <cell r="E41">
            <v>56496</v>
          </cell>
          <cell r="F41">
            <v>86151</v>
          </cell>
          <cell r="G41">
            <v>18943</v>
          </cell>
          <cell r="H41">
            <v>27439</v>
          </cell>
          <cell r="I41">
            <v>76867</v>
          </cell>
          <cell r="J41">
            <v>301449</v>
          </cell>
          <cell r="K41">
            <v>428141.5</v>
          </cell>
          <cell r="L41" t="str">
            <v>TOTAL</v>
          </cell>
          <cell r="M41">
            <v>852839.5</v>
          </cell>
          <cell r="N41">
            <v>1686736</v>
          </cell>
          <cell r="O41">
            <v>1686736</v>
          </cell>
          <cell r="P41">
            <v>5032769</v>
          </cell>
          <cell r="AF41" t="str">
            <v>TOTAL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P41" t="str">
            <v>TOTAL</v>
          </cell>
          <cell r="AQ41">
            <v>0</v>
          </cell>
          <cell r="AR41">
            <v>323440</v>
          </cell>
          <cell r="AS41">
            <v>1551326</v>
          </cell>
          <cell r="AT41">
            <v>1326246</v>
          </cell>
          <cell r="AU41">
            <v>961433</v>
          </cell>
          <cell r="AV41">
            <v>780325</v>
          </cell>
          <cell r="AW41">
            <v>2492769</v>
          </cell>
          <cell r="AX41">
            <v>7435539</v>
          </cell>
          <cell r="AZ41" t="str">
            <v>TOTAL</v>
          </cell>
          <cell r="BA41">
            <v>11670066</v>
          </cell>
          <cell r="BB41">
            <v>22378699</v>
          </cell>
          <cell r="BC41">
            <v>43977073</v>
          </cell>
          <cell r="BD41">
            <v>85461377</v>
          </cell>
          <cell r="BE41">
            <v>163487215</v>
          </cell>
          <cell r="BF41">
            <v>326974430</v>
          </cell>
          <cell r="BG41">
            <v>653948860</v>
          </cell>
          <cell r="BI41">
            <v>326881</v>
          </cell>
          <cell r="BJ41">
            <v>8278501</v>
          </cell>
        </row>
        <row r="45">
          <cell r="B45">
            <v>1</v>
          </cell>
          <cell r="C45">
            <v>2</v>
          </cell>
          <cell r="D45">
            <v>3</v>
          </cell>
          <cell r="E45">
            <v>4</v>
          </cell>
          <cell r="F45">
            <v>5</v>
          </cell>
          <cell r="G45">
            <v>6</v>
          </cell>
          <cell r="H45">
            <v>7</v>
          </cell>
          <cell r="I45">
            <v>8</v>
          </cell>
          <cell r="J45">
            <v>9</v>
          </cell>
          <cell r="K45">
            <v>10</v>
          </cell>
          <cell r="L45">
            <v>11</v>
          </cell>
          <cell r="M45">
            <v>12</v>
          </cell>
          <cell r="N45">
            <v>13</v>
          </cell>
          <cell r="O45">
            <v>14</v>
          </cell>
          <cell r="P45">
            <v>15</v>
          </cell>
          <cell r="Q45">
            <v>16</v>
          </cell>
          <cell r="R45">
            <v>17</v>
          </cell>
          <cell r="S45">
            <v>18</v>
          </cell>
          <cell r="T45">
            <v>19</v>
          </cell>
          <cell r="U45">
            <v>20</v>
          </cell>
          <cell r="V45">
            <v>21</v>
          </cell>
          <cell r="W45">
            <v>22</v>
          </cell>
          <cell r="X45">
            <v>23</v>
          </cell>
          <cell r="Y45">
            <v>24</v>
          </cell>
          <cell r="Z45">
            <v>25</v>
          </cell>
          <cell r="AA45">
            <v>26</v>
          </cell>
          <cell r="AB45">
            <v>27</v>
          </cell>
          <cell r="AC45">
            <v>28</v>
          </cell>
          <cell r="AD45">
            <v>29</v>
          </cell>
          <cell r="AE45">
            <v>30</v>
          </cell>
          <cell r="AF45">
            <v>31</v>
          </cell>
          <cell r="AG45">
            <v>32</v>
          </cell>
          <cell r="AH45">
            <v>33</v>
          </cell>
          <cell r="AI45">
            <v>34</v>
          </cell>
          <cell r="AJ45">
            <v>35</v>
          </cell>
          <cell r="AK45">
            <v>36</v>
          </cell>
          <cell r="AL45">
            <v>37</v>
          </cell>
          <cell r="AM45">
            <v>38</v>
          </cell>
          <cell r="AN45">
            <v>39</v>
          </cell>
          <cell r="AO45">
            <v>40</v>
          </cell>
          <cell r="AP45">
            <v>41</v>
          </cell>
          <cell r="AQ45">
            <v>42</v>
          </cell>
          <cell r="AR45">
            <v>43</v>
          </cell>
          <cell r="AS45">
            <v>44</v>
          </cell>
          <cell r="AT45">
            <v>45</v>
          </cell>
          <cell r="AU45">
            <v>46</v>
          </cell>
          <cell r="AV45">
            <v>47</v>
          </cell>
          <cell r="AW45">
            <v>48</v>
          </cell>
          <cell r="AX45">
            <v>49</v>
          </cell>
          <cell r="AY45">
            <v>50</v>
          </cell>
          <cell r="AZ45">
            <v>51</v>
          </cell>
          <cell r="BA45">
            <v>52</v>
          </cell>
          <cell r="BB45">
            <v>53</v>
          </cell>
          <cell r="BC45">
            <v>54</v>
          </cell>
          <cell r="BD45">
            <v>55</v>
          </cell>
          <cell r="BE45">
            <v>56</v>
          </cell>
          <cell r="BF45">
            <v>57</v>
          </cell>
          <cell r="BG45">
            <v>58</v>
          </cell>
          <cell r="BH45">
            <v>59</v>
          </cell>
          <cell r="BI45">
            <v>60</v>
          </cell>
          <cell r="BJ45">
            <v>61</v>
          </cell>
        </row>
        <row r="46">
          <cell r="B46" t="str">
            <v>ACTUAL Crusher 2 - RF</v>
          </cell>
          <cell r="L46" t="str">
            <v>MONTH TO DATE</v>
          </cell>
        </row>
        <row r="47">
          <cell r="B47">
            <v>36465</v>
          </cell>
        </row>
        <row r="48">
          <cell r="B48" t="str">
            <v>DATE</v>
          </cell>
          <cell r="C48" t="str">
            <v>LOCATION</v>
          </cell>
          <cell r="J48" t="str">
            <v>TOTAL</v>
          </cell>
          <cell r="L48" t="str">
            <v>DATE</v>
          </cell>
          <cell r="M48" t="str">
            <v>LOCATION</v>
          </cell>
          <cell r="T48" t="str">
            <v>TOTAL</v>
          </cell>
          <cell r="V48" t="str">
            <v>Lokasi</v>
          </cell>
          <cell r="Y48" t="str">
            <v>Lokasi Hauling</v>
          </cell>
          <cell r="Z48" t="str">
            <v>TOTAL</v>
          </cell>
          <cell r="AB48" t="str">
            <v>Lokasi Shipment</v>
          </cell>
          <cell r="AC48" t="str">
            <v>TOTAL</v>
          </cell>
        </row>
        <row r="49">
          <cell r="C49" t="str">
            <v>C24RF 4</v>
          </cell>
          <cell r="D49" t="str">
            <v>C24RF 3</v>
          </cell>
          <cell r="E49" t="str">
            <v xml:space="preserve">C24RF2 </v>
          </cell>
          <cell r="F49" t="str">
            <v xml:space="preserve">C24RF1 </v>
          </cell>
          <cell r="G49" t="str">
            <v>C25RF 1</v>
          </cell>
          <cell r="H49" t="str">
            <v>C25RF 2</v>
          </cell>
          <cell r="I49" t="str">
            <v>C25RF 3</v>
          </cell>
          <cell r="M49" t="str">
            <v>C24RF 4</v>
          </cell>
          <cell r="N49" t="str">
            <v>C24RF 3</v>
          </cell>
          <cell r="O49" t="str">
            <v xml:space="preserve">C24RF2 </v>
          </cell>
          <cell r="P49" t="str">
            <v xml:space="preserve">C24RF1 </v>
          </cell>
          <cell r="Q49" t="str">
            <v>C25RF 1</v>
          </cell>
          <cell r="R49" t="str">
            <v>C25RF 2</v>
          </cell>
          <cell r="S49" t="str">
            <v>C25RF 3</v>
          </cell>
          <cell r="V49" t="str">
            <v>Dumping Bin</v>
          </cell>
          <cell r="W49" t="str">
            <v>Manual</v>
          </cell>
          <cell r="Y49" t="str">
            <v>Temporary</v>
          </cell>
          <cell r="AB49" t="str">
            <v>Temporary</v>
          </cell>
        </row>
        <row r="50">
          <cell r="B50">
            <v>39172</v>
          </cell>
          <cell r="L50">
            <v>38533</v>
          </cell>
        </row>
        <row r="51">
          <cell r="B51">
            <v>39173</v>
          </cell>
          <cell r="J51">
            <v>0</v>
          </cell>
          <cell r="L51">
            <v>39173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Z51">
            <v>0</v>
          </cell>
          <cell r="AC51">
            <v>0</v>
          </cell>
        </row>
        <row r="52">
          <cell r="B52">
            <v>39174</v>
          </cell>
          <cell r="D52">
            <v>2320</v>
          </cell>
          <cell r="E52">
            <v>6216</v>
          </cell>
          <cell r="I52">
            <v>1467</v>
          </cell>
          <cell r="J52">
            <v>10003</v>
          </cell>
          <cell r="L52">
            <v>39174</v>
          </cell>
          <cell r="M52">
            <v>0</v>
          </cell>
          <cell r="N52">
            <v>2320</v>
          </cell>
          <cell r="O52">
            <v>6216</v>
          </cell>
          <cell r="P52">
            <v>0</v>
          </cell>
          <cell r="Q52">
            <v>0</v>
          </cell>
          <cell r="R52">
            <v>0</v>
          </cell>
          <cell r="S52">
            <v>1467</v>
          </cell>
          <cell r="T52">
            <v>10003</v>
          </cell>
          <cell r="V52">
            <v>5247</v>
          </cell>
          <cell r="W52">
            <v>4756</v>
          </cell>
          <cell r="Z52">
            <v>0</v>
          </cell>
          <cell r="AC52">
            <v>0</v>
          </cell>
        </row>
        <row r="53">
          <cell r="B53">
            <v>39175</v>
          </cell>
          <cell r="D53">
            <v>2975</v>
          </cell>
          <cell r="E53">
            <v>420</v>
          </cell>
          <cell r="F53">
            <v>1343.5</v>
          </cell>
          <cell r="G53">
            <v>6765</v>
          </cell>
          <cell r="J53">
            <v>11503.5</v>
          </cell>
          <cell r="L53">
            <v>39175</v>
          </cell>
          <cell r="M53">
            <v>0</v>
          </cell>
          <cell r="N53">
            <v>5295</v>
          </cell>
          <cell r="O53">
            <v>6636</v>
          </cell>
          <cell r="P53">
            <v>1343.5</v>
          </cell>
          <cell r="Q53">
            <v>6765</v>
          </cell>
          <cell r="R53">
            <v>0</v>
          </cell>
          <cell r="S53">
            <v>1467</v>
          </cell>
          <cell r="T53">
            <v>21506.5</v>
          </cell>
          <cell r="V53">
            <v>5173</v>
          </cell>
          <cell r="W53">
            <v>6330.5</v>
          </cell>
          <cell r="Z53">
            <v>0</v>
          </cell>
          <cell r="AC53">
            <v>0</v>
          </cell>
        </row>
        <row r="54">
          <cell r="B54">
            <v>39176</v>
          </cell>
          <cell r="D54">
            <v>1046</v>
          </cell>
          <cell r="J54">
            <v>1046</v>
          </cell>
          <cell r="L54">
            <v>39176</v>
          </cell>
          <cell r="M54">
            <v>0</v>
          </cell>
          <cell r="N54">
            <v>6341</v>
          </cell>
          <cell r="O54">
            <v>6636</v>
          </cell>
          <cell r="P54">
            <v>1343.5</v>
          </cell>
          <cell r="Q54">
            <v>6765</v>
          </cell>
          <cell r="R54">
            <v>0</v>
          </cell>
          <cell r="S54">
            <v>1467</v>
          </cell>
          <cell r="T54">
            <v>22552.5</v>
          </cell>
          <cell r="V54">
            <v>583</v>
          </cell>
          <cell r="W54">
            <v>463</v>
          </cell>
          <cell r="Z54">
            <v>0</v>
          </cell>
          <cell r="AC54">
            <v>0</v>
          </cell>
        </row>
        <row r="55">
          <cell r="B55">
            <v>39177</v>
          </cell>
          <cell r="J55">
            <v>0</v>
          </cell>
          <cell r="L55">
            <v>39177</v>
          </cell>
          <cell r="M55">
            <v>0</v>
          </cell>
          <cell r="N55">
            <v>6341</v>
          </cell>
          <cell r="O55">
            <v>6636</v>
          </cell>
          <cell r="P55">
            <v>1343.5</v>
          </cell>
          <cell r="Q55">
            <v>6765</v>
          </cell>
          <cell r="R55">
            <v>0</v>
          </cell>
          <cell r="S55">
            <v>1467</v>
          </cell>
          <cell r="T55">
            <v>22552.5</v>
          </cell>
          <cell r="Z55">
            <v>0</v>
          </cell>
          <cell r="AC55">
            <v>0</v>
          </cell>
        </row>
        <row r="56">
          <cell r="B56">
            <v>39178</v>
          </cell>
          <cell r="H56">
            <v>13252</v>
          </cell>
          <cell r="J56">
            <v>13252</v>
          </cell>
          <cell r="L56">
            <v>39178</v>
          </cell>
          <cell r="M56">
            <v>0</v>
          </cell>
          <cell r="N56">
            <v>6341</v>
          </cell>
          <cell r="O56">
            <v>6636</v>
          </cell>
          <cell r="P56">
            <v>1343.5</v>
          </cell>
          <cell r="Q56">
            <v>6765</v>
          </cell>
          <cell r="R56">
            <v>13252</v>
          </cell>
          <cell r="S56">
            <v>1467</v>
          </cell>
          <cell r="T56">
            <v>35804.5</v>
          </cell>
          <cell r="V56">
            <v>13352</v>
          </cell>
          <cell r="Z56">
            <v>0</v>
          </cell>
          <cell r="AC56">
            <v>0</v>
          </cell>
        </row>
        <row r="57">
          <cell r="B57">
            <v>39179</v>
          </cell>
          <cell r="F57">
            <v>4305</v>
          </cell>
          <cell r="H57">
            <v>10837</v>
          </cell>
          <cell r="J57">
            <v>15142</v>
          </cell>
          <cell r="L57">
            <v>39179</v>
          </cell>
          <cell r="M57">
            <v>0</v>
          </cell>
          <cell r="N57">
            <v>6341</v>
          </cell>
          <cell r="O57">
            <v>6636</v>
          </cell>
          <cell r="P57">
            <v>5648.5</v>
          </cell>
          <cell r="Q57">
            <v>6765</v>
          </cell>
          <cell r="R57">
            <v>24089</v>
          </cell>
          <cell r="S57">
            <v>1467</v>
          </cell>
          <cell r="T57">
            <v>50946.5</v>
          </cell>
          <cell r="V57">
            <v>15142</v>
          </cell>
          <cell r="Z57">
            <v>0</v>
          </cell>
          <cell r="AC57">
            <v>0</v>
          </cell>
        </row>
        <row r="58">
          <cell r="B58">
            <v>39180</v>
          </cell>
          <cell r="F58">
            <v>823</v>
          </cell>
          <cell r="J58">
            <v>823</v>
          </cell>
          <cell r="L58">
            <v>39180</v>
          </cell>
          <cell r="M58">
            <v>0</v>
          </cell>
          <cell r="N58">
            <v>6341</v>
          </cell>
          <cell r="O58">
            <v>6636</v>
          </cell>
          <cell r="P58">
            <v>6471.5</v>
          </cell>
          <cell r="Q58">
            <v>6765</v>
          </cell>
          <cell r="R58">
            <v>24089</v>
          </cell>
          <cell r="S58">
            <v>1467</v>
          </cell>
          <cell r="T58">
            <v>51769.5</v>
          </cell>
          <cell r="V58">
            <v>823</v>
          </cell>
          <cell r="Z58">
            <v>0</v>
          </cell>
          <cell r="AC58">
            <v>0</v>
          </cell>
        </row>
        <row r="59">
          <cell r="B59">
            <v>39181</v>
          </cell>
          <cell r="E59">
            <v>14829</v>
          </cell>
          <cell r="J59">
            <v>14829</v>
          </cell>
          <cell r="L59">
            <v>39181</v>
          </cell>
          <cell r="M59">
            <v>0</v>
          </cell>
          <cell r="N59">
            <v>6341</v>
          </cell>
          <cell r="O59">
            <v>21465</v>
          </cell>
          <cell r="P59">
            <v>6471.5</v>
          </cell>
          <cell r="Q59">
            <v>6765</v>
          </cell>
          <cell r="R59">
            <v>24089</v>
          </cell>
          <cell r="S59">
            <v>1467</v>
          </cell>
          <cell r="T59">
            <v>66598.5</v>
          </cell>
          <cell r="V59">
            <v>14829</v>
          </cell>
          <cell r="Z59">
            <v>0</v>
          </cell>
          <cell r="AC59">
            <v>0</v>
          </cell>
        </row>
        <row r="60">
          <cell r="B60">
            <v>39182</v>
          </cell>
          <cell r="E60">
            <v>11349</v>
          </cell>
          <cell r="I60">
            <v>3699</v>
          </cell>
          <cell r="J60">
            <v>15048</v>
          </cell>
          <cell r="L60">
            <v>39182</v>
          </cell>
          <cell r="M60">
            <v>0</v>
          </cell>
          <cell r="N60">
            <v>6341</v>
          </cell>
          <cell r="O60">
            <v>32814</v>
          </cell>
          <cell r="P60">
            <v>6471.5</v>
          </cell>
          <cell r="Q60">
            <v>6765</v>
          </cell>
          <cell r="R60">
            <v>24089</v>
          </cell>
          <cell r="S60">
            <v>5166</v>
          </cell>
          <cell r="T60">
            <v>81646.5</v>
          </cell>
          <cell r="V60">
            <v>15048</v>
          </cell>
          <cell r="Z60">
            <v>0</v>
          </cell>
          <cell r="AC60">
            <v>0</v>
          </cell>
        </row>
        <row r="61">
          <cell r="B61">
            <v>39183</v>
          </cell>
          <cell r="I61">
            <v>1738</v>
          </cell>
          <cell r="J61">
            <v>1738</v>
          </cell>
          <cell r="L61">
            <v>39183</v>
          </cell>
          <cell r="M61">
            <v>0</v>
          </cell>
          <cell r="N61">
            <v>6341</v>
          </cell>
          <cell r="O61">
            <v>32814</v>
          </cell>
          <cell r="P61">
            <v>6471.5</v>
          </cell>
          <cell r="Q61">
            <v>6765</v>
          </cell>
          <cell r="R61">
            <v>24089</v>
          </cell>
          <cell r="S61">
            <v>6904</v>
          </cell>
          <cell r="T61">
            <v>83384.5</v>
          </cell>
          <cell r="V61">
            <v>1738</v>
          </cell>
          <cell r="Z61">
            <v>0</v>
          </cell>
          <cell r="AC61">
            <v>0</v>
          </cell>
        </row>
        <row r="62">
          <cell r="B62">
            <v>39184</v>
          </cell>
          <cell r="J62">
            <v>0</v>
          </cell>
          <cell r="L62">
            <v>39184</v>
          </cell>
          <cell r="M62">
            <v>0</v>
          </cell>
          <cell r="N62">
            <v>6341</v>
          </cell>
          <cell r="O62">
            <v>32814</v>
          </cell>
          <cell r="P62">
            <v>6471.5</v>
          </cell>
          <cell r="Q62">
            <v>6765</v>
          </cell>
          <cell r="R62">
            <v>24089</v>
          </cell>
          <cell r="S62">
            <v>6904</v>
          </cell>
          <cell r="T62">
            <v>83384.5</v>
          </cell>
          <cell r="Z62">
            <v>0</v>
          </cell>
          <cell r="AC62">
            <v>0</v>
          </cell>
        </row>
        <row r="63">
          <cell r="B63">
            <v>39185</v>
          </cell>
          <cell r="G63">
            <v>3574</v>
          </cell>
          <cell r="I63">
            <v>9842</v>
          </cell>
          <cell r="J63">
            <v>13416</v>
          </cell>
          <cell r="L63">
            <v>39185</v>
          </cell>
          <cell r="M63">
            <v>0</v>
          </cell>
          <cell r="N63">
            <v>6341</v>
          </cell>
          <cell r="O63">
            <v>32814</v>
          </cell>
          <cell r="P63">
            <v>6471.5</v>
          </cell>
          <cell r="Q63">
            <v>10339</v>
          </cell>
          <cell r="R63">
            <v>24089</v>
          </cell>
          <cell r="S63">
            <v>16746</v>
          </cell>
          <cell r="T63">
            <v>96800.5</v>
          </cell>
          <cell r="V63">
            <v>13416</v>
          </cell>
          <cell r="Z63">
            <v>0</v>
          </cell>
          <cell r="AC63">
            <v>0</v>
          </cell>
        </row>
        <row r="64">
          <cell r="B64">
            <v>39186</v>
          </cell>
          <cell r="D64">
            <v>10150</v>
          </cell>
          <cell r="F64">
            <v>1135</v>
          </cell>
          <cell r="G64">
            <v>5576</v>
          </cell>
          <cell r="J64">
            <v>16861</v>
          </cell>
          <cell r="L64">
            <v>39186</v>
          </cell>
          <cell r="M64">
            <v>0</v>
          </cell>
          <cell r="N64">
            <v>16491</v>
          </cell>
          <cell r="O64">
            <v>32814</v>
          </cell>
          <cell r="P64">
            <v>7606.5</v>
          </cell>
          <cell r="Q64">
            <v>15915</v>
          </cell>
          <cell r="R64">
            <v>24089</v>
          </cell>
          <cell r="S64">
            <v>16746</v>
          </cell>
          <cell r="T64">
            <v>113661.5</v>
          </cell>
          <cell r="V64">
            <v>15726</v>
          </cell>
          <cell r="W64">
            <v>1135</v>
          </cell>
          <cell r="Z64">
            <v>0</v>
          </cell>
          <cell r="AC64">
            <v>0</v>
          </cell>
        </row>
        <row r="65">
          <cell r="B65">
            <v>39187</v>
          </cell>
          <cell r="F65">
            <v>3733</v>
          </cell>
          <cell r="J65">
            <v>3733</v>
          </cell>
          <cell r="L65">
            <v>39187</v>
          </cell>
          <cell r="M65">
            <v>0</v>
          </cell>
          <cell r="N65">
            <v>16491</v>
          </cell>
          <cell r="O65">
            <v>32814</v>
          </cell>
          <cell r="P65">
            <v>11339.5</v>
          </cell>
          <cell r="Q65">
            <v>15915</v>
          </cell>
          <cell r="R65">
            <v>24089</v>
          </cell>
          <cell r="S65">
            <v>16746</v>
          </cell>
          <cell r="T65">
            <v>117394.5</v>
          </cell>
          <cell r="V65">
            <v>3733</v>
          </cell>
          <cell r="Z65">
            <v>0</v>
          </cell>
          <cell r="AC65">
            <v>0</v>
          </cell>
        </row>
        <row r="66">
          <cell r="B66">
            <v>39188</v>
          </cell>
          <cell r="J66">
            <v>0</v>
          </cell>
          <cell r="L66">
            <v>39188</v>
          </cell>
          <cell r="M66">
            <v>0</v>
          </cell>
          <cell r="N66">
            <v>16491</v>
          </cell>
          <cell r="O66">
            <v>32814</v>
          </cell>
          <cell r="P66">
            <v>11339.5</v>
          </cell>
          <cell r="Q66">
            <v>15915</v>
          </cell>
          <cell r="R66">
            <v>24089</v>
          </cell>
          <cell r="S66">
            <v>16746</v>
          </cell>
          <cell r="T66">
            <v>117394.5</v>
          </cell>
          <cell r="Z66">
            <v>0</v>
          </cell>
          <cell r="AC66">
            <v>0</v>
          </cell>
        </row>
        <row r="67">
          <cell r="B67">
            <v>39189</v>
          </cell>
          <cell r="J67">
            <v>0</v>
          </cell>
          <cell r="L67">
            <v>39189</v>
          </cell>
          <cell r="M67">
            <v>0</v>
          </cell>
          <cell r="N67">
            <v>16491</v>
          </cell>
          <cell r="O67">
            <v>32814</v>
          </cell>
          <cell r="P67">
            <v>11339.5</v>
          </cell>
          <cell r="Q67">
            <v>15915</v>
          </cell>
          <cell r="R67">
            <v>24089</v>
          </cell>
          <cell r="S67">
            <v>16746</v>
          </cell>
          <cell r="T67">
            <v>117394.5</v>
          </cell>
          <cell r="Z67">
            <v>0</v>
          </cell>
          <cell r="AC67">
            <v>0</v>
          </cell>
        </row>
        <row r="68">
          <cell r="B68">
            <v>39190</v>
          </cell>
          <cell r="J68">
            <v>0</v>
          </cell>
          <cell r="L68">
            <v>39190</v>
          </cell>
          <cell r="M68">
            <v>0</v>
          </cell>
          <cell r="N68">
            <v>16491</v>
          </cell>
          <cell r="O68">
            <v>32814</v>
          </cell>
          <cell r="P68">
            <v>11339.5</v>
          </cell>
          <cell r="Q68">
            <v>15915</v>
          </cell>
          <cell r="R68">
            <v>24089</v>
          </cell>
          <cell r="S68">
            <v>16746</v>
          </cell>
          <cell r="T68">
            <v>117394.5</v>
          </cell>
          <cell r="Z68">
            <v>0</v>
          </cell>
          <cell r="AC68">
            <v>0</v>
          </cell>
        </row>
        <row r="69">
          <cell r="B69">
            <v>39191</v>
          </cell>
          <cell r="J69">
            <v>0</v>
          </cell>
          <cell r="L69">
            <v>39191</v>
          </cell>
          <cell r="M69">
            <v>0</v>
          </cell>
          <cell r="N69">
            <v>16491</v>
          </cell>
          <cell r="O69">
            <v>32814</v>
          </cell>
          <cell r="P69">
            <v>11339.5</v>
          </cell>
          <cell r="Q69">
            <v>15915</v>
          </cell>
          <cell r="R69">
            <v>24089</v>
          </cell>
          <cell r="S69">
            <v>16746</v>
          </cell>
          <cell r="T69">
            <v>117394.5</v>
          </cell>
          <cell r="Z69">
            <v>0</v>
          </cell>
          <cell r="AC69">
            <v>0</v>
          </cell>
        </row>
        <row r="70">
          <cell r="B70">
            <v>39192</v>
          </cell>
          <cell r="J70">
            <v>0</v>
          </cell>
          <cell r="L70">
            <v>39192</v>
          </cell>
          <cell r="M70">
            <v>0</v>
          </cell>
          <cell r="N70">
            <v>16491</v>
          </cell>
          <cell r="O70">
            <v>32814</v>
          </cell>
          <cell r="P70">
            <v>11339.5</v>
          </cell>
          <cell r="Q70">
            <v>15915</v>
          </cell>
          <cell r="R70">
            <v>24089</v>
          </cell>
          <cell r="S70">
            <v>16746</v>
          </cell>
          <cell r="T70">
            <v>117394.5</v>
          </cell>
          <cell r="Z70">
            <v>0</v>
          </cell>
          <cell r="AC70">
            <v>0</v>
          </cell>
        </row>
        <row r="71">
          <cell r="B71">
            <v>39193</v>
          </cell>
          <cell r="J71">
            <v>0</v>
          </cell>
          <cell r="L71">
            <v>39193</v>
          </cell>
          <cell r="M71">
            <v>0</v>
          </cell>
          <cell r="N71">
            <v>16491</v>
          </cell>
          <cell r="O71">
            <v>32814</v>
          </cell>
          <cell r="P71">
            <v>11339.5</v>
          </cell>
          <cell r="Q71">
            <v>15915</v>
          </cell>
          <cell r="R71">
            <v>24089</v>
          </cell>
          <cell r="S71">
            <v>16746</v>
          </cell>
          <cell r="T71">
            <v>117394.5</v>
          </cell>
          <cell r="Z71">
            <v>0</v>
          </cell>
          <cell r="AC71">
            <v>0</v>
          </cell>
        </row>
        <row r="72">
          <cell r="B72">
            <v>39194</v>
          </cell>
          <cell r="J72">
            <v>0</v>
          </cell>
          <cell r="L72">
            <v>39194</v>
          </cell>
          <cell r="M72">
            <v>0</v>
          </cell>
          <cell r="N72">
            <v>16491</v>
          </cell>
          <cell r="O72">
            <v>32814</v>
          </cell>
          <cell r="P72">
            <v>11339.5</v>
          </cell>
          <cell r="Q72">
            <v>15915</v>
          </cell>
          <cell r="R72">
            <v>24089</v>
          </cell>
          <cell r="S72">
            <v>16746</v>
          </cell>
          <cell r="T72">
            <v>117394.5</v>
          </cell>
          <cell r="Z72">
            <v>0</v>
          </cell>
          <cell r="AC72">
            <v>0</v>
          </cell>
        </row>
        <row r="73">
          <cell r="B73">
            <v>39195</v>
          </cell>
          <cell r="J73">
            <v>0</v>
          </cell>
          <cell r="L73">
            <v>39195</v>
          </cell>
          <cell r="M73">
            <v>0</v>
          </cell>
          <cell r="N73">
            <v>16491</v>
          </cell>
          <cell r="O73">
            <v>32814</v>
          </cell>
          <cell r="P73">
            <v>11339.5</v>
          </cell>
          <cell r="Q73">
            <v>15915</v>
          </cell>
          <cell r="R73">
            <v>24089</v>
          </cell>
          <cell r="S73">
            <v>16746</v>
          </cell>
          <cell r="T73">
            <v>117394.5</v>
          </cell>
          <cell r="Z73">
            <v>0</v>
          </cell>
          <cell r="AC73">
            <v>0</v>
          </cell>
        </row>
        <row r="74">
          <cell r="B74">
            <v>39196</v>
          </cell>
          <cell r="J74">
            <v>0</v>
          </cell>
          <cell r="L74">
            <v>39196</v>
          </cell>
          <cell r="M74">
            <v>0</v>
          </cell>
          <cell r="N74">
            <v>16491</v>
          </cell>
          <cell r="O74">
            <v>32814</v>
          </cell>
          <cell r="P74">
            <v>11339.5</v>
          </cell>
          <cell r="Q74">
            <v>15915</v>
          </cell>
          <cell r="R74">
            <v>24089</v>
          </cell>
          <cell r="S74">
            <v>16746</v>
          </cell>
          <cell r="T74">
            <v>117394.5</v>
          </cell>
          <cell r="Z74">
            <v>0</v>
          </cell>
          <cell r="AC74">
            <v>0</v>
          </cell>
        </row>
        <row r="75">
          <cell r="B75">
            <v>39197</v>
          </cell>
          <cell r="J75">
            <v>0</v>
          </cell>
          <cell r="L75">
            <v>39197</v>
          </cell>
          <cell r="M75">
            <v>0</v>
          </cell>
          <cell r="N75">
            <v>16491</v>
          </cell>
          <cell r="O75">
            <v>32814</v>
          </cell>
          <cell r="P75">
            <v>11339.5</v>
          </cell>
          <cell r="Q75">
            <v>15915</v>
          </cell>
          <cell r="R75">
            <v>24089</v>
          </cell>
          <cell r="S75">
            <v>16746</v>
          </cell>
          <cell r="T75">
            <v>117394.5</v>
          </cell>
          <cell r="Z75">
            <v>0</v>
          </cell>
          <cell r="AC75">
            <v>0</v>
          </cell>
        </row>
        <row r="76">
          <cell r="B76">
            <v>39198</v>
          </cell>
          <cell r="J76">
            <v>0</v>
          </cell>
          <cell r="L76">
            <v>39198</v>
          </cell>
          <cell r="M76">
            <v>0</v>
          </cell>
          <cell r="N76">
            <v>16491</v>
          </cell>
          <cell r="O76">
            <v>32814</v>
          </cell>
          <cell r="P76">
            <v>11339.5</v>
          </cell>
          <cell r="Q76">
            <v>15915</v>
          </cell>
          <cell r="R76">
            <v>24089</v>
          </cell>
          <cell r="S76">
            <v>16746</v>
          </cell>
          <cell r="T76">
            <v>117394.5</v>
          </cell>
          <cell r="Z76">
            <v>0</v>
          </cell>
          <cell r="AC76">
            <v>0</v>
          </cell>
        </row>
        <row r="77">
          <cell r="B77">
            <v>39199</v>
          </cell>
          <cell r="J77">
            <v>0</v>
          </cell>
          <cell r="L77">
            <v>39199</v>
          </cell>
          <cell r="M77">
            <v>0</v>
          </cell>
          <cell r="N77">
            <v>16491</v>
          </cell>
          <cell r="O77">
            <v>32814</v>
          </cell>
          <cell r="P77">
            <v>11339.5</v>
          </cell>
          <cell r="Q77">
            <v>15915</v>
          </cell>
          <cell r="R77">
            <v>24089</v>
          </cell>
          <cell r="S77">
            <v>16746</v>
          </cell>
          <cell r="T77">
            <v>117394.5</v>
          </cell>
          <cell r="Z77">
            <v>0</v>
          </cell>
          <cell r="AC77">
            <v>0</v>
          </cell>
        </row>
        <row r="78">
          <cell r="B78">
            <v>39200</v>
          </cell>
          <cell r="J78">
            <v>0</v>
          </cell>
          <cell r="L78">
            <v>39200</v>
          </cell>
          <cell r="M78">
            <v>0</v>
          </cell>
          <cell r="N78">
            <v>16491</v>
          </cell>
          <cell r="O78">
            <v>32814</v>
          </cell>
          <cell r="P78">
            <v>11339.5</v>
          </cell>
          <cell r="Q78">
            <v>15915</v>
          </cell>
          <cell r="R78">
            <v>24089</v>
          </cell>
          <cell r="S78">
            <v>16746</v>
          </cell>
          <cell r="T78">
            <v>117394.5</v>
          </cell>
          <cell r="Z78">
            <v>0</v>
          </cell>
          <cell r="AC78">
            <v>0</v>
          </cell>
        </row>
        <row r="79">
          <cell r="B79">
            <v>39201</v>
          </cell>
          <cell r="J79">
            <v>0</v>
          </cell>
          <cell r="L79">
            <v>39201</v>
          </cell>
          <cell r="M79">
            <v>0</v>
          </cell>
          <cell r="N79">
            <v>16491</v>
          </cell>
          <cell r="O79">
            <v>32814</v>
          </cell>
          <cell r="P79">
            <v>11339.5</v>
          </cell>
          <cell r="Q79">
            <v>15915</v>
          </cell>
          <cell r="R79">
            <v>24089</v>
          </cell>
          <cell r="S79">
            <v>16746</v>
          </cell>
          <cell r="T79">
            <v>117394.5</v>
          </cell>
          <cell r="Z79">
            <v>0</v>
          </cell>
          <cell r="AC79">
            <v>0</v>
          </cell>
        </row>
        <row r="80">
          <cell r="B80">
            <v>39202</v>
          </cell>
          <cell r="J80">
            <v>0</v>
          </cell>
          <cell r="L80">
            <v>39202</v>
          </cell>
          <cell r="M80">
            <v>0</v>
          </cell>
          <cell r="N80">
            <v>16491</v>
          </cell>
          <cell r="O80">
            <v>32814</v>
          </cell>
          <cell r="P80">
            <v>11339.5</v>
          </cell>
          <cell r="Q80">
            <v>15915</v>
          </cell>
          <cell r="R80">
            <v>24089</v>
          </cell>
          <cell r="S80">
            <v>16746</v>
          </cell>
          <cell r="T80">
            <v>117394.5</v>
          </cell>
          <cell r="Z80">
            <v>0</v>
          </cell>
          <cell r="AC80">
            <v>0</v>
          </cell>
        </row>
        <row r="81">
          <cell r="B81">
            <v>39203</v>
          </cell>
          <cell r="J81">
            <v>0</v>
          </cell>
          <cell r="L81">
            <v>39203</v>
          </cell>
          <cell r="M81">
            <v>0</v>
          </cell>
          <cell r="N81">
            <v>16491</v>
          </cell>
          <cell r="O81">
            <v>32814</v>
          </cell>
          <cell r="P81">
            <v>11339.5</v>
          </cell>
          <cell r="Q81">
            <v>15915</v>
          </cell>
          <cell r="R81">
            <v>24089</v>
          </cell>
          <cell r="S81">
            <v>16746</v>
          </cell>
          <cell r="T81">
            <v>117394.5</v>
          </cell>
          <cell r="Z81">
            <v>0</v>
          </cell>
          <cell r="AC81">
            <v>0</v>
          </cell>
        </row>
        <row r="82">
          <cell r="B82" t="str">
            <v>TOTAL</v>
          </cell>
          <cell r="C82">
            <v>0</v>
          </cell>
          <cell r="D82">
            <v>16491</v>
          </cell>
          <cell r="E82">
            <v>32814</v>
          </cell>
          <cell r="F82">
            <v>11339.5</v>
          </cell>
          <cell r="G82">
            <v>15915</v>
          </cell>
          <cell r="H82">
            <v>24089</v>
          </cell>
          <cell r="I82">
            <v>16746</v>
          </cell>
          <cell r="J82">
            <v>117394.5</v>
          </cell>
          <cell r="L82" t="str">
            <v>TOTAL</v>
          </cell>
          <cell r="M82">
            <v>174144.5</v>
          </cell>
          <cell r="N82">
            <v>332374</v>
          </cell>
          <cell r="O82">
            <v>332374</v>
          </cell>
          <cell r="P82">
            <v>973033</v>
          </cell>
          <cell r="Q82">
            <v>1929320</v>
          </cell>
          <cell r="R82">
            <v>3741245.5</v>
          </cell>
          <cell r="S82">
            <v>7482491</v>
          </cell>
          <cell r="T82">
            <v>14964982</v>
          </cell>
          <cell r="Y82">
            <v>0</v>
          </cell>
          <cell r="Z82">
            <v>0</v>
          </cell>
          <cell r="AB82">
            <v>0</v>
          </cell>
          <cell r="AC82">
            <v>0</v>
          </cell>
        </row>
        <row r="85">
          <cell r="B85">
            <v>1</v>
          </cell>
          <cell r="C85">
            <v>2</v>
          </cell>
          <cell r="D85">
            <v>3</v>
          </cell>
          <cell r="E85">
            <v>4</v>
          </cell>
          <cell r="F85">
            <v>5</v>
          </cell>
          <cell r="G85">
            <v>6</v>
          </cell>
          <cell r="H85">
            <v>7</v>
          </cell>
          <cell r="I85">
            <v>8</v>
          </cell>
          <cell r="J85">
            <v>9</v>
          </cell>
          <cell r="K85">
            <v>10</v>
          </cell>
          <cell r="L85">
            <v>11</v>
          </cell>
          <cell r="M85">
            <v>12</v>
          </cell>
          <cell r="N85">
            <v>13</v>
          </cell>
          <cell r="O85">
            <v>14</v>
          </cell>
          <cell r="P85">
            <v>15</v>
          </cell>
          <cell r="Q85">
            <v>16</v>
          </cell>
          <cell r="R85">
            <v>17</v>
          </cell>
          <cell r="S85">
            <v>18</v>
          </cell>
          <cell r="T85">
            <v>19</v>
          </cell>
          <cell r="U85">
            <v>20</v>
          </cell>
          <cell r="V85">
            <v>21</v>
          </cell>
          <cell r="W85">
            <v>22</v>
          </cell>
          <cell r="X85">
            <v>23</v>
          </cell>
          <cell r="Y85">
            <v>24</v>
          </cell>
          <cell r="Z85">
            <v>25</v>
          </cell>
          <cell r="AA85">
            <v>26</v>
          </cell>
          <cell r="AB85">
            <v>27</v>
          </cell>
          <cell r="AC85">
            <v>28</v>
          </cell>
          <cell r="AD85">
            <v>29</v>
          </cell>
          <cell r="AE85">
            <v>30</v>
          </cell>
          <cell r="AF85">
            <v>31</v>
          </cell>
          <cell r="AG85">
            <v>32</v>
          </cell>
          <cell r="AH85">
            <v>33</v>
          </cell>
          <cell r="AI85">
            <v>34</v>
          </cell>
          <cell r="AJ85">
            <v>35</v>
          </cell>
          <cell r="AK85">
            <v>36</v>
          </cell>
          <cell r="AL85">
            <v>37</v>
          </cell>
          <cell r="AM85">
            <v>38</v>
          </cell>
          <cell r="AN85">
            <v>39</v>
          </cell>
          <cell r="AO85">
            <v>40</v>
          </cell>
          <cell r="AP85">
            <v>41</v>
          </cell>
          <cell r="AQ85">
            <v>42</v>
          </cell>
          <cell r="AR85">
            <v>43</v>
          </cell>
          <cell r="AS85">
            <v>44</v>
          </cell>
          <cell r="AT85">
            <v>45</v>
          </cell>
          <cell r="AU85">
            <v>46</v>
          </cell>
          <cell r="AV85">
            <v>47</v>
          </cell>
          <cell r="AW85">
            <v>48</v>
          </cell>
          <cell r="AX85">
            <v>49</v>
          </cell>
          <cell r="AY85">
            <v>50</v>
          </cell>
          <cell r="AZ85">
            <v>51</v>
          </cell>
          <cell r="BA85">
            <v>52</v>
          </cell>
          <cell r="BB85">
            <v>53</v>
          </cell>
          <cell r="BC85">
            <v>54</v>
          </cell>
          <cell r="BD85">
            <v>55</v>
          </cell>
          <cell r="BE85">
            <v>56</v>
          </cell>
          <cell r="BF85">
            <v>57</v>
          </cell>
          <cell r="BG85">
            <v>58</v>
          </cell>
          <cell r="BH85">
            <v>59</v>
          </cell>
          <cell r="BI85">
            <v>60</v>
          </cell>
          <cell r="BJ85">
            <v>61</v>
          </cell>
          <cell r="BK85">
            <v>62</v>
          </cell>
        </row>
        <row r="86">
          <cell r="B86" t="str">
            <v>ACTUAL Crusher 3 - RF</v>
          </cell>
          <cell r="L86" t="str">
            <v>MONTH TO DATE</v>
          </cell>
        </row>
        <row r="88">
          <cell r="B88" t="str">
            <v>DATE</v>
          </cell>
          <cell r="C88" t="str">
            <v>LOCATION</v>
          </cell>
          <cell r="J88" t="str">
            <v>TOTAL</v>
          </cell>
          <cell r="L88" t="str">
            <v>DATE</v>
          </cell>
          <cell r="M88" t="str">
            <v>LOCATION</v>
          </cell>
          <cell r="T88" t="str">
            <v>TOTAL</v>
          </cell>
        </row>
        <row r="89">
          <cell r="C89" t="str">
            <v>C24RF 4</v>
          </cell>
          <cell r="D89" t="str">
            <v>C24RF 3</v>
          </cell>
          <cell r="E89" t="str">
            <v xml:space="preserve">C24RF2 </v>
          </cell>
          <cell r="F89" t="str">
            <v xml:space="preserve">C24RF1 </v>
          </cell>
          <cell r="G89" t="str">
            <v>C25RF 1</v>
          </cell>
          <cell r="H89" t="str">
            <v>C25RF 2</v>
          </cell>
          <cell r="I89" t="str">
            <v>C25RF 3</v>
          </cell>
          <cell r="M89" t="str">
            <v>C24RF 4</v>
          </cell>
          <cell r="N89" t="str">
            <v>C24RF 3</v>
          </cell>
          <cell r="O89" t="str">
            <v xml:space="preserve">C24RF2 </v>
          </cell>
          <cell r="P89" t="str">
            <v xml:space="preserve">C24RF1 </v>
          </cell>
          <cell r="Q89" t="str">
            <v>C25RF 1</v>
          </cell>
          <cell r="R89" t="str">
            <v>C25RF 2</v>
          </cell>
          <cell r="S89" t="str">
            <v>C25RF 3</v>
          </cell>
        </row>
        <row r="90">
          <cell r="B90">
            <v>39172</v>
          </cell>
          <cell r="L90">
            <v>38533</v>
          </cell>
        </row>
        <row r="91">
          <cell r="B91">
            <v>39173</v>
          </cell>
          <cell r="J91">
            <v>0</v>
          </cell>
          <cell r="L91">
            <v>39173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</row>
        <row r="92">
          <cell r="B92">
            <v>39174</v>
          </cell>
          <cell r="J92">
            <v>0</v>
          </cell>
          <cell r="L92">
            <v>39174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</row>
        <row r="93">
          <cell r="B93">
            <v>39175</v>
          </cell>
          <cell r="J93">
            <v>0</v>
          </cell>
          <cell r="L93">
            <v>39175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</row>
        <row r="94">
          <cell r="B94">
            <v>39176</v>
          </cell>
          <cell r="J94">
            <v>0</v>
          </cell>
          <cell r="L94">
            <v>39176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</row>
        <row r="95">
          <cell r="B95">
            <v>39177</v>
          </cell>
          <cell r="J95">
            <v>0</v>
          </cell>
          <cell r="L95">
            <v>39177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</row>
        <row r="96">
          <cell r="B96">
            <v>39178</v>
          </cell>
          <cell r="J96">
            <v>0</v>
          </cell>
          <cell r="L96">
            <v>39178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</row>
        <row r="97">
          <cell r="B97">
            <v>39179</v>
          </cell>
          <cell r="J97">
            <v>0</v>
          </cell>
          <cell r="L97">
            <v>39179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</row>
        <row r="98">
          <cell r="B98">
            <v>39180</v>
          </cell>
          <cell r="J98">
            <v>0</v>
          </cell>
          <cell r="L98">
            <v>39180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</row>
        <row r="99">
          <cell r="B99">
            <v>39181</v>
          </cell>
          <cell r="J99">
            <v>0</v>
          </cell>
          <cell r="L99">
            <v>39181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</row>
        <row r="100">
          <cell r="B100">
            <v>39182</v>
          </cell>
          <cell r="J100">
            <v>0</v>
          </cell>
          <cell r="L100">
            <v>39182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</row>
        <row r="101">
          <cell r="B101">
            <v>39183</v>
          </cell>
          <cell r="J101">
            <v>0</v>
          </cell>
          <cell r="L101">
            <v>39183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</row>
        <row r="102">
          <cell r="B102">
            <v>39184</v>
          </cell>
          <cell r="J102">
            <v>0</v>
          </cell>
          <cell r="L102">
            <v>39184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</row>
        <row r="103">
          <cell r="B103">
            <v>39185</v>
          </cell>
          <cell r="J103">
            <v>0</v>
          </cell>
          <cell r="L103">
            <v>39185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</row>
        <row r="104">
          <cell r="B104">
            <v>39186</v>
          </cell>
          <cell r="J104">
            <v>0</v>
          </cell>
          <cell r="L104">
            <v>39186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</row>
        <row r="105">
          <cell r="B105">
            <v>39187</v>
          </cell>
          <cell r="J105">
            <v>0</v>
          </cell>
          <cell r="L105">
            <v>39187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</row>
        <row r="106">
          <cell r="B106">
            <v>39188</v>
          </cell>
          <cell r="J106">
            <v>0</v>
          </cell>
          <cell r="L106">
            <v>39188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</row>
        <row r="107">
          <cell r="B107">
            <v>39189</v>
          </cell>
          <cell r="J107">
            <v>0</v>
          </cell>
          <cell r="L107">
            <v>39189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</row>
        <row r="108">
          <cell r="B108">
            <v>39190</v>
          </cell>
          <cell r="J108">
            <v>0</v>
          </cell>
          <cell r="L108">
            <v>39190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</row>
        <row r="109">
          <cell r="B109">
            <v>39191</v>
          </cell>
          <cell r="J109">
            <v>0</v>
          </cell>
          <cell r="L109">
            <v>39191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</row>
        <row r="110">
          <cell r="B110">
            <v>39192</v>
          </cell>
          <cell r="J110">
            <v>0</v>
          </cell>
          <cell r="L110">
            <v>39192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</row>
        <row r="111">
          <cell r="B111">
            <v>39193</v>
          </cell>
          <cell r="J111">
            <v>0</v>
          </cell>
          <cell r="L111">
            <v>39193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</row>
        <row r="112">
          <cell r="B112">
            <v>39194</v>
          </cell>
          <cell r="J112">
            <v>0</v>
          </cell>
          <cell r="L112">
            <v>39194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</row>
        <row r="113">
          <cell r="B113">
            <v>39195</v>
          </cell>
          <cell r="J113">
            <v>0</v>
          </cell>
          <cell r="L113">
            <v>39195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</row>
        <row r="114">
          <cell r="B114">
            <v>39196</v>
          </cell>
          <cell r="J114">
            <v>0</v>
          </cell>
          <cell r="L114">
            <v>39196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</row>
        <row r="115">
          <cell r="B115">
            <v>39197</v>
          </cell>
          <cell r="J115">
            <v>0</v>
          </cell>
          <cell r="L115">
            <v>39197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</row>
        <row r="116">
          <cell r="B116">
            <v>39198</v>
          </cell>
          <cell r="J116">
            <v>0</v>
          </cell>
          <cell r="L116">
            <v>39198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</row>
        <row r="117">
          <cell r="B117">
            <v>39199</v>
          </cell>
          <cell r="J117">
            <v>0</v>
          </cell>
          <cell r="L117">
            <v>39199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</row>
        <row r="118">
          <cell r="B118">
            <v>39200</v>
          </cell>
          <cell r="J118">
            <v>0</v>
          </cell>
          <cell r="L118">
            <v>39200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</row>
        <row r="119">
          <cell r="B119">
            <v>39201</v>
          </cell>
          <cell r="J119">
            <v>0</v>
          </cell>
          <cell r="L119">
            <v>39201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</row>
        <row r="120">
          <cell r="B120">
            <v>39202</v>
          </cell>
          <cell r="J120">
            <v>0</v>
          </cell>
          <cell r="L120">
            <v>39202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</row>
        <row r="121">
          <cell r="B121">
            <v>39203</v>
          </cell>
          <cell r="J121">
            <v>0</v>
          </cell>
          <cell r="L121">
            <v>39203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</row>
        <row r="122">
          <cell r="B122" t="str">
            <v>TOTAL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L122" t="str">
            <v>TOTAL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D OB Forecasting"/>
      <sheetName val="QTY_DT"/>
      <sheetName val="HOURLY"/>
      <sheetName val="OB by Time Sheet"/>
      <sheetName val="Rain"/>
      <sheetName val="Intensitas Hujan"/>
      <sheetName val="Intern"/>
      <sheetName val="External"/>
      <sheetName val="Loss Opp Prod"/>
      <sheetName val="Grafik"/>
      <sheetName val="MTD Coal Forecasting"/>
      <sheetName val="YTD OB Forecasting"/>
      <sheetName val="YTD Coal Forecasting"/>
      <sheetName val="26_02"/>
      <sheetName val="03_09"/>
      <sheetName val="10_16"/>
      <sheetName val="17_23"/>
      <sheetName val="24_25"/>
      <sheetName val="Resume_Desember"/>
      <sheetName val="Presentation"/>
      <sheetName val="PL_AC"/>
      <sheetName val="REMARK"/>
      <sheetName val="LIST"/>
      <sheetName val="DPCache_Hourly_QTYDT"/>
      <sheetName val="whiteboard"/>
      <sheetName val="week1"/>
      <sheetName val="week2"/>
      <sheetName val="week3"/>
      <sheetName val="week4"/>
      <sheetName val="week5"/>
      <sheetName val="Resume_January"/>
      <sheetName val="ACUM"/>
      <sheetName val="TJ"/>
      <sheetName val="LM"/>
      <sheetName val="HAUL C1,C2,C3"/>
      <sheetName val="OB PLAN"/>
      <sheetName val="COAL ACT"/>
      <sheetName val="WASH PLANT"/>
      <sheetName val="DIRTY COAL ACT"/>
      <sheetName val="JAM2AN"/>
      <sheetName val="SUM"/>
      <sheetName val="HE"/>
      <sheetName val="DB Dept"/>
      <sheetName val="Database"/>
      <sheetName val="Run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ekly Performance"/>
      <sheetName val="BOD"/>
      <sheetName val="WS-Annual"/>
      <sheetName val="Chart sheet"/>
      <sheetName val="View for BOC"/>
      <sheetName val="WS-Daily"/>
      <sheetName val="IMM"/>
      <sheetName val="TDM"/>
      <sheetName val="BEK"/>
      <sheetName val="EMB"/>
      <sheetName val="TCM"/>
      <sheetName val="JBG"/>
      <sheetName val="Budget &amp; Outlook"/>
      <sheetName val="Summ TOTAL"/>
      <sheetName val="Sheet1"/>
      <sheetName val="MTD OB Forecasting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>
        <row r="5">
          <cell r="B5" t="str">
            <v>Date</v>
          </cell>
          <cell r="C5" t="str">
            <v>OB</v>
          </cell>
          <cell r="D5" t="str">
            <v>ROM</v>
          </cell>
          <cell r="E5" t="str">
            <v>FC</v>
          </cell>
          <cell r="G5" t="str">
            <v>Budget</v>
          </cell>
          <cell r="H5" t="str">
            <v>Estimate</v>
          </cell>
          <cell r="I5" t="str">
            <v>Actual</v>
          </cell>
          <cell r="J5" t="str">
            <v>Budget</v>
          </cell>
          <cell r="K5" t="str">
            <v>Estimate</v>
          </cell>
          <cell r="L5" t="str">
            <v>Actual</v>
          </cell>
          <cell r="M5" t="str">
            <v>Budget</v>
          </cell>
          <cell r="N5" t="str">
            <v>Estimate</v>
          </cell>
          <cell r="O5" t="str">
            <v>Actual</v>
          </cell>
          <cell r="Q5" t="str">
            <v>OB</v>
          </cell>
          <cell r="R5" t="str">
            <v>ROM</v>
          </cell>
          <cell r="S5" t="str">
            <v>FC</v>
          </cell>
          <cell r="U5" t="str">
            <v>Budget</v>
          </cell>
          <cell r="V5" t="str">
            <v>Estimate</v>
          </cell>
          <cell r="W5" t="str">
            <v>Actual</v>
          </cell>
          <cell r="X5" t="str">
            <v>Budget</v>
          </cell>
          <cell r="Y5" t="str">
            <v>Estimate</v>
          </cell>
          <cell r="Z5" t="str">
            <v>Actual</v>
          </cell>
          <cell r="AA5" t="str">
            <v>Budget</v>
          </cell>
          <cell r="AB5" t="str">
            <v>Estimate</v>
          </cell>
          <cell r="AC5" t="str">
            <v>Actual</v>
          </cell>
          <cell r="AE5" t="str">
            <v>OB</v>
          </cell>
          <cell r="AF5" t="str">
            <v>ROM</v>
          </cell>
          <cell r="AG5" t="str">
            <v>FC</v>
          </cell>
          <cell r="AI5" t="str">
            <v>Budget</v>
          </cell>
          <cell r="AJ5" t="str">
            <v>Estimate</v>
          </cell>
          <cell r="AK5" t="str">
            <v>Actual</v>
          </cell>
          <cell r="AL5" t="str">
            <v>Budget</v>
          </cell>
          <cell r="AM5" t="str">
            <v>Estimate</v>
          </cell>
          <cell r="AN5" t="str">
            <v>Actual</v>
          </cell>
          <cell r="AO5" t="str">
            <v>Budget</v>
          </cell>
          <cell r="AP5" t="str">
            <v>Estimate</v>
          </cell>
          <cell r="AQ5" t="str">
            <v>Actual</v>
          </cell>
          <cell r="AS5" t="str">
            <v>OB</v>
          </cell>
          <cell r="AT5" t="str">
            <v>ROM</v>
          </cell>
          <cell r="AU5" t="str">
            <v>FC</v>
          </cell>
          <cell r="AW5" t="str">
            <v>Budget</v>
          </cell>
          <cell r="AX5" t="str">
            <v>Estimate</v>
          </cell>
          <cell r="AY5" t="str">
            <v>Actual</v>
          </cell>
          <cell r="AZ5" t="str">
            <v>Budget</v>
          </cell>
          <cell r="BA5" t="str">
            <v>Estimate</v>
          </cell>
          <cell r="BB5" t="str">
            <v>Actual</v>
          </cell>
          <cell r="BC5" t="str">
            <v>Budget</v>
          </cell>
          <cell r="BD5" t="str">
            <v>Estimate</v>
          </cell>
          <cell r="BE5" t="str">
            <v>Actual</v>
          </cell>
          <cell r="BG5" t="str">
            <v>OB</v>
          </cell>
          <cell r="BH5" t="str">
            <v>ROM</v>
          </cell>
          <cell r="BI5" t="str">
            <v>FC</v>
          </cell>
          <cell r="BK5" t="str">
            <v>Budget</v>
          </cell>
          <cell r="BL5" t="str">
            <v>Estimate</v>
          </cell>
          <cell r="BM5" t="str">
            <v>Actual</v>
          </cell>
          <cell r="BN5" t="str">
            <v>Budget</v>
          </cell>
          <cell r="BO5" t="str">
            <v>Estimate</v>
          </cell>
          <cell r="BP5" t="str">
            <v>Actual</v>
          </cell>
          <cell r="BQ5" t="str">
            <v>Budget</v>
          </cell>
          <cell r="BR5" t="str">
            <v>Estimate</v>
          </cell>
          <cell r="BS5" t="str">
            <v>Actual</v>
          </cell>
          <cell r="BU5" t="str">
            <v>OB</v>
          </cell>
          <cell r="BV5" t="str">
            <v>ROM</v>
          </cell>
          <cell r="BW5" t="str">
            <v>FC</v>
          </cell>
          <cell r="BY5" t="str">
            <v>Budget</v>
          </cell>
          <cell r="BZ5" t="str">
            <v>Estimate</v>
          </cell>
          <cell r="CA5" t="str">
            <v>Actual</v>
          </cell>
          <cell r="CB5" t="str">
            <v>Budget</v>
          </cell>
          <cell r="CC5" t="str">
            <v>Estimate</v>
          </cell>
          <cell r="CD5" t="str">
            <v>Actual</v>
          </cell>
          <cell r="CE5" t="str">
            <v>Budget</v>
          </cell>
          <cell r="CF5" t="str">
            <v>Estimate</v>
          </cell>
          <cell r="CG5" t="str">
            <v>Actual</v>
          </cell>
          <cell r="CI5" t="str">
            <v>OB</v>
          </cell>
          <cell r="CJ5" t="str">
            <v>ROM</v>
          </cell>
          <cell r="CK5" t="str">
            <v>FC</v>
          </cell>
          <cell r="CM5" t="str">
            <v>Budget</v>
          </cell>
          <cell r="CN5" t="str">
            <v>Estimate</v>
          </cell>
          <cell r="CO5" t="str">
            <v>Actual</v>
          </cell>
          <cell r="CP5" t="str">
            <v>Budget</v>
          </cell>
          <cell r="CQ5" t="str">
            <v>Estimate</v>
          </cell>
          <cell r="CR5" t="str">
            <v>Actual</v>
          </cell>
          <cell r="CS5" t="str">
            <v>Budget</v>
          </cell>
          <cell r="CT5" t="str">
            <v>Estimate</v>
          </cell>
          <cell r="CU5" t="str">
            <v>Actual</v>
          </cell>
        </row>
        <row r="7">
          <cell r="B7">
            <v>41699</v>
          </cell>
          <cell r="C7">
            <v>514.6142301254273</v>
          </cell>
          <cell r="D7">
            <v>46.962679999999999</v>
          </cell>
          <cell r="E7">
            <v>59.701500000000003</v>
          </cell>
          <cell r="G7">
            <v>402.57312453277103</v>
          </cell>
          <cell r="H7">
            <v>476.50582084069566</v>
          </cell>
          <cell r="I7">
            <v>514.6142301254273</v>
          </cell>
          <cell r="J7">
            <v>41.946978092201029</v>
          </cell>
          <cell r="K7">
            <v>48.313565000000004</v>
          </cell>
          <cell r="L7">
            <v>46.962679999999999</v>
          </cell>
          <cell r="M7">
            <v>49.882226879261189</v>
          </cell>
          <cell r="N7">
            <v>48.761425833333334</v>
          </cell>
          <cell r="O7">
            <v>59.701500000000003</v>
          </cell>
          <cell r="Q7">
            <v>233.607</v>
          </cell>
          <cell r="R7">
            <v>22.680419999999998</v>
          </cell>
          <cell r="S7">
            <v>16.632180000000002</v>
          </cell>
          <cell r="U7">
            <v>169.90859200332403</v>
          </cell>
          <cell r="V7">
            <v>214.80365833333335</v>
          </cell>
          <cell r="W7">
            <v>233.607</v>
          </cell>
          <cell r="X7">
            <v>17.401037691720749</v>
          </cell>
          <cell r="Y7">
            <v>21.999911333333333</v>
          </cell>
          <cell r="Z7">
            <v>22.680419999999998</v>
          </cell>
          <cell r="AA7">
            <v>18.548387096774192</v>
          </cell>
          <cell r="AB7">
            <v>21.993412583333335</v>
          </cell>
          <cell r="AC7">
            <v>16.632180000000002</v>
          </cell>
          <cell r="AE7">
            <v>42.568300000000001</v>
          </cell>
          <cell r="AF7">
            <v>4.1716199999999999</v>
          </cell>
          <cell r="AG7">
            <v>5.5566199999999988</v>
          </cell>
          <cell r="AI7">
            <v>31.923155806451611</v>
          </cell>
          <cell r="AJ7">
            <v>39.884272916666674</v>
          </cell>
          <cell r="AK7">
            <v>42.568300000000001</v>
          </cell>
          <cell r="AL7">
            <v>2.8322580645161288</v>
          </cell>
          <cell r="AM7">
            <v>3.5094295833333331</v>
          </cell>
          <cell r="AN7">
            <v>4.1716199999999999</v>
          </cell>
          <cell r="AO7">
            <v>2.7756129032258063</v>
          </cell>
          <cell r="AP7">
            <v>3.494250833333334</v>
          </cell>
          <cell r="AQ7">
            <v>5.5566199999999988</v>
          </cell>
          <cell r="AS7">
            <v>69.251000000000005</v>
          </cell>
          <cell r="AT7">
            <v>9.8142600000000009</v>
          </cell>
          <cell r="AU7">
            <v>2.52908</v>
          </cell>
          <cell r="AW7">
            <v>61.934415181935471</v>
          </cell>
          <cell r="AX7">
            <v>64.864791666666676</v>
          </cell>
          <cell r="AY7">
            <v>69.251000000000005</v>
          </cell>
          <cell r="AZ7">
            <v>7.1168921284873283</v>
          </cell>
          <cell r="BA7">
            <v>8.1940537500000001</v>
          </cell>
          <cell r="BB7">
            <v>9.8142600000000009</v>
          </cell>
          <cell r="BC7">
            <v>8.5161290322580641</v>
          </cell>
          <cell r="BD7">
            <v>5.9112166666666681</v>
          </cell>
          <cell r="BE7">
            <v>2.52908</v>
          </cell>
          <cell r="BG7">
            <v>98.04899975585937</v>
          </cell>
          <cell r="BH7">
            <v>6.1463199958801269</v>
          </cell>
          <cell r="BI7">
            <v>11.82</v>
          </cell>
          <cell r="BK7">
            <v>84.830307504073161</v>
          </cell>
          <cell r="BL7">
            <v>88.922529085477208</v>
          </cell>
          <cell r="BM7">
            <v>98.04899975585937</v>
          </cell>
          <cell r="BN7">
            <v>5.4099327568820383</v>
          </cell>
          <cell r="BO7">
            <v>6.1603008390204108</v>
          </cell>
          <cell r="BP7">
            <v>6.1463199958801269</v>
          </cell>
          <cell r="BQ7">
            <v>3.1092007571768869</v>
          </cell>
          <cell r="BR7">
            <v>6.6620833333333325</v>
          </cell>
          <cell r="BS7">
            <v>11.82</v>
          </cell>
          <cell r="BU7">
            <v>28.866</v>
          </cell>
          <cell r="BV7">
            <v>3.83338</v>
          </cell>
          <cell r="BW7">
            <v>1.7072000000000001</v>
          </cell>
          <cell r="BY7">
            <v>20.14516129032258</v>
          </cell>
          <cell r="BZ7">
            <v>22.855791666666672</v>
          </cell>
          <cell r="CA7">
            <v>28.866</v>
          </cell>
          <cell r="CB7">
            <v>3.5161290322580645</v>
          </cell>
          <cell r="CC7">
            <v>3.48512625</v>
          </cell>
          <cell r="CD7">
            <v>3.83338</v>
          </cell>
          <cell r="CE7">
            <v>3.5483870967741935</v>
          </cell>
          <cell r="CF7">
            <v>3.8171666666666666</v>
          </cell>
          <cell r="CG7">
            <v>1.7072000000000001</v>
          </cell>
          <cell r="CI7">
            <v>986.95552988128657</v>
          </cell>
          <cell r="CJ7">
            <v>93.608679995880152</v>
          </cell>
          <cell r="CK7">
            <v>97.946579999999983</v>
          </cell>
          <cell r="CM7">
            <v>771.31475631887793</v>
          </cell>
          <cell r="CN7">
            <v>907.83686450950609</v>
          </cell>
          <cell r="CO7">
            <v>986.95552988128657</v>
          </cell>
          <cell r="CP7">
            <v>78.223227766065335</v>
          </cell>
          <cell r="CQ7">
            <v>91.662386755687066</v>
          </cell>
          <cell r="CR7">
            <v>93.608679995880152</v>
          </cell>
          <cell r="CS7">
            <v>86.37994376547033</v>
          </cell>
          <cell r="CT7">
            <v>90.63955591666668</v>
          </cell>
          <cell r="CU7">
            <v>97.946579999999983</v>
          </cell>
        </row>
        <row r="8">
          <cell r="B8">
            <v>41700</v>
          </cell>
          <cell r="C8">
            <v>436.53279974365233</v>
          </cell>
          <cell r="D8">
            <v>42.561639999999997</v>
          </cell>
          <cell r="E8">
            <v>46.380099999999999</v>
          </cell>
          <cell r="G8">
            <v>805.14624906554207</v>
          </cell>
          <cell r="H8">
            <v>953.01164168139132</v>
          </cell>
          <cell r="I8">
            <v>951.14702986907969</v>
          </cell>
          <cell r="J8">
            <v>83.893956184402057</v>
          </cell>
          <cell r="K8">
            <v>96.627130000000008</v>
          </cell>
          <cell r="L8">
            <v>89.524319999999989</v>
          </cell>
          <cell r="M8">
            <v>99.764453758522379</v>
          </cell>
          <cell r="N8">
            <v>97.522851666666668</v>
          </cell>
          <cell r="O8">
            <v>106.08160000000001</v>
          </cell>
          <cell r="Q8">
            <v>217.3629</v>
          </cell>
          <cell r="R8">
            <v>22.500679999999999</v>
          </cell>
          <cell r="S8">
            <v>24.6614</v>
          </cell>
          <cell r="U8">
            <v>339.81718400664806</v>
          </cell>
          <cell r="V8">
            <v>429.60731666666669</v>
          </cell>
          <cell r="W8">
            <v>450.9699</v>
          </cell>
          <cell r="X8">
            <v>34.802075383441498</v>
          </cell>
          <cell r="Y8">
            <v>43.999822666666667</v>
          </cell>
          <cell r="Z8">
            <v>45.181100000000001</v>
          </cell>
          <cell r="AA8">
            <v>37.096774193548384</v>
          </cell>
          <cell r="AB8">
            <v>43.986825166666669</v>
          </cell>
          <cell r="AC8">
            <v>41.293580000000006</v>
          </cell>
          <cell r="AE8">
            <v>46.015500000000003</v>
          </cell>
          <cell r="AF8">
            <v>2.2665600000000001</v>
          </cell>
          <cell r="AG8">
            <v>2.3260699999999996</v>
          </cell>
          <cell r="AI8">
            <v>63.846311612903222</v>
          </cell>
          <cell r="AJ8">
            <v>79.768545833333349</v>
          </cell>
          <cell r="AK8">
            <v>88.583799999999997</v>
          </cell>
          <cell r="AL8">
            <v>5.6645161290322577</v>
          </cell>
          <cell r="AM8">
            <v>7.0188591666666662</v>
          </cell>
          <cell r="AN8">
            <v>6.43818</v>
          </cell>
          <cell r="AO8">
            <v>5.5512258064516127</v>
          </cell>
          <cell r="AP8">
            <v>6.9885016666666679</v>
          </cell>
          <cell r="AQ8">
            <v>7.8826899999999984</v>
          </cell>
          <cell r="AS8">
            <v>48.741</v>
          </cell>
          <cell r="AT8">
            <v>7.5373900000000003</v>
          </cell>
          <cell r="AU8">
            <v>8.6702000000000012</v>
          </cell>
          <cell r="AW8">
            <v>123.86883036387094</v>
          </cell>
          <cell r="AX8">
            <v>129.72958333333335</v>
          </cell>
          <cell r="AY8">
            <v>117.992</v>
          </cell>
          <cell r="AZ8">
            <v>14.233784256974657</v>
          </cell>
          <cell r="BA8">
            <v>16.3881075</v>
          </cell>
          <cell r="BB8">
            <v>17.351649999999999</v>
          </cell>
          <cell r="BC8">
            <v>17.032258064516128</v>
          </cell>
          <cell r="BD8">
            <v>11.822433333333336</v>
          </cell>
          <cell r="BE8">
            <v>11.199280000000002</v>
          </cell>
          <cell r="BG8">
            <v>74.877929771423339</v>
          </cell>
          <cell r="BH8">
            <v>5.4014200037384033</v>
          </cell>
          <cell r="BI8">
            <v>4.3099999999999996</v>
          </cell>
          <cell r="BK8">
            <v>169.66061500814632</v>
          </cell>
          <cell r="BL8">
            <v>177.84505817095442</v>
          </cell>
          <cell r="BM8">
            <v>172.92692952728271</v>
          </cell>
          <cell r="BN8">
            <v>10.819865513764077</v>
          </cell>
          <cell r="BO8">
            <v>12.320601678040822</v>
          </cell>
          <cell r="BP8">
            <v>11.54773999961853</v>
          </cell>
          <cell r="BQ8">
            <v>6.2184015143537739</v>
          </cell>
          <cell r="BR8">
            <v>13.324166666666665</v>
          </cell>
          <cell r="BS8">
            <v>16.13</v>
          </cell>
          <cell r="BU8">
            <v>7.4204999999999997</v>
          </cell>
          <cell r="BV8">
            <v>1.3903599999999998</v>
          </cell>
          <cell r="BW8">
            <v>1.36903</v>
          </cell>
          <cell r="BY8">
            <v>40.29032258064516</v>
          </cell>
          <cell r="BZ8">
            <v>45.711583333333344</v>
          </cell>
          <cell r="CA8">
            <v>36.286499999999997</v>
          </cell>
          <cell r="CB8">
            <v>7.032258064516129</v>
          </cell>
          <cell r="CC8">
            <v>6.9702525</v>
          </cell>
          <cell r="CD8">
            <v>5.2237399999999994</v>
          </cell>
          <cell r="CE8">
            <v>7.096774193548387</v>
          </cell>
          <cell r="CF8">
            <v>7.6343333333333332</v>
          </cell>
          <cell r="CG8">
            <v>3.0762299999999998</v>
          </cell>
          <cell r="CI8">
            <v>830.95062951507566</v>
          </cell>
          <cell r="CJ8">
            <v>81.65805000373841</v>
          </cell>
          <cell r="CK8">
            <v>87.716799999999992</v>
          </cell>
          <cell r="CM8">
            <v>1542.6295126377559</v>
          </cell>
          <cell r="CN8">
            <v>1815.6737290190122</v>
          </cell>
          <cell r="CO8">
            <v>1817.9061593963622</v>
          </cell>
          <cell r="CP8">
            <v>156.44645553213067</v>
          </cell>
          <cell r="CQ8">
            <v>183.32477351137413</v>
          </cell>
          <cell r="CR8">
            <v>175.26672999961852</v>
          </cell>
          <cell r="CS8">
            <v>172.75988753094066</v>
          </cell>
          <cell r="CT8">
            <v>181.27911183333336</v>
          </cell>
          <cell r="CU8">
            <v>185.66338000000002</v>
          </cell>
        </row>
        <row r="9">
          <cell r="B9">
            <v>41701</v>
          </cell>
          <cell r="C9">
            <v>404.89273999595645</v>
          </cell>
          <cell r="D9">
            <v>37.420400000000001</v>
          </cell>
          <cell r="E9">
            <v>47.451300000000003</v>
          </cell>
          <cell r="G9">
            <v>1207.719373598313</v>
          </cell>
          <cell r="H9">
            <v>1429.517462522087</v>
          </cell>
          <cell r="I9">
            <v>1356.0397698650361</v>
          </cell>
          <cell r="J9">
            <v>125.84093427660309</v>
          </cell>
          <cell r="K9">
            <v>144.94069500000001</v>
          </cell>
          <cell r="L9">
            <v>126.94471999999999</v>
          </cell>
          <cell r="M9">
            <v>149.64668063778356</v>
          </cell>
          <cell r="N9">
            <v>146.2842775</v>
          </cell>
          <cell r="O9">
            <v>153.53290000000001</v>
          </cell>
          <cell r="Q9">
            <v>91.054000000000002</v>
          </cell>
          <cell r="R9">
            <v>8.6110900000000008</v>
          </cell>
          <cell r="S9">
            <v>10.618919999999999</v>
          </cell>
          <cell r="U9">
            <v>509.72577600997209</v>
          </cell>
          <cell r="V9">
            <v>644.41097500000001</v>
          </cell>
          <cell r="W9">
            <v>542.02390000000003</v>
          </cell>
          <cell r="X9">
            <v>52.20311307516225</v>
          </cell>
          <cell r="Y9">
            <v>65.999734000000004</v>
          </cell>
          <cell r="Z9">
            <v>53.792190000000005</v>
          </cell>
          <cell r="AA9">
            <v>55.645161290322577</v>
          </cell>
          <cell r="AB9">
            <v>65.980237750000001</v>
          </cell>
          <cell r="AC9">
            <v>51.912500000000009</v>
          </cell>
          <cell r="AE9">
            <v>20.888999999999999</v>
          </cell>
          <cell r="AF9">
            <v>0.86441000000000001</v>
          </cell>
          <cell r="AG9">
            <v>1.2990599999999999</v>
          </cell>
          <cell r="AI9">
            <v>95.769467419354839</v>
          </cell>
          <cell r="AJ9">
            <v>119.65281875000002</v>
          </cell>
          <cell r="AK9">
            <v>109.47279999999999</v>
          </cell>
          <cell r="AL9">
            <v>8.4967741935483865</v>
          </cell>
          <cell r="AM9">
            <v>10.52828875</v>
          </cell>
          <cell r="AN9">
            <v>7.3025900000000004</v>
          </cell>
          <cell r="AO9">
            <v>8.3268387096774195</v>
          </cell>
          <cell r="AP9">
            <v>10.482752500000002</v>
          </cell>
          <cell r="AQ9">
            <v>9.1817499999999974</v>
          </cell>
          <cell r="AS9">
            <v>47.253500000000003</v>
          </cell>
          <cell r="AT9">
            <v>4.89011</v>
          </cell>
          <cell r="AU9">
            <v>6.9069200000000004</v>
          </cell>
          <cell r="AW9">
            <v>185.80324554580642</v>
          </cell>
          <cell r="AX9">
            <v>194.59437500000001</v>
          </cell>
          <cell r="AY9">
            <v>165.24549999999999</v>
          </cell>
          <cell r="AZ9">
            <v>21.350676385461984</v>
          </cell>
          <cell r="BA9">
            <v>24.582161249999999</v>
          </cell>
          <cell r="BB9">
            <v>22.241759999999999</v>
          </cell>
          <cell r="BC9">
            <v>25.548387096774192</v>
          </cell>
          <cell r="BD9">
            <v>17.733650000000004</v>
          </cell>
          <cell r="BE9">
            <v>18.106200000000001</v>
          </cell>
          <cell r="BG9">
            <v>55.490369951248169</v>
          </cell>
          <cell r="BH9">
            <v>8.0019699829101558</v>
          </cell>
          <cell r="BI9">
            <v>12.41</v>
          </cell>
          <cell r="BK9">
            <v>254.49092251221947</v>
          </cell>
          <cell r="BL9">
            <v>266.76758725643163</v>
          </cell>
          <cell r="BM9">
            <v>228.41729947853088</v>
          </cell>
          <cell r="BN9">
            <v>16.229798270646114</v>
          </cell>
          <cell r="BO9">
            <v>18.480902517061232</v>
          </cell>
          <cell r="BP9">
            <v>19.549709982528686</v>
          </cell>
          <cell r="BQ9">
            <v>9.3276022715306617</v>
          </cell>
          <cell r="BR9">
            <v>19.986249999999998</v>
          </cell>
          <cell r="BS9">
            <v>28.54</v>
          </cell>
          <cell r="BU9">
            <v>29.775500000000001</v>
          </cell>
          <cell r="BV9">
            <v>3.76756</v>
          </cell>
          <cell r="BW9">
            <v>3.7675599999999996</v>
          </cell>
          <cell r="BY9">
            <v>60.435483870967744</v>
          </cell>
          <cell r="BZ9">
            <v>68.567375000000013</v>
          </cell>
          <cell r="CA9">
            <v>66.061999999999998</v>
          </cell>
          <cell r="CB9">
            <v>10.548387096774194</v>
          </cell>
          <cell r="CC9">
            <v>10.455378749999999</v>
          </cell>
          <cell r="CD9">
            <v>8.991299999999999</v>
          </cell>
          <cell r="CE9">
            <v>10.64516129032258</v>
          </cell>
          <cell r="CF9">
            <v>11.451499999999999</v>
          </cell>
          <cell r="CG9">
            <v>6.8437899999999994</v>
          </cell>
          <cell r="CI9">
            <v>649.35510994720471</v>
          </cell>
          <cell r="CJ9">
            <v>63.555539982910162</v>
          </cell>
          <cell r="CK9">
            <v>82.453760000000003</v>
          </cell>
          <cell r="CM9">
            <v>2313.944268956634</v>
          </cell>
          <cell r="CN9">
            <v>2723.5105935285187</v>
          </cell>
          <cell r="CO9">
            <v>2467.2612693435667</v>
          </cell>
          <cell r="CP9">
            <v>234.66968329819605</v>
          </cell>
          <cell r="CQ9">
            <v>274.98716026706126</v>
          </cell>
          <cell r="CR9">
            <v>238.8222699825287</v>
          </cell>
          <cell r="CS9">
            <v>259.13983129641099</v>
          </cell>
          <cell r="CT9">
            <v>271.91866775</v>
          </cell>
          <cell r="CU9">
            <v>268.11714000000001</v>
          </cell>
        </row>
        <row r="10">
          <cell r="B10">
            <v>41702</v>
          </cell>
          <cell r="C10">
            <v>465.87573006515504</v>
          </cell>
          <cell r="D10">
            <v>49.16592</v>
          </cell>
          <cell r="E10">
            <v>49.788300000000007</v>
          </cell>
          <cell r="G10">
            <v>1610.2924981310841</v>
          </cell>
          <cell r="H10">
            <v>1906.0232833627826</v>
          </cell>
          <cell r="I10">
            <v>1821.9154999301911</v>
          </cell>
          <cell r="J10">
            <v>167.78791236880411</v>
          </cell>
          <cell r="K10">
            <v>193.25426000000002</v>
          </cell>
          <cell r="L10">
            <v>176.11063999999999</v>
          </cell>
          <cell r="M10">
            <v>199.52890751704476</v>
          </cell>
          <cell r="N10">
            <v>195.04570333333334</v>
          </cell>
          <cell r="O10">
            <v>203.32120000000003</v>
          </cell>
          <cell r="Q10">
            <v>246.047</v>
          </cell>
          <cell r="R10">
            <v>22.064299999999999</v>
          </cell>
          <cell r="S10">
            <v>24.074839999999998</v>
          </cell>
          <cell r="U10">
            <v>679.63436801329613</v>
          </cell>
          <cell r="V10">
            <v>859.21463333333338</v>
          </cell>
          <cell r="W10">
            <v>788.07090000000005</v>
          </cell>
          <cell r="X10">
            <v>69.604150766882995</v>
          </cell>
          <cell r="Y10">
            <v>87.999645333333333</v>
          </cell>
          <cell r="Z10">
            <v>75.856490000000008</v>
          </cell>
          <cell r="AA10">
            <v>74.193548387096769</v>
          </cell>
          <cell r="AB10">
            <v>87.973650333333339</v>
          </cell>
          <cell r="AC10">
            <v>75.987340000000003</v>
          </cell>
          <cell r="AE10">
            <v>43.189425</v>
          </cell>
          <cell r="AF10">
            <v>3.3236099999999995</v>
          </cell>
          <cell r="AG10">
            <v>4.8917099999999998</v>
          </cell>
          <cell r="AI10">
            <v>127.69262322580644</v>
          </cell>
          <cell r="AJ10">
            <v>159.5370916666667</v>
          </cell>
          <cell r="AK10">
            <v>152.66222499999998</v>
          </cell>
          <cell r="AL10">
            <v>11.329032258064515</v>
          </cell>
          <cell r="AM10">
            <v>14.037718333333332</v>
          </cell>
          <cell r="AN10">
            <v>10.626200000000001</v>
          </cell>
          <cell r="AO10">
            <v>11.102451612903225</v>
          </cell>
          <cell r="AP10">
            <v>13.977003333333336</v>
          </cell>
          <cell r="AQ10">
            <v>14.073459999999997</v>
          </cell>
          <cell r="AS10">
            <v>56.339500000000001</v>
          </cell>
          <cell r="AT10">
            <v>8.8104599999999991</v>
          </cell>
          <cell r="AU10">
            <v>7.2148599999999998</v>
          </cell>
          <cell r="AW10">
            <v>247.73766072774188</v>
          </cell>
          <cell r="AX10">
            <v>259.4591666666667</v>
          </cell>
          <cell r="AY10">
            <v>221.58499999999998</v>
          </cell>
          <cell r="AZ10">
            <v>28.467568513949313</v>
          </cell>
          <cell r="BA10">
            <v>32.776215000000001</v>
          </cell>
          <cell r="BB10">
            <v>31.052219999999998</v>
          </cell>
          <cell r="BC10">
            <v>34.064516129032256</v>
          </cell>
          <cell r="BD10">
            <v>23.644866666666672</v>
          </cell>
          <cell r="BE10">
            <v>25.321060000000003</v>
          </cell>
          <cell r="BG10">
            <v>81.703980163574215</v>
          </cell>
          <cell r="BH10">
            <v>13.545309996261595</v>
          </cell>
          <cell r="BI10">
            <v>5.6</v>
          </cell>
          <cell r="BK10">
            <v>339.32123001629265</v>
          </cell>
          <cell r="BL10">
            <v>355.69011634190883</v>
          </cell>
          <cell r="BM10">
            <v>310.12127964210509</v>
          </cell>
          <cell r="BN10">
            <v>21.639731027528153</v>
          </cell>
          <cell r="BO10">
            <v>24.641203356081643</v>
          </cell>
          <cell r="BP10">
            <v>33.095019978790283</v>
          </cell>
          <cell r="BQ10">
            <v>12.436803028707548</v>
          </cell>
          <cell r="BR10">
            <v>26.64833333333333</v>
          </cell>
          <cell r="BS10">
            <v>34.14</v>
          </cell>
          <cell r="BU10">
            <v>29.376000000000001</v>
          </cell>
          <cell r="BV10">
            <v>4.7591500000000009</v>
          </cell>
          <cell r="BW10">
            <v>4.7387299999999994</v>
          </cell>
          <cell r="BY10">
            <v>80.58064516129032</v>
          </cell>
          <cell r="BZ10">
            <v>91.423166666666688</v>
          </cell>
          <cell r="CA10">
            <v>95.438000000000002</v>
          </cell>
          <cell r="CB10">
            <v>14.064516129032258</v>
          </cell>
          <cell r="CC10">
            <v>13.940505</v>
          </cell>
          <cell r="CD10">
            <v>13.750450000000001</v>
          </cell>
          <cell r="CE10">
            <v>14.193548387096774</v>
          </cell>
          <cell r="CF10">
            <v>15.268666666666666</v>
          </cell>
          <cell r="CG10">
            <v>11.582519999999999</v>
          </cell>
          <cell r="CI10">
            <v>922.53163522872933</v>
          </cell>
          <cell r="CJ10">
            <v>101.66874999626161</v>
          </cell>
          <cell r="CK10">
            <v>96.308440000000004</v>
          </cell>
          <cell r="CM10">
            <v>3085.2590252755117</v>
          </cell>
          <cell r="CN10">
            <v>3631.3474580380243</v>
          </cell>
          <cell r="CO10">
            <v>3389.7929045722963</v>
          </cell>
          <cell r="CP10">
            <v>312.89291106426134</v>
          </cell>
          <cell r="CQ10">
            <v>366.64954702274827</v>
          </cell>
          <cell r="CR10">
            <v>340.49101997879023</v>
          </cell>
          <cell r="CS10">
            <v>345.51977506188132</v>
          </cell>
          <cell r="CT10">
            <v>362.55822366666672</v>
          </cell>
          <cell r="CU10">
            <v>364.42558000000002</v>
          </cell>
        </row>
        <row r="11">
          <cell r="B11">
            <v>41703</v>
          </cell>
          <cell r="C11">
            <v>498.64419993820195</v>
          </cell>
          <cell r="D11">
            <v>50.344120000000004</v>
          </cell>
          <cell r="E11">
            <v>59.295099999999998</v>
          </cell>
          <cell r="G11">
            <v>2012.8656226638552</v>
          </cell>
          <cell r="H11">
            <v>2382.5291042034783</v>
          </cell>
          <cell r="I11">
            <v>2320.5596998683932</v>
          </cell>
          <cell r="J11">
            <v>209.73489046100514</v>
          </cell>
          <cell r="K11">
            <v>241.56782500000003</v>
          </cell>
          <cell r="L11">
            <v>226.45475999999999</v>
          </cell>
          <cell r="M11">
            <v>249.41113439630595</v>
          </cell>
          <cell r="N11">
            <v>243.80712916666667</v>
          </cell>
          <cell r="O11">
            <v>262.61630000000002</v>
          </cell>
          <cell r="Q11">
            <v>213.477</v>
          </cell>
          <cell r="R11">
            <v>21.515979999999999</v>
          </cell>
          <cell r="S11">
            <v>21.91356</v>
          </cell>
          <cell r="U11">
            <v>849.5429600166201</v>
          </cell>
          <cell r="V11">
            <v>1074.0182916666668</v>
          </cell>
          <cell r="W11">
            <v>1001.5479</v>
          </cell>
          <cell r="X11">
            <v>87.00518845860374</v>
          </cell>
          <cell r="Y11">
            <v>109.99955666666666</v>
          </cell>
          <cell r="Z11">
            <v>97.372470000000007</v>
          </cell>
          <cell r="AA11">
            <v>92.741935483870961</v>
          </cell>
          <cell r="AB11">
            <v>109.96706291666668</v>
          </cell>
          <cell r="AC11">
            <v>97.900900000000007</v>
          </cell>
          <cell r="AE11">
            <v>38.5929</v>
          </cell>
          <cell r="AF11">
            <v>2.3912900000000001</v>
          </cell>
          <cell r="AG11">
            <v>1.8280100000000001</v>
          </cell>
          <cell r="AI11">
            <v>159.61577903225805</v>
          </cell>
          <cell r="AJ11">
            <v>199.42136458333337</v>
          </cell>
          <cell r="AK11">
            <v>191.25512499999996</v>
          </cell>
          <cell r="AL11">
            <v>14.161290322580644</v>
          </cell>
          <cell r="AM11">
            <v>17.547147916666667</v>
          </cell>
          <cell r="AN11">
            <v>13.01749</v>
          </cell>
          <cell r="AO11">
            <v>13.878064516129031</v>
          </cell>
          <cell r="AP11">
            <v>17.471254166666668</v>
          </cell>
          <cell r="AQ11">
            <v>15.901469999999998</v>
          </cell>
          <cell r="AS11">
            <v>67.47</v>
          </cell>
          <cell r="AT11">
            <v>8.1582900000000009</v>
          </cell>
          <cell r="AU11">
            <v>7.3065599999999993</v>
          </cell>
          <cell r="AW11">
            <v>309.67207590967735</v>
          </cell>
          <cell r="AX11">
            <v>324.32395833333339</v>
          </cell>
          <cell r="AY11">
            <v>289.05499999999995</v>
          </cell>
          <cell r="AZ11">
            <v>35.584460642436639</v>
          </cell>
          <cell r="BA11">
            <v>40.970268750000002</v>
          </cell>
          <cell r="BB11">
            <v>39.210509999999999</v>
          </cell>
          <cell r="BC11">
            <v>42.58064516129032</v>
          </cell>
          <cell r="BD11">
            <v>29.556083333333341</v>
          </cell>
          <cell r="BE11">
            <v>32.62762</v>
          </cell>
          <cell r="BG11">
            <v>89.796439981460566</v>
          </cell>
          <cell r="BH11">
            <v>8.5284400280761723</v>
          </cell>
          <cell r="BI11">
            <v>10.68</v>
          </cell>
          <cell r="BK11">
            <v>424.15153752036582</v>
          </cell>
          <cell r="BL11">
            <v>444.61264542738604</v>
          </cell>
          <cell r="BM11">
            <v>399.91771962356563</v>
          </cell>
          <cell r="BN11">
            <v>27.049663784410193</v>
          </cell>
          <cell r="BO11">
            <v>30.801504195102055</v>
          </cell>
          <cell r="BP11">
            <v>41.623460006866452</v>
          </cell>
          <cell r="BQ11">
            <v>15.546003785884434</v>
          </cell>
          <cell r="BR11">
            <v>33.310416666666661</v>
          </cell>
          <cell r="BS11">
            <v>44.82</v>
          </cell>
          <cell r="BU11">
            <v>30.047499999999999</v>
          </cell>
          <cell r="BV11">
            <v>3.4561299999999999</v>
          </cell>
          <cell r="BW11">
            <v>3.4561299999999999</v>
          </cell>
          <cell r="BY11">
            <v>100.7258064516129</v>
          </cell>
          <cell r="BZ11">
            <v>114.27895833333336</v>
          </cell>
          <cell r="CA11">
            <v>125.4855</v>
          </cell>
          <cell r="CB11">
            <v>17.580645161290324</v>
          </cell>
          <cell r="CC11">
            <v>17.425631249999999</v>
          </cell>
          <cell r="CD11">
            <v>17.206580000000002</v>
          </cell>
          <cell r="CE11">
            <v>17.741935483870968</v>
          </cell>
          <cell r="CF11">
            <v>19.085833333333333</v>
          </cell>
          <cell r="CG11">
            <v>15.038649999999999</v>
          </cell>
          <cell r="CI11">
            <v>938.02803991966255</v>
          </cell>
          <cell r="CJ11">
            <v>94.394250028076186</v>
          </cell>
          <cell r="CK11">
            <v>104.47936000000001</v>
          </cell>
          <cell r="CM11">
            <v>3856.5737815943894</v>
          </cell>
          <cell r="CN11">
            <v>4539.1843225475313</v>
          </cell>
          <cell r="CO11">
            <v>4327.8209444919585</v>
          </cell>
          <cell r="CP11">
            <v>391.11613883032669</v>
          </cell>
          <cell r="CQ11">
            <v>458.31193377843539</v>
          </cell>
          <cell r="CR11">
            <v>434.88527000686645</v>
          </cell>
          <cell r="CS11">
            <v>431.89971882735165</v>
          </cell>
          <cell r="CT11">
            <v>453.19777958333327</v>
          </cell>
          <cell r="CU11">
            <v>468.90494000000001</v>
          </cell>
        </row>
        <row r="12">
          <cell r="B12">
            <v>41704</v>
          </cell>
          <cell r="C12">
            <v>464.10321001472477</v>
          </cell>
          <cell r="D12">
            <v>50.212240000000001</v>
          </cell>
          <cell r="E12">
            <v>44.960100000000004</v>
          </cell>
          <cell r="G12">
            <v>2415.4387471966261</v>
          </cell>
          <cell r="H12">
            <v>2859.0349250441741</v>
          </cell>
          <cell r="I12">
            <v>2784.6629098831181</v>
          </cell>
          <cell r="J12">
            <v>251.68186855320616</v>
          </cell>
          <cell r="K12">
            <v>289.88139000000001</v>
          </cell>
          <cell r="L12">
            <v>276.66699999999997</v>
          </cell>
          <cell r="M12">
            <v>299.29336127556712</v>
          </cell>
          <cell r="N12">
            <v>292.568555</v>
          </cell>
          <cell r="O12">
            <v>307.57640000000004</v>
          </cell>
          <cell r="Q12">
            <v>226.74700000000001</v>
          </cell>
          <cell r="R12">
            <v>23.796949999999995</v>
          </cell>
          <cell r="S12">
            <v>25.201840000000001</v>
          </cell>
          <cell r="U12">
            <v>1019.4515520199441</v>
          </cell>
          <cell r="V12">
            <v>1288.82195</v>
          </cell>
          <cell r="W12">
            <v>1228.2949000000001</v>
          </cell>
          <cell r="X12">
            <v>104.40622615032449</v>
          </cell>
          <cell r="Y12">
            <v>131.99946800000001</v>
          </cell>
          <cell r="Z12">
            <v>121.16942</v>
          </cell>
          <cell r="AA12">
            <v>111.29032258064515</v>
          </cell>
          <cell r="AB12">
            <v>131.9604755</v>
          </cell>
          <cell r="AC12">
            <v>123.10274000000001</v>
          </cell>
          <cell r="AE12">
            <v>31.975650000000002</v>
          </cell>
          <cell r="AF12">
            <v>2.9365799999999997</v>
          </cell>
          <cell r="AG12">
            <v>4.4219799999999996</v>
          </cell>
          <cell r="AI12">
            <v>191.53893483870965</v>
          </cell>
          <cell r="AJ12">
            <v>239.30563750000005</v>
          </cell>
          <cell r="AK12">
            <v>223.23077499999997</v>
          </cell>
          <cell r="AL12">
            <v>16.993548387096773</v>
          </cell>
          <cell r="AM12">
            <v>21.0565775</v>
          </cell>
          <cell r="AN12">
            <v>15.95407</v>
          </cell>
          <cell r="AO12">
            <v>16.653677419354839</v>
          </cell>
          <cell r="AP12">
            <v>20.965505</v>
          </cell>
          <cell r="AQ12">
            <v>20.323449999999998</v>
          </cell>
          <cell r="AS12">
            <v>66.968999999999994</v>
          </cell>
          <cell r="AT12">
            <v>8.4335999999999984</v>
          </cell>
          <cell r="AU12">
            <v>7.1546199999999995</v>
          </cell>
          <cell r="AW12">
            <v>371.60649109161284</v>
          </cell>
          <cell r="AX12">
            <v>389.18875000000008</v>
          </cell>
          <cell r="AY12">
            <v>356.02399999999994</v>
          </cell>
          <cell r="AZ12">
            <v>42.701352770923968</v>
          </cell>
          <cell r="BA12">
            <v>49.164322500000004</v>
          </cell>
          <cell r="BB12">
            <v>47.644109999999998</v>
          </cell>
          <cell r="BC12">
            <v>51.096774193548384</v>
          </cell>
          <cell r="BD12">
            <v>35.467300000000009</v>
          </cell>
          <cell r="BE12">
            <v>39.782240000000002</v>
          </cell>
          <cell r="BG12">
            <v>91.872629880905151</v>
          </cell>
          <cell r="BH12">
            <v>6.528570020217896</v>
          </cell>
          <cell r="BI12">
            <v>6.26</v>
          </cell>
          <cell r="BK12">
            <v>508.981845024439</v>
          </cell>
          <cell r="BL12">
            <v>533.53517451286325</v>
          </cell>
          <cell r="BM12">
            <v>491.79034950447078</v>
          </cell>
          <cell r="BN12">
            <v>32.459596541292228</v>
          </cell>
          <cell r="BO12">
            <v>36.961805034122463</v>
          </cell>
          <cell r="BP12">
            <v>48.152030027084351</v>
          </cell>
          <cell r="BQ12">
            <v>18.65520454306132</v>
          </cell>
          <cell r="BR12">
            <v>39.972499999999997</v>
          </cell>
          <cell r="BS12">
            <v>51.08</v>
          </cell>
          <cell r="BU12">
            <v>29.529</v>
          </cell>
          <cell r="BV12">
            <v>3.8492899999999994</v>
          </cell>
          <cell r="BW12">
            <v>3.8492899999999994</v>
          </cell>
          <cell r="BY12">
            <v>120.87096774193547</v>
          </cell>
          <cell r="BZ12">
            <v>137.13475000000003</v>
          </cell>
          <cell r="CA12">
            <v>155.0145</v>
          </cell>
          <cell r="CB12">
            <v>21.096774193548388</v>
          </cell>
          <cell r="CC12">
            <v>20.910757499999999</v>
          </cell>
          <cell r="CD12">
            <v>21.055870000000002</v>
          </cell>
          <cell r="CE12">
            <v>21.29032258064516</v>
          </cell>
          <cell r="CF12">
            <v>22.902999999999999</v>
          </cell>
          <cell r="CG12">
            <v>18.887939999999997</v>
          </cell>
          <cell r="CI12">
            <v>911.19648989562984</v>
          </cell>
          <cell r="CJ12">
            <v>95.757230020217889</v>
          </cell>
          <cell r="CK12">
            <v>91.847830000000002</v>
          </cell>
          <cell r="CM12">
            <v>4627.888537913268</v>
          </cell>
          <cell r="CN12">
            <v>5447.0211870570374</v>
          </cell>
          <cell r="CO12">
            <v>5239.0174343875897</v>
          </cell>
          <cell r="CP12">
            <v>469.33936659639204</v>
          </cell>
          <cell r="CQ12">
            <v>549.97432053412251</v>
          </cell>
          <cell r="CR12">
            <v>530.64250002708434</v>
          </cell>
          <cell r="CS12">
            <v>518.27966259282198</v>
          </cell>
          <cell r="CT12">
            <v>543.83733549999999</v>
          </cell>
          <cell r="CU12">
            <v>560.75277000000006</v>
          </cell>
        </row>
        <row r="13">
          <cell r="B13">
            <v>41705</v>
          </cell>
          <cell r="C13">
            <v>472.89466004142758</v>
          </cell>
          <cell r="D13">
            <v>47.057120000000005</v>
          </cell>
          <cell r="E13">
            <v>52.266800000000003</v>
          </cell>
          <cell r="G13">
            <v>2818.0118717293972</v>
          </cell>
          <cell r="H13">
            <v>3335.5407458848699</v>
          </cell>
          <cell r="I13">
            <v>3257.5575699245455</v>
          </cell>
          <cell r="J13">
            <v>293.62884664540718</v>
          </cell>
          <cell r="K13">
            <v>338.19495499999999</v>
          </cell>
          <cell r="L13">
            <v>323.72411999999997</v>
          </cell>
          <cell r="M13">
            <v>349.17558815482829</v>
          </cell>
          <cell r="N13">
            <v>341.32998083333337</v>
          </cell>
          <cell r="O13">
            <v>359.84320000000002</v>
          </cell>
          <cell r="Q13">
            <v>231.73050000000001</v>
          </cell>
          <cell r="R13">
            <v>24.484120000000004</v>
          </cell>
          <cell r="S13">
            <v>24.683019999999996</v>
          </cell>
          <cell r="U13">
            <v>1189.360144023268</v>
          </cell>
          <cell r="V13">
            <v>1503.6256083333333</v>
          </cell>
          <cell r="W13">
            <v>1460.0254</v>
          </cell>
          <cell r="X13">
            <v>121.80726384204523</v>
          </cell>
          <cell r="Y13">
            <v>153.99937933333334</v>
          </cell>
          <cell r="Z13">
            <v>145.65354000000002</v>
          </cell>
          <cell r="AA13">
            <v>129.83870967741933</v>
          </cell>
          <cell r="AB13">
            <v>153.95388808333334</v>
          </cell>
          <cell r="AC13">
            <v>147.78576000000001</v>
          </cell>
          <cell r="AE13">
            <v>37.672699999999999</v>
          </cell>
          <cell r="AF13">
            <v>2.1289600000000002</v>
          </cell>
          <cell r="AG13">
            <v>0.8357</v>
          </cell>
          <cell r="AI13">
            <v>223.46209064516125</v>
          </cell>
          <cell r="AJ13">
            <v>279.18991041666675</v>
          </cell>
          <cell r="AK13">
            <v>260.90347499999996</v>
          </cell>
          <cell r="AL13">
            <v>19.825806451612902</v>
          </cell>
          <cell r="AM13">
            <v>24.566007083333332</v>
          </cell>
          <cell r="AN13">
            <v>18.083030000000001</v>
          </cell>
          <cell r="AO13">
            <v>19.429290322580645</v>
          </cell>
          <cell r="AP13">
            <v>24.459755833333332</v>
          </cell>
          <cell r="AQ13">
            <v>21.159149999999997</v>
          </cell>
          <cell r="AS13">
            <v>60.861499999999999</v>
          </cell>
          <cell r="AT13">
            <v>9.0696200000000005</v>
          </cell>
          <cell r="AU13">
            <v>2.7297999999999996</v>
          </cell>
          <cell r="AW13">
            <v>433.54090627354833</v>
          </cell>
          <cell r="AX13">
            <v>454.05354166666677</v>
          </cell>
          <cell r="AY13">
            <v>416.88549999999992</v>
          </cell>
          <cell r="AZ13">
            <v>49.818244899411297</v>
          </cell>
          <cell r="BA13">
            <v>57.358376250000006</v>
          </cell>
          <cell r="BB13">
            <v>56.713729999999998</v>
          </cell>
          <cell r="BC13">
            <v>59.612903225806448</v>
          </cell>
          <cell r="BD13">
            <v>41.378516666666677</v>
          </cell>
          <cell r="BE13">
            <v>42.512039999999999</v>
          </cell>
          <cell r="BG13">
            <v>96.015629880905152</v>
          </cell>
          <cell r="BH13">
            <v>4.4629200210571289</v>
          </cell>
          <cell r="BI13">
            <v>7.8</v>
          </cell>
          <cell r="BK13">
            <v>593.81215252851212</v>
          </cell>
          <cell r="BL13">
            <v>622.45770359834046</v>
          </cell>
          <cell r="BM13">
            <v>587.80597938537596</v>
          </cell>
          <cell r="BN13">
            <v>37.869529298174264</v>
          </cell>
          <cell r="BO13">
            <v>43.122105873142871</v>
          </cell>
          <cell r="BP13">
            <v>52.61495004814148</v>
          </cell>
          <cell r="BQ13">
            <v>21.764405300238206</v>
          </cell>
          <cell r="BR13">
            <v>46.634583333333332</v>
          </cell>
          <cell r="BS13">
            <v>58.879999999999995</v>
          </cell>
          <cell r="BU13">
            <v>20.382999999999999</v>
          </cell>
          <cell r="BV13">
            <v>2.6447599999999998</v>
          </cell>
          <cell r="BW13">
            <v>2.6447599999999998</v>
          </cell>
          <cell r="BY13">
            <v>141.01612903225805</v>
          </cell>
          <cell r="BZ13">
            <v>159.9905416666667</v>
          </cell>
          <cell r="CA13">
            <v>175.39750000000001</v>
          </cell>
          <cell r="CB13">
            <v>24.612903225806452</v>
          </cell>
          <cell r="CC13">
            <v>24.395883749999999</v>
          </cell>
          <cell r="CD13">
            <v>23.700630000000004</v>
          </cell>
          <cell r="CE13">
            <v>24.838709677419352</v>
          </cell>
          <cell r="CF13">
            <v>26.720166666666664</v>
          </cell>
          <cell r="CG13">
            <v>21.532699999999998</v>
          </cell>
          <cell r="CI13">
            <v>919.55798992233269</v>
          </cell>
          <cell r="CJ13">
            <v>89.847500021057158</v>
          </cell>
          <cell r="CK13">
            <v>90.960080000000005</v>
          </cell>
          <cell r="CM13">
            <v>5399.2032942321439</v>
          </cell>
          <cell r="CN13">
            <v>6354.8580515665444</v>
          </cell>
          <cell r="CO13">
            <v>6158.5754243099227</v>
          </cell>
          <cell r="CP13">
            <v>547.56259436245739</v>
          </cell>
          <cell r="CQ13">
            <v>641.63670728980969</v>
          </cell>
          <cell r="CR13">
            <v>620.49000004814161</v>
          </cell>
          <cell r="CS13">
            <v>604.65960635829231</v>
          </cell>
          <cell r="CT13">
            <v>634.47689141666672</v>
          </cell>
          <cell r="CU13">
            <v>651.71284999999989</v>
          </cell>
        </row>
        <row r="14">
          <cell r="B14">
            <v>41706</v>
          </cell>
          <cell r="C14">
            <v>523.39710009231567</v>
          </cell>
          <cell r="D14">
            <v>50.288800000000009</v>
          </cell>
          <cell r="E14">
            <v>53.886700000000005</v>
          </cell>
          <cell r="G14">
            <v>3220.5849962621683</v>
          </cell>
          <cell r="H14">
            <v>3812.0465667255658</v>
          </cell>
          <cell r="I14">
            <v>3780.9546700168612</v>
          </cell>
          <cell r="J14">
            <v>335.57582473760823</v>
          </cell>
          <cell r="K14">
            <v>386.50851999999998</v>
          </cell>
          <cell r="L14">
            <v>374.01292000000001</v>
          </cell>
          <cell r="M14">
            <v>399.05781503408946</v>
          </cell>
          <cell r="N14">
            <v>390.09140666666667</v>
          </cell>
          <cell r="O14">
            <v>413.72990000000004</v>
          </cell>
          <cell r="Q14">
            <v>242.3449</v>
          </cell>
          <cell r="R14">
            <v>26.10491</v>
          </cell>
          <cell r="S14">
            <v>24.796900000000001</v>
          </cell>
          <cell r="U14">
            <v>1359.268736026592</v>
          </cell>
          <cell r="V14">
            <v>1718.4292666666665</v>
          </cell>
          <cell r="W14">
            <v>1702.3703</v>
          </cell>
          <cell r="X14">
            <v>139.20830153376599</v>
          </cell>
          <cell r="Y14">
            <v>175.99929066666667</v>
          </cell>
          <cell r="Z14">
            <v>171.75845000000001</v>
          </cell>
          <cell r="AA14">
            <v>148.38709677419354</v>
          </cell>
          <cell r="AB14">
            <v>175.94730066666668</v>
          </cell>
          <cell r="AC14">
            <v>172.58266</v>
          </cell>
          <cell r="AE14">
            <v>46.110199999999999</v>
          </cell>
          <cell r="AF14">
            <v>3.5476700000000001</v>
          </cell>
          <cell r="AG14">
            <v>2.9229600000000002</v>
          </cell>
          <cell r="AI14">
            <v>255.38524645161286</v>
          </cell>
          <cell r="AJ14">
            <v>319.07418333333339</v>
          </cell>
          <cell r="AK14">
            <v>307.01367499999998</v>
          </cell>
          <cell r="AL14">
            <v>22.658064516129031</v>
          </cell>
          <cell r="AM14">
            <v>28.075436666666665</v>
          </cell>
          <cell r="AN14">
            <v>21.630700000000001</v>
          </cell>
          <cell r="AO14">
            <v>22.204903225806451</v>
          </cell>
          <cell r="AP14">
            <v>27.954006666666665</v>
          </cell>
          <cell r="AQ14">
            <v>24.082109999999997</v>
          </cell>
          <cell r="AS14">
            <v>64.753500000000003</v>
          </cell>
          <cell r="AT14">
            <v>8.9459400000000002</v>
          </cell>
          <cell r="AU14">
            <v>7.1485000000000003</v>
          </cell>
          <cell r="AW14">
            <v>495.47532145548382</v>
          </cell>
          <cell r="AX14">
            <v>518.91833333333341</v>
          </cell>
          <cell r="AY14">
            <v>481.6389999999999</v>
          </cell>
          <cell r="AZ14">
            <v>56.935137027898627</v>
          </cell>
          <cell r="BA14">
            <v>65.552430000000001</v>
          </cell>
          <cell r="BB14">
            <v>65.659670000000006</v>
          </cell>
          <cell r="BC14">
            <v>68.129032258064512</v>
          </cell>
          <cell r="BD14">
            <v>47.289733333333345</v>
          </cell>
          <cell r="BE14">
            <v>49.660539999999997</v>
          </cell>
          <cell r="BG14">
            <v>94.803579662323003</v>
          </cell>
          <cell r="BH14">
            <v>5.5663299751281734</v>
          </cell>
          <cell r="BI14">
            <v>8.51</v>
          </cell>
          <cell r="BK14">
            <v>678.64246003258529</v>
          </cell>
          <cell r="BL14">
            <v>711.38023268381767</v>
          </cell>
          <cell r="BM14">
            <v>682.60955904769901</v>
          </cell>
          <cell r="BN14">
            <v>43.2794620550563</v>
          </cell>
          <cell r="BO14">
            <v>49.282406712163279</v>
          </cell>
          <cell r="BP14">
            <v>58.18128002326965</v>
          </cell>
          <cell r="BQ14">
            <v>24.873606057415092</v>
          </cell>
          <cell r="BR14">
            <v>53.296666666666667</v>
          </cell>
          <cell r="BS14">
            <v>67.39</v>
          </cell>
          <cell r="BU14">
            <v>20.57</v>
          </cell>
          <cell r="BV14">
            <v>3.68689</v>
          </cell>
          <cell r="BW14">
            <v>3.6659899999999999</v>
          </cell>
          <cell r="BY14">
            <v>161.16129032258064</v>
          </cell>
          <cell r="BZ14">
            <v>182.84633333333338</v>
          </cell>
          <cell r="CA14">
            <v>195.9675</v>
          </cell>
          <cell r="CB14">
            <v>28.129032258064516</v>
          </cell>
          <cell r="CC14">
            <v>27.88101</v>
          </cell>
          <cell r="CD14">
            <v>27.387520000000002</v>
          </cell>
          <cell r="CE14">
            <v>28.387096774193544</v>
          </cell>
          <cell r="CF14">
            <v>30.537333333333329</v>
          </cell>
          <cell r="CG14">
            <v>25.198689999999999</v>
          </cell>
          <cell r="CI14">
            <v>991.97927975463881</v>
          </cell>
          <cell r="CJ14">
            <v>98.140539975128192</v>
          </cell>
          <cell r="CK14">
            <v>100.93105000000001</v>
          </cell>
          <cell r="CM14">
            <v>6170.5180505510234</v>
          </cell>
          <cell r="CN14">
            <v>7262.6949160760496</v>
          </cell>
          <cell r="CO14">
            <v>7150.5547040645606</v>
          </cell>
          <cell r="CP14">
            <v>625.78582212852268</v>
          </cell>
          <cell r="CQ14">
            <v>733.29909404549642</v>
          </cell>
          <cell r="CR14">
            <v>718.63054002326976</v>
          </cell>
          <cell r="CS14">
            <v>691.03955012376264</v>
          </cell>
          <cell r="CT14">
            <v>725.11644733333344</v>
          </cell>
          <cell r="CU14">
            <v>752.64390000000003</v>
          </cell>
        </row>
        <row r="15">
          <cell r="B15">
            <v>41707</v>
          </cell>
          <cell r="C15">
            <v>514.99672989654539</v>
          </cell>
          <cell r="D15">
            <v>47.966799999999999</v>
          </cell>
          <cell r="E15">
            <v>48.713699999999996</v>
          </cell>
          <cell r="G15">
            <v>3623.1581207949394</v>
          </cell>
          <cell r="H15">
            <v>4288.5523875662611</v>
          </cell>
          <cell r="I15">
            <v>4295.9513999134069</v>
          </cell>
          <cell r="J15">
            <v>377.52280282980928</v>
          </cell>
          <cell r="K15">
            <v>434.82208499999996</v>
          </cell>
          <cell r="L15">
            <v>421.97971999999999</v>
          </cell>
          <cell r="M15">
            <v>448.94004191335063</v>
          </cell>
          <cell r="N15">
            <v>438.85283249999998</v>
          </cell>
          <cell r="O15">
            <v>462.44360000000006</v>
          </cell>
          <cell r="Q15">
            <v>200.69570000000002</v>
          </cell>
          <cell r="R15">
            <v>24.187149999999999</v>
          </cell>
          <cell r="S15">
            <v>24.431690000000003</v>
          </cell>
          <cell r="U15">
            <v>1529.177328029916</v>
          </cell>
          <cell r="V15">
            <v>1933.2329249999998</v>
          </cell>
          <cell r="W15">
            <v>1903.066</v>
          </cell>
          <cell r="X15">
            <v>156.60933922548674</v>
          </cell>
          <cell r="Y15">
            <v>197.999202</v>
          </cell>
          <cell r="Z15">
            <v>195.94560000000001</v>
          </cell>
          <cell r="AA15">
            <v>166.93548387096774</v>
          </cell>
          <cell r="AB15">
            <v>197.94071325000002</v>
          </cell>
          <cell r="AC15">
            <v>197.01435000000001</v>
          </cell>
          <cell r="AE15">
            <v>47.335300000000004</v>
          </cell>
          <cell r="AF15">
            <v>4.0049999999999999</v>
          </cell>
          <cell r="AG15">
            <v>4.3991300000000004</v>
          </cell>
          <cell r="AI15">
            <v>287.30840225806446</v>
          </cell>
          <cell r="AJ15">
            <v>358.95845625000004</v>
          </cell>
          <cell r="AK15">
            <v>354.348975</v>
          </cell>
          <cell r="AL15">
            <v>25.490322580645159</v>
          </cell>
          <cell r="AM15">
            <v>31.584866249999997</v>
          </cell>
          <cell r="AN15">
            <v>25.6357</v>
          </cell>
          <cell r="AO15">
            <v>24.980516129032257</v>
          </cell>
          <cell r="AP15">
            <v>31.448257499999997</v>
          </cell>
          <cell r="AQ15">
            <v>28.481239999999996</v>
          </cell>
          <cell r="AS15">
            <v>63.951999999999998</v>
          </cell>
          <cell r="AT15">
            <v>11.0838</v>
          </cell>
          <cell r="AU15">
            <v>7.7625400000000004</v>
          </cell>
          <cell r="AW15">
            <v>557.40973663741931</v>
          </cell>
          <cell r="AX15">
            <v>583.78312500000004</v>
          </cell>
          <cell r="AY15">
            <v>545.59099999999989</v>
          </cell>
          <cell r="AZ15">
            <v>64.052029156385956</v>
          </cell>
          <cell r="BA15">
            <v>73.746483749999996</v>
          </cell>
          <cell r="BB15">
            <v>76.743470000000002</v>
          </cell>
          <cell r="BC15">
            <v>76.645161290322577</v>
          </cell>
          <cell r="BD15">
            <v>53.200950000000013</v>
          </cell>
          <cell r="BE15">
            <v>57.423079999999999</v>
          </cell>
          <cell r="BG15">
            <v>107.010710105896</v>
          </cell>
          <cell r="BH15">
            <v>8.5796999907684324</v>
          </cell>
          <cell r="BI15">
            <v>8.5</v>
          </cell>
          <cell r="BK15">
            <v>763.47276753665847</v>
          </cell>
          <cell r="BL15">
            <v>800.30276176929488</v>
          </cell>
          <cell r="BM15">
            <v>789.62026915359502</v>
          </cell>
          <cell r="BN15">
            <v>48.689394811938335</v>
          </cell>
          <cell r="BO15">
            <v>55.442707551183688</v>
          </cell>
          <cell r="BP15">
            <v>66.760980014038083</v>
          </cell>
          <cell r="BQ15">
            <v>27.982806814591978</v>
          </cell>
          <cell r="BR15">
            <v>59.958750000000002</v>
          </cell>
          <cell r="BS15">
            <v>75.89</v>
          </cell>
          <cell r="BU15">
            <v>20.366</v>
          </cell>
          <cell r="BV15">
            <v>2.7411500000000002</v>
          </cell>
          <cell r="BW15">
            <v>2.7411500000000002</v>
          </cell>
          <cell r="BY15">
            <v>181.30645161290323</v>
          </cell>
          <cell r="BZ15">
            <v>205.70212500000005</v>
          </cell>
          <cell r="CA15">
            <v>216.33350000000002</v>
          </cell>
          <cell r="CB15">
            <v>31.64516129032258</v>
          </cell>
          <cell r="CC15">
            <v>31.36613625</v>
          </cell>
          <cell r="CD15">
            <v>30.128670000000003</v>
          </cell>
          <cell r="CE15">
            <v>31.935483870967737</v>
          </cell>
          <cell r="CF15">
            <v>34.354499999999994</v>
          </cell>
          <cell r="CG15">
            <v>27.93984</v>
          </cell>
          <cell r="CI15">
            <v>954.35644000244133</v>
          </cell>
          <cell r="CJ15">
            <v>98.563599990768424</v>
          </cell>
          <cell r="CK15">
            <v>96.548209999999997</v>
          </cell>
          <cell r="CM15">
            <v>6941.8328068699002</v>
          </cell>
          <cell r="CN15">
            <v>8170.5317805855557</v>
          </cell>
          <cell r="CO15">
            <v>8104.9111440670013</v>
          </cell>
          <cell r="CP15">
            <v>704.00904989458809</v>
          </cell>
          <cell r="CQ15">
            <v>824.96148080118371</v>
          </cell>
          <cell r="CR15">
            <v>817.19414001403823</v>
          </cell>
          <cell r="CS15">
            <v>777.41949388923285</v>
          </cell>
          <cell r="CT15">
            <v>815.75600325000005</v>
          </cell>
          <cell r="CU15">
            <v>849.19211000000007</v>
          </cell>
        </row>
        <row r="16">
          <cell r="B16">
            <v>41708</v>
          </cell>
          <cell r="C16">
            <v>545.1128102729798</v>
          </cell>
          <cell r="D16">
            <v>51.009640000000005</v>
          </cell>
          <cell r="E16">
            <v>43.372100000000003</v>
          </cell>
          <cell r="G16">
            <v>4025.7312453277104</v>
          </cell>
          <cell r="H16">
            <v>4765.0582084069565</v>
          </cell>
          <cell r="I16">
            <v>4841.0642101863868</v>
          </cell>
          <cell r="J16">
            <v>419.46978092201033</v>
          </cell>
          <cell r="K16">
            <v>483.13564999999994</v>
          </cell>
          <cell r="L16">
            <v>472.98935999999998</v>
          </cell>
          <cell r="M16">
            <v>498.82226879261179</v>
          </cell>
          <cell r="N16">
            <v>487.61425833333328</v>
          </cell>
          <cell r="O16">
            <v>505.81570000000005</v>
          </cell>
          <cell r="Q16">
            <v>232.1825</v>
          </cell>
          <cell r="R16">
            <v>22.97222</v>
          </cell>
          <cell r="S16">
            <v>25.950379999999999</v>
          </cell>
          <cell r="U16">
            <v>1699.08592003324</v>
          </cell>
          <cell r="V16">
            <v>2148.0365833333331</v>
          </cell>
          <cell r="W16">
            <v>2135.2485000000001</v>
          </cell>
          <cell r="X16">
            <v>174.01037691720748</v>
          </cell>
          <cell r="Y16">
            <v>219.99911333333333</v>
          </cell>
          <cell r="Z16">
            <v>218.91782000000001</v>
          </cell>
          <cell r="AA16">
            <v>185.48387096774195</v>
          </cell>
          <cell r="AB16">
            <v>219.93412583333335</v>
          </cell>
          <cell r="AC16">
            <v>222.96473</v>
          </cell>
          <cell r="AE16">
            <v>48.045475000000003</v>
          </cell>
          <cell r="AF16">
            <v>3.5658600000000007</v>
          </cell>
          <cell r="AG16">
            <v>3.8879600000000001</v>
          </cell>
          <cell r="AI16">
            <v>319.23155806451609</v>
          </cell>
          <cell r="AJ16">
            <v>398.84272916666669</v>
          </cell>
          <cell r="AK16">
            <v>402.39445000000001</v>
          </cell>
          <cell r="AL16">
            <v>28.322580645161288</v>
          </cell>
          <cell r="AM16">
            <v>35.094295833333334</v>
          </cell>
          <cell r="AN16">
            <v>29.201560000000001</v>
          </cell>
          <cell r="AO16">
            <v>27.756129032258062</v>
          </cell>
          <cell r="AP16">
            <v>34.942508333333329</v>
          </cell>
          <cell r="AQ16">
            <v>32.369199999999999</v>
          </cell>
          <cell r="AS16">
            <v>53.122999999999998</v>
          </cell>
          <cell r="AT16">
            <v>7.5480199999999993</v>
          </cell>
          <cell r="AU16">
            <v>8.203380000000001</v>
          </cell>
          <cell r="AW16">
            <v>619.34415181935481</v>
          </cell>
          <cell r="AX16">
            <v>648.64791666666667</v>
          </cell>
          <cell r="AY16">
            <v>598.71399999999994</v>
          </cell>
          <cell r="AZ16">
            <v>71.168921284873278</v>
          </cell>
          <cell r="BA16">
            <v>81.940537499999991</v>
          </cell>
          <cell r="BB16">
            <v>84.291489999999996</v>
          </cell>
          <cell r="BC16">
            <v>85.161290322580641</v>
          </cell>
          <cell r="BD16">
            <v>59.112166666666681</v>
          </cell>
          <cell r="BE16">
            <v>65.626459999999994</v>
          </cell>
          <cell r="BG16">
            <v>101.67813975143433</v>
          </cell>
          <cell r="BH16">
            <v>7.5254200220489498</v>
          </cell>
          <cell r="BI16">
            <v>0</v>
          </cell>
          <cell r="BK16">
            <v>848.30307504073164</v>
          </cell>
          <cell r="BL16">
            <v>889.22529085477208</v>
          </cell>
          <cell r="BM16">
            <v>891.29840890502931</v>
          </cell>
          <cell r="BN16">
            <v>54.099327568820371</v>
          </cell>
          <cell r="BO16">
            <v>61.603008390204096</v>
          </cell>
          <cell r="BP16">
            <v>74.286400036087031</v>
          </cell>
          <cell r="BQ16">
            <v>31.092007571768864</v>
          </cell>
          <cell r="BR16">
            <v>66.620833333333337</v>
          </cell>
          <cell r="BS16">
            <v>75.89</v>
          </cell>
          <cell r="BU16">
            <v>18.674499999999998</v>
          </cell>
          <cell r="BV16">
            <v>2.8334200000000003</v>
          </cell>
          <cell r="BW16">
            <v>2.8108400000000002</v>
          </cell>
          <cell r="BY16">
            <v>201.45161290322582</v>
          </cell>
          <cell r="BZ16">
            <v>228.55791666666673</v>
          </cell>
          <cell r="CA16">
            <v>235.00800000000001</v>
          </cell>
          <cell r="CB16">
            <v>35.161290322580648</v>
          </cell>
          <cell r="CC16">
            <v>34.851262499999997</v>
          </cell>
          <cell r="CD16">
            <v>32.962090000000003</v>
          </cell>
          <cell r="CE16">
            <v>35.483870967741929</v>
          </cell>
          <cell r="CF16">
            <v>38.17166666666666</v>
          </cell>
          <cell r="CG16">
            <v>30.750679999999999</v>
          </cell>
          <cell r="CI16">
            <v>998.81642502441412</v>
          </cell>
          <cell r="CJ16">
            <v>95.454580022048958</v>
          </cell>
          <cell r="CK16">
            <v>84.22466</v>
          </cell>
          <cell r="CM16">
            <v>7713.1475631887788</v>
          </cell>
          <cell r="CN16">
            <v>9078.3686450950627</v>
          </cell>
          <cell r="CO16">
            <v>9103.7275690914157</v>
          </cell>
          <cell r="CP16">
            <v>782.23227766065338</v>
          </cell>
          <cell r="CQ16">
            <v>916.62386755687066</v>
          </cell>
          <cell r="CR16">
            <v>912.64872003608684</v>
          </cell>
          <cell r="CS16">
            <v>863.79943765470318</v>
          </cell>
          <cell r="CT16">
            <v>906.39555916666654</v>
          </cell>
          <cell r="CU16">
            <v>933.41676999999993</v>
          </cell>
        </row>
        <row r="17">
          <cell r="B17">
            <v>41709</v>
          </cell>
          <cell r="C17">
            <v>539.46151996459969</v>
          </cell>
          <cell r="D17">
            <v>52.512</v>
          </cell>
          <cell r="E17">
            <v>58.316600000000001</v>
          </cell>
          <cell r="G17">
            <v>4428.3043698604815</v>
          </cell>
          <cell r="H17">
            <v>5241.5640292476519</v>
          </cell>
          <cell r="I17">
            <v>5380.5257301509864</v>
          </cell>
          <cell r="J17">
            <v>461.41675901421138</v>
          </cell>
          <cell r="K17">
            <v>531.44921499999998</v>
          </cell>
          <cell r="L17">
            <v>525.50135999999998</v>
          </cell>
          <cell r="M17">
            <v>548.70449567187302</v>
          </cell>
          <cell r="N17">
            <v>536.37568416666659</v>
          </cell>
          <cell r="O17">
            <v>564.1323000000001</v>
          </cell>
          <cell r="Q17">
            <v>230.33449999999999</v>
          </cell>
          <cell r="R17">
            <v>25.415770000000002</v>
          </cell>
          <cell r="S17">
            <v>24.708819999999999</v>
          </cell>
          <cell r="U17">
            <v>1868.9945120365639</v>
          </cell>
          <cell r="V17">
            <v>2362.8402416666663</v>
          </cell>
          <cell r="W17">
            <v>2365.5830000000001</v>
          </cell>
          <cell r="X17">
            <v>191.41141460892823</v>
          </cell>
          <cell r="Y17">
            <v>241.99902466666666</v>
          </cell>
          <cell r="Z17">
            <v>244.33359000000002</v>
          </cell>
          <cell r="AA17">
            <v>204.03225806451616</v>
          </cell>
          <cell r="AB17">
            <v>241.92753841666669</v>
          </cell>
          <cell r="AC17">
            <v>247.67355000000001</v>
          </cell>
          <cell r="AE17">
            <v>45.649800000000006</v>
          </cell>
          <cell r="AF17">
            <v>3.58786</v>
          </cell>
          <cell r="AG17">
            <v>3.58996</v>
          </cell>
          <cell r="AI17">
            <v>351.15471387096773</v>
          </cell>
          <cell r="AJ17">
            <v>438.72700208333333</v>
          </cell>
          <cell r="AK17">
            <v>448.04425000000003</v>
          </cell>
          <cell r="AL17">
            <v>31.154838709677417</v>
          </cell>
          <cell r="AM17">
            <v>38.60372541666667</v>
          </cell>
          <cell r="AN17">
            <v>32.78942</v>
          </cell>
          <cell r="AO17">
            <v>30.531741935483868</v>
          </cell>
          <cell r="AP17">
            <v>38.436759166666661</v>
          </cell>
          <cell r="AQ17">
            <v>35.959159999999997</v>
          </cell>
          <cell r="AS17">
            <v>69.201999999999998</v>
          </cell>
          <cell r="AT17">
            <v>12.754059999999999</v>
          </cell>
          <cell r="AU17">
            <v>4.9720800000000001</v>
          </cell>
          <cell r="AW17">
            <v>681.2785670012903</v>
          </cell>
          <cell r="AX17">
            <v>713.51270833333331</v>
          </cell>
          <cell r="AY17">
            <v>667.91599999999994</v>
          </cell>
          <cell r="AZ17">
            <v>78.2858134133606</v>
          </cell>
          <cell r="BA17">
            <v>90.134591249999986</v>
          </cell>
          <cell r="BB17">
            <v>97.045549999999992</v>
          </cell>
          <cell r="BC17">
            <v>93.677419354838705</v>
          </cell>
          <cell r="BD17">
            <v>65.023383333333356</v>
          </cell>
          <cell r="BE17">
            <v>70.59854</v>
          </cell>
          <cell r="BG17">
            <v>102.95864039230347</v>
          </cell>
          <cell r="BH17">
            <v>6.1288600000000004</v>
          </cell>
          <cell r="BI17">
            <v>8.9</v>
          </cell>
          <cell r="BK17">
            <v>933.13338254480482</v>
          </cell>
          <cell r="BL17">
            <v>978.14781994024929</v>
          </cell>
          <cell r="BM17">
            <v>994.25704929733274</v>
          </cell>
          <cell r="BN17">
            <v>59.509260325702407</v>
          </cell>
          <cell r="BO17">
            <v>67.763309229224504</v>
          </cell>
          <cell r="BP17">
            <v>80.415260036087034</v>
          </cell>
          <cell r="BQ17">
            <v>34.201208328945754</v>
          </cell>
          <cell r="BR17">
            <v>73.282916666666665</v>
          </cell>
          <cell r="BS17">
            <v>84.79</v>
          </cell>
          <cell r="BU17">
            <v>18.393999999999998</v>
          </cell>
          <cell r="BV17">
            <v>3.2857000000000003</v>
          </cell>
          <cell r="BW17">
            <v>2.2266699999999999</v>
          </cell>
          <cell r="BY17">
            <v>221.59677419354841</v>
          </cell>
          <cell r="BZ17">
            <v>251.4137083333334</v>
          </cell>
          <cell r="CA17">
            <v>253.40200000000002</v>
          </cell>
          <cell r="CB17">
            <v>38.677419354838712</v>
          </cell>
          <cell r="CC17">
            <v>38.336388749999998</v>
          </cell>
          <cell r="CD17">
            <v>36.247790000000002</v>
          </cell>
          <cell r="CE17">
            <v>39.032258064516121</v>
          </cell>
          <cell r="CF17">
            <v>41.988833333333325</v>
          </cell>
          <cell r="CG17">
            <v>32.977350000000001</v>
          </cell>
          <cell r="CI17">
            <v>1006.0004603569032</v>
          </cell>
          <cell r="CJ17">
            <v>103.68425000000002</v>
          </cell>
          <cell r="CK17">
            <v>102.71413000000001</v>
          </cell>
          <cell r="CM17">
            <v>8484.4623195076565</v>
          </cell>
          <cell r="CN17">
            <v>9986.2055096045679</v>
          </cell>
          <cell r="CO17">
            <v>10109.728029448319</v>
          </cell>
          <cell r="CP17">
            <v>860.45550542671867</v>
          </cell>
          <cell r="CQ17">
            <v>1008.2862543125577</v>
          </cell>
          <cell r="CR17">
            <v>1016.3329700360869</v>
          </cell>
          <cell r="CS17">
            <v>950.17938142017351</v>
          </cell>
          <cell r="CT17">
            <v>997.03511508333338</v>
          </cell>
          <cell r="CU17">
            <v>1036.1309000000001</v>
          </cell>
        </row>
        <row r="18">
          <cell r="B18">
            <v>41710</v>
          </cell>
          <cell r="C18">
            <v>522.033009980011</v>
          </cell>
          <cell r="D18">
            <v>52.786960000000008</v>
          </cell>
          <cell r="E18">
            <v>49.720699999999994</v>
          </cell>
          <cell r="G18">
            <v>4830.8774943932522</v>
          </cell>
          <cell r="H18">
            <v>5718.0698500883473</v>
          </cell>
          <cell r="I18">
            <v>5902.5587401309976</v>
          </cell>
          <cell r="J18">
            <v>503.36373710641243</v>
          </cell>
          <cell r="K18">
            <v>579.76278000000002</v>
          </cell>
          <cell r="L18">
            <v>578.28832</v>
          </cell>
          <cell r="M18">
            <v>598.58672255113424</v>
          </cell>
          <cell r="N18">
            <v>585.13710999999989</v>
          </cell>
          <cell r="O18">
            <v>613.85300000000007</v>
          </cell>
          <cell r="Q18">
            <v>239.45150000000001</v>
          </cell>
          <cell r="R18">
            <v>25.678679999999996</v>
          </cell>
          <cell r="S18">
            <v>15.142340000000001</v>
          </cell>
          <cell r="U18">
            <v>2038.9031040398879</v>
          </cell>
          <cell r="V18">
            <v>2577.6438999999996</v>
          </cell>
          <cell r="W18">
            <v>2605.0345000000002</v>
          </cell>
          <cell r="X18">
            <v>208.81245230064897</v>
          </cell>
          <cell r="Y18">
            <v>263.99893600000001</v>
          </cell>
          <cell r="Z18">
            <v>270.01227</v>
          </cell>
          <cell r="AA18">
            <v>222.58064516129036</v>
          </cell>
          <cell r="AB18">
            <v>263.920951</v>
          </cell>
          <cell r="AC18">
            <v>262.81589000000002</v>
          </cell>
          <cell r="AE18">
            <v>39.856300000000005</v>
          </cell>
          <cell r="AF18">
            <v>3.59924</v>
          </cell>
          <cell r="AG18">
            <v>3.2395100000000001</v>
          </cell>
          <cell r="AI18">
            <v>383.07786967741936</v>
          </cell>
          <cell r="AJ18">
            <v>478.61127499999998</v>
          </cell>
          <cell r="AK18">
            <v>487.90055000000007</v>
          </cell>
          <cell r="AL18">
            <v>33.987096774193546</v>
          </cell>
          <cell r="AM18">
            <v>42.113155000000006</v>
          </cell>
          <cell r="AN18">
            <v>36.388660000000002</v>
          </cell>
          <cell r="AO18">
            <v>33.307354838709678</v>
          </cell>
          <cell r="AP18">
            <v>41.931009999999993</v>
          </cell>
          <cell r="AQ18">
            <v>39.19867</v>
          </cell>
          <cell r="AS18">
            <v>68.334000000000003</v>
          </cell>
          <cell r="AT18">
            <v>6.2228999999999992</v>
          </cell>
          <cell r="AU18">
            <v>8.4459599999999995</v>
          </cell>
          <cell r="AW18">
            <v>743.21298218322579</v>
          </cell>
          <cell r="AX18">
            <v>778.37749999999994</v>
          </cell>
          <cell r="AY18">
            <v>736.25</v>
          </cell>
          <cell r="AZ18">
            <v>85.402705541847922</v>
          </cell>
          <cell r="BA18">
            <v>98.32864499999998</v>
          </cell>
          <cell r="BB18">
            <v>103.26844999999999</v>
          </cell>
          <cell r="BC18">
            <v>102.19354838709677</v>
          </cell>
          <cell r="BD18">
            <v>70.934600000000017</v>
          </cell>
          <cell r="BE18">
            <v>79.044499999999999</v>
          </cell>
          <cell r="BG18">
            <v>104.92727003669739</v>
          </cell>
          <cell r="BH18">
            <v>5.0143199920654293</v>
          </cell>
          <cell r="BI18">
            <v>1.1200000000000001</v>
          </cell>
          <cell r="BK18">
            <v>1017.963690048878</v>
          </cell>
          <cell r="BL18">
            <v>1067.0703490257265</v>
          </cell>
          <cell r="BM18">
            <v>1099.1843193340301</v>
          </cell>
          <cell r="BN18">
            <v>64.919193082584442</v>
          </cell>
          <cell r="BO18">
            <v>73.923610068244912</v>
          </cell>
          <cell r="BP18">
            <v>85.429580028152458</v>
          </cell>
          <cell r="BQ18">
            <v>37.31040908612264</v>
          </cell>
          <cell r="BR18">
            <v>79.944999999999993</v>
          </cell>
          <cell r="BS18">
            <v>85.910000000000011</v>
          </cell>
          <cell r="BU18">
            <v>20.638000000000002</v>
          </cell>
          <cell r="BV18">
            <v>4.6283199999999995</v>
          </cell>
          <cell r="BW18">
            <v>4.6283199999999995</v>
          </cell>
          <cell r="BY18">
            <v>241.741935483871</v>
          </cell>
          <cell r="BZ18">
            <v>274.26950000000005</v>
          </cell>
          <cell r="CA18">
            <v>274.04000000000002</v>
          </cell>
          <cell r="CB18">
            <v>42.193548387096776</v>
          </cell>
          <cell r="CC18">
            <v>41.821514999999998</v>
          </cell>
          <cell r="CD18">
            <v>40.876110000000004</v>
          </cell>
          <cell r="CE18">
            <v>42.580645161290313</v>
          </cell>
          <cell r="CF18">
            <v>45.80599999999999</v>
          </cell>
          <cell r="CG18">
            <v>37.605670000000003</v>
          </cell>
          <cell r="CI18">
            <v>995.24008001670848</v>
          </cell>
          <cell r="CJ18">
            <v>97.930419992065424</v>
          </cell>
          <cell r="CK18">
            <v>82.29683</v>
          </cell>
          <cell r="CM18">
            <v>9255.7770758265342</v>
          </cell>
          <cell r="CN18">
            <v>10894.042374114075</v>
          </cell>
          <cell r="CO18">
            <v>11104.96810946503</v>
          </cell>
          <cell r="CP18">
            <v>938.67873319278419</v>
          </cell>
          <cell r="CQ18">
            <v>1099.948641068245</v>
          </cell>
          <cell r="CR18">
            <v>1114.2633900281523</v>
          </cell>
          <cell r="CS18">
            <v>1036.559325185644</v>
          </cell>
          <cell r="CT18">
            <v>1087.674671</v>
          </cell>
          <cell r="CU18">
            <v>1118.4277300000001</v>
          </cell>
        </row>
        <row r="19">
          <cell r="B19">
            <v>41711</v>
          </cell>
          <cell r="C19">
            <v>499.17825996932982</v>
          </cell>
          <cell r="D19">
            <v>49.782000000000004</v>
          </cell>
          <cell r="E19">
            <v>45.928150000000002</v>
          </cell>
          <cell r="G19">
            <v>5233.4506189260228</v>
          </cell>
          <cell r="H19">
            <v>6194.5756709290426</v>
          </cell>
          <cell r="I19">
            <v>6401.7370001003274</v>
          </cell>
          <cell r="J19">
            <v>545.31071519861348</v>
          </cell>
          <cell r="K19">
            <v>628.07634500000006</v>
          </cell>
          <cell r="L19">
            <v>628.07032000000004</v>
          </cell>
          <cell r="M19">
            <v>648.46894943039547</v>
          </cell>
          <cell r="N19">
            <v>633.8985358333332</v>
          </cell>
          <cell r="O19">
            <v>659.78115000000003</v>
          </cell>
          <cell r="Q19">
            <v>204.57429999999999</v>
          </cell>
          <cell r="R19">
            <v>19.522320000000001</v>
          </cell>
          <cell r="S19">
            <v>19.246180000000003</v>
          </cell>
          <cell r="U19">
            <v>2208.8116960432121</v>
          </cell>
          <cell r="V19">
            <v>2792.4475583333328</v>
          </cell>
          <cell r="W19">
            <v>2809.6088</v>
          </cell>
          <cell r="X19">
            <v>226.21348999236972</v>
          </cell>
          <cell r="Y19">
            <v>285.99884733333334</v>
          </cell>
          <cell r="Z19">
            <v>289.53458999999998</v>
          </cell>
          <cell r="AA19">
            <v>241.12903225806457</v>
          </cell>
          <cell r="AB19">
            <v>285.91436358333334</v>
          </cell>
          <cell r="AC19">
            <v>282.06207000000001</v>
          </cell>
          <cell r="AE19">
            <v>35.715600000000002</v>
          </cell>
          <cell r="AF19">
            <v>4.2715899999999998</v>
          </cell>
          <cell r="AG19">
            <v>4.5823999999999998</v>
          </cell>
          <cell r="AI19">
            <v>415.00102548387099</v>
          </cell>
          <cell r="AJ19">
            <v>518.49554791666662</v>
          </cell>
          <cell r="AK19">
            <v>523.61615000000006</v>
          </cell>
          <cell r="AL19">
            <v>36.819354838709671</v>
          </cell>
          <cell r="AM19">
            <v>45.622584583333342</v>
          </cell>
          <cell r="AN19">
            <v>40.660250000000005</v>
          </cell>
          <cell r="AO19">
            <v>36.082967741935484</v>
          </cell>
          <cell r="AP19">
            <v>45.425260833333326</v>
          </cell>
          <cell r="AQ19">
            <v>43.78107</v>
          </cell>
          <cell r="AS19">
            <v>67.511499999999998</v>
          </cell>
          <cell r="AT19">
            <v>9.5926600000000004</v>
          </cell>
          <cell r="AU19">
            <v>6.3510200000000001</v>
          </cell>
          <cell r="AW19">
            <v>805.14739736516128</v>
          </cell>
          <cell r="AX19">
            <v>843.24229166666657</v>
          </cell>
          <cell r="AY19">
            <v>803.76149999999996</v>
          </cell>
          <cell r="AZ19">
            <v>92.519597670335244</v>
          </cell>
          <cell r="BA19">
            <v>106.52269874999998</v>
          </cell>
          <cell r="BB19">
            <v>112.86110999999998</v>
          </cell>
          <cell r="BC19">
            <v>110.70967741935483</v>
          </cell>
          <cell r="BD19">
            <v>76.845816666666678</v>
          </cell>
          <cell r="BE19">
            <v>85.395520000000005</v>
          </cell>
          <cell r="BG19">
            <v>102.14564009666442</v>
          </cell>
          <cell r="BH19">
            <v>5.2001500415802004</v>
          </cell>
          <cell r="BI19">
            <v>0</v>
          </cell>
          <cell r="BK19">
            <v>1102.7939975529512</v>
          </cell>
          <cell r="BL19">
            <v>1155.9928781112037</v>
          </cell>
          <cell r="BM19">
            <v>1201.3299594306945</v>
          </cell>
          <cell r="BN19">
            <v>70.329125839466485</v>
          </cell>
          <cell r="BO19">
            <v>80.08391090726532</v>
          </cell>
          <cell r="BP19">
            <v>90.629730069732659</v>
          </cell>
          <cell r="BQ19">
            <v>40.419609843299526</v>
          </cell>
          <cell r="BR19">
            <v>86.607083333333321</v>
          </cell>
          <cell r="BS19">
            <v>85.910000000000011</v>
          </cell>
          <cell r="BU19">
            <v>11.917</v>
          </cell>
          <cell r="BV19">
            <v>1.2271100000000001</v>
          </cell>
          <cell r="BW19">
            <v>1.2271100000000001</v>
          </cell>
          <cell r="BY19">
            <v>261.88709677419359</v>
          </cell>
          <cell r="BZ19">
            <v>297.12529166666673</v>
          </cell>
          <cell r="CA19">
            <v>285.95699999999999</v>
          </cell>
          <cell r="CB19">
            <v>45.70967741935484</v>
          </cell>
          <cell r="CC19">
            <v>45.306641249999998</v>
          </cell>
          <cell r="CD19">
            <v>42.103220000000007</v>
          </cell>
          <cell r="CE19">
            <v>46.129032258064505</v>
          </cell>
          <cell r="CF19">
            <v>49.623166666666656</v>
          </cell>
          <cell r="CG19">
            <v>38.832780000000007</v>
          </cell>
          <cell r="CI19">
            <v>921.04230006599425</v>
          </cell>
          <cell r="CJ19">
            <v>89.5958300415802</v>
          </cell>
          <cell r="CK19">
            <v>77.334860000000006</v>
          </cell>
          <cell r="CM19">
            <v>10027.091832145412</v>
          </cell>
          <cell r="CN19">
            <v>11801.87923862358</v>
          </cell>
          <cell r="CO19">
            <v>12026.010409531022</v>
          </cell>
          <cell r="CP19">
            <v>1016.9019609588493</v>
          </cell>
          <cell r="CQ19">
            <v>1191.6110278239321</v>
          </cell>
          <cell r="CR19">
            <v>1203.8592200697326</v>
          </cell>
          <cell r="CS19">
            <v>1122.9392689511142</v>
          </cell>
          <cell r="CT19">
            <v>1178.3142269166667</v>
          </cell>
          <cell r="CU19">
            <v>1195.76259</v>
          </cell>
        </row>
        <row r="20">
          <cell r="B20">
            <v>41712</v>
          </cell>
          <cell r="C20">
            <v>464.23543996582026</v>
          </cell>
          <cell r="D20">
            <v>43.668759999999992</v>
          </cell>
          <cell r="E20">
            <v>40.202509999999997</v>
          </cell>
          <cell r="G20">
            <v>5636.0237434587934</v>
          </cell>
          <cell r="H20">
            <v>6671.081491769738</v>
          </cell>
          <cell r="I20">
            <v>6865.972440066148</v>
          </cell>
          <cell r="J20">
            <v>587.25769329081447</v>
          </cell>
          <cell r="K20">
            <v>676.3899100000001</v>
          </cell>
          <cell r="L20">
            <v>671.73908000000006</v>
          </cell>
          <cell r="M20">
            <v>698.35117630965669</v>
          </cell>
          <cell r="N20">
            <v>682.6599616666665</v>
          </cell>
          <cell r="O20">
            <v>699.98365999999999</v>
          </cell>
          <cell r="Q20">
            <v>200.0855</v>
          </cell>
          <cell r="R20">
            <v>21.46773</v>
          </cell>
          <cell r="S20">
            <v>21.797599999999999</v>
          </cell>
          <cell r="U20">
            <v>2378.7202880465361</v>
          </cell>
          <cell r="V20">
            <v>3007.2512166666661</v>
          </cell>
          <cell r="W20">
            <v>3009.6943000000001</v>
          </cell>
          <cell r="X20">
            <v>243.61452768409046</v>
          </cell>
          <cell r="Y20">
            <v>307.99875866666667</v>
          </cell>
          <cell r="Z20">
            <v>311.00232</v>
          </cell>
          <cell r="AA20">
            <v>259.67741935483878</v>
          </cell>
          <cell r="AB20">
            <v>307.90777616666668</v>
          </cell>
          <cell r="AC20">
            <v>303.85966999999999</v>
          </cell>
          <cell r="AE20">
            <v>38.659740000000006</v>
          </cell>
          <cell r="AF20">
            <v>4.9922699999999995</v>
          </cell>
          <cell r="AG20">
            <v>5.46441</v>
          </cell>
          <cell r="AI20">
            <v>446.92418129032262</v>
          </cell>
          <cell r="AJ20">
            <v>558.37982083333327</v>
          </cell>
          <cell r="AK20">
            <v>562.27589000000012</v>
          </cell>
          <cell r="AL20">
            <v>39.651612903225796</v>
          </cell>
          <cell r="AM20">
            <v>49.132014166666679</v>
          </cell>
          <cell r="AN20">
            <v>45.652520000000003</v>
          </cell>
          <cell r="AO20">
            <v>38.85858064516129</v>
          </cell>
          <cell r="AP20">
            <v>48.919511666666658</v>
          </cell>
          <cell r="AQ20">
            <v>49.245480000000001</v>
          </cell>
          <cell r="AS20">
            <v>60.991</v>
          </cell>
          <cell r="AT20">
            <v>5.8617800000000004</v>
          </cell>
          <cell r="AU20">
            <v>3.8519200000000002</v>
          </cell>
          <cell r="AW20">
            <v>867.08181254709677</v>
          </cell>
          <cell r="AX20">
            <v>908.10708333333321</v>
          </cell>
          <cell r="AY20">
            <v>864.75249999999994</v>
          </cell>
          <cell r="AZ20">
            <v>99.636489798822566</v>
          </cell>
          <cell r="BA20">
            <v>114.71675249999997</v>
          </cell>
          <cell r="BB20">
            <v>118.72288999999998</v>
          </cell>
          <cell r="BC20">
            <v>119.2258064516129</v>
          </cell>
          <cell r="BD20">
            <v>82.757033333333339</v>
          </cell>
          <cell r="BE20">
            <v>89.247440000000012</v>
          </cell>
          <cell r="BG20">
            <v>97.014519672393803</v>
          </cell>
          <cell r="BH20">
            <v>4.5369200019836429</v>
          </cell>
          <cell r="BI20">
            <v>7.61</v>
          </cell>
          <cell r="BK20">
            <v>1187.6243050570242</v>
          </cell>
          <cell r="BL20">
            <v>1244.9154071966809</v>
          </cell>
          <cell r="BM20">
            <v>1298.3444791030884</v>
          </cell>
          <cell r="BN20">
            <v>75.739058596348528</v>
          </cell>
          <cell r="BO20">
            <v>86.244211746285728</v>
          </cell>
          <cell r="BP20">
            <v>95.166650071716305</v>
          </cell>
          <cell r="BQ20">
            <v>43.528810600476412</v>
          </cell>
          <cell r="BR20">
            <v>93.269166666666649</v>
          </cell>
          <cell r="BS20">
            <v>93.52000000000001</v>
          </cell>
          <cell r="BU20">
            <v>23.748999999999999</v>
          </cell>
          <cell r="BV20">
            <v>3.71868</v>
          </cell>
          <cell r="BW20">
            <v>4.2052800000000001</v>
          </cell>
          <cell r="BY20">
            <v>282.03225806451616</v>
          </cell>
          <cell r="BZ20">
            <v>319.9810833333334</v>
          </cell>
          <cell r="CA20">
            <v>309.70600000000002</v>
          </cell>
          <cell r="CB20">
            <v>49.225806451612904</v>
          </cell>
          <cell r="CC20">
            <v>48.791767499999999</v>
          </cell>
          <cell r="CD20">
            <v>45.821900000000007</v>
          </cell>
          <cell r="CE20">
            <v>49.677419354838698</v>
          </cell>
          <cell r="CF20">
            <v>53.440333333333321</v>
          </cell>
          <cell r="CG20">
            <v>43.038060000000009</v>
          </cell>
          <cell r="CI20">
            <v>884.73519963821411</v>
          </cell>
          <cell r="CJ20">
            <v>84.246140001983647</v>
          </cell>
          <cell r="CK20">
            <v>83.131720000000001</v>
          </cell>
          <cell r="CM20">
            <v>10798.40658846429</v>
          </cell>
          <cell r="CN20">
            <v>12709.716103133085</v>
          </cell>
          <cell r="CO20">
            <v>12910.745609169238</v>
          </cell>
          <cell r="CP20">
            <v>1095.1251887249148</v>
          </cell>
          <cell r="CQ20">
            <v>1283.2734145796194</v>
          </cell>
          <cell r="CR20">
            <v>1288.1053600717164</v>
          </cell>
          <cell r="CS20">
            <v>1209.3192127165848</v>
          </cell>
          <cell r="CT20">
            <v>1268.9537828333332</v>
          </cell>
          <cell r="CU20">
            <v>1278.8943100000001</v>
          </cell>
        </row>
        <row r="21">
          <cell r="B21">
            <v>41713</v>
          </cell>
          <cell r="C21">
            <v>494.81095993499753</v>
          </cell>
          <cell r="D21">
            <v>53.333239999999996</v>
          </cell>
          <cell r="E21">
            <v>49.832699999999996</v>
          </cell>
          <cell r="G21">
            <v>6038.5968679915641</v>
          </cell>
          <cell r="H21">
            <v>7147.5873126104334</v>
          </cell>
          <cell r="I21">
            <v>7360.7834000011453</v>
          </cell>
          <cell r="J21">
            <v>629.20467138301547</v>
          </cell>
          <cell r="K21">
            <v>724.70347500000014</v>
          </cell>
          <cell r="L21">
            <v>725.0723200000001</v>
          </cell>
          <cell r="M21">
            <v>748.23340318891792</v>
          </cell>
          <cell r="N21">
            <v>731.42138749999981</v>
          </cell>
          <cell r="O21">
            <v>749.81636000000003</v>
          </cell>
          <cell r="Q21">
            <v>229.5515</v>
          </cell>
          <cell r="R21">
            <v>23.321930000000002</v>
          </cell>
          <cell r="S21">
            <v>21.78764</v>
          </cell>
          <cell r="U21">
            <v>2548.6288800498601</v>
          </cell>
          <cell r="V21">
            <v>3222.0548749999994</v>
          </cell>
          <cell r="W21">
            <v>3239.2458000000001</v>
          </cell>
          <cell r="X21">
            <v>261.01556537581121</v>
          </cell>
          <cell r="Y21">
            <v>329.99867</v>
          </cell>
          <cell r="Z21">
            <v>334.32425000000001</v>
          </cell>
          <cell r="AA21">
            <v>278.22580645161298</v>
          </cell>
          <cell r="AB21">
            <v>329.90118875000002</v>
          </cell>
          <cell r="AC21">
            <v>325.64731</v>
          </cell>
          <cell r="AE21">
            <v>42.17436</v>
          </cell>
          <cell r="AF21">
            <v>4.36076</v>
          </cell>
          <cell r="AG21">
            <v>4.9020200000000003</v>
          </cell>
          <cell r="AI21">
            <v>478.84733709677425</v>
          </cell>
          <cell r="AJ21">
            <v>598.26409374999992</v>
          </cell>
          <cell r="AK21">
            <v>604.4502500000001</v>
          </cell>
          <cell r="AL21">
            <v>42.483870967741922</v>
          </cell>
          <cell r="AM21">
            <v>52.641443750000015</v>
          </cell>
          <cell r="AN21">
            <v>50.013280000000002</v>
          </cell>
          <cell r="AO21">
            <v>41.634193548387096</v>
          </cell>
          <cell r="AP21">
            <v>52.41376249999999</v>
          </cell>
          <cell r="AQ21">
            <v>54.147500000000001</v>
          </cell>
          <cell r="AS21">
            <v>74.837000000000003</v>
          </cell>
          <cell r="AT21">
            <v>8.4540600000000001</v>
          </cell>
          <cell r="AU21">
            <v>5.7351000000000001</v>
          </cell>
          <cell r="AW21">
            <v>929.01622772903227</v>
          </cell>
          <cell r="AX21">
            <v>972.97187499999984</v>
          </cell>
          <cell r="AY21">
            <v>939.58949999999993</v>
          </cell>
          <cell r="AZ21">
            <v>106.75338192730989</v>
          </cell>
          <cell r="BA21">
            <v>122.91080624999996</v>
          </cell>
          <cell r="BB21">
            <v>127.17694999999998</v>
          </cell>
          <cell r="BC21">
            <v>127.74193548387096</v>
          </cell>
          <cell r="BD21">
            <v>88.66825</v>
          </cell>
          <cell r="BE21">
            <v>94.982540000000014</v>
          </cell>
          <cell r="BG21">
            <v>102.09192982673645</v>
          </cell>
          <cell r="BH21">
            <v>4.5740900096893311</v>
          </cell>
          <cell r="BI21">
            <v>5.77</v>
          </cell>
          <cell r="BK21">
            <v>1272.4546125610973</v>
          </cell>
          <cell r="BL21">
            <v>1333.8379362821581</v>
          </cell>
          <cell r="BM21">
            <v>1400.4364089298249</v>
          </cell>
          <cell r="BN21">
            <v>81.148991353230571</v>
          </cell>
          <cell r="BO21">
            <v>92.404512585306136</v>
          </cell>
          <cell r="BP21">
            <v>99.740740081405633</v>
          </cell>
          <cell r="BQ21">
            <v>46.638011357653298</v>
          </cell>
          <cell r="BR21">
            <v>99.931249999999977</v>
          </cell>
          <cell r="BS21">
            <v>99.29</v>
          </cell>
          <cell r="BU21">
            <v>15.946</v>
          </cell>
          <cell r="BV21">
            <v>2.3204400000000001</v>
          </cell>
          <cell r="BW21">
            <v>3.0159600000000002</v>
          </cell>
          <cell r="BY21">
            <v>302.17741935483872</v>
          </cell>
          <cell r="BZ21">
            <v>342.83687500000008</v>
          </cell>
          <cell r="CA21">
            <v>325.65200000000004</v>
          </cell>
          <cell r="CB21">
            <v>52.741935483870968</v>
          </cell>
          <cell r="CC21">
            <v>52.276893749999999</v>
          </cell>
          <cell r="CD21">
            <v>48.142340000000004</v>
          </cell>
          <cell r="CE21">
            <v>53.22580645161289</v>
          </cell>
          <cell r="CF21">
            <v>57.257499999999986</v>
          </cell>
          <cell r="CG21">
            <v>46.054020000000008</v>
          </cell>
          <cell r="CI21">
            <v>959.41174976173397</v>
          </cell>
          <cell r="CJ21">
            <v>96.364520009689329</v>
          </cell>
          <cell r="CK21">
            <v>91.043419999999998</v>
          </cell>
          <cell r="CM21">
            <v>11569.721344783169</v>
          </cell>
          <cell r="CN21">
            <v>13617.55296764259</v>
          </cell>
          <cell r="CO21">
            <v>13870.15735893097</v>
          </cell>
          <cell r="CP21">
            <v>1173.3484164909801</v>
          </cell>
          <cell r="CQ21">
            <v>1374.9358013353062</v>
          </cell>
          <cell r="CR21">
            <v>1384.4698800814058</v>
          </cell>
          <cell r="CS21">
            <v>1295.6991564820553</v>
          </cell>
          <cell r="CT21">
            <v>1359.5933387499997</v>
          </cell>
          <cell r="CU21">
            <v>1369.9377300000001</v>
          </cell>
        </row>
        <row r="22">
          <cell r="B22">
            <v>41714</v>
          </cell>
          <cell r="C22">
            <v>512.21834010696409</v>
          </cell>
          <cell r="D22">
            <v>60.947320000000005</v>
          </cell>
          <cell r="E22">
            <v>46.840730000000001</v>
          </cell>
          <cell r="G22">
            <v>6441.1699925243347</v>
          </cell>
          <cell r="H22">
            <v>7624.0931334511288</v>
          </cell>
          <cell r="I22">
            <v>7873.0017401081095</v>
          </cell>
          <cell r="J22">
            <v>671.15164947521646</v>
          </cell>
          <cell r="K22">
            <v>773.01704000000018</v>
          </cell>
          <cell r="L22">
            <v>786.01964000000009</v>
          </cell>
          <cell r="M22">
            <v>798.11563006817914</v>
          </cell>
          <cell r="N22">
            <v>780.18281333333312</v>
          </cell>
          <cell r="O22">
            <v>796.65709000000004</v>
          </cell>
          <cell r="Q22">
            <v>205.49350000000001</v>
          </cell>
          <cell r="R22">
            <v>19.40071</v>
          </cell>
          <cell r="S22">
            <v>25.06054</v>
          </cell>
          <cell r="U22">
            <v>2718.537472053184</v>
          </cell>
          <cell r="V22">
            <v>3436.8585333333326</v>
          </cell>
          <cell r="W22">
            <v>3444.7393000000002</v>
          </cell>
          <cell r="X22">
            <v>278.41660306753198</v>
          </cell>
          <cell r="Y22">
            <v>351.99858133333333</v>
          </cell>
          <cell r="Z22">
            <v>353.72496000000001</v>
          </cell>
          <cell r="AA22">
            <v>296.77419354838719</v>
          </cell>
          <cell r="AB22">
            <v>351.89460133333336</v>
          </cell>
          <cell r="AC22">
            <v>350.70785000000001</v>
          </cell>
          <cell r="AE22">
            <v>42.556100000000001</v>
          </cell>
          <cell r="AF22">
            <v>4.8443200000000006</v>
          </cell>
          <cell r="AG22">
            <v>0.89376999999999995</v>
          </cell>
          <cell r="AI22">
            <v>510.77049290322589</v>
          </cell>
          <cell r="AJ22">
            <v>638.14836666666656</v>
          </cell>
          <cell r="AK22">
            <v>647.00635000000011</v>
          </cell>
          <cell r="AL22">
            <v>45.316129032258047</v>
          </cell>
          <cell r="AM22">
            <v>56.150873333333351</v>
          </cell>
          <cell r="AN22">
            <v>54.857600000000005</v>
          </cell>
          <cell r="AO22">
            <v>44.409806451612901</v>
          </cell>
          <cell r="AP22">
            <v>55.908013333333322</v>
          </cell>
          <cell r="AQ22">
            <v>55.041269999999997</v>
          </cell>
          <cell r="AS22">
            <v>72.254000000000005</v>
          </cell>
          <cell r="AT22">
            <v>8.3717000000000006</v>
          </cell>
          <cell r="AU22">
            <v>4.6653600000000006</v>
          </cell>
          <cell r="AW22">
            <v>990.95064291096776</v>
          </cell>
          <cell r="AX22">
            <v>1037.8366666666666</v>
          </cell>
          <cell r="AY22">
            <v>1011.8434999999999</v>
          </cell>
          <cell r="AZ22">
            <v>113.87027405579721</v>
          </cell>
          <cell r="BA22">
            <v>131.10485999999997</v>
          </cell>
          <cell r="BB22">
            <v>135.54864999999998</v>
          </cell>
          <cell r="BC22">
            <v>136.25806451612902</v>
          </cell>
          <cell r="BD22">
            <v>94.579466666666661</v>
          </cell>
          <cell r="BE22">
            <v>99.647900000000021</v>
          </cell>
          <cell r="BG22">
            <v>89.689790264129641</v>
          </cell>
          <cell r="BH22">
            <v>7.2344100120544432</v>
          </cell>
          <cell r="BI22">
            <v>0</v>
          </cell>
          <cell r="BK22">
            <v>1357.2849200651704</v>
          </cell>
          <cell r="BL22">
            <v>1422.7604653676353</v>
          </cell>
          <cell r="BM22">
            <v>1490.1261991939546</v>
          </cell>
          <cell r="BN22">
            <v>86.558924110112613</v>
          </cell>
          <cell r="BO22">
            <v>98.564813424326545</v>
          </cell>
          <cell r="BP22">
            <v>106.97515009346007</v>
          </cell>
          <cell r="BQ22">
            <v>49.747212114830184</v>
          </cell>
          <cell r="BR22">
            <v>106.59333333333331</v>
          </cell>
          <cell r="BS22">
            <v>99.29</v>
          </cell>
          <cell r="BU22">
            <v>24.956</v>
          </cell>
          <cell r="BV22">
            <v>3.4307399999999997</v>
          </cell>
          <cell r="BW22">
            <v>4.2117500000000003</v>
          </cell>
          <cell r="BY22">
            <v>322.32258064516128</v>
          </cell>
          <cell r="BZ22">
            <v>365.69266666666675</v>
          </cell>
          <cell r="CA22">
            <v>350.60800000000006</v>
          </cell>
          <cell r="CB22">
            <v>56.258064516129032</v>
          </cell>
          <cell r="CC22">
            <v>55.76202</v>
          </cell>
          <cell r="CD22">
            <v>51.573080000000004</v>
          </cell>
          <cell r="CE22">
            <v>56.774193548387082</v>
          </cell>
          <cell r="CF22">
            <v>61.074666666666651</v>
          </cell>
          <cell r="CG22">
            <v>50.26577000000001</v>
          </cell>
          <cell r="CI22">
            <v>947.16773037109385</v>
          </cell>
          <cell r="CJ22">
            <v>104.22920001205445</v>
          </cell>
          <cell r="CK22">
            <v>81.672150000000002</v>
          </cell>
          <cell r="CM22">
            <v>12341.036101102045</v>
          </cell>
          <cell r="CN22">
            <v>14525.389832152096</v>
          </cell>
          <cell r="CO22">
            <v>14817.325089302063</v>
          </cell>
          <cell r="CP22">
            <v>1251.5716442570454</v>
          </cell>
          <cell r="CQ22">
            <v>1466.5981880909931</v>
          </cell>
          <cell r="CR22">
            <v>1488.69908009346</v>
          </cell>
          <cell r="CS22">
            <v>1382.0791002475257</v>
          </cell>
          <cell r="CT22">
            <v>1450.2328946666664</v>
          </cell>
          <cell r="CU22">
            <v>1451.6098799999997</v>
          </cell>
        </row>
        <row r="23">
          <cell r="B23">
            <v>41715</v>
          </cell>
          <cell r="C23">
            <v>490.7425398239136</v>
          </cell>
          <cell r="D23">
            <v>57.44932</v>
          </cell>
          <cell r="E23">
            <v>56.451370000000004</v>
          </cell>
          <cell r="G23">
            <v>6843.7431170571053</v>
          </cell>
          <cell r="H23">
            <v>8100.5989542918242</v>
          </cell>
          <cell r="I23">
            <v>8363.7442799320233</v>
          </cell>
          <cell r="J23">
            <v>713.09862756741745</v>
          </cell>
          <cell r="K23">
            <v>821.33060500000022</v>
          </cell>
          <cell r="L23">
            <v>843.46896000000015</v>
          </cell>
          <cell r="M23">
            <v>847.99785694744037</v>
          </cell>
          <cell r="N23">
            <v>828.94423916666642</v>
          </cell>
          <cell r="O23">
            <v>853.10846000000004</v>
          </cell>
          <cell r="Q23">
            <v>219.881</v>
          </cell>
          <cell r="R23">
            <v>19.58202</v>
          </cell>
          <cell r="S23">
            <v>22.084259999999997</v>
          </cell>
          <cell r="U23">
            <v>2888.446064056508</v>
          </cell>
          <cell r="V23">
            <v>3651.6621916666659</v>
          </cell>
          <cell r="W23">
            <v>3664.6203</v>
          </cell>
          <cell r="X23">
            <v>295.81764075925275</v>
          </cell>
          <cell r="Y23">
            <v>373.99849266666666</v>
          </cell>
          <cell r="Z23">
            <v>373.30698000000001</v>
          </cell>
          <cell r="AA23">
            <v>315.32258064516139</v>
          </cell>
          <cell r="AB23">
            <v>373.88801391666669</v>
          </cell>
          <cell r="AC23">
            <v>372.79210999999998</v>
          </cell>
          <cell r="AE23">
            <v>39.436300000000003</v>
          </cell>
          <cell r="AF23">
            <v>3.8964899999999996</v>
          </cell>
          <cell r="AG23">
            <v>5.7943199999999999</v>
          </cell>
          <cell r="AI23">
            <v>542.69364870967752</v>
          </cell>
          <cell r="AJ23">
            <v>678.03263958333321</v>
          </cell>
          <cell r="AK23">
            <v>686.44265000000007</v>
          </cell>
          <cell r="AL23">
            <v>48.148387096774172</v>
          </cell>
          <cell r="AM23">
            <v>59.660302916666687</v>
          </cell>
          <cell r="AN23">
            <v>58.754090000000005</v>
          </cell>
          <cell r="AO23">
            <v>47.185419354838707</v>
          </cell>
          <cell r="AP23">
            <v>59.402264166666654</v>
          </cell>
          <cell r="AQ23">
            <v>60.835589999999996</v>
          </cell>
          <cell r="AS23">
            <v>64.938999999999993</v>
          </cell>
          <cell r="AT23">
            <v>8.80124</v>
          </cell>
          <cell r="AU23">
            <v>4.9980400000000005</v>
          </cell>
          <cell r="AW23">
            <v>1052.8850580929031</v>
          </cell>
          <cell r="AX23">
            <v>1102.7014583333332</v>
          </cell>
          <cell r="AY23">
            <v>1076.7825</v>
          </cell>
          <cell r="AZ23">
            <v>120.98716618428453</v>
          </cell>
          <cell r="BA23">
            <v>139.29891374999997</v>
          </cell>
          <cell r="BB23">
            <v>144.34988999999999</v>
          </cell>
          <cell r="BC23">
            <v>144.77419354838707</v>
          </cell>
          <cell r="BD23">
            <v>100.49068333333332</v>
          </cell>
          <cell r="BE23">
            <v>104.64594000000002</v>
          </cell>
          <cell r="BG23">
            <v>87.812969869613653</v>
          </cell>
          <cell r="BH23">
            <v>8.8857300289917003</v>
          </cell>
          <cell r="BI23">
            <v>7.81</v>
          </cell>
          <cell r="BK23">
            <v>1442.1152275692434</v>
          </cell>
          <cell r="BL23">
            <v>1511.6829944531125</v>
          </cell>
          <cell r="BM23">
            <v>1577.9391690635682</v>
          </cell>
          <cell r="BN23">
            <v>91.968856866994656</v>
          </cell>
          <cell r="BO23">
            <v>104.72511426334695</v>
          </cell>
          <cell r="BP23">
            <v>115.86088012245177</v>
          </cell>
          <cell r="BQ23">
            <v>52.85641287200707</v>
          </cell>
          <cell r="BR23">
            <v>113.25541666666663</v>
          </cell>
          <cell r="BS23">
            <v>107.10000000000001</v>
          </cell>
          <cell r="BU23">
            <v>26.545500000000001</v>
          </cell>
          <cell r="BV23">
            <v>4.2070200000000009</v>
          </cell>
          <cell r="BW23">
            <v>5.4024999999999999</v>
          </cell>
          <cell r="BY23">
            <v>342.46774193548384</v>
          </cell>
          <cell r="BZ23">
            <v>388.54845833333343</v>
          </cell>
          <cell r="CA23">
            <v>377.15350000000007</v>
          </cell>
          <cell r="CB23">
            <v>59.774193548387096</v>
          </cell>
          <cell r="CC23">
            <v>59.24714625</v>
          </cell>
          <cell r="CD23">
            <v>55.780100000000004</v>
          </cell>
          <cell r="CE23">
            <v>60.322580645161274</v>
          </cell>
          <cell r="CF23">
            <v>64.891833333333324</v>
          </cell>
          <cell r="CG23">
            <v>55.668270000000007</v>
          </cell>
          <cell r="CI23">
            <v>929.3573096935271</v>
          </cell>
          <cell r="CJ23">
            <v>102.82182002899171</v>
          </cell>
          <cell r="CK23">
            <v>102.54049000000001</v>
          </cell>
          <cell r="CM23">
            <v>13112.350857420921</v>
          </cell>
          <cell r="CN23">
            <v>15433.226696661601</v>
          </cell>
          <cell r="CO23">
            <v>15746.682398995592</v>
          </cell>
          <cell r="CP23">
            <v>1329.7948720231107</v>
          </cell>
          <cell r="CQ23">
            <v>1558.2605748466806</v>
          </cell>
          <cell r="CR23">
            <v>1591.5209001224518</v>
          </cell>
          <cell r="CS23">
            <v>1468.4590440129959</v>
          </cell>
          <cell r="CT23">
            <v>1540.8724505833329</v>
          </cell>
          <cell r="CU23">
            <v>1554.1503699999998</v>
          </cell>
        </row>
        <row r="24">
          <cell r="B24">
            <v>41716</v>
          </cell>
          <cell r="C24">
            <v>521.37002999999993</v>
          </cell>
          <cell r="D24">
            <v>52.009160000000001</v>
          </cell>
          <cell r="E24">
            <v>53.711839999999995</v>
          </cell>
          <cell r="G24">
            <v>7246.316241589876</v>
          </cell>
          <cell r="H24">
            <v>8577.1047751325204</v>
          </cell>
          <cell r="I24">
            <v>8885.1143099320234</v>
          </cell>
          <cell r="J24">
            <v>755.04560565961845</v>
          </cell>
          <cell r="K24">
            <v>869.64417000000026</v>
          </cell>
          <cell r="L24">
            <v>895.4781200000001</v>
          </cell>
          <cell r="M24">
            <v>897.88008382670159</v>
          </cell>
          <cell r="N24">
            <v>877.70566499999973</v>
          </cell>
          <cell r="O24">
            <v>906.82030000000009</v>
          </cell>
          <cell r="Q24">
            <v>232.05850000000001</v>
          </cell>
          <cell r="R24">
            <v>22.126082</v>
          </cell>
          <cell r="S24">
            <v>24.196052000000002</v>
          </cell>
          <cell r="U24">
            <v>3058.354656059832</v>
          </cell>
          <cell r="V24">
            <v>3866.4658499999991</v>
          </cell>
          <cell r="W24">
            <v>3896.6788000000001</v>
          </cell>
          <cell r="X24">
            <v>313.21867845097353</v>
          </cell>
          <cell r="Y24">
            <v>395.99840399999999</v>
          </cell>
          <cell r="Z24">
            <v>395.43306200000001</v>
          </cell>
          <cell r="AA24">
            <v>333.8709677419356</v>
          </cell>
          <cell r="AB24">
            <v>395.88142650000003</v>
          </cell>
          <cell r="AC24">
            <v>396.98816199999999</v>
          </cell>
          <cell r="AE24">
            <v>42.7376</v>
          </cell>
          <cell r="AF24">
            <v>4.8246600000000006</v>
          </cell>
          <cell r="AG24">
            <v>6.9221100000000009</v>
          </cell>
          <cell r="AI24">
            <v>574.61680451612915</v>
          </cell>
          <cell r="AJ24">
            <v>717.91691249999985</v>
          </cell>
          <cell r="AK24">
            <v>729.18025000000011</v>
          </cell>
          <cell r="AL24">
            <v>50.980645161290298</v>
          </cell>
          <cell r="AM24">
            <v>63.169732500000023</v>
          </cell>
          <cell r="AN24">
            <v>63.578750000000007</v>
          </cell>
          <cell r="AO24">
            <v>49.961032258064513</v>
          </cell>
          <cell r="AP24">
            <v>62.896514999999987</v>
          </cell>
          <cell r="AQ24">
            <v>67.7577</v>
          </cell>
          <cell r="AS24">
            <v>70.552999999999997</v>
          </cell>
          <cell r="AT24">
            <v>10.055099999999998</v>
          </cell>
          <cell r="AU24">
            <v>7.1053799999999994</v>
          </cell>
          <cell r="AW24">
            <v>1114.8194732748386</v>
          </cell>
          <cell r="AX24">
            <v>1167.5662499999999</v>
          </cell>
          <cell r="AY24">
            <v>1147.3355000000001</v>
          </cell>
          <cell r="AZ24">
            <v>128.10405831277185</v>
          </cell>
          <cell r="BA24">
            <v>147.49296749999996</v>
          </cell>
          <cell r="BB24">
            <v>154.40499</v>
          </cell>
          <cell r="BC24">
            <v>153.29032258064512</v>
          </cell>
          <cell r="BD24">
            <v>106.40189999999998</v>
          </cell>
          <cell r="BE24">
            <v>111.75132000000002</v>
          </cell>
          <cell r="BG24">
            <v>94.578979909896844</v>
          </cell>
          <cell r="BH24">
            <v>7.7040499806213374</v>
          </cell>
          <cell r="BI24">
            <v>7.1</v>
          </cell>
          <cell r="BK24">
            <v>1526.9455350733165</v>
          </cell>
          <cell r="BL24">
            <v>1600.6055235385898</v>
          </cell>
          <cell r="BM24">
            <v>1672.518148973465</v>
          </cell>
          <cell r="BN24">
            <v>97.378789623876699</v>
          </cell>
          <cell r="BO24">
            <v>110.88541510236736</v>
          </cell>
          <cell r="BP24">
            <v>123.56493010307311</v>
          </cell>
          <cell r="BQ24">
            <v>55.965613629183956</v>
          </cell>
          <cell r="BR24">
            <v>119.91749999999996</v>
          </cell>
          <cell r="BS24">
            <v>114.2</v>
          </cell>
          <cell r="BU24">
            <v>25.568000000000001</v>
          </cell>
          <cell r="BV24">
            <v>5.3260700000000005</v>
          </cell>
          <cell r="BW24">
            <v>5.1572700000000005</v>
          </cell>
          <cell r="BY24">
            <v>362.61290322580641</v>
          </cell>
          <cell r="BZ24">
            <v>411.4042500000001</v>
          </cell>
          <cell r="CA24">
            <v>402.72150000000005</v>
          </cell>
          <cell r="CB24">
            <v>63.29032258064516</v>
          </cell>
          <cell r="CC24">
            <v>62.732272500000001</v>
          </cell>
          <cell r="CD24">
            <v>61.106170000000006</v>
          </cell>
          <cell r="CE24">
            <v>63.870967741935466</v>
          </cell>
          <cell r="CF24">
            <v>68.708999999999989</v>
          </cell>
          <cell r="CG24">
            <v>60.825540000000004</v>
          </cell>
          <cell r="CI24">
            <v>986.86610990989675</v>
          </cell>
          <cell r="CJ24">
            <v>102.04512198062133</v>
          </cell>
          <cell r="CK24">
            <v>104.192652</v>
          </cell>
          <cell r="CM24">
            <v>13883.665613739799</v>
          </cell>
          <cell r="CN24">
            <v>16341.063561171108</v>
          </cell>
          <cell r="CO24">
            <v>16733.548508905486</v>
          </cell>
          <cell r="CP24">
            <v>1408.0180997891759</v>
          </cell>
          <cell r="CQ24">
            <v>1649.9229616023676</v>
          </cell>
          <cell r="CR24">
            <v>1693.566022103073</v>
          </cell>
          <cell r="CS24">
            <v>1554.8389877784662</v>
          </cell>
          <cell r="CT24">
            <v>1631.5120064999999</v>
          </cell>
          <cell r="CU24">
            <v>1658.3430220000002</v>
          </cell>
        </row>
        <row r="25">
          <cell r="B25">
            <v>41717</v>
          </cell>
          <cell r="C25">
            <v>504.67956999969482</v>
          </cell>
          <cell r="D25">
            <v>57.441759999999995</v>
          </cell>
          <cell r="E25">
            <v>31.53762</v>
          </cell>
          <cell r="G25">
            <v>7648.8893661226466</v>
          </cell>
          <cell r="H25">
            <v>9053.6105959732158</v>
          </cell>
          <cell r="I25">
            <v>9389.793879931718</v>
          </cell>
          <cell r="J25">
            <v>796.99258375181944</v>
          </cell>
          <cell r="K25">
            <v>917.9577350000003</v>
          </cell>
          <cell r="L25">
            <v>952.91988000000015</v>
          </cell>
          <cell r="M25">
            <v>947.76231070596282</v>
          </cell>
          <cell r="N25">
            <v>926.46709083333303</v>
          </cell>
          <cell r="O25">
            <v>938.35792000000004</v>
          </cell>
          <cell r="Q25">
            <v>226.19049999999999</v>
          </cell>
          <cell r="R25">
            <v>23.647410000000001</v>
          </cell>
          <cell r="S25">
            <v>13.688979999999999</v>
          </cell>
          <cell r="U25">
            <v>3228.263248063156</v>
          </cell>
          <cell r="V25">
            <v>4081.2695083333324</v>
          </cell>
          <cell r="W25">
            <v>4122.8693000000003</v>
          </cell>
          <cell r="X25">
            <v>330.6197161426943</v>
          </cell>
          <cell r="Y25">
            <v>417.99831533333332</v>
          </cell>
          <cell r="Z25">
            <v>419.08047199999999</v>
          </cell>
          <cell r="AA25">
            <v>352.41935483870981</v>
          </cell>
          <cell r="AB25">
            <v>417.87483908333337</v>
          </cell>
          <cell r="AC25">
            <v>410.677142</v>
          </cell>
          <cell r="AE25">
            <v>43.880800000000001</v>
          </cell>
          <cell r="AF25">
            <v>5.2142700000000008</v>
          </cell>
          <cell r="AG25">
            <v>4.9478900000000001</v>
          </cell>
          <cell r="AI25">
            <v>606.53996032258078</v>
          </cell>
          <cell r="AJ25">
            <v>757.8011854166665</v>
          </cell>
          <cell r="AK25">
            <v>773.06105000000014</v>
          </cell>
          <cell r="AL25">
            <v>53.812903225806423</v>
          </cell>
          <cell r="AM25">
            <v>66.679162083333352</v>
          </cell>
          <cell r="AN25">
            <v>68.793020000000013</v>
          </cell>
          <cell r="AO25">
            <v>52.736645161290319</v>
          </cell>
          <cell r="AP25">
            <v>66.390765833333319</v>
          </cell>
          <cell r="AQ25">
            <v>72.705590000000001</v>
          </cell>
          <cell r="AS25">
            <v>49.104999999999997</v>
          </cell>
          <cell r="AT25">
            <v>5.4720599999999999</v>
          </cell>
          <cell r="AU25">
            <v>5.2573599999999994</v>
          </cell>
          <cell r="AW25">
            <v>1176.7538884567741</v>
          </cell>
          <cell r="AX25">
            <v>1232.4310416666665</v>
          </cell>
          <cell r="AY25">
            <v>1196.4405000000002</v>
          </cell>
          <cell r="AZ25">
            <v>135.22095044125919</v>
          </cell>
          <cell r="BA25">
            <v>155.68702124999996</v>
          </cell>
          <cell r="BB25">
            <v>159.87705</v>
          </cell>
          <cell r="BC25">
            <v>161.80645161290317</v>
          </cell>
          <cell r="BD25">
            <v>112.31311666666664</v>
          </cell>
          <cell r="BE25">
            <v>117.00868000000003</v>
          </cell>
          <cell r="BG25">
            <v>90.3463800239563</v>
          </cell>
          <cell r="BH25">
            <v>4.8551800049591067</v>
          </cell>
          <cell r="BI25">
            <v>8.7100000000000009</v>
          </cell>
          <cell r="BK25">
            <v>1611.7758425773895</v>
          </cell>
          <cell r="BL25">
            <v>1689.528052624067</v>
          </cell>
          <cell r="BM25">
            <v>1762.8645289974213</v>
          </cell>
          <cell r="BN25">
            <v>102.78872238075874</v>
          </cell>
          <cell r="BO25">
            <v>117.04571594138777</v>
          </cell>
          <cell r="BP25">
            <v>128.42011010803222</v>
          </cell>
          <cell r="BQ25">
            <v>59.074814386360842</v>
          </cell>
          <cell r="BR25">
            <v>126.57958333333329</v>
          </cell>
          <cell r="BS25">
            <v>122.91</v>
          </cell>
          <cell r="BU25">
            <v>19.6435</v>
          </cell>
          <cell r="BV25">
            <v>3.7067100000000002</v>
          </cell>
          <cell r="BW25">
            <v>5.5104700000000006</v>
          </cell>
          <cell r="BY25">
            <v>382.75806451612897</v>
          </cell>
          <cell r="BZ25">
            <v>434.26004166666678</v>
          </cell>
          <cell r="CA25">
            <v>422.36500000000007</v>
          </cell>
          <cell r="CB25">
            <v>66.806451612903231</v>
          </cell>
          <cell r="CC25">
            <v>66.217398750000001</v>
          </cell>
          <cell r="CD25">
            <v>64.812880000000007</v>
          </cell>
          <cell r="CE25">
            <v>67.419354838709666</v>
          </cell>
          <cell r="CF25">
            <v>72.526166666666654</v>
          </cell>
          <cell r="CG25">
            <v>66.336010000000002</v>
          </cell>
          <cell r="CI25">
            <v>933.84575002365114</v>
          </cell>
          <cell r="CJ25">
            <v>100.3373900049591</v>
          </cell>
          <cell r="CK25">
            <v>69.652320000000003</v>
          </cell>
          <cell r="CM25">
            <v>14654.980370058678</v>
          </cell>
          <cell r="CN25">
            <v>17248.900425680618</v>
          </cell>
          <cell r="CO25">
            <v>17667.394258929144</v>
          </cell>
          <cell r="CP25">
            <v>1486.2413275552415</v>
          </cell>
          <cell r="CQ25">
            <v>1741.5853483580547</v>
          </cell>
          <cell r="CR25">
            <v>1793.9034121080324</v>
          </cell>
          <cell r="CS25">
            <v>1641.2189315439368</v>
          </cell>
          <cell r="CT25">
            <v>1722.1515624166664</v>
          </cell>
          <cell r="CU25">
            <v>1727.9953419999999</v>
          </cell>
        </row>
        <row r="26">
          <cell r="B26">
            <v>41718</v>
          </cell>
          <cell r="C26">
            <v>360.42555022888183</v>
          </cell>
          <cell r="D26">
            <v>40.463639999999998</v>
          </cell>
          <cell r="E26">
            <v>31.800999999999998</v>
          </cell>
          <cell r="G26">
            <v>8051.4624906554172</v>
          </cell>
          <cell r="H26">
            <v>9530.1164168139112</v>
          </cell>
          <cell r="I26">
            <v>9750.2194301605996</v>
          </cell>
          <cell r="J26">
            <v>838.93956184402043</v>
          </cell>
          <cell r="K26">
            <v>966.27130000000034</v>
          </cell>
          <cell r="L26">
            <v>993.38352000000009</v>
          </cell>
          <cell r="M26">
            <v>997.64453758522404</v>
          </cell>
          <cell r="N26">
            <v>975.22851666666634</v>
          </cell>
          <cell r="O26">
            <v>970.15892000000008</v>
          </cell>
          <cell r="Q26">
            <v>180.51849999999999</v>
          </cell>
          <cell r="R26">
            <v>19.964980000000004</v>
          </cell>
          <cell r="S26">
            <v>23.474300000000007</v>
          </cell>
          <cell r="U26">
            <v>3398.1718400664799</v>
          </cell>
          <cell r="V26">
            <v>4296.0731666666661</v>
          </cell>
          <cell r="W26">
            <v>4303.3878000000004</v>
          </cell>
          <cell r="X26">
            <v>348.02075383441507</v>
          </cell>
          <cell r="Y26">
            <v>439.99822666666665</v>
          </cell>
          <cell r="Z26">
            <v>439.04545200000001</v>
          </cell>
          <cell r="AA26">
            <v>370.96774193548401</v>
          </cell>
          <cell r="AB26">
            <v>439.86825166666671</v>
          </cell>
          <cell r="AC26">
            <v>434.15144200000003</v>
          </cell>
          <cell r="AE26">
            <v>36.354599999999998</v>
          </cell>
          <cell r="AF26">
            <v>3.1134200000000001</v>
          </cell>
          <cell r="AG26">
            <v>2.5164299999999997</v>
          </cell>
          <cell r="AI26">
            <v>638.46311612903241</v>
          </cell>
          <cell r="AJ26">
            <v>797.68545833333314</v>
          </cell>
          <cell r="AK26">
            <v>809.41565000000014</v>
          </cell>
          <cell r="AL26">
            <v>56.645161290322548</v>
          </cell>
          <cell r="AM26">
            <v>70.188591666666682</v>
          </cell>
          <cell r="AN26">
            <v>71.906440000000018</v>
          </cell>
          <cell r="AO26">
            <v>55.512258064516125</v>
          </cell>
          <cell r="AP26">
            <v>69.885016666666658</v>
          </cell>
          <cell r="AQ26">
            <v>75.222020000000001</v>
          </cell>
          <cell r="AS26">
            <v>71.813000000000002</v>
          </cell>
          <cell r="AT26">
            <v>7.8549800000000003</v>
          </cell>
          <cell r="AU26">
            <v>4.8617999999999997</v>
          </cell>
          <cell r="AW26">
            <v>1238.6883036387096</v>
          </cell>
          <cell r="AX26">
            <v>1297.2958333333331</v>
          </cell>
          <cell r="AY26">
            <v>1268.2535000000003</v>
          </cell>
          <cell r="AZ26">
            <v>142.33784256974653</v>
          </cell>
          <cell r="BA26">
            <v>163.88107499999995</v>
          </cell>
          <cell r="BB26">
            <v>167.73203000000001</v>
          </cell>
          <cell r="BC26">
            <v>170.32258064516122</v>
          </cell>
          <cell r="BD26">
            <v>118.22433333333331</v>
          </cell>
          <cell r="BE26">
            <v>121.87048000000003</v>
          </cell>
          <cell r="BG26">
            <v>40.656930097579959</v>
          </cell>
          <cell r="BH26">
            <v>3.9794499970245361</v>
          </cell>
          <cell r="BI26">
            <v>7.93</v>
          </cell>
          <cell r="BK26">
            <v>1696.6061500814626</v>
          </cell>
          <cell r="BL26">
            <v>1778.4505817095442</v>
          </cell>
          <cell r="BM26">
            <v>1803.5214590950013</v>
          </cell>
          <cell r="BN26">
            <v>108.19865513764078</v>
          </cell>
          <cell r="BO26">
            <v>123.20601678040818</v>
          </cell>
          <cell r="BP26">
            <v>132.39956010505676</v>
          </cell>
          <cell r="BQ26">
            <v>62.184015143537728</v>
          </cell>
          <cell r="BR26">
            <v>133.24166666666662</v>
          </cell>
          <cell r="BS26">
            <v>130.84</v>
          </cell>
          <cell r="BU26">
            <v>23.817</v>
          </cell>
          <cell r="BV26">
            <v>4.0705600000000004</v>
          </cell>
          <cell r="BW26">
            <v>5.9385200000000005</v>
          </cell>
          <cell r="BY26">
            <v>402.90322580645153</v>
          </cell>
          <cell r="BZ26">
            <v>457.11583333333346</v>
          </cell>
          <cell r="CA26">
            <v>446.18200000000007</v>
          </cell>
          <cell r="CB26">
            <v>70.322580645161295</v>
          </cell>
          <cell r="CC26">
            <v>69.702524999999994</v>
          </cell>
          <cell r="CD26">
            <v>68.883440000000007</v>
          </cell>
          <cell r="CE26">
            <v>70.967741935483858</v>
          </cell>
          <cell r="CF26">
            <v>76.34333333333332</v>
          </cell>
          <cell r="CG26">
            <v>72.274529999999999</v>
          </cell>
          <cell r="CI26">
            <v>713.5855803264617</v>
          </cell>
          <cell r="CJ26">
            <v>79.447029997024529</v>
          </cell>
          <cell r="CK26">
            <v>76.522049999999993</v>
          </cell>
          <cell r="CM26">
            <v>15426.295126377554</v>
          </cell>
          <cell r="CN26">
            <v>18156.737290190122</v>
          </cell>
          <cell r="CO26">
            <v>18380.979839255604</v>
          </cell>
          <cell r="CP26">
            <v>1564.4645553213065</v>
          </cell>
          <cell r="CQ26">
            <v>1833.2477351137418</v>
          </cell>
          <cell r="CR26">
            <v>1873.3504421050568</v>
          </cell>
          <cell r="CS26">
            <v>1727.5988753094068</v>
          </cell>
          <cell r="CT26">
            <v>1812.7911183333329</v>
          </cell>
          <cell r="CU26">
            <v>1804.517392</v>
          </cell>
        </row>
        <row r="27">
          <cell r="B27">
            <v>41719</v>
          </cell>
          <cell r="C27">
            <v>246.23313997039796</v>
          </cell>
          <cell r="D27">
            <v>18.927080000000004</v>
          </cell>
          <cell r="E27">
            <v>30.8992</v>
          </cell>
          <cell r="G27">
            <v>8454.0356151881879</v>
          </cell>
          <cell r="H27">
            <v>10006.622237654607</v>
          </cell>
          <cell r="I27">
            <v>9996.4525701309976</v>
          </cell>
          <cell r="J27">
            <v>880.88653993622142</v>
          </cell>
          <cell r="K27">
            <v>1014.5848650000004</v>
          </cell>
          <cell r="L27">
            <v>1012.3106000000001</v>
          </cell>
          <cell r="M27">
            <v>1047.5267644644853</v>
          </cell>
          <cell r="N27">
            <v>1023.9899424999996</v>
          </cell>
          <cell r="O27">
            <v>1001.05812</v>
          </cell>
          <cell r="Q27">
            <v>157.85599999999999</v>
          </cell>
          <cell r="R27">
            <v>17.520969999999998</v>
          </cell>
          <cell r="S27">
            <v>21.909319999999997</v>
          </cell>
          <cell r="U27">
            <v>3568.0804320698039</v>
          </cell>
          <cell r="V27">
            <v>4510.8768249999994</v>
          </cell>
          <cell r="W27">
            <v>4461.2438000000002</v>
          </cell>
          <cell r="X27">
            <v>365.42179152613585</v>
          </cell>
          <cell r="Y27">
            <v>461.99813799999998</v>
          </cell>
          <cell r="Z27">
            <v>456.56642199999999</v>
          </cell>
          <cell r="AA27">
            <v>389.51612903225822</v>
          </cell>
          <cell r="AB27">
            <v>461.86166425000005</v>
          </cell>
          <cell r="AC27">
            <v>456.06076200000001</v>
          </cell>
          <cell r="AE27">
            <v>29.050999999999998</v>
          </cell>
          <cell r="AF27">
            <v>3.1283799999999995</v>
          </cell>
          <cell r="AG27">
            <v>0.73004999999999998</v>
          </cell>
          <cell r="AI27">
            <v>670.38627193548405</v>
          </cell>
          <cell r="AJ27">
            <v>837.56973124999979</v>
          </cell>
          <cell r="AK27">
            <v>838.46665000000019</v>
          </cell>
          <cell r="AL27">
            <v>59.477419354838673</v>
          </cell>
          <cell r="AM27">
            <v>73.698021250000011</v>
          </cell>
          <cell r="AN27">
            <v>75.034820000000011</v>
          </cell>
          <cell r="AO27">
            <v>58.287870967741931</v>
          </cell>
          <cell r="AP27">
            <v>73.379267499999997</v>
          </cell>
          <cell r="AQ27">
            <v>75.952070000000006</v>
          </cell>
          <cell r="AS27">
            <v>70.266000000000005</v>
          </cell>
          <cell r="AT27">
            <v>5.8825099999999999</v>
          </cell>
          <cell r="AU27">
            <v>4.7468999999999992</v>
          </cell>
          <cell r="AW27">
            <v>1300.6227188206451</v>
          </cell>
          <cell r="AX27">
            <v>1362.1606249999998</v>
          </cell>
          <cell r="AY27">
            <v>1338.5195000000003</v>
          </cell>
          <cell r="AZ27">
            <v>149.45473469823386</v>
          </cell>
          <cell r="BA27">
            <v>172.07512874999995</v>
          </cell>
          <cell r="BB27">
            <v>173.61454000000001</v>
          </cell>
          <cell r="BC27">
            <v>178.83870967741927</v>
          </cell>
          <cell r="BD27">
            <v>124.13554999999997</v>
          </cell>
          <cell r="BE27">
            <v>126.61738000000003</v>
          </cell>
          <cell r="BG27">
            <v>39.429460037231443</v>
          </cell>
          <cell r="BH27">
            <v>1.4271800057983399</v>
          </cell>
          <cell r="BI27">
            <v>3.6</v>
          </cell>
          <cell r="BK27">
            <v>1781.4364575855357</v>
          </cell>
          <cell r="BL27">
            <v>1867.3731107950214</v>
          </cell>
          <cell r="BM27">
            <v>1842.9509191322327</v>
          </cell>
          <cell r="BN27">
            <v>113.60858789452283</v>
          </cell>
          <cell r="BO27">
            <v>129.3663176194286</v>
          </cell>
          <cell r="BP27">
            <v>133.8267401108551</v>
          </cell>
          <cell r="BQ27">
            <v>65.293215900714614</v>
          </cell>
          <cell r="BR27">
            <v>139.90374999999995</v>
          </cell>
          <cell r="BS27">
            <v>134.44</v>
          </cell>
          <cell r="BU27">
            <v>23.035</v>
          </cell>
          <cell r="BV27">
            <v>3.0551900000000001</v>
          </cell>
          <cell r="BW27">
            <v>4.5358700000000001</v>
          </cell>
          <cell r="BY27">
            <v>423.04838709677409</v>
          </cell>
          <cell r="BZ27">
            <v>479.97162500000013</v>
          </cell>
          <cell r="CA27">
            <v>469.2170000000001</v>
          </cell>
          <cell r="CB27">
            <v>73.838709677419359</v>
          </cell>
          <cell r="CC27">
            <v>73.187651249999988</v>
          </cell>
          <cell r="CD27">
            <v>71.938630000000003</v>
          </cell>
          <cell r="CE27">
            <v>74.51612903225805</v>
          </cell>
          <cell r="CF27">
            <v>80.160499999999985</v>
          </cell>
          <cell r="CG27">
            <v>76.810400000000001</v>
          </cell>
          <cell r="CI27">
            <v>565.87060000762938</v>
          </cell>
          <cell r="CJ27">
            <v>49.941310005798343</v>
          </cell>
          <cell r="CK27">
            <v>66.421340000000001</v>
          </cell>
          <cell r="CM27">
            <v>16197.609882696432</v>
          </cell>
          <cell r="CN27">
            <v>19064.574154699629</v>
          </cell>
          <cell r="CO27">
            <v>18946.850439263231</v>
          </cell>
          <cell r="CP27">
            <v>1642.6877830873718</v>
          </cell>
          <cell r="CQ27">
            <v>1924.9101218694291</v>
          </cell>
          <cell r="CR27">
            <v>1923.2917521108554</v>
          </cell>
          <cell r="CS27">
            <v>1813.9788190748775</v>
          </cell>
          <cell r="CT27">
            <v>1903.4306742499996</v>
          </cell>
          <cell r="CU27">
            <v>1870.9387320000003</v>
          </cell>
        </row>
        <row r="28">
          <cell r="B28">
            <v>41720</v>
          </cell>
          <cell r="C28">
            <v>437.17590991668698</v>
          </cell>
          <cell r="D28">
            <v>42.55724</v>
          </cell>
          <cell r="E28">
            <v>51.473500000000001</v>
          </cell>
          <cell r="G28">
            <v>8856.6087397209594</v>
          </cell>
          <cell r="H28">
            <v>10483.128058495302</v>
          </cell>
          <cell r="I28">
            <v>10433.628480047684</v>
          </cell>
          <cell r="J28">
            <v>922.83351802842242</v>
          </cell>
          <cell r="K28">
            <v>1062.8984300000004</v>
          </cell>
          <cell r="L28">
            <v>1054.8678400000001</v>
          </cell>
          <cell r="M28">
            <v>1097.4089913437465</v>
          </cell>
          <cell r="N28">
            <v>1072.7513683333329</v>
          </cell>
          <cell r="O28">
            <v>1052.53162</v>
          </cell>
          <cell r="Q28">
            <v>242.59899999999999</v>
          </cell>
          <cell r="R28">
            <v>25.088699999999996</v>
          </cell>
          <cell r="S28">
            <v>23.721979999999999</v>
          </cell>
          <cell r="U28">
            <v>3737.9890240731279</v>
          </cell>
          <cell r="V28">
            <v>4725.6804833333326</v>
          </cell>
          <cell r="W28">
            <v>4703.8428000000004</v>
          </cell>
          <cell r="X28">
            <v>382.82282921785662</v>
          </cell>
          <cell r="Y28">
            <v>483.99804933333331</v>
          </cell>
          <cell r="Z28">
            <v>481.65512200000001</v>
          </cell>
          <cell r="AA28">
            <v>408.06451612903243</v>
          </cell>
          <cell r="AB28">
            <v>483.85507683333338</v>
          </cell>
          <cell r="AC28">
            <v>479.78274199999998</v>
          </cell>
          <cell r="AE28">
            <v>39.916599999999995</v>
          </cell>
          <cell r="AF28">
            <v>3.6017600000000001</v>
          </cell>
          <cell r="AG28">
            <v>2.3734899999999999</v>
          </cell>
          <cell r="AI28">
            <v>702.30942774193568</v>
          </cell>
          <cell r="AJ28">
            <v>877.45400416666644</v>
          </cell>
          <cell r="AK28">
            <v>878.3832500000002</v>
          </cell>
          <cell r="AL28">
            <v>62.309677419354799</v>
          </cell>
          <cell r="AM28">
            <v>77.20745083333334</v>
          </cell>
          <cell r="AN28">
            <v>78.636580000000009</v>
          </cell>
          <cell r="AO28">
            <v>61.063483870967737</v>
          </cell>
          <cell r="AP28">
            <v>76.873518333333337</v>
          </cell>
          <cell r="AQ28">
            <v>78.32556000000001</v>
          </cell>
          <cell r="AS28">
            <v>73.941000000000003</v>
          </cell>
          <cell r="AT28">
            <v>9.1586599999999994</v>
          </cell>
          <cell r="AU28">
            <v>4.32782</v>
          </cell>
          <cell r="AW28">
            <v>1362.5571340025806</v>
          </cell>
          <cell r="AX28">
            <v>1427.0254166666664</v>
          </cell>
          <cell r="AY28">
            <v>1412.4605000000004</v>
          </cell>
          <cell r="AZ28">
            <v>156.5716268267212</v>
          </cell>
          <cell r="BA28">
            <v>180.26918249999994</v>
          </cell>
          <cell r="BB28">
            <v>182.7732</v>
          </cell>
          <cell r="BC28">
            <v>187.35483870967732</v>
          </cell>
          <cell r="BD28">
            <v>130.04676666666663</v>
          </cell>
          <cell r="BE28">
            <v>130.94520000000003</v>
          </cell>
          <cell r="BG28">
            <v>68.972469963073735</v>
          </cell>
          <cell r="BH28">
            <v>5.3453400167083736</v>
          </cell>
          <cell r="BI28">
            <v>8.51</v>
          </cell>
          <cell r="BK28">
            <v>1866.2667650896087</v>
          </cell>
          <cell r="BL28">
            <v>1956.2956398804986</v>
          </cell>
          <cell r="BM28">
            <v>1911.9233890953064</v>
          </cell>
          <cell r="BN28">
            <v>119.01852065140487</v>
          </cell>
          <cell r="BO28">
            <v>135.52661845844901</v>
          </cell>
          <cell r="BP28">
            <v>139.17208012756348</v>
          </cell>
          <cell r="BQ28">
            <v>68.402416657891507</v>
          </cell>
          <cell r="BR28">
            <v>146.56583333333327</v>
          </cell>
          <cell r="BS28">
            <v>142.94999999999999</v>
          </cell>
          <cell r="BU28">
            <v>25.126000000000001</v>
          </cell>
          <cell r="BV28">
            <v>4.0574200000000005</v>
          </cell>
          <cell r="BW28">
            <v>6.1711</v>
          </cell>
          <cell r="BY28">
            <v>443.19354838709666</v>
          </cell>
          <cell r="BZ28">
            <v>502.82741666666681</v>
          </cell>
          <cell r="CA28">
            <v>494.34300000000007</v>
          </cell>
          <cell r="CB28">
            <v>77.354838709677423</v>
          </cell>
          <cell r="CC28">
            <v>76.672777499999981</v>
          </cell>
          <cell r="CD28">
            <v>75.996049999999997</v>
          </cell>
          <cell r="CE28">
            <v>78.064516129032242</v>
          </cell>
          <cell r="CF28">
            <v>83.97766666666665</v>
          </cell>
          <cell r="CG28">
            <v>82.981499999999997</v>
          </cell>
          <cell r="CI28">
            <v>887.73097987976075</v>
          </cell>
          <cell r="CJ28">
            <v>89.809120016708363</v>
          </cell>
          <cell r="CK28">
            <v>96.577890000000011</v>
          </cell>
          <cell r="CM28">
            <v>16968.924639015309</v>
          </cell>
          <cell r="CN28">
            <v>19972.411019209136</v>
          </cell>
          <cell r="CO28">
            <v>19834.581419142993</v>
          </cell>
          <cell r="CP28">
            <v>1720.9110108534373</v>
          </cell>
          <cell r="CQ28">
            <v>2016.5725086251159</v>
          </cell>
          <cell r="CR28">
            <v>2013.1008721275637</v>
          </cell>
          <cell r="CS28">
            <v>1900.3587628403477</v>
          </cell>
          <cell r="CT28">
            <v>1994.0702301666663</v>
          </cell>
          <cell r="CU28">
            <v>1967.5166220000003</v>
          </cell>
        </row>
        <row r="29">
          <cell r="B29">
            <v>41721</v>
          </cell>
          <cell r="C29">
            <v>476.85426997566225</v>
          </cell>
          <cell r="D29">
            <v>51.027959999999993</v>
          </cell>
          <cell r="E29">
            <v>60.950800000000001</v>
          </cell>
          <cell r="G29">
            <v>9259.181864253731</v>
          </cell>
          <cell r="H29">
            <v>10959.633879335997</v>
          </cell>
          <cell r="I29">
            <v>10910.482750023346</v>
          </cell>
          <cell r="J29">
            <v>964.78049612062341</v>
          </cell>
          <cell r="K29">
            <v>1111.2119950000003</v>
          </cell>
          <cell r="L29">
            <v>1105.8958</v>
          </cell>
          <cell r="M29">
            <v>1147.2912182230077</v>
          </cell>
          <cell r="N29">
            <v>1121.5127941666663</v>
          </cell>
          <cell r="O29">
            <v>1113.48242</v>
          </cell>
          <cell r="Q29">
            <v>236.77199999999999</v>
          </cell>
          <cell r="R29">
            <v>22.844750000000001</v>
          </cell>
          <cell r="S29">
            <v>23.184459999999998</v>
          </cell>
          <cell r="U29">
            <v>3907.8976160764519</v>
          </cell>
          <cell r="V29">
            <v>4940.4841416666659</v>
          </cell>
          <cell r="W29">
            <v>4940.6148000000003</v>
          </cell>
          <cell r="X29">
            <v>400.2238669095774</v>
          </cell>
          <cell r="Y29">
            <v>505.99796066666664</v>
          </cell>
          <cell r="Z29">
            <v>504.49987199999998</v>
          </cell>
          <cell r="AA29">
            <v>426.61290322580663</v>
          </cell>
          <cell r="AB29">
            <v>505.84848941666672</v>
          </cell>
          <cell r="AC29">
            <v>502.96720199999999</v>
          </cell>
          <cell r="AE29">
            <v>46.256399999999999</v>
          </cell>
          <cell r="AF29">
            <v>3.9801899999999995</v>
          </cell>
          <cell r="AG29">
            <v>1.83355</v>
          </cell>
          <cell r="AI29">
            <v>734.23258354838731</v>
          </cell>
          <cell r="AJ29">
            <v>917.33827708333308</v>
          </cell>
          <cell r="AK29">
            <v>924.63965000000019</v>
          </cell>
          <cell r="AL29">
            <v>65.141935483870924</v>
          </cell>
          <cell r="AM29">
            <v>80.716880416666669</v>
          </cell>
          <cell r="AN29">
            <v>82.616770000000002</v>
          </cell>
          <cell r="AO29">
            <v>63.839096774193543</v>
          </cell>
          <cell r="AP29">
            <v>80.367769166666676</v>
          </cell>
          <cell r="AQ29">
            <v>80.159110000000013</v>
          </cell>
          <cell r="AS29">
            <v>78.998500000000007</v>
          </cell>
          <cell r="AT29">
            <v>8.3294999999999995</v>
          </cell>
          <cell r="AU29">
            <v>6.0158600000000009</v>
          </cell>
          <cell r="AW29">
            <v>1424.4915491845161</v>
          </cell>
          <cell r="AX29">
            <v>1491.890208333333</v>
          </cell>
          <cell r="AY29">
            <v>1491.4590000000003</v>
          </cell>
          <cell r="AZ29">
            <v>163.68851895520854</v>
          </cell>
          <cell r="BA29">
            <v>188.46323624999994</v>
          </cell>
          <cell r="BB29">
            <v>191.1027</v>
          </cell>
          <cell r="BC29">
            <v>195.87096774193537</v>
          </cell>
          <cell r="BD29">
            <v>135.95798333333329</v>
          </cell>
          <cell r="BE29">
            <v>136.96106000000003</v>
          </cell>
          <cell r="BG29">
            <v>115.51284926986695</v>
          </cell>
          <cell r="BH29">
            <v>5.7399799957275395</v>
          </cell>
          <cell r="BI29">
            <v>8.51</v>
          </cell>
          <cell r="BK29">
            <v>1951.0970725936818</v>
          </cell>
          <cell r="BL29">
            <v>2045.2181689659758</v>
          </cell>
          <cell r="BM29">
            <v>2027.4362383651735</v>
          </cell>
          <cell r="BN29">
            <v>124.42845340828691</v>
          </cell>
          <cell r="BO29">
            <v>141.68691929746942</v>
          </cell>
          <cell r="BP29">
            <v>144.91206012329101</v>
          </cell>
          <cell r="BQ29">
            <v>71.5116174150684</v>
          </cell>
          <cell r="BR29">
            <v>153.2279166666666</v>
          </cell>
          <cell r="BS29">
            <v>151.45999999999998</v>
          </cell>
          <cell r="BU29">
            <v>25.1005</v>
          </cell>
          <cell r="BV29">
            <v>3.62947</v>
          </cell>
          <cell r="BW29">
            <v>3.6071599999999999</v>
          </cell>
          <cell r="BY29">
            <v>463.33870967741922</v>
          </cell>
          <cell r="BZ29">
            <v>525.68320833333348</v>
          </cell>
          <cell r="CA29">
            <v>519.44350000000009</v>
          </cell>
          <cell r="CB29">
            <v>80.870967741935488</v>
          </cell>
          <cell r="CC29">
            <v>80.157903749999974</v>
          </cell>
          <cell r="CD29">
            <v>79.625519999999995</v>
          </cell>
          <cell r="CE29">
            <v>81.612903225806434</v>
          </cell>
          <cell r="CF29">
            <v>87.794833333333315</v>
          </cell>
          <cell r="CG29">
            <v>86.58865999999999</v>
          </cell>
          <cell r="CI29">
            <v>979.4945192455292</v>
          </cell>
          <cell r="CJ29">
            <v>95.551849995727522</v>
          </cell>
          <cell r="CK29">
            <v>104.10183000000001</v>
          </cell>
          <cell r="CM29">
            <v>17740.239395334189</v>
          </cell>
          <cell r="CN29">
            <v>20880.247883718639</v>
          </cell>
          <cell r="CO29">
            <v>20814.075938388523</v>
          </cell>
          <cell r="CP29">
            <v>1799.1342386195024</v>
          </cell>
          <cell r="CQ29">
            <v>2108.2348953808028</v>
          </cell>
          <cell r="CR29">
            <v>2108.6527221232909</v>
          </cell>
          <cell r="CS29">
            <v>1986.7387066058182</v>
          </cell>
          <cell r="CT29">
            <v>2084.7097860833328</v>
          </cell>
          <cell r="CU29">
            <v>2071.6184520000002</v>
          </cell>
        </row>
        <row r="30">
          <cell r="B30">
            <v>41722</v>
          </cell>
          <cell r="C30">
            <v>525.65695015335086</v>
          </cell>
          <cell r="D30">
            <v>53.629759999999997</v>
          </cell>
          <cell r="E30">
            <v>56.791800000000002</v>
          </cell>
          <cell r="G30">
            <v>9661.7549887865025</v>
          </cell>
          <cell r="H30">
            <v>11436.139700176693</v>
          </cell>
          <cell r="I30">
            <v>11436.139700176696</v>
          </cell>
          <cell r="J30">
            <v>1006.7274742128244</v>
          </cell>
          <cell r="K30">
            <v>1159.5255600000003</v>
          </cell>
          <cell r="L30">
            <v>1159.52556</v>
          </cell>
          <cell r="M30">
            <v>1197.1734451022689</v>
          </cell>
          <cell r="N30">
            <v>1170.2742199999996</v>
          </cell>
          <cell r="O30">
            <v>1170.27422</v>
          </cell>
          <cell r="Q30">
            <v>214.673</v>
          </cell>
          <cell r="R30">
            <v>23.498000000000001</v>
          </cell>
          <cell r="S30">
            <v>24.874700000000001</v>
          </cell>
          <cell r="U30">
            <v>4077.8062080797758</v>
          </cell>
          <cell r="V30">
            <v>5155.2877999999992</v>
          </cell>
          <cell r="W30">
            <v>5155.2878000000001</v>
          </cell>
          <cell r="X30">
            <v>417.62490460129817</v>
          </cell>
          <cell r="Y30">
            <v>527.99787200000003</v>
          </cell>
          <cell r="Z30">
            <v>527.99787200000003</v>
          </cell>
          <cell r="AA30">
            <v>445.16129032258084</v>
          </cell>
          <cell r="AB30">
            <v>527.841902</v>
          </cell>
          <cell r="AC30">
            <v>527.841902</v>
          </cell>
          <cell r="AE30">
            <v>32.582900000000002</v>
          </cell>
          <cell r="AF30">
            <v>1.60954</v>
          </cell>
          <cell r="AG30">
            <v>3.7029099999999997</v>
          </cell>
          <cell r="AI30">
            <v>766.15573935483894</v>
          </cell>
          <cell r="AJ30">
            <v>957.22254999999973</v>
          </cell>
          <cell r="AK30">
            <v>957.22255000000018</v>
          </cell>
          <cell r="AL30">
            <v>67.974193548387049</v>
          </cell>
          <cell r="AM30">
            <v>84.226309999999998</v>
          </cell>
          <cell r="AN30">
            <v>84.226309999999998</v>
          </cell>
          <cell r="AO30">
            <v>66.614709677419356</v>
          </cell>
          <cell r="AP30">
            <v>83.862020000000015</v>
          </cell>
          <cell r="AQ30">
            <v>83.862020000000015</v>
          </cell>
          <cell r="AS30">
            <v>65.296000000000006</v>
          </cell>
          <cell r="AT30">
            <v>5.5545900000000001</v>
          </cell>
          <cell r="AU30">
            <v>4.9081400000000004</v>
          </cell>
          <cell r="AW30">
            <v>1486.4259643664516</v>
          </cell>
          <cell r="AX30">
            <v>1556.7549999999997</v>
          </cell>
          <cell r="AY30">
            <v>1556.7550000000003</v>
          </cell>
          <cell r="AZ30">
            <v>170.80541108369587</v>
          </cell>
          <cell r="BA30">
            <v>196.65728999999993</v>
          </cell>
          <cell r="BB30">
            <v>196.65728999999999</v>
          </cell>
          <cell r="BC30">
            <v>204.38709677419342</v>
          </cell>
          <cell r="BD30">
            <v>141.86919999999995</v>
          </cell>
          <cell r="BE30">
            <v>141.86920000000003</v>
          </cell>
          <cell r="BG30">
            <v>106.70445968627929</v>
          </cell>
          <cell r="BH30">
            <v>2.9351600131988524</v>
          </cell>
          <cell r="BI30">
            <v>8.43</v>
          </cell>
          <cell r="BK30">
            <v>2035.9273800977548</v>
          </cell>
          <cell r="BL30">
            <v>2134.140698051453</v>
          </cell>
          <cell r="BM30">
            <v>2134.140698051453</v>
          </cell>
          <cell r="BN30">
            <v>129.83838616516894</v>
          </cell>
          <cell r="BO30">
            <v>147.84722013648982</v>
          </cell>
          <cell r="BP30">
            <v>147.84722013648985</v>
          </cell>
          <cell r="BQ30">
            <v>74.620818172245293</v>
          </cell>
          <cell r="BR30">
            <v>159.88999999999993</v>
          </cell>
          <cell r="BS30">
            <v>159.88999999999999</v>
          </cell>
          <cell r="BU30">
            <v>29.095500000000001</v>
          </cell>
          <cell r="BV30">
            <v>4.0175100000000006</v>
          </cell>
          <cell r="BW30">
            <v>5.0233400000000001</v>
          </cell>
          <cell r="BY30">
            <v>483.48387096774178</v>
          </cell>
          <cell r="BZ30">
            <v>548.5390000000001</v>
          </cell>
          <cell r="CA30">
            <v>548.5390000000001</v>
          </cell>
          <cell r="CB30">
            <v>84.387096774193552</v>
          </cell>
          <cell r="CC30">
            <v>83.643029999999968</v>
          </cell>
          <cell r="CD30">
            <v>83.643029999999996</v>
          </cell>
          <cell r="CE30">
            <v>85.161290322580626</v>
          </cell>
          <cell r="CF30">
            <v>91.611999999999981</v>
          </cell>
          <cell r="CG30">
            <v>91.611999999999995</v>
          </cell>
          <cell r="CI30">
            <v>974.0088098396302</v>
          </cell>
          <cell r="CJ30">
            <v>91.24456001319885</v>
          </cell>
          <cell r="CK30">
            <v>103.73089</v>
          </cell>
          <cell r="CM30">
            <v>18511.554151653065</v>
          </cell>
          <cell r="CN30">
            <v>21788.084748228142</v>
          </cell>
          <cell r="CO30">
            <v>21788.08474822815</v>
          </cell>
          <cell r="CP30">
            <v>1877.3574663855682</v>
          </cell>
          <cell r="CQ30">
            <v>2199.8972821364905</v>
          </cell>
          <cell r="CR30">
            <v>2199.89728213649</v>
          </cell>
          <cell r="CS30">
            <v>2073.1186503712884</v>
          </cell>
          <cell r="CT30">
            <v>2175.3493419999995</v>
          </cell>
          <cell r="CU30">
            <v>2175.349342</v>
          </cell>
        </row>
        <row r="31">
          <cell r="B31">
            <v>41723</v>
          </cell>
          <cell r="G31">
            <v>10064.328113319274</v>
          </cell>
          <cell r="H31">
            <v>11912.645521017388</v>
          </cell>
          <cell r="I31">
            <v>11436.139700176696</v>
          </cell>
          <cell r="J31">
            <v>1048.6744523050254</v>
          </cell>
          <cell r="K31">
            <v>1207.8391250000002</v>
          </cell>
          <cell r="L31">
            <v>1159.52556</v>
          </cell>
          <cell r="M31">
            <v>1247.0556719815302</v>
          </cell>
          <cell r="N31">
            <v>1219.0356458333329</v>
          </cell>
          <cell r="O31">
            <v>1170.27422</v>
          </cell>
          <cell r="U31">
            <v>4247.7148000831003</v>
          </cell>
          <cell r="V31">
            <v>5370.0914583333324</v>
          </cell>
          <cell r="W31">
            <v>5155.2878000000001</v>
          </cell>
          <cell r="X31">
            <v>435.02594229301894</v>
          </cell>
          <cell r="Y31">
            <v>549.99778333333336</v>
          </cell>
          <cell r="Z31">
            <v>527.99787200000003</v>
          </cell>
          <cell r="AA31">
            <v>463.70967741935505</v>
          </cell>
          <cell r="AB31">
            <v>549.83531458333334</v>
          </cell>
          <cell r="AC31">
            <v>527.841902</v>
          </cell>
          <cell r="AI31">
            <v>798.07889516129057</v>
          </cell>
          <cell r="AJ31">
            <v>997.10682291666637</v>
          </cell>
          <cell r="AK31">
            <v>957.22255000000018</v>
          </cell>
          <cell r="AL31">
            <v>70.806451612903174</v>
          </cell>
          <cell r="AM31">
            <v>87.735739583333327</v>
          </cell>
          <cell r="AN31">
            <v>84.226309999999998</v>
          </cell>
          <cell r="AO31">
            <v>69.390322580645162</v>
          </cell>
          <cell r="AP31">
            <v>87.356270833333355</v>
          </cell>
          <cell r="AQ31">
            <v>83.862020000000015</v>
          </cell>
          <cell r="AW31">
            <v>1548.3603795483871</v>
          </cell>
          <cell r="AX31">
            <v>1621.6197916666663</v>
          </cell>
          <cell r="AY31">
            <v>1556.7550000000003</v>
          </cell>
          <cell r="AZ31">
            <v>177.92230321218321</v>
          </cell>
          <cell r="BA31">
            <v>204.85134374999993</v>
          </cell>
          <cell r="BB31">
            <v>196.65728999999999</v>
          </cell>
          <cell r="BC31">
            <v>212.90322580645147</v>
          </cell>
          <cell r="BD31">
            <v>147.78041666666661</v>
          </cell>
          <cell r="BE31">
            <v>141.86920000000003</v>
          </cell>
          <cell r="BK31">
            <v>2120.7576876018279</v>
          </cell>
          <cell r="BL31">
            <v>2223.0632271369304</v>
          </cell>
          <cell r="BM31">
            <v>2134.140698051453</v>
          </cell>
          <cell r="BN31">
            <v>135.24831892205097</v>
          </cell>
          <cell r="BO31">
            <v>154.00752097551023</v>
          </cell>
          <cell r="BP31">
            <v>147.84722013648985</v>
          </cell>
          <cell r="BQ31">
            <v>77.730018929422187</v>
          </cell>
          <cell r="BR31">
            <v>166.55208333333326</v>
          </cell>
          <cell r="BS31">
            <v>159.88999999999999</v>
          </cell>
          <cell r="BY31">
            <v>503.62903225806434</v>
          </cell>
          <cell r="BZ31">
            <v>571.39479166666672</v>
          </cell>
          <cell r="CA31">
            <v>548.5390000000001</v>
          </cell>
          <cell r="CB31">
            <v>87.903225806451616</v>
          </cell>
          <cell r="CC31">
            <v>87.128156249999961</v>
          </cell>
          <cell r="CD31">
            <v>83.643029999999996</v>
          </cell>
          <cell r="CE31">
            <v>88.709677419354819</v>
          </cell>
          <cell r="CF31">
            <v>95.429166666666646</v>
          </cell>
          <cell r="CG31">
            <v>91.611999999999995</v>
          </cell>
          <cell r="CM31">
            <v>19282.868907971944</v>
          </cell>
          <cell r="CN31">
            <v>22695.921612737649</v>
          </cell>
          <cell r="CO31">
            <v>21788.08474822815</v>
          </cell>
          <cell r="CP31">
            <v>1955.5806941516332</v>
          </cell>
          <cell r="CQ31">
            <v>2291.5596688921769</v>
          </cell>
          <cell r="CR31">
            <v>2199.89728213649</v>
          </cell>
          <cell r="CS31">
            <v>2159.498594136759</v>
          </cell>
          <cell r="CT31">
            <v>2265.9888979166662</v>
          </cell>
          <cell r="CU31">
            <v>2175.349342</v>
          </cell>
        </row>
        <row r="32">
          <cell r="B32">
            <v>41724</v>
          </cell>
          <cell r="G32">
            <v>10466.901237852046</v>
          </cell>
          <cell r="H32">
            <v>12389.151341858083</v>
          </cell>
          <cell r="I32">
            <v>11436.139700176696</v>
          </cell>
          <cell r="J32">
            <v>1090.6214303972265</v>
          </cell>
          <cell r="K32">
            <v>1256.1526900000001</v>
          </cell>
          <cell r="L32">
            <v>1159.52556</v>
          </cell>
          <cell r="M32">
            <v>1296.9378988607914</v>
          </cell>
          <cell r="N32">
            <v>1267.7970716666662</v>
          </cell>
          <cell r="O32">
            <v>1170.27422</v>
          </cell>
          <cell r="U32">
            <v>4417.6233920864242</v>
          </cell>
          <cell r="V32">
            <v>5584.8951166666657</v>
          </cell>
          <cell r="W32">
            <v>5155.2878000000001</v>
          </cell>
          <cell r="X32">
            <v>452.42697998473972</v>
          </cell>
          <cell r="Y32">
            <v>571.99769466666669</v>
          </cell>
          <cell r="Z32">
            <v>527.99787200000003</v>
          </cell>
          <cell r="AA32">
            <v>482.25806451612925</v>
          </cell>
          <cell r="AB32">
            <v>571.82872716666668</v>
          </cell>
          <cell r="AC32">
            <v>527.841902</v>
          </cell>
          <cell r="AI32">
            <v>830.00205096774221</v>
          </cell>
          <cell r="AJ32">
            <v>1036.991095833333</v>
          </cell>
          <cell r="AK32">
            <v>957.22255000000018</v>
          </cell>
          <cell r="AL32">
            <v>73.6387096774193</v>
          </cell>
          <cell r="AM32">
            <v>91.245169166666656</v>
          </cell>
          <cell r="AN32">
            <v>84.226309999999998</v>
          </cell>
          <cell r="AO32">
            <v>72.165935483870967</v>
          </cell>
          <cell r="AP32">
            <v>90.850521666666694</v>
          </cell>
          <cell r="AQ32">
            <v>83.862020000000015</v>
          </cell>
          <cell r="AW32">
            <v>1610.2947947303226</v>
          </cell>
          <cell r="AX32">
            <v>1686.4845833333329</v>
          </cell>
          <cell r="AY32">
            <v>1556.7550000000003</v>
          </cell>
          <cell r="AZ32">
            <v>185.03919534067055</v>
          </cell>
          <cell r="BA32">
            <v>213.04539749999992</v>
          </cell>
          <cell r="BB32">
            <v>196.65728999999999</v>
          </cell>
          <cell r="BC32">
            <v>221.41935483870952</v>
          </cell>
          <cell r="BD32">
            <v>153.69163333333327</v>
          </cell>
          <cell r="BE32">
            <v>141.86920000000003</v>
          </cell>
          <cell r="BK32">
            <v>2205.587995105901</v>
          </cell>
          <cell r="BL32">
            <v>2311.9857562224079</v>
          </cell>
          <cell r="BM32">
            <v>2134.140698051453</v>
          </cell>
          <cell r="BN32">
            <v>140.658251678933</v>
          </cell>
          <cell r="BO32">
            <v>160.16782181453064</v>
          </cell>
          <cell r="BP32">
            <v>147.84722013648985</v>
          </cell>
          <cell r="BQ32">
            <v>80.83921968659908</v>
          </cell>
          <cell r="BR32">
            <v>173.21416666666659</v>
          </cell>
          <cell r="BS32">
            <v>159.88999999999999</v>
          </cell>
          <cell r="BY32">
            <v>523.77419354838696</v>
          </cell>
          <cell r="BZ32">
            <v>594.25058333333334</v>
          </cell>
          <cell r="CA32">
            <v>548.5390000000001</v>
          </cell>
          <cell r="CB32">
            <v>91.41935483870968</v>
          </cell>
          <cell r="CC32">
            <v>90.613282499999954</v>
          </cell>
          <cell r="CD32">
            <v>83.643029999999996</v>
          </cell>
          <cell r="CE32">
            <v>92.258064516129011</v>
          </cell>
          <cell r="CF32">
            <v>99.246333333333311</v>
          </cell>
          <cell r="CG32">
            <v>91.611999999999995</v>
          </cell>
          <cell r="CM32">
            <v>20054.18366429082</v>
          </cell>
          <cell r="CN32">
            <v>23603.758477247153</v>
          </cell>
          <cell r="CO32">
            <v>21788.08474822815</v>
          </cell>
          <cell r="CP32">
            <v>2033.803921917699</v>
          </cell>
          <cell r="CQ32">
            <v>2383.2220556478642</v>
          </cell>
          <cell r="CR32">
            <v>2199.89728213649</v>
          </cell>
          <cell r="CS32">
            <v>2245.8785379022288</v>
          </cell>
          <cell r="CT32">
            <v>2356.628453833333</v>
          </cell>
          <cell r="CU32">
            <v>2175.349342</v>
          </cell>
        </row>
        <row r="33">
          <cell r="B33">
            <v>41725</v>
          </cell>
          <cell r="G33">
            <v>10869.474362384817</v>
          </cell>
          <cell r="H33">
            <v>12865.657162698779</v>
          </cell>
          <cell r="I33">
            <v>11436.139700176696</v>
          </cell>
          <cell r="J33">
            <v>1132.5684084894276</v>
          </cell>
          <cell r="K33">
            <v>1304.466255</v>
          </cell>
          <cell r="L33">
            <v>1159.52556</v>
          </cell>
          <cell r="M33">
            <v>1346.8201257400526</v>
          </cell>
          <cell r="N33">
            <v>1316.5584974999995</v>
          </cell>
          <cell r="O33">
            <v>1170.27422</v>
          </cell>
          <cell r="U33">
            <v>4587.5319840897482</v>
          </cell>
          <cell r="V33">
            <v>5799.6987749999989</v>
          </cell>
          <cell r="W33">
            <v>5155.2878000000001</v>
          </cell>
          <cell r="X33">
            <v>469.82801767646049</v>
          </cell>
          <cell r="Y33">
            <v>593.99760600000002</v>
          </cell>
          <cell r="Z33">
            <v>527.99787200000003</v>
          </cell>
          <cell r="AA33">
            <v>500.80645161290346</v>
          </cell>
          <cell r="AB33">
            <v>593.82213975000002</v>
          </cell>
          <cell r="AC33">
            <v>527.841902</v>
          </cell>
          <cell r="AI33">
            <v>861.92520677419384</v>
          </cell>
          <cell r="AJ33">
            <v>1076.8753687499998</v>
          </cell>
          <cell r="AK33">
            <v>957.22255000000018</v>
          </cell>
          <cell r="AL33">
            <v>76.470967741935425</v>
          </cell>
          <cell r="AM33">
            <v>94.754598749999985</v>
          </cell>
          <cell r="AN33">
            <v>84.226309999999998</v>
          </cell>
          <cell r="AO33">
            <v>74.941548387096773</v>
          </cell>
          <cell r="AP33">
            <v>94.344772500000033</v>
          </cell>
          <cell r="AQ33">
            <v>83.862020000000015</v>
          </cell>
          <cell r="AW33">
            <v>1672.2292099122581</v>
          </cell>
          <cell r="AX33">
            <v>1751.3493749999996</v>
          </cell>
          <cell r="AY33">
            <v>1556.7550000000003</v>
          </cell>
          <cell r="AZ33">
            <v>192.15608746915788</v>
          </cell>
          <cell r="BA33">
            <v>221.23945124999992</v>
          </cell>
          <cell r="BB33">
            <v>196.65728999999999</v>
          </cell>
          <cell r="BC33">
            <v>229.93548387096757</v>
          </cell>
          <cell r="BD33">
            <v>159.60284999999993</v>
          </cell>
          <cell r="BE33">
            <v>141.86920000000003</v>
          </cell>
          <cell r="BK33">
            <v>2290.418302609974</v>
          </cell>
          <cell r="BL33">
            <v>2400.9082853078853</v>
          </cell>
          <cell r="BM33">
            <v>2134.140698051453</v>
          </cell>
          <cell r="BN33">
            <v>146.06818443581503</v>
          </cell>
          <cell r="BO33">
            <v>166.32812265355105</v>
          </cell>
          <cell r="BP33">
            <v>147.84722013648985</v>
          </cell>
          <cell r="BQ33">
            <v>83.948420443775973</v>
          </cell>
          <cell r="BR33">
            <v>179.87624999999991</v>
          </cell>
          <cell r="BS33">
            <v>159.88999999999999</v>
          </cell>
          <cell r="BY33">
            <v>543.91935483870952</v>
          </cell>
          <cell r="BZ33">
            <v>617.10637499999996</v>
          </cell>
          <cell r="CA33">
            <v>548.5390000000001</v>
          </cell>
          <cell r="CB33">
            <v>94.935483870967744</v>
          </cell>
          <cell r="CC33">
            <v>94.098408749999948</v>
          </cell>
          <cell r="CD33">
            <v>83.643029999999996</v>
          </cell>
          <cell r="CE33">
            <v>95.806451612903203</v>
          </cell>
          <cell r="CF33">
            <v>103.06349999999998</v>
          </cell>
          <cell r="CG33">
            <v>91.611999999999995</v>
          </cell>
          <cell r="CM33">
            <v>20825.4984206097</v>
          </cell>
          <cell r="CN33">
            <v>24511.59534175666</v>
          </cell>
          <cell r="CO33">
            <v>21788.08474822815</v>
          </cell>
          <cell r="CP33">
            <v>2112.027149683764</v>
          </cell>
          <cell r="CQ33">
            <v>2474.884442403551</v>
          </cell>
          <cell r="CR33">
            <v>2199.89728213649</v>
          </cell>
          <cell r="CS33">
            <v>2332.2584816676999</v>
          </cell>
          <cell r="CT33">
            <v>2447.2680097499988</v>
          </cell>
          <cell r="CU33">
            <v>2175.349342</v>
          </cell>
        </row>
        <row r="34">
          <cell r="B34">
            <v>41726</v>
          </cell>
          <cell r="G34">
            <v>11272.047486917589</v>
          </cell>
          <cell r="H34">
            <v>13342.162983539474</v>
          </cell>
          <cell r="I34">
            <v>11436.139700176696</v>
          </cell>
          <cell r="J34">
            <v>1174.5153865816287</v>
          </cell>
          <cell r="K34">
            <v>1352.77982</v>
          </cell>
          <cell r="L34">
            <v>1159.52556</v>
          </cell>
          <cell r="M34">
            <v>1396.7023526193138</v>
          </cell>
          <cell r="N34">
            <v>1365.3199233333328</v>
          </cell>
          <cell r="O34">
            <v>1170.27422</v>
          </cell>
          <cell r="U34">
            <v>4757.4405760930722</v>
          </cell>
          <cell r="V34">
            <v>6014.5024333333322</v>
          </cell>
          <cell r="W34">
            <v>5155.2878000000001</v>
          </cell>
          <cell r="X34">
            <v>487.22905536818126</v>
          </cell>
          <cell r="Y34">
            <v>615.99751733333335</v>
          </cell>
          <cell r="Z34">
            <v>527.99787200000003</v>
          </cell>
          <cell r="AA34">
            <v>519.35483870967767</v>
          </cell>
          <cell r="AB34">
            <v>615.81555233333336</v>
          </cell>
          <cell r="AC34">
            <v>527.841902</v>
          </cell>
          <cell r="AI34">
            <v>893.84836258064547</v>
          </cell>
          <cell r="AJ34">
            <v>1116.7596416666665</v>
          </cell>
          <cell r="AK34">
            <v>957.22255000000018</v>
          </cell>
          <cell r="AL34">
            <v>79.30322580645155</v>
          </cell>
          <cell r="AM34">
            <v>98.264028333333314</v>
          </cell>
          <cell r="AN34">
            <v>84.226309999999998</v>
          </cell>
          <cell r="AO34">
            <v>77.717161290322579</v>
          </cell>
          <cell r="AP34">
            <v>97.839023333333373</v>
          </cell>
          <cell r="AQ34">
            <v>83.862020000000015</v>
          </cell>
          <cell r="AW34">
            <v>1734.1636250941935</v>
          </cell>
          <cell r="AX34">
            <v>1816.2141666666662</v>
          </cell>
          <cell r="AY34">
            <v>1556.7550000000003</v>
          </cell>
          <cell r="AZ34">
            <v>199.27297959764522</v>
          </cell>
          <cell r="BA34">
            <v>229.43350499999991</v>
          </cell>
          <cell r="BB34">
            <v>196.65728999999999</v>
          </cell>
          <cell r="BC34">
            <v>238.45161290322562</v>
          </cell>
          <cell r="BD34">
            <v>165.51406666666659</v>
          </cell>
          <cell r="BE34">
            <v>141.86920000000003</v>
          </cell>
          <cell r="BK34">
            <v>2375.2486101140471</v>
          </cell>
          <cell r="BL34">
            <v>2489.8308143933627</v>
          </cell>
          <cell r="BM34">
            <v>2134.140698051453</v>
          </cell>
          <cell r="BN34">
            <v>151.47811719269706</v>
          </cell>
          <cell r="BO34">
            <v>172.48842349257146</v>
          </cell>
          <cell r="BP34">
            <v>147.84722013648985</v>
          </cell>
          <cell r="BQ34">
            <v>87.057621200952866</v>
          </cell>
          <cell r="BR34">
            <v>186.53833333333324</v>
          </cell>
          <cell r="BS34">
            <v>159.88999999999999</v>
          </cell>
          <cell r="BY34">
            <v>564.06451612903209</v>
          </cell>
          <cell r="BZ34">
            <v>639.96216666666658</v>
          </cell>
          <cell r="CA34">
            <v>548.5390000000001</v>
          </cell>
          <cell r="CB34">
            <v>98.451612903225808</v>
          </cell>
          <cell r="CC34">
            <v>97.583534999999941</v>
          </cell>
          <cell r="CD34">
            <v>83.643029999999996</v>
          </cell>
          <cell r="CE34">
            <v>99.354838709677395</v>
          </cell>
          <cell r="CF34">
            <v>106.88066666666664</v>
          </cell>
          <cell r="CG34">
            <v>91.611999999999995</v>
          </cell>
          <cell r="CM34">
            <v>21596.813176928572</v>
          </cell>
          <cell r="CN34">
            <v>25419.43220626617</v>
          </cell>
          <cell r="CO34">
            <v>21788.08474822815</v>
          </cell>
          <cell r="CP34">
            <v>2190.2503774498296</v>
          </cell>
          <cell r="CQ34">
            <v>2566.5468291592383</v>
          </cell>
          <cell r="CR34">
            <v>2199.89728213649</v>
          </cell>
          <cell r="CS34">
            <v>2418.6384254331701</v>
          </cell>
          <cell r="CT34">
            <v>2537.907565666666</v>
          </cell>
          <cell r="CU34">
            <v>2175.349342</v>
          </cell>
        </row>
        <row r="35">
          <cell r="B35">
            <v>41727</v>
          </cell>
          <cell r="G35">
            <v>11674.62061145036</v>
          </cell>
          <cell r="H35">
            <v>13818.66880438017</v>
          </cell>
          <cell r="I35">
            <v>11436.139700176696</v>
          </cell>
          <cell r="J35">
            <v>1216.4623646738298</v>
          </cell>
          <cell r="K35">
            <v>1401.0933849999999</v>
          </cell>
          <cell r="L35">
            <v>1159.52556</v>
          </cell>
          <cell r="M35">
            <v>1446.5845794985751</v>
          </cell>
          <cell r="N35">
            <v>1414.0813491666661</v>
          </cell>
          <cell r="O35">
            <v>1170.27422</v>
          </cell>
          <cell r="U35">
            <v>4927.3491680963962</v>
          </cell>
          <cell r="V35">
            <v>6229.3060916666655</v>
          </cell>
          <cell r="W35">
            <v>5155.2878000000001</v>
          </cell>
          <cell r="X35">
            <v>504.63009305990204</v>
          </cell>
          <cell r="Y35">
            <v>637.99742866666668</v>
          </cell>
          <cell r="Z35">
            <v>527.99787200000003</v>
          </cell>
          <cell r="AA35">
            <v>537.90322580645181</v>
          </cell>
          <cell r="AB35">
            <v>637.8089649166667</v>
          </cell>
          <cell r="AC35">
            <v>527.841902</v>
          </cell>
          <cell r="AI35">
            <v>925.7715183870971</v>
          </cell>
          <cell r="AJ35">
            <v>1156.6439145833333</v>
          </cell>
          <cell r="AK35">
            <v>957.22255000000018</v>
          </cell>
          <cell r="AL35">
            <v>82.135483870967676</v>
          </cell>
          <cell r="AM35">
            <v>101.77345791666664</v>
          </cell>
          <cell r="AN35">
            <v>84.226309999999998</v>
          </cell>
          <cell r="AO35">
            <v>80.492774193548385</v>
          </cell>
          <cell r="AP35">
            <v>101.33327416666671</v>
          </cell>
          <cell r="AQ35">
            <v>83.862020000000015</v>
          </cell>
          <cell r="AW35">
            <v>1796.098040276129</v>
          </cell>
          <cell r="AX35">
            <v>1881.0789583333328</v>
          </cell>
          <cell r="AY35">
            <v>1556.7550000000003</v>
          </cell>
          <cell r="AZ35">
            <v>206.38987172613255</v>
          </cell>
          <cell r="BA35">
            <v>237.62755874999991</v>
          </cell>
          <cell r="BB35">
            <v>196.65728999999999</v>
          </cell>
          <cell r="BC35">
            <v>246.96774193548367</v>
          </cell>
          <cell r="BD35">
            <v>171.42528333333325</v>
          </cell>
          <cell r="BE35">
            <v>141.86920000000003</v>
          </cell>
          <cell r="BK35">
            <v>2460.0789176181202</v>
          </cell>
          <cell r="BL35">
            <v>2578.7533434788402</v>
          </cell>
          <cell r="BM35">
            <v>2134.140698051453</v>
          </cell>
          <cell r="BN35">
            <v>156.88804994957908</v>
          </cell>
          <cell r="BO35">
            <v>178.64872433159186</v>
          </cell>
          <cell r="BP35">
            <v>147.84722013648985</v>
          </cell>
          <cell r="BQ35">
            <v>90.166821958129759</v>
          </cell>
          <cell r="BR35">
            <v>193.20041666666657</v>
          </cell>
          <cell r="BS35">
            <v>159.88999999999999</v>
          </cell>
          <cell r="BY35">
            <v>584.20967741935465</v>
          </cell>
          <cell r="BZ35">
            <v>662.81795833333319</v>
          </cell>
          <cell r="CA35">
            <v>548.5390000000001</v>
          </cell>
          <cell r="CB35">
            <v>101.96774193548387</v>
          </cell>
          <cell r="CC35">
            <v>101.06866124999993</v>
          </cell>
          <cell r="CD35">
            <v>83.643029999999996</v>
          </cell>
          <cell r="CE35">
            <v>102.90322580645159</v>
          </cell>
          <cell r="CF35">
            <v>110.69783333333331</v>
          </cell>
          <cell r="CG35">
            <v>91.611999999999995</v>
          </cell>
          <cell r="CM35">
            <v>22368.127933247462</v>
          </cell>
          <cell r="CN35">
            <v>26327.26907077567</v>
          </cell>
          <cell r="CO35">
            <v>21788.08474822815</v>
          </cell>
          <cell r="CP35">
            <v>2268.4736052158951</v>
          </cell>
          <cell r="CQ35">
            <v>2658.2092159149252</v>
          </cell>
          <cell r="CR35">
            <v>2199.89728213649</v>
          </cell>
          <cell r="CS35">
            <v>2505.0183691986404</v>
          </cell>
          <cell r="CT35">
            <v>2628.5471215833327</v>
          </cell>
          <cell r="CU35">
            <v>2175.349342</v>
          </cell>
        </row>
        <row r="36">
          <cell r="B36">
            <v>41728</v>
          </cell>
          <cell r="G36">
            <v>12077.193735983132</v>
          </cell>
          <cell r="H36">
            <v>14295.174625220865</v>
          </cell>
          <cell r="I36">
            <v>11436.139700176696</v>
          </cell>
          <cell r="J36">
            <v>1258.4093427660309</v>
          </cell>
          <cell r="K36">
            <v>1449.4069499999998</v>
          </cell>
          <cell r="L36">
            <v>1159.52556</v>
          </cell>
          <cell r="M36">
            <v>1496.4668063778363</v>
          </cell>
          <cell r="N36">
            <v>1462.8427749999994</v>
          </cell>
          <cell r="O36">
            <v>1170.27422</v>
          </cell>
          <cell r="U36">
            <v>5097.2577600997201</v>
          </cell>
          <cell r="V36">
            <v>6444.1097499999987</v>
          </cell>
          <cell r="W36">
            <v>5155.2878000000001</v>
          </cell>
          <cell r="X36">
            <v>522.03113075162275</v>
          </cell>
          <cell r="Y36">
            <v>659.99734000000001</v>
          </cell>
          <cell r="Z36">
            <v>527.99787200000003</v>
          </cell>
          <cell r="AA36">
            <v>556.45161290322596</v>
          </cell>
          <cell r="AB36">
            <v>659.80237750000003</v>
          </cell>
          <cell r="AC36">
            <v>527.841902</v>
          </cell>
          <cell r="AI36">
            <v>957.69467419354874</v>
          </cell>
          <cell r="AJ36">
            <v>1196.5281875000001</v>
          </cell>
          <cell r="AK36">
            <v>957.22255000000018</v>
          </cell>
          <cell r="AL36">
            <v>84.967741935483801</v>
          </cell>
          <cell r="AM36">
            <v>105.28288749999997</v>
          </cell>
          <cell r="AN36">
            <v>84.226309999999998</v>
          </cell>
          <cell r="AO36">
            <v>83.268387096774191</v>
          </cell>
          <cell r="AP36">
            <v>104.82752500000005</v>
          </cell>
          <cell r="AQ36">
            <v>83.862020000000015</v>
          </cell>
          <cell r="AW36">
            <v>1858.0324554580645</v>
          </cell>
          <cell r="AX36">
            <v>1945.9437499999995</v>
          </cell>
          <cell r="AY36">
            <v>1556.7550000000003</v>
          </cell>
          <cell r="AZ36">
            <v>213.50676385461989</v>
          </cell>
          <cell r="BA36">
            <v>245.8216124999999</v>
          </cell>
          <cell r="BB36">
            <v>196.65728999999999</v>
          </cell>
          <cell r="BC36">
            <v>255.48387096774172</v>
          </cell>
          <cell r="BD36">
            <v>177.33649999999992</v>
          </cell>
          <cell r="BE36">
            <v>141.86920000000003</v>
          </cell>
          <cell r="BK36">
            <v>2544.9092251221932</v>
          </cell>
          <cell r="BL36">
            <v>2667.6758725643176</v>
          </cell>
          <cell r="BM36">
            <v>2134.140698051453</v>
          </cell>
          <cell r="BN36">
            <v>162.29798270646111</v>
          </cell>
          <cell r="BO36">
            <v>184.80902517061227</v>
          </cell>
          <cell r="BP36">
            <v>147.84722013648985</v>
          </cell>
          <cell r="BQ36">
            <v>93.276022715306652</v>
          </cell>
          <cell r="BR36">
            <v>199.8624999999999</v>
          </cell>
          <cell r="BS36">
            <v>159.88999999999999</v>
          </cell>
          <cell r="BY36">
            <v>604.35483870967721</v>
          </cell>
          <cell r="BZ36">
            <v>685.67374999999981</v>
          </cell>
          <cell r="CA36">
            <v>548.5390000000001</v>
          </cell>
          <cell r="CB36">
            <v>105.48387096774194</v>
          </cell>
          <cell r="CC36">
            <v>104.55378749999993</v>
          </cell>
          <cell r="CD36">
            <v>83.643029999999996</v>
          </cell>
          <cell r="CE36">
            <v>106.45161290322578</v>
          </cell>
          <cell r="CF36">
            <v>114.51499999999997</v>
          </cell>
          <cell r="CG36">
            <v>91.611999999999995</v>
          </cell>
          <cell r="CM36">
            <v>23139.442689566338</v>
          </cell>
          <cell r="CN36">
            <v>27235.105935285177</v>
          </cell>
          <cell r="CO36">
            <v>21788.08474822815</v>
          </cell>
          <cell r="CP36">
            <v>2346.6968329819601</v>
          </cell>
          <cell r="CQ36">
            <v>2749.871602670612</v>
          </cell>
          <cell r="CR36">
            <v>2199.89728213649</v>
          </cell>
          <cell r="CS36">
            <v>2591.3983129641106</v>
          </cell>
          <cell r="CT36">
            <v>2719.186677499999</v>
          </cell>
          <cell r="CU36">
            <v>2175.349342</v>
          </cell>
        </row>
        <row r="37">
          <cell r="B37">
            <v>41729</v>
          </cell>
          <cell r="G37">
            <v>12479.766860515903</v>
          </cell>
          <cell r="H37">
            <v>14771.68044606156</v>
          </cell>
          <cell r="I37">
            <v>11436.139700176696</v>
          </cell>
          <cell r="J37">
            <v>1300.356320858232</v>
          </cell>
          <cell r="K37">
            <v>1497.7205149999998</v>
          </cell>
          <cell r="L37">
            <v>1159.52556</v>
          </cell>
          <cell r="M37">
            <v>1546.3490332570975</v>
          </cell>
          <cell r="N37">
            <v>1511.6042008333327</v>
          </cell>
          <cell r="O37">
            <v>1170.27422</v>
          </cell>
          <cell r="U37">
            <v>5267.1663521030441</v>
          </cell>
          <cell r="V37">
            <v>6658.913408333332</v>
          </cell>
          <cell r="W37">
            <v>5155.2878000000001</v>
          </cell>
          <cell r="X37">
            <v>539.43216844334347</v>
          </cell>
          <cell r="Y37">
            <v>681.99725133333334</v>
          </cell>
          <cell r="Z37">
            <v>527.99787200000003</v>
          </cell>
          <cell r="AA37">
            <v>575.00000000000011</v>
          </cell>
          <cell r="AB37">
            <v>681.79579008333337</v>
          </cell>
          <cell r="AC37">
            <v>527.841902</v>
          </cell>
          <cell r="AI37">
            <v>989.61783000000037</v>
          </cell>
          <cell r="AJ37">
            <v>1236.4124604166668</v>
          </cell>
          <cell r="AK37">
            <v>957.22255000000018</v>
          </cell>
          <cell r="AL37">
            <v>87.799999999999926</v>
          </cell>
          <cell r="AM37">
            <v>108.7923170833333</v>
          </cell>
          <cell r="AN37">
            <v>84.226309999999998</v>
          </cell>
          <cell r="AO37">
            <v>86.043999999999997</v>
          </cell>
          <cell r="AP37">
            <v>108.32177583333339</v>
          </cell>
          <cell r="AQ37">
            <v>83.862020000000015</v>
          </cell>
          <cell r="AW37">
            <v>1919.96687064</v>
          </cell>
          <cell r="AX37">
            <v>2010.8085416666661</v>
          </cell>
          <cell r="AY37">
            <v>1556.7550000000003</v>
          </cell>
          <cell r="AZ37">
            <v>220.62365598310723</v>
          </cell>
          <cell r="BA37">
            <v>254.0156662499999</v>
          </cell>
          <cell r="BB37">
            <v>196.65728999999999</v>
          </cell>
          <cell r="BC37">
            <v>263.99999999999977</v>
          </cell>
          <cell r="BD37">
            <v>183.24771666666658</v>
          </cell>
          <cell r="BE37">
            <v>141.86920000000003</v>
          </cell>
          <cell r="BK37">
            <v>2629.7395326262663</v>
          </cell>
          <cell r="BL37">
            <v>2756.5984016497951</v>
          </cell>
          <cell r="BM37">
            <v>2134.140698051453</v>
          </cell>
          <cell r="BN37">
            <v>167.70791546334314</v>
          </cell>
          <cell r="BO37">
            <v>190.96932600963268</v>
          </cell>
          <cell r="BP37">
            <v>147.84722013648985</v>
          </cell>
          <cell r="BQ37">
            <v>96.385223472483545</v>
          </cell>
          <cell r="BR37">
            <v>206.52458333333323</v>
          </cell>
          <cell r="BS37">
            <v>159.88999999999999</v>
          </cell>
          <cell r="BY37">
            <v>624.49999999999977</v>
          </cell>
          <cell r="BZ37">
            <v>708.52954166666643</v>
          </cell>
          <cell r="CA37">
            <v>548.5390000000001</v>
          </cell>
          <cell r="CB37">
            <v>109</v>
          </cell>
          <cell r="CC37">
            <v>108.03891374999992</v>
          </cell>
          <cell r="CD37">
            <v>83.643029999999996</v>
          </cell>
          <cell r="CE37">
            <v>109.99999999999997</v>
          </cell>
          <cell r="CF37">
            <v>118.33216666666664</v>
          </cell>
          <cell r="CG37">
            <v>91.611999999999995</v>
          </cell>
          <cell r="CM37">
            <v>23910.757445885214</v>
          </cell>
          <cell r="CN37">
            <v>28142.942799794688</v>
          </cell>
          <cell r="CO37">
            <v>21788.08474822815</v>
          </cell>
          <cell r="CP37">
            <v>2424.9200607480257</v>
          </cell>
          <cell r="CQ37">
            <v>2841.5339894262993</v>
          </cell>
          <cell r="CR37">
            <v>2199.89728213649</v>
          </cell>
          <cell r="CS37">
            <v>2677.7782567295808</v>
          </cell>
          <cell r="CT37">
            <v>2809.8262334166661</v>
          </cell>
          <cell r="CU37">
            <v>2175.349342</v>
          </cell>
        </row>
        <row r="38">
          <cell r="BY38" t="str">
            <v xml:space="preserve"> </v>
          </cell>
        </row>
      </sheetData>
      <sheetData sheetId="6"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</row>
        <row r="3">
          <cell r="A3" t="str">
            <v>Date</v>
          </cell>
          <cell r="B3" t="str">
            <v>OVER</v>
          </cell>
          <cell r="C3" t="str">
            <v>Blasting</v>
          </cell>
          <cell r="D3" t="str">
            <v>Uncovered coal</v>
          </cell>
          <cell r="E3" t="str">
            <v>Coal</v>
          </cell>
          <cell r="F3" t="str">
            <v>Dirty</v>
          </cell>
          <cell r="G3" t="str">
            <v>Coal</v>
          </cell>
          <cell r="H3" t="str">
            <v>Coal</v>
          </cell>
          <cell r="I3" t="str">
            <v>Coal</v>
          </cell>
          <cell r="J3" t="str">
            <v xml:space="preserve">ROM </v>
          </cell>
          <cell r="K3" t="str">
            <v>MSY</v>
          </cell>
          <cell r="L3" t="str">
            <v>Port</v>
          </cell>
          <cell r="M3" t="str">
            <v>Coal Shipped</v>
          </cell>
        </row>
        <row r="4">
          <cell r="B4" t="str">
            <v>BURDEN</v>
          </cell>
          <cell r="C4" t="str">
            <v>Volume</v>
          </cell>
          <cell r="D4" t="str">
            <v>(Pit inventory)</v>
          </cell>
          <cell r="E4" t="str">
            <v>Mined</v>
          </cell>
          <cell r="F4" t="str">
            <v>Coal</v>
          </cell>
          <cell r="G4" t="str">
            <v>Crusher</v>
          </cell>
          <cell r="H4" t="str">
            <v>Washed</v>
          </cell>
          <cell r="I4" t="str">
            <v>Transport</v>
          </cell>
          <cell r="J4" t="str">
            <v>Inventory</v>
          </cell>
          <cell r="K4" t="str">
            <v>Inventory</v>
          </cell>
          <cell r="L4" t="str">
            <v>Inventory</v>
          </cell>
          <cell r="M4" t="str">
            <v>CUSTOMER</v>
          </cell>
          <cell r="U4" t="str">
            <v>Draft Survey</v>
          </cell>
        </row>
        <row r="5">
          <cell r="G5" t="str">
            <v>incl TDM</v>
          </cell>
          <cell r="O5" t="str">
            <v>Qty.Req.</v>
          </cell>
          <cell r="Q5" t="str">
            <v>B.S. C 29</v>
          </cell>
          <cell r="S5" t="str">
            <v>From BARGE</v>
          </cell>
        </row>
        <row r="6">
          <cell r="B6" t="str">
            <v>(BCM)</v>
          </cell>
          <cell r="C6" t="str">
            <v>(BCM)</v>
          </cell>
          <cell r="D6" t="str">
            <v>(tonnes)</v>
          </cell>
          <cell r="E6" t="str">
            <v>(tonnes)</v>
          </cell>
          <cell r="F6" t="str">
            <v>(tonnes)</v>
          </cell>
          <cell r="G6" t="str">
            <v>(tonnes)</v>
          </cell>
          <cell r="H6" t="str">
            <v>(tonnes)</v>
          </cell>
          <cell r="I6" t="str">
            <v>(tonnes)</v>
          </cell>
          <cell r="J6" t="str">
            <v>(tonnes)</v>
          </cell>
          <cell r="K6" t="str">
            <v>(tonnes)</v>
          </cell>
          <cell r="L6" t="str">
            <v>(tonnes)</v>
          </cell>
          <cell r="O6" t="str">
            <v>(tonnes)</v>
          </cell>
          <cell r="Q6" t="str">
            <v>(tonnes)</v>
          </cell>
          <cell r="S6" t="str">
            <v>(tonnes)</v>
          </cell>
          <cell r="W6" t="str">
            <v>tdm</v>
          </cell>
          <cell r="X6" t="str">
            <v>im+tm</v>
          </cell>
        </row>
        <row r="7">
          <cell r="A7">
            <v>41699</v>
          </cell>
          <cell r="B7">
            <v>514614.23012542725</v>
          </cell>
          <cell r="C7">
            <v>811767</v>
          </cell>
          <cell r="D7">
            <v>55560.640000000007</v>
          </cell>
          <cell r="E7">
            <v>41889.68</v>
          </cell>
          <cell r="F7">
            <v>5073</v>
          </cell>
          <cell r="G7">
            <v>59529.9</v>
          </cell>
          <cell r="H7">
            <v>171.6</v>
          </cell>
          <cell r="I7">
            <v>56707.786495553984</v>
          </cell>
          <cell r="J7">
            <v>187681.62759397196</v>
          </cell>
          <cell r="K7">
            <v>130761.01350444602</v>
          </cell>
          <cell r="L7">
            <v>348572</v>
          </cell>
          <cell r="M7" t="str">
            <v>CLP</v>
          </cell>
          <cell r="N7" t="str">
            <v>HUANENG</v>
          </cell>
          <cell r="O7">
            <v>74250</v>
          </cell>
          <cell r="P7">
            <v>0</v>
          </cell>
          <cell r="Q7">
            <v>51979</v>
          </cell>
          <cell r="R7">
            <v>9593</v>
          </cell>
          <cell r="S7">
            <v>0</v>
          </cell>
          <cell r="T7">
            <v>0</v>
          </cell>
          <cell r="U7">
            <v>0</v>
          </cell>
          <cell r="V7">
            <v>79423</v>
          </cell>
          <cell r="W7">
            <v>12529.2</v>
          </cell>
          <cell r="X7">
            <v>59529.9</v>
          </cell>
        </row>
        <row r="8">
          <cell r="A8">
            <v>41700</v>
          </cell>
          <cell r="B8">
            <v>436532.79974365234</v>
          </cell>
          <cell r="C8">
            <v>524388</v>
          </cell>
          <cell r="D8">
            <v>59164.568930515474</v>
          </cell>
          <cell r="E8">
            <v>40664.639999999999</v>
          </cell>
          <cell r="F8">
            <v>1897</v>
          </cell>
          <cell r="G8">
            <v>46182.1</v>
          </cell>
          <cell r="H8">
            <v>198</v>
          </cell>
          <cell r="I8">
            <v>53150.903050814908</v>
          </cell>
          <cell r="J8">
            <v>191023.56759397197</v>
          </cell>
          <cell r="K8">
            <v>125548.71045363109</v>
          </cell>
          <cell r="L8">
            <v>350229</v>
          </cell>
          <cell r="W8">
            <v>4568.6000000000004</v>
          </cell>
          <cell r="X8">
            <v>46182.1</v>
          </cell>
        </row>
        <row r="9">
          <cell r="A9">
            <v>41701</v>
          </cell>
          <cell r="B9">
            <v>404892.73999595642</v>
          </cell>
          <cell r="C9">
            <v>517732</v>
          </cell>
          <cell r="D9">
            <v>61609.868930515484</v>
          </cell>
          <cell r="E9">
            <v>36290.400000000001</v>
          </cell>
          <cell r="F9">
            <v>1130</v>
          </cell>
          <cell r="G9">
            <v>47130.9</v>
          </cell>
          <cell r="H9">
            <v>320.39999999999998</v>
          </cell>
          <cell r="I9">
            <v>57331.999000000164</v>
          </cell>
          <cell r="J9">
            <v>185962.15759397196</v>
          </cell>
          <cell r="K9">
            <v>119411.51145363094</v>
          </cell>
          <cell r="L9">
            <v>342417</v>
          </cell>
          <cell r="W9">
            <v>13154.6</v>
          </cell>
          <cell r="X9">
            <v>47130.9</v>
          </cell>
        </row>
        <row r="10">
          <cell r="A10">
            <v>41702</v>
          </cell>
          <cell r="B10">
            <v>465875.73006515502</v>
          </cell>
          <cell r="C10">
            <v>465090.8</v>
          </cell>
          <cell r="D10">
            <v>73786.778585687905</v>
          </cell>
          <cell r="E10">
            <v>48285.919999999998</v>
          </cell>
          <cell r="F10">
            <v>880</v>
          </cell>
          <cell r="G10">
            <v>49752.3</v>
          </cell>
          <cell r="H10">
            <v>36</v>
          </cell>
          <cell r="I10">
            <v>61361</v>
          </cell>
          <cell r="J10">
            <v>199896.96759397196</v>
          </cell>
          <cell r="K10">
            <v>110348.51145363094</v>
          </cell>
          <cell r="L10">
            <v>308540.03138849465</v>
          </cell>
          <cell r="W10">
            <v>5936</v>
          </cell>
          <cell r="X10">
            <v>49752.3</v>
          </cell>
        </row>
        <row r="11">
          <cell r="A11">
            <v>41703</v>
          </cell>
          <cell r="B11">
            <v>498644.19993820193</v>
          </cell>
          <cell r="C11">
            <v>745220</v>
          </cell>
          <cell r="D11">
            <v>85078.978585687917</v>
          </cell>
          <cell r="E11">
            <v>49353.120000000003</v>
          </cell>
          <cell r="F11">
            <v>991</v>
          </cell>
          <cell r="G11">
            <v>59115.1</v>
          </cell>
          <cell r="H11">
            <v>180</v>
          </cell>
          <cell r="I11">
            <v>56614.786204053125</v>
          </cell>
          <cell r="J11">
            <v>199931.89759397195</v>
          </cell>
          <cell r="K11">
            <v>125866.42524957782</v>
          </cell>
          <cell r="L11">
            <v>302787.81759254774</v>
          </cell>
          <cell r="W11">
            <v>11320.8</v>
          </cell>
          <cell r="X11">
            <v>59115.1</v>
          </cell>
        </row>
        <row r="12">
          <cell r="A12">
            <v>41704</v>
          </cell>
          <cell r="B12">
            <v>464103.21001472475</v>
          </cell>
          <cell r="C12">
            <v>528250</v>
          </cell>
          <cell r="D12">
            <v>98409.678585687914</v>
          </cell>
          <cell r="E12">
            <v>49020.24</v>
          </cell>
          <cell r="F12">
            <v>1192</v>
          </cell>
          <cell r="G12">
            <v>44511.3</v>
          </cell>
          <cell r="H12">
            <v>448.8</v>
          </cell>
          <cell r="I12">
            <v>40507.999070837883</v>
          </cell>
          <cell r="J12">
            <v>211256.46759397196</v>
          </cell>
          <cell r="K12">
            <v>132097.22617873992</v>
          </cell>
          <cell r="L12">
            <v>271929</v>
          </cell>
          <cell r="W12">
            <v>6635.6</v>
          </cell>
          <cell r="X12">
            <v>44511.3</v>
          </cell>
        </row>
        <row r="13">
          <cell r="A13">
            <v>41705</v>
          </cell>
          <cell r="B13">
            <v>472894.66004142759</v>
          </cell>
          <cell r="C13">
            <v>474173</v>
          </cell>
          <cell r="D13">
            <v>60538.12</v>
          </cell>
          <cell r="E13">
            <v>45594.12</v>
          </cell>
          <cell r="F13">
            <v>1463</v>
          </cell>
          <cell r="G13">
            <v>52266.8</v>
          </cell>
          <cell r="H13">
            <v>0</v>
          </cell>
          <cell r="I13">
            <v>56844.045003841573</v>
          </cell>
          <cell r="J13">
            <v>217207.15759397196</v>
          </cell>
          <cell r="K13">
            <v>139722.28117489835</v>
          </cell>
          <cell r="L13">
            <v>278688</v>
          </cell>
          <cell r="W13">
            <v>8268</v>
          </cell>
          <cell r="X13">
            <v>52266.8</v>
          </cell>
        </row>
        <row r="14">
          <cell r="A14">
            <v>41706</v>
          </cell>
          <cell r="B14">
            <v>523397.10009231564</v>
          </cell>
          <cell r="C14">
            <v>485410</v>
          </cell>
          <cell r="D14">
            <v>73536.199999999983</v>
          </cell>
          <cell r="E14">
            <v>49015.8</v>
          </cell>
          <cell r="F14">
            <v>1273</v>
          </cell>
          <cell r="G14">
            <v>53569.9</v>
          </cell>
          <cell r="H14">
            <v>316.8</v>
          </cell>
          <cell r="I14">
            <v>54566.900001751288</v>
          </cell>
          <cell r="J14">
            <v>223118.96759397196</v>
          </cell>
          <cell r="K14">
            <v>138432.08117314707</v>
          </cell>
          <cell r="L14">
            <v>272651</v>
          </cell>
          <cell r="W14">
            <v>9020.6</v>
          </cell>
          <cell r="X14">
            <v>53569.9</v>
          </cell>
        </row>
        <row r="15">
          <cell r="A15">
            <v>41707</v>
          </cell>
          <cell r="B15">
            <v>514996.72989654541</v>
          </cell>
          <cell r="C15">
            <v>918053</v>
          </cell>
          <cell r="D15">
            <v>89878.399999999994</v>
          </cell>
          <cell r="E15">
            <v>47667.8</v>
          </cell>
          <cell r="F15">
            <v>299</v>
          </cell>
          <cell r="G15">
            <v>48713.7</v>
          </cell>
          <cell r="H15">
            <v>0</v>
          </cell>
          <cell r="I15">
            <v>65573</v>
          </cell>
          <cell r="J15">
            <v>229820.14759397192</v>
          </cell>
          <cell r="K15">
            <v>137708.48117314707</v>
          </cell>
          <cell r="L15">
            <v>280823</v>
          </cell>
          <cell r="W15">
            <v>9010</v>
          </cell>
          <cell r="X15">
            <v>48713.7</v>
          </cell>
        </row>
        <row r="16">
          <cell r="A16">
            <v>41708</v>
          </cell>
          <cell r="B16">
            <v>545112.81027297978</v>
          </cell>
          <cell r="C16">
            <v>424472</v>
          </cell>
          <cell r="D16">
            <v>113054.90052814453</v>
          </cell>
          <cell r="E16">
            <v>50577.64</v>
          </cell>
          <cell r="F16">
            <v>432</v>
          </cell>
          <cell r="G16">
            <v>42962.9</v>
          </cell>
          <cell r="H16">
            <v>409.2</v>
          </cell>
          <cell r="I16">
            <v>55762</v>
          </cell>
          <cell r="J16">
            <v>245923.01759397192</v>
          </cell>
          <cell r="K16">
            <v>129720.78117314707</v>
          </cell>
          <cell r="L16">
            <v>232350</v>
          </cell>
          <cell r="W16">
            <v>0</v>
          </cell>
          <cell r="X16">
            <v>42962.9</v>
          </cell>
        </row>
        <row r="17">
          <cell r="A17">
            <v>41709</v>
          </cell>
          <cell r="B17">
            <v>539461.51996459963</v>
          </cell>
          <cell r="C17">
            <v>821772</v>
          </cell>
          <cell r="D17">
            <v>122996.22052814452</v>
          </cell>
          <cell r="E17">
            <v>51307</v>
          </cell>
          <cell r="F17">
            <v>1205</v>
          </cell>
          <cell r="G17">
            <v>58316.6</v>
          </cell>
          <cell r="H17">
            <v>0</v>
          </cell>
          <cell r="I17">
            <v>50754.756139820311</v>
          </cell>
          <cell r="J17">
            <v>251518.34759397191</v>
          </cell>
          <cell r="K17">
            <v>138739.12503332674</v>
          </cell>
          <cell r="L17">
            <v>212710</v>
          </cell>
          <cell r="W17">
            <v>9434</v>
          </cell>
          <cell r="X17">
            <v>58316.6</v>
          </cell>
        </row>
        <row r="18">
          <cell r="A18">
            <v>41710</v>
          </cell>
          <cell r="B18">
            <v>522033.00998001097</v>
          </cell>
          <cell r="C18">
            <v>509684.5</v>
          </cell>
          <cell r="D18">
            <v>68039.759999999995</v>
          </cell>
          <cell r="E18">
            <v>52217.960000000006</v>
          </cell>
          <cell r="F18">
            <v>569</v>
          </cell>
          <cell r="G18">
            <v>49720.7</v>
          </cell>
          <cell r="H18">
            <v>0</v>
          </cell>
          <cell r="I18">
            <v>52045</v>
          </cell>
          <cell r="J18">
            <v>262215.73759397195</v>
          </cell>
          <cell r="K18">
            <v>138182.92503332676</v>
          </cell>
          <cell r="L18">
            <v>204393</v>
          </cell>
          <cell r="W18">
            <v>1187.2</v>
          </cell>
          <cell r="X18">
            <v>49720.7</v>
          </cell>
        </row>
        <row r="19">
          <cell r="A19">
            <v>41711</v>
          </cell>
          <cell r="B19">
            <v>499178.25996932981</v>
          </cell>
          <cell r="C19">
            <v>600400</v>
          </cell>
          <cell r="D19">
            <v>83919.462372491471</v>
          </cell>
          <cell r="E19">
            <v>48972</v>
          </cell>
          <cell r="F19">
            <v>810</v>
          </cell>
          <cell r="G19">
            <v>45928.15</v>
          </cell>
          <cell r="H19">
            <v>0</v>
          </cell>
          <cell r="I19">
            <v>62303.998877937171</v>
          </cell>
          <cell r="J19">
            <v>279408.11759397195</v>
          </cell>
          <cell r="K19">
            <v>127369.02615538958</v>
          </cell>
          <cell r="L19">
            <v>219062</v>
          </cell>
          <cell r="W19">
            <v>0</v>
          </cell>
          <cell r="X19">
            <v>45928.15</v>
          </cell>
        </row>
        <row r="20">
          <cell r="A20">
            <v>41712</v>
          </cell>
          <cell r="B20">
            <v>464235.43996582029</v>
          </cell>
          <cell r="C20">
            <v>336178</v>
          </cell>
          <cell r="D20">
            <v>98050.582372491466</v>
          </cell>
          <cell r="E20">
            <v>41734.759999999995</v>
          </cell>
          <cell r="F20">
            <v>1934</v>
          </cell>
          <cell r="G20">
            <v>39793.31</v>
          </cell>
          <cell r="H20">
            <v>409.2</v>
          </cell>
          <cell r="I20">
            <v>57224.864999999983</v>
          </cell>
          <cell r="J20">
            <v>290398.85759397194</v>
          </cell>
          <cell r="K20">
            <v>124735.6711553896</v>
          </cell>
          <cell r="L20">
            <v>215607</v>
          </cell>
          <cell r="W20">
            <v>8066.6</v>
          </cell>
          <cell r="X20">
            <v>39793.31</v>
          </cell>
        </row>
        <row r="21">
          <cell r="A21">
            <v>41713</v>
          </cell>
          <cell r="B21">
            <v>494810.95993499755</v>
          </cell>
          <cell r="C21">
            <v>657699</v>
          </cell>
          <cell r="D21">
            <v>111706.18237249144</v>
          </cell>
          <cell r="E21">
            <v>51144.24</v>
          </cell>
          <cell r="F21">
            <v>2189</v>
          </cell>
          <cell r="G21">
            <v>49595.1</v>
          </cell>
          <cell r="H21">
            <v>237.6</v>
          </cell>
          <cell r="I21">
            <v>55777</v>
          </cell>
          <cell r="J21">
            <v>301318.28759397194</v>
          </cell>
          <cell r="K21">
            <v>117594.80115538961</v>
          </cell>
          <cell r="L21">
            <v>198883</v>
          </cell>
          <cell r="W21">
            <v>6116.2</v>
          </cell>
          <cell r="X21">
            <v>49595.1</v>
          </cell>
        </row>
        <row r="22">
          <cell r="A22">
            <v>41714</v>
          </cell>
          <cell r="B22">
            <v>512218.34010696411</v>
          </cell>
          <cell r="C22">
            <v>469493</v>
          </cell>
          <cell r="D22">
            <v>120050.68237249147</v>
          </cell>
          <cell r="E22">
            <v>60238.32</v>
          </cell>
          <cell r="F22">
            <v>709</v>
          </cell>
          <cell r="G22">
            <v>46570.729999999996</v>
          </cell>
          <cell r="H22">
            <v>270</v>
          </cell>
          <cell r="I22">
            <v>63119.99901123828</v>
          </cell>
          <cell r="J22">
            <v>325227.65759397193</v>
          </cell>
          <cell r="K22">
            <v>109610.76214415132</v>
          </cell>
          <cell r="L22">
            <v>183239</v>
          </cell>
          <cell r="W22">
            <v>0</v>
          </cell>
          <cell r="X22">
            <v>46570.729999999996</v>
          </cell>
        </row>
        <row r="23">
          <cell r="A23">
            <v>41715</v>
          </cell>
          <cell r="B23">
            <v>490742.5398239136</v>
          </cell>
          <cell r="C23">
            <v>726099</v>
          </cell>
          <cell r="D23">
            <v>59019.360000000001</v>
          </cell>
          <cell r="E23">
            <v>54380.32</v>
          </cell>
          <cell r="F23">
            <v>3069</v>
          </cell>
          <cell r="G23">
            <v>56055.37</v>
          </cell>
          <cell r="H23">
            <v>396</v>
          </cell>
          <cell r="I23">
            <v>55159.900001920825</v>
          </cell>
          <cell r="J23">
            <v>325750.20759397192</v>
          </cell>
          <cell r="K23">
            <v>113463.8021422305</v>
          </cell>
          <cell r="L23">
            <v>192118</v>
          </cell>
          <cell r="W23">
            <v>8278.6</v>
          </cell>
          <cell r="X23">
            <v>56055.37</v>
          </cell>
        </row>
        <row r="24">
          <cell r="A24">
            <v>41716</v>
          </cell>
          <cell r="B24">
            <v>521370.02999999997</v>
          </cell>
          <cell r="C24">
            <v>645359</v>
          </cell>
          <cell r="D24">
            <v>64881.029999999992</v>
          </cell>
          <cell r="E24">
            <v>51271.16</v>
          </cell>
          <cell r="F24">
            <v>738</v>
          </cell>
          <cell r="G24">
            <v>53513.84</v>
          </cell>
          <cell r="H24">
            <v>198</v>
          </cell>
          <cell r="I24">
            <v>61129.906267621816</v>
          </cell>
          <cell r="J24">
            <v>334485.59759397199</v>
          </cell>
          <cell r="K24">
            <v>110017.80587460869</v>
          </cell>
          <cell r="L24">
            <v>207561</v>
          </cell>
          <cell r="W24">
            <v>7526</v>
          </cell>
          <cell r="X24">
            <v>53513.84</v>
          </cell>
        </row>
        <row r="25">
          <cell r="A25">
            <v>41717</v>
          </cell>
          <cell r="B25">
            <v>504679.56999969482</v>
          </cell>
          <cell r="C25">
            <v>555708</v>
          </cell>
          <cell r="D25">
            <v>84207.73</v>
          </cell>
          <cell r="E25">
            <v>53844.759999999995</v>
          </cell>
          <cell r="F25">
            <v>3597</v>
          </cell>
          <cell r="G25">
            <v>31181.22</v>
          </cell>
          <cell r="H25">
            <v>356.4</v>
          </cell>
          <cell r="I25">
            <v>61617</v>
          </cell>
          <cell r="J25">
            <v>360996.85759397194</v>
          </cell>
          <cell r="K25">
            <v>112481.30587460869</v>
          </cell>
          <cell r="L25">
            <v>202012</v>
          </cell>
          <cell r="W25">
            <v>9232.6</v>
          </cell>
          <cell r="X25">
            <v>31181.22</v>
          </cell>
        </row>
        <row r="26">
          <cell r="A26">
            <v>41718</v>
          </cell>
          <cell r="B26">
            <v>360425.55022888182</v>
          </cell>
          <cell r="C26">
            <v>563039</v>
          </cell>
          <cell r="D26">
            <v>94522.489999999991</v>
          </cell>
          <cell r="E26">
            <v>39165.64</v>
          </cell>
          <cell r="F26">
            <v>1298</v>
          </cell>
          <cell r="G26">
            <v>31801</v>
          </cell>
          <cell r="H26">
            <v>0</v>
          </cell>
          <cell r="I26">
            <v>50290</v>
          </cell>
          <cell r="J26">
            <v>374325.27759397193</v>
          </cell>
          <cell r="K26">
            <v>101845.35587460868</v>
          </cell>
          <cell r="L26">
            <v>188623</v>
          </cell>
          <cell r="W26">
            <v>8405.7999999999993</v>
          </cell>
          <cell r="X26">
            <v>31801</v>
          </cell>
        </row>
        <row r="27">
          <cell r="A27">
            <v>41719</v>
          </cell>
          <cell r="B27">
            <v>246233.13997039796</v>
          </cell>
          <cell r="C27">
            <v>413786</v>
          </cell>
          <cell r="D27">
            <v>91922.409999999989</v>
          </cell>
          <cell r="E27">
            <v>18851.080000000002</v>
          </cell>
          <cell r="F27">
            <v>76</v>
          </cell>
          <cell r="G27">
            <v>30383.200000000001</v>
          </cell>
          <cell r="H27">
            <v>516</v>
          </cell>
          <cell r="I27">
            <v>48250.800337052809</v>
          </cell>
          <cell r="J27">
            <v>367334.95759397186</v>
          </cell>
          <cell r="K27">
            <v>99390.555537555876</v>
          </cell>
          <cell r="L27">
            <v>177832</v>
          </cell>
          <cell r="W27">
            <v>3816</v>
          </cell>
          <cell r="X27">
            <v>30383.200000000001</v>
          </cell>
        </row>
        <row r="28">
          <cell r="A28">
            <v>41720</v>
          </cell>
          <cell r="B28">
            <v>437175.909916687</v>
          </cell>
          <cell r="C28">
            <v>313958</v>
          </cell>
          <cell r="D28">
            <v>82478.210000000006</v>
          </cell>
          <cell r="E28">
            <v>40838.239999999998</v>
          </cell>
          <cell r="F28">
            <v>1719</v>
          </cell>
          <cell r="G28">
            <v>51473.5</v>
          </cell>
          <cell r="H28">
            <v>0</v>
          </cell>
          <cell r="I28">
            <v>56375.903226943483</v>
          </cell>
          <cell r="J28">
            <v>369265.39759397192</v>
          </cell>
          <cell r="K28">
            <v>102740.15231061239</v>
          </cell>
          <cell r="L28">
            <v>177079</v>
          </cell>
          <cell r="W28">
            <v>9020.6</v>
          </cell>
          <cell r="X28">
            <v>51473.5</v>
          </cell>
        </row>
        <row r="29">
          <cell r="A29">
            <v>41721</v>
          </cell>
          <cell r="B29">
            <v>476854.26997566223</v>
          </cell>
          <cell r="C29">
            <v>561355</v>
          </cell>
          <cell r="D29">
            <v>82306.701000760891</v>
          </cell>
          <cell r="E29">
            <v>49175.96</v>
          </cell>
          <cell r="F29">
            <v>1852</v>
          </cell>
          <cell r="G29">
            <v>60554.8</v>
          </cell>
          <cell r="H29">
            <v>396</v>
          </cell>
          <cell r="I29">
            <v>70049</v>
          </cell>
          <cell r="J29">
            <v>371317.88759397197</v>
          </cell>
          <cell r="K29">
            <v>102918.75231061238</v>
          </cell>
          <cell r="L29">
            <v>198934</v>
          </cell>
          <cell r="W29">
            <v>9020.6</v>
          </cell>
          <cell r="X29">
            <v>60554.8</v>
          </cell>
        </row>
        <row r="30">
          <cell r="A30">
            <v>41722</v>
          </cell>
          <cell r="B30">
            <v>525656.95015335083</v>
          </cell>
          <cell r="C30">
            <v>587249</v>
          </cell>
          <cell r="D30">
            <v>86979.141000760894</v>
          </cell>
          <cell r="E30">
            <v>51491.76</v>
          </cell>
          <cell r="F30">
            <v>2138</v>
          </cell>
          <cell r="G30">
            <v>56395.8</v>
          </cell>
          <cell r="H30">
            <v>396</v>
          </cell>
          <cell r="I30">
            <v>57310.99915337436</v>
          </cell>
          <cell r="J30">
            <v>376604.72759397188</v>
          </cell>
          <cell r="K30">
            <v>105873.65315723803</v>
          </cell>
          <cell r="L30">
            <v>206192</v>
          </cell>
          <cell r="W30">
            <v>8935</v>
          </cell>
          <cell r="X30">
            <v>56395.8</v>
          </cell>
        </row>
      </sheetData>
      <sheetData sheetId="7">
        <row r="4">
          <cell r="A4" t="str">
            <v>DATE</v>
          </cell>
          <cell r="B4" t="str">
            <v>O V E R  B U R D E N</v>
          </cell>
          <cell r="L4" t="str">
            <v>C O A L  W I N N I N G</v>
          </cell>
          <cell r="X4" t="str">
            <v>COAL CRUSHING</v>
          </cell>
          <cell r="AC4" t="str">
            <v>Uncovered Coal</v>
          </cell>
          <cell r="AG4" t="str">
            <v>Total</v>
          </cell>
          <cell r="AH4" t="str">
            <v>Near Expose Coal (S/R &lt; 3)</v>
          </cell>
          <cell r="AL4" t="str">
            <v>Total</v>
          </cell>
          <cell r="AM4" t="str">
            <v>TOP SOIL &amp; PAF</v>
          </cell>
          <cell r="BG4" t="str">
            <v>HIGH ASH</v>
          </cell>
          <cell r="BK4" t="str">
            <v>WEATHER CONDITION</v>
          </cell>
          <cell r="CA4" t="str">
            <v>DRILL &amp; BLASTING</v>
          </cell>
          <cell r="CU4" t="str">
            <v>PUMP</v>
          </cell>
          <cell r="DD4" t="str">
            <v>Downtime Remarks</v>
          </cell>
        </row>
        <row r="5">
          <cell r="B5" t="str">
            <v>P L A N (bcm)</v>
          </cell>
          <cell r="G5" t="str">
            <v>A C T U A L &amp; OUTLOOK</v>
          </cell>
          <cell r="L5" t="str">
            <v>P L A N (ton)</v>
          </cell>
          <cell r="Q5" t="str">
            <v>A C T U A L &amp; OUTLOOK</v>
          </cell>
          <cell r="CU5" t="str">
            <v>Pompa MF 390-01</v>
          </cell>
          <cell r="CV5" t="str">
            <v>Pompa MF 390-02</v>
          </cell>
          <cell r="CW5" t="str">
            <v>Pompa MF 390-03 (Emb)</v>
          </cell>
          <cell r="CX5" t="str">
            <v>Pompa MF 290-01</v>
          </cell>
          <cell r="CY5" t="str">
            <v>Pompa MF 290-02</v>
          </cell>
          <cell r="CZ5" t="str">
            <v>Pompa MF 790-01 (Emb)</v>
          </cell>
          <cell r="DA5" t="str">
            <v>Pompa MF 160-01</v>
          </cell>
          <cell r="DB5" t="str">
            <v>Pompa MF SYKES-01</v>
          </cell>
          <cell r="DC5" t="str">
            <v>Pompa MF 400-02</v>
          </cell>
        </row>
        <row r="6">
          <cell r="X6" t="str">
            <v>TM-INDOMINCO</v>
          </cell>
          <cell r="Z6" t="str">
            <v>PAMA</v>
          </cell>
          <cell r="AB6" t="str">
            <v>Total</v>
          </cell>
          <cell r="AM6" t="str">
            <v>TDM S13B</v>
          </cell>
          <cell r="AO6" t="str">
            <v>IMM L11-N</v>
          </cell>
          <cell r="AQ6" t="str">
            <v>IMM L13W1</v>
          </cell>
          <cell r="AS6" t="str">
            <v>IMM L13-Expansion</v>
          </cell>
          <cell r="AU6" t="str">
            <v>IMM L11-N</v>
          </cell>
          <cell r="AY6" t="str">
            <v>IMM L13W</v>
          </cell>
          <cell r="BC6" t="str">
            <v>IMM S13 IMM</v>
          </cell>
          <cell r="BG6" t="str">
            <v>TDM 13B</v>
          </cell>
          <cell r="BK6" t="str">
            <v>TDM S13B</v>
          </cell>
          <cell r="BO6" t="str">
            <v>HO</v>
          </cell>
          <cell r="BS6" t="str">
            <v>IMM L13W1</v>
          </cell>
          <cell r="BW6" t="str">
            <v>IMM L13-Expansion</v>
          </cell>
          <cell r="CC6" t="str">
            <v>TDM S13B</v>
          </cell>
          <cell r="CH6" t="str">
            <v>IMM L11-N</v>
          </cell>
          <cell r="CM6" t="str">
            <v>IMM L13W1</v>
          </cell>
          <cell r="CP6" t="str">
            <v>IMM S13-Expansion</v>
          </cell>
        </row>
        <row r="7">
          <cell r="B7" t="str">
            <v>Total</v>
          </cell>
          <cell r="C7" t="str">
            <v xml:space="preserve">Source </v>
          </cell>
          <cell r="G7" t="str">
            <v xml:space="preserve">Source </v>
          </cell>
          <cell r="K7" t="str">
            <v>Total</v>
          </cell>
          <cell r="L7" t="str">
            <v>Total</v>
          </cell>
          <cell r="M7" t="str">
            <v xml:space="preserve">Source </v>
          </cell>
          <cell r="Q7" t="str">
            <v>Hi-TS</v>
          </cell>
          <cell r="R7" t="str">
            <v>Lo-TS</v>
          </cell>
          <cell r="S7" t="str">
            <v>Total</v>
          </cell>
          <cell r="T7" t="str">
            <v xml:space="preserve">Source </v>
          </cell>
          <cell r="X7" t="str">
            <v>Hi-TS</v>
          </cell>
          <cell r="Y7" t="str">
            <v>Lo-TS</v>
          </cell>
          <cell r="Z7" t="str">
            <v>Hi-TS</v>
          </cell>
          <cell r="AA7" t="str">
            <v>Lo-TS</v>
          </cell>
          <cell r="AC7" t="str">
            <v>TDM S13B</v>
          </cell>
          <cell r="AD7" t="str">
            <v>IMM L11-N</v>
          </cell>
          <cell r="AE7" t="str">
            <v>IMM L13W1</v>
          </cell>
          <cell r="AF7" t="str">
            <v>IMM S13-Expansion</v>
          </cell>
          <cell r="AH7" t="str">
            <v>TDM S13B</v>
          </cell>
          <cell r="AI7" t="str">
            <v>IMM L11-N</v>
          </cell>
          <cell r="AJ7" t="str">
            <v>IMM L13W1</v>
          </cell>
          <cell r="AK7" t="str">
            <v>IMM S13-Expansion</v>
          </cell>
          <cell r="AM7" t="str">
            <v>Top Soil</v>
          </cell>
          <cell r="AN7" t="str">
            <v>PAF</v>
          </cell>
          <cell r="AO7" t="str">
            <v>Top Soil</v>
          </cell>
          <cell r="AP7" t="str">
            <v>PAF</v>
          </cell>
          <cell r="AQ7" t="str">
            <v>Top Soil</v>
          </cell>
          <cell r="AR7" t="str">
            <v>PAF</v>
          </cell>
          <cell r="AS7" t="str">
            <v>Top Soil</v>
          </cell>
          <cell r="AT7" t="str">
            <v>PAF</v>
          </cell>
          <cell r="AU7" t="str">
            <v>Pit to stok KTD</v>
          </cell>
          <cell r="AV7" t="str">
            <v>Pit to CP2</v>
          </cell>
          <cell r="AW7" t="str">
            <v>Stock To CP2</v>
          </cell>
          <cell r="AX7" t="str">
            <v>To Washing plant</v>
          </cell>
          <cell r="AY7" t="str">
            <v>Pit to stok KTD</v>
          </cell>
          <cell r="AZ7" t="str">
            <v>Pit to CP3</v>
          </cell>
          <cell r="BA7" t="str">
            <v>Stock To CP2</v>
          </cell>
          <cell r="BB7" t="str">
            <v>To Washing plant</v>
          </cell>
          <cell r="BC7" t="str">
            <v>Pit to stok KTD</v>
          </cell>
          <cell r="BD7" t="str">
            <v>Pit to CP2</v>
          </cell>
          <cell r="BE7" t="str">
            <v>Stock To CP3</v>
          </cell>
          <cell r="BF7" t="str">
            <v>To Washing plant</v>
          </cell>
          <cell r="BG7" t="str">
            <v>Pit to stok KTD</v>
          </cell>
          <cell r="BH7" t="str">
            <v>Pit to CP2</v>
          </cell>
          <cell r="BI7" t="str">
            <v>Stock To CP3</v>
          </cell>
          <cell r="BJ7" t="str">
            <v>To Washing plant</v>
          </cell>
          <cell r="BK7" t="str">
            <v>hour</v>
          </cell>
          <cell r="BL7" t="str">
            <v>Frequency</v>
          </cell>
          <cell r="BM7" t="str">
            <v>mm</v>
          </cell>
          <cell r="BN7" t="str">
            <v>SLIP (hr)</v>
          </cell>
          <cell r="BO7" t="str">
            <v>hour</v>
          </cell>
          <cell r="BP7" t="str">
            <v>Frequency</v>
          </cell>
          <cell r="BQ7" t="str">
            <v>mm</v>
          </cell>
          <cell r="BR7" t="str">
            <v>SLIP (hr)</v>
          </cell>
          <cell r="BS7" t="str">
            <v>hour</v>
          </cell>
          <cell r="BT7" t="str">
            <v>Frequency</v>
          </cell>
          <cell r="BU7" t="str">
            <v>mm</v>
          </cell>
          <cell r="BV7" t="str">
            <v>SLIP (hr)</v>
          </cell>
          <cell r="BW7" t="str">
            <v>hour</v>
          </cell>
          <cell r="BX7" t="str">
            <v>Frequency</v>
          </cell>
          <cell r="BY7" t="str">
            <v>mm</v>
          </cell>
          <cell r="BZ7" t="str">
            <v>SLIP (hr)</v>
          </cell>
          <cell r="CA7" t="str">
            <v>BCM</v>
          </cell>
          <cell r="CB7" t="str">
            <v>POWDER F. KG / BCM</v>
          </cell>
          <cell r="CC7" t="str">
            <v>Total Lubang (Pcs)</v>
          </cell>
          <cell r="CD7" t="str">
            <v>EXPLS.(KG)</v>
          </cell>
          <cell r="CE7" t="str">
            <v>Fuel (Ltr)</v>
          </cell>
          <cell r="CF7" t="str">
            <v>BCM</v>
          </cell>
          <cell r="CG7" t="str">
            <v>POWDER F. KG / BCM</v>
          </cell>
          <cell r="CH7" t="str">
            <v>Total Lubang (Pcs)</v>
          </cell>
          <cell r="CI7" t="str">
            <v>EXPLS.(KG)</v>
          </cell>
          <cell r="CJ7" t="str">
            <v>Fuel (Ltr)</v>
          </cell>
          <cell r="CK7" t="str">
            <v>BCM</v>
          </cell>
          <cell r="CL7" t="str">
            <v>POWDER F. KG / BCM</v>
          </cell>
          <cell r="CM7" t="str">
            <v>Total Lubang (Pcs)</v>
          </cell>
          <cell r="CN7" t="str">
            <v>EXPLS.(KG)</v>
          </cell>
          <cell r="CO7" t="str">
            <v>Fuel (Ltr)</v>
          </cell>
          <cell r="CP7" t="str">
            <v>BCM</v>
          </cell>
          <cell r="CQ7" t="str">
            <v>POWDER F. KG / BCM</v>
          </cell>
          <cell r="CR7" t="str">
            <v>Total Lubang (Pcs)</v>
          </cell>
          <cell r="CS7" t="str">
            <v>EXPLS.(KG)</v>
          </cell>
          <cell r="CT7" t="str">
            <v>Fuel (Ltr)</v>
          </cell>
          <cell r="CU7" t="str">
            <v>PMF 01</v>
          </cell>
          <cell r="CV7" t="str">
            <v>PMF 02</v>
          </cell>
          <cell r="CW7" t="str">
            <v>PMF 03</v>
          </cell>
          <cell r="CX7" t="str">
            <v>PMF 04</v>
          </cell>
          <cell r="CY7" t="str">
            <v>PMF 05</v>
          </cell>
          <cell r="CZ7" t="str">
            <v>PMF 06</v>
          </cell>
          <cell r="DA7" t="str">
            <v>PMF 08</v>
          </cell>
          <cell r="DB7" t="str">
            <v>PMF 09</v>
          </cell>
          <cell r="DC7" t="str">
            <v>PMF 10</v>
          </cell>
          <cell r="DG7" t="str">
            <v xml:space="preserve">Clean Coal from PIT to Stock KTD </v>
          </cell>
          <cell r="DO7" t="str">
            <v>Clean Coal from Stock to CP</v>
          </cell>
          <cell r="DW7" t="str">
            <v>Clean Coal from Pit</v>
          </cell>
          <cell r="EG7" t="str">
            <v>OB</v>
          </cell>
          <cell r="EK7" t="str">
            <v>Coal</v>
          </cell>
          <cell r="EO7" t="str">
            <v>Clean Coal to CP 1</v>
          </cell>
          <cell r="ET7" t="str">
            <v xml:space="preserve">Clean Coal to CP 3
</v>
          </cell>
        </row>
        <row r="8">
          <cell r="DG8" t="str">
            <v>IMM-S13B</v>
          </cell>
          <cell r="DI8" t="str">
            <v>TDM S13B</v>
          </cell>
          <cell r="DL8" t="str">
            <v>Total
TDM S13B</v>
          </cell>
          <cell r="DM8" t="str">
            <v xml:space="preserve">Total Coal from PIT to Stock KTD </v>
          </cell>
          <cell r="DO8" t="str">
            <v>IMM-S13B</v>
          </cell>
          <cell r="DR8" t="str">
            <v>TDM S13B</v>
          </cell>
          <cell r="DU8" t="str">
            <v>Total
TDM S13B</v>
          </cell>
          <cell r="DV8" t="str">
            <v>Total
Clean Coal from Stock to CP</v>
          </cell>
          <cell r="DX8" t="str">
            <v>IMM L13W
Hi-TS</v>
          </cell>
          <cell r="DY8" t="str">
            <v>IMM-S13B</v>
          </cell>
          <cell r="EA8" t="str">
            <v>TDM S13B</v>
          </cell>
          <cell r="ED8" t="str">
            <v>Total
TDM S13B</v>
          </cell>
          <cell r="EE8" t="str">
            <v>Total Coal From pit</v>
          </cell>
          <cell r="EQ8" t="str">
            <v>IMM S13B</v>
          </cell>
          <cell r="ET8" t="str">
            <v>IMM L13W</v>
          </cell>
          <cell r="EU8" t="str">
            <v>IMM S13B</v>
          </cell>
          <cell r="EW8" t="str">
            <v>Total</v>
          </cell>
        </row>
        <row r="9">
          <cell r="C9" t="str">
            <v>TDM S13B</v>
          </cell>
          <cell r="D9" t="str">
            <v>IMM L11-N</v>
          </cell>
          <cell r="E9" t="str">
            <v>IMM L13W1</v>
          </cell>
          <cell r="F9" t="str">
            <v>IMM S13-Expansion</v>
          </cell>
          <cell r="G9" t="str">
            <v>TDM S13B</v>
          </cell>
          <cell r="H9" t="str">
            <v>IMM L11-N</v>
          </cell>
          <cell r="I9" t="str">
            <v>IMM L13W1</v>
          </cell>
          <cell r="J9" t="str">
            <v>IMM S13-Expansion</v>
          </cell>
          <cell r="M9" t="str">
            <v>TDM S13B</v>
          </cell>
          <cell r="N9" t="str">
            <v>IMM L11-N</v>
          </cell>
          <cell r="O9" t="str">
            <v>IMM L13W1</v>
          </cell>
          <cell r="P9" t="str">
            <v>IMM S13-Expansion</v>
          </cell>
          <cell r="T9" t="str">
            <v>TDM S13B</v>
          </cell>
          <cell r="U9" t="str">
            <v>IMM L11-N</v>
          </cell>
          <cell r="V9" t="str">
            <v>IMM L13W1</v>
          </cell>
          <cell r="W9" t="str">
            <v>IMM S13-Expansion</v>
          </cell>
          <cell r="DD9" t="str">
            <v>OB</v>
          </cell>
          <cell r="DE9" t="str">
            <v>Coal</v>
          </cell>
          <cell r="DG9" t="str">
            <v>IMM-S13B
Lo-TS</v>
          </cell>
          <cell r="DH9" t="str">
            <v>IMM-S13B
Hi-TS</v>
          </cell>
          <cell r="DI9" t="str">
            <v>TDM 13B Hi</v>
          </cell>
          <cell r="DJ9" t="str">
            <v>TDM 13B Lo</v>
          </cell>
          <cell r="DK9" t="str">
            <v>TDM 12C</v>
          </cell>
          <cell r="DO9" t="str">
            <v>IMM-S13B
Hi-TS</v>
          </cell>
          <cell r="DP9" t="str">
            <v>IMM-S13B
Lo-TS</v>
          </cell>
          <cell r="DR9" t="str">
            <v>TDM 13B Hi</v>
          </cell>
          <cell r="DS9" t="str">
            <v>TDM 13B Lo</v>
          </cell>
          <cell r="DT9" t="str">
            <v>TDM 12C</v>
          </cell>
          <cell r="DW9" t="str">
            <v>IMM L11N</v>
          </cell>
          <cell r="DY9" t="str">
            <v>IMM S13B Lo</v>
          </cell>
          <cell r="DZ9" t="str">
            <v>IMM S12B Hi</v>
          </cell>
          <cell r="EA9" t="str">
            <v>TDM - C12</v>
          </cell>
          <cell r="EB9" t="str">
            <v>TDM - 13B Lo</v>
          </cell>
          <cell r="EC9" t="str">
            <v>TDM - 13B Hi</v>
          </cell>
          <cell r="EF9" t="str">
            <v>TDM S13B</v>
          </cell>
          <cell r="EG9" t="str">
            <v>IMM L11-N</v>
          </cell>
          <cell r="EH9" t="str">
            <v>IMM L13W1</v>
          </cell>
          <cell r="EI9" t="str">
            <v>IMM S13-Expansion</v>
          </cell>
          <cell r="EJ9" t="str">
            <v>TDM S13B</v>
          </cell>
          <cell r="EK9" t="str">
            <v>IMM L11-N</v>
          </cell>
          <cell r="EL9" t="str">
            <v>IMM L13W1</v>
          </cell>
          <cell r="EM9" t="str">
            <v>IMM S13-Expansion</v>
          </cell>
          <cell r="EP9" t="str">
            <v>IMM L13W</v>
          </cell>
          <cell r="EQ9" t="str">
            <v>IMM S13B Lo</v>
          </cell>
          <cell r="ER9" t="str">
            <v>IMM S12B Hi</v>
          </cell>
          <cell r="ES9" t="str">
            <v>Total</v>
          </cell>
          <cell r="EU9" t="str">
            <v>IMM S13BHi</v>
          </cell>
          <cell r="EV9" t="str">
            <v>IMM S12BHi</v>
          </cell>
        </row>
        <row r="10">
          <cell r="A10">
            <v>41699</v>
          </cell>
          <cell r="B10">
            <v>82982.706499823282</v>
          </cell>
          <cell r="C10">
            <v>82982.706499823282</v>
          </cell>
          <cell r="D10">
            <v>0</v>
          </cell>
          <cell r="E10">
            <v>0</v>
          </cell>
          <cell r="F10">
            <v>0</v>
          </cell>
          <cell r="G10">
            <v>98048.999755859375</v>
          </cell>
          <cell r="H10">
            <v>0</v>
          </cell>
          <cell r="I10">
            <v>0</v>
          </cell>
          <cell r="J10">
            <v>0</v>
          </cell>
          <cell r="K10">
            <v>98048.999755859375</v>
          </cell>
          <cell r="L10">
            <v>6021.1835137982944</v>
          </cell>
          <cell r="M10">
            <v>6021.1835137982944</v>
          </cell>
          <cell r="Q10">
            <v>5853.5799980163574</v>
          </cell>
          <cell r="R10">
            <v>2137.9099960327148</v>
          </cell>
          <cell r="S10">
            <v>7991.4899940490723</v>
          </cell>
          <cell r="T10">
            <v>7991.4899940490723</v>
          </cell>
          <cell r="U10">
            <v>0</v>
          </cell>
          <cell r="V10">
            <v>0</v>
          </cell>
          <cell r="W10">
            <v>0</v>
          </cell>
          <cell r="X10">
            <v>8770</v>
          </cell>
          <cell r="Y10">
            <v>3050</v>
          </cell>
          <cell r="Z10">
            <v>0</v>
          </cell>
          <cell r="AB10">
            <v>11820</v>
          </cell>
          <cell r="AC10">
            <v>364280.71993988036</v>
          </cell>
          <cell r="AD10">
            <v>0</v>
          </cell>
          <cell r="AE10">
            <v>0</v>
          </cell>
          <cell r="AF10">
            <v>0</v>
          </cell>
          <cell r="AG10">
            <v>364280.71993988036</v>
          </cell>
          <cell r="AH10">
            <v>258538.40357448408</v>
          </cell>
          <cell r="AI10">
            <v>0</v>
          </cell>
          <cell r="AJ10">
            <v>0</v>
          </cell>
          <cell r="AK10">
            <v>0</v>
          </cell>
          <cell r="AL10">
            <v>258538.40357448408</v>
          </cell>
          <cell r="AM10">
            <v>12128.759999999973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E10">
            <v>0</v>
          </cell>
          <cell r="BF10">
            <v>0</v>
          </cell>
          <cell r="BG10">
            <v>0</v>
          </cell>
          <cell r="BK10">
            <v>0.51666666666666483</v>
          </cell>
          <cell r="BL10">
            <v>1</v>
          </cell>
          <cell r="BM10">
            <v>0.7</v>
          </cell>
          <cell r="BN10">
            <v>0.5166666666666675</v>
          </cell>
          <cell r="BO10">
            <v>0.51666666666666483</v>
          </cell>
          <cell r="BP10">
            <v>0</v>
          </cell>
          <cell r="BQ10">
            <v>0</v>
          </cell>
          <cell r="BR10">
            <v>0.5166666666666675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0.51666666666666483</v>
          </cell>
          <cell r="BX10">
            <v>1</v>
          </cell>
          <cell r="BY10">
            <v>0.7</v>
          </cell>
          <cell r="BZ10">
            <v>0.5166666666666675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 t="str">
            <v xml:space="preserve">EX2500-07 : 2.67hr Engine Abnormal, 0.61hr Electric-- EX2500-09 : 2.09hr Daily Maintenance-- PC-1250-19 : 9.01hr PM 29500-- PC-1250-22 : 9.10hr Fuel System Leaked-- PC-1250-25 : 1.28hr Standby (No Truck)-- </v>
          </cell>
          <cell r="DE10" t="str">
            <v>Rainfall &amp; Slippery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O10">
            <v>0</v>
          </cell>
          <cell r="DR10">
            <v>0</v>
          </cell>
          <cell r="DS10">
            <v>0</v>
          </cell>
          <cell r="DT10">
            <v>1845.1699981689453</v>
          </cell>
          <cell r="DU10">
            <v>1845.1699981689453</v>
          </cell>
          <cell r="DV10">
            <v>1845.1699981689453</v>
          </cell>
          <cell r="DW10" t="e">
            <v>#REF!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2137.9099960327148</v>
          </cell>
          <cell r="EC10">
            <v>4008.4099998474121</v>
          </cell>
          <cell r="ED10">
            <v>6146.319995880127</v>
          </cell>
          <cell r="EE10">
            <v>6146.319995880127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O10">
            <v>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W10">
            <v>0</v>
          </cell>
        </row>
        <row r="11">
          <cell r="A11">
            <v>41700</v>
          </cell>
          <cell r="B11">
            <v>90898.708988823142</v>
          </cell>
          <cell r="C11">
            <v>90898.708988823142</v>
          </cell>
          <cell r="D11">
            <v>0</v>
          </cell>
          <cell r="E11">
            <v>0</v>
          </cell>
          <cell r="F11">
            <v>0</v>
          </cell>
          <cell r="G11">
            <v>74877.92977142334</v>
          </cell>
          <cell r="H11">
            <v>0</v>
          </cell>
          <cell r="I11">
            <v>0</v>
          </cell>
          <cell r="J11">
            <v>0</v>
          </cell>
          <cell r="K11">
            <v>74877.92977142334</v>
          </cell>
          <cell r="L11">
            <v>6198.8758118945689</v>
          </cell>
          <cell r="M11">
            <v>6198.8758118945689</v>
          </cell>
          <cell r="Q11">
            <v>5977.7199954986572</v>
          </cell>
          <cell r="R11">
            <v>0</v>
          </cell>
          <cell r="S11">
            <v>5977.7199954986572</v>
          </cell>
          <cell r="T11">
            <v>5977.7199954986572</v>
          </cell>
          <cell r="U11">
            <v>0</v>
          </cell>
          <cell r="V11">
            <v>0</v>
          </cell>
          <cell r="W11">
            <v>0</v>
          </cell>
          <cell r="X11">
            <v>4310</v>
          </cell>
          <cell r="Y11">
            <v>0</v>
          </cell>
          <cell r="Z11">
            <v>0</v>
          </cell>
          <cell r="AB11">
            <v>4310</v>
          </cell>
          <cell r="AC11">
            <v>358879.29993614194</v>
          </cell>
          <cell r="AD11">
            <v>0</v>
          </cell>
          <cell r="AE11">
            <v>0</v>
          </cell>
          <cell r="AF11">
            <v>0</v>
          </cell>
          <cell r="AG11">
            <v>358879.29993614194</v>
          </cell>
          <cell r="AH11">
            <v>259778.92593650235</v>
          </cell>
          <cell r="AI11">
            <v>0</v>
          </cell>
          <cell r="AJ11">
            <v>0</v>
          </cell>
          <cell r="AK11">
            <v>0</v>
          </cell>
          <cell r="AL11">
            <v>259778.92593650235</v>
          </cell>
          <cell r="AM11">
            <v>4093.8799999999974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E11">
            <v>0</v>
          </cell>
          <cell r="BF11">
            <v>0</v>
          </cell>
          <cell r="BG11">
            <v>0</v>
          </cell>
          <cell r="BK11">
            <v>2.85</v>
          </cell>
          <cell r="BL11">
            <v>1</v>
          </cell>
          <cell r="BM11">
            <v>41</v>
          </cell>
          <cell r="BN11">
            <v>2.2499999999999991</v>
          </cell>
          <cell r="BO11">
            <v>2.85</v>
          </cell>
          <cell r="BP11">
            <v>0</v>
          </cell>
          <cell r="BQ11">
            <v>0</v>
          </cell>
          <cell r="BR11">
            <v>2.2499999999999991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2.85</v>
          </cell>
          <cell r="BX11">
            <v>1</v>
          </cell>
          <cell r="BY11">
            <v>41</v>
          </cell>
          <cell r="BZ11">
            <v>2.2499999999999991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 t="str">
            <v xml:space="preserve">EX2500-07 : 3.89hr Engine Low Power, 4.30hr Engine Stop On-- EX2500-09 : 0.58hr Tooth Bucket Lose-- PC-1250-20 : 16.58hr Standby (No Truck)-- PC-1250-19 : 3.62hr Standby (No Truck)-- </v>
          </cell>
          <cell r="DE11" t="str">
            <v>Rainfall &amp; Slippery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1011.8399999999999</v>
          </cell>
          <cell r="DL11">
            <v>1011.8399999999999</v>
          </cell>
          <cell r="DM11">
            <v>1011.8399999999999</v>
          </cell>
          <cell r="DO11">
            <v>0</v>
          </cell>
          <cell r="DR11">
            <v>0</v>
          </cell>
          <cell r="DS11">
            <v>0</v>
          </cell>
          <cell r="DT11">
            <v>1588.1399917602539</v>
          </cell>
          <cell r="DU11">
            <v>1588.1399917602539</v>
          </cell>
          <cell r="DV11">
            <v>1588.1399917602539</v>
          </cell>
          <cell r="DW11" t="e">
            <v>#REF!</v>
          </cell>
          <cell r="DX11">
            <v>0</v>
          </cell>
          <cell r="DY11">
            <v>0</v>
          </cell>
          <cell r="DZ11">
            <v>0</v>
          </cell>
          <cell r="EA11">
            <v>1011.8399999999999</v>
          </cell>
          <cell r="EB11">
            <v>0</v>
          </cell>
          <cell r="EC11">
            <v>4389.5800037384033</v>
          </cell>
          <cell r="ED11">
            <v>5401.4200037384035</v>
          </cell>
          <cell r="EE11">
            <v>5401.4200037384035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W11">
            <v>0</v>
          </cell>
        </row>
        <row r="12">
          <cell r="A12">
            <v>41701</v>
          </cell>
          <cell r="B12">
            <v>87248.461990175318</v>
          </cell>
          <cell r="C12">
            <v>87248.461990175318</v>
          </cell>
          <cell r="D12">
            <v>0</v>
          </cell>
          <cell r="E12">
            <v>0</v>
          </cell>
          <cell r="F12">
            <v>0</v>
          </cell>
          <cell r="G12">
            <v>55490.369951248169</v>
          </cell>
          <cell r="H12">
            <v>0</v>
          </cell>
          <cell r="I12">
            <v>0</v>
          </cell>
          <cell r="J12">
            <v>0</v>
          </cell>
          <cell r="K12">
            <v>55490.369951248169</v>
          </cell>
          <cell r="L12">
            <v>5959.3774970691547</v>
          </cell>
          <cell r="M12">
            <v>5959.3774970691547</v>
          </cell>
          <cell r="Q12">
            <v>5872.2100067138672</v>
          </cell>
          <cell r="R12">
            <v>0</v>
          </cell>
          <cell r="S12">
            <v>5872.2100067138663</v>
          </cell>
          <cell r="T12">
            <v>5872.2100067138663</v>
          </cell>
          <cell r="U12">
            <v>0</v>
          </cell>
          <cell r="V12">
            <v>0</v>
          </cell>
          <cell r="W12">
            <v>0</v>
          </cell>
          <cell r="X12">
            <v>12410</v>
          </cell>
          <cell r="Y12">
            <v>0</v>
          </cell>
          <cell r="Z12">
            <v>0</v>
          </cell>
          <cell r="AB12">
            <v>12410</v>
          </cell>
          <cell r="AC12">
            <v>350877.32995323179</v>
          </cell>
          <cell r="AD12">
            <v>0</v>
          </cell>
          <cell r="AE12">
            <v>0</v>
          </cell>
          <cell r="AF12">
            <v>0</v>
          </cell>
          <cell r="AG12">
            <v>350877.32995323179</v>
          </cell>
          <cell r="AH12">
            <v>260698.24949434277</v>
          </cell>
          <cell r="AI12">
            <v>0</v>
          </cell>
          <cell r="AJ12">
            <v>0</v>
          </cell>
          <cell r="AK12">
            <v>0</v>
          </cell>
          <cell r="AL12">
            <v>260698.24949434277</v>
          </cell>
          <cell r="AM12">
            <v>1109.94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E12">
            <v>0</v>
          </cell>
          <cell r="BF12">
            <v>0</v>
          </cell>
          <cell r="BG12">
            <v>0</v>
          </cell>
          <cell r="BK12">
            <v>2.8833333333333324</v>
          </cell>
          <cell r="BL12">
            <v>1</v>
          </cell>
          <cell r="BM12">
            <v>26</v>
          </cell>
          <cell r="BN12">
            <v>4.1166666666666663</v>
          </cell>
          <cell r="BO12">
            <v>2.8833333333333324</v>
          </cell>
          <cell r="BP12">
            <v>0</v>
          </cell>
          <cell r="BQ12">
            <v>0</v>
          </cell>
          <cell r="BR12">
            <v>4.1166666666666663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2.8833333333333324</v>
          </cell>
          <cell r="BX12">
            <v>1</v>
          </cell>
          <cell r="BY12">
            <v>26</v>
          </cell>
          <cell r="BZ12">
            <v>4.1166666666666663</v>
          </cell>
          <cell r="CA12">
            <v>198000</v>
          </cell>
          <cell r="CB12">
            <v>0.14345037678371012</v>
          </cell>
          <cell r="CC12">
            <v>275</v>
          </cell>
          <cell r="CD12">
            <v>27600</v>
          </cell>
          <cell r="CE12">
            <v>803.17460317460325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 t="str">
            <v xml:space="preserve">EX2500-07 : 0.09hr Tool Teeth Bucket No.02 Released-- EX2500-08 : 7.46hr Repair Bucket &amp; Structure; Backlog Job; Check End Play Swing Circle-- EX2500-09 : 1.63hr Low Power Hydraulic System-- PC-1250-19 : 14.07hr Loading Non Production, 0.70hr Loading Coal-- PC-1250-22 : 19.13hr Standby-- PC-1250-23 : 1.04hr Hydraulic Main Pump 1 Leakage, 1.55hr Standby (No Truck)-- </v>
          </cell>
          <cell r="DE12" t="str">
            <v>Rainfall &amp; Slippery</v>
          </cell>
          <cell r="DG12">
            <v>0</v>
          </cell>
          <cell r="DH12">
            <v>0</v>
          </cell>
          <cell r="DI12">
            <v>0</v>
          </cell>
          <cell r="DJ12">
            <v>3761.05</v>
          </cell>
          <cell r="DK12">
            <v>0</v>
          </cell>
          <cell r="DL12">
            <v>3761.05</v>
          </cell>
          <cell r="DM12">
            <v>3761.05</v>
          </cell>
          <cell r="DO12">
            <v>0</v>
          </cell>
          <cell r="DR12">
            <v>0</v>
          </cell>
          <cell r="DS12">
            <v>0</v>
          </cell>
          <cell r="DT12">
            <v>1631.2900238037109</v>
          </cell>
          <cell r="DU12">
            <v>1631.2900238037109</v>
          </cell>
          <cell r="DV12">
            <v>1631.2900238037109</v>
          </cell>
          <cell r="DW12" t="e">
            <v>#REF!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3761.05</v>
          </cell>
          <cell r="EC12">
            <v>4240.9199829101563</v>
          </cell>
          <cell r="ED12">
            <v>8001.9699829101564</v>
          </cell>
          <cell r="EE12">
            <v>8001.9699829101564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W12">
            <v>0</v>
          </cell>
        </row>
        <row r="13">
          <cell r="A13">
            <v>41702</v>
          </cell>
          <cell r="B13">
            <v>82412.907705698541</v>
          </cell>
          <cell r="C13">
            <v>82412.907705698541</v>
          </cell>
          <cell r="D13">
            <v>0</v>
          </cell>
          <cell r="E13">
            <v>0</v>
          </cell>
          <cell r="F13">
            <v>0</v>
          </cell>
          <cell r="G13">
            <v>81703.980163574219</v>
          </cell>
          <cell r="H13">
            <v>0</v>
          </cell>
          <cell r="I13">
            <v>0</v>
          </cell>
          <cell r="J13">
            <v>0</v>
          </cell>
          <cell r="K13">
            <v>81703.980163574219</v>
          </cell>
          <cell r="L13">
            <v>5959.3774970691547</v>
          </cell>
          <cell r="M13">
            <v>5959.3774970691547</v>
          </cell>
          <cell r="Q13">
            <v>4983.1399879455566</v>
          </cell>
          <cell r="R13">
            <v>3466.0500030517578</v>
          </cell>
          <cell r="S13">
            <v>8449.1899909973145</v>
          </cell>
          <cell r="T13">
            <v>8449.1899909973145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5600</v>
          </cell>
          <cell r="Z13">
            <v>0</v>
          </cell>
          <cell r="AB13">
            <v>5600</v>
          </cell>
          <cell r="AC13">
            <v>337332.01995697018</v>
          </cell>
          <cell r="AD13">
            <v>0</v>
          </cell>
          <cell r="AE13">
            <v>0</v>
          </cell>
          <cell r="AF13">
            <v>0</v>
          </cell>
          <cell r="AG13">
            <v>337332.01995697018</v>
          </cell>
          <cell r="AH13">
            <v>262051.86082906069</v>
          </cell>
          <cell r="AI13">
            <v>0</v>
          </cell>
          <cell r="AJ13">
            <v>0</v>
          </cell>
          <cell r="AK13">
            <v>0</v>
          </cell>
          <cell r="AL13">
            <v>262051.86082906069</v>
          </cell>
          <cell r="AM13">
            <v>1047.43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E13">
            <v>0</v>
          </cell>
          <cell r="BF13">
            <v>0</v>
          </cell>
          <cell r="BG13">
            <v>0</v>
          </cell>
          <cell r="BK13">
            <v>0.80000000000000249</v>
          </cell>
          <cell r="BL13">
            <v>2</v>
          </cell>
          <cell r="BM13">
            <v>4.7</v>
          </cell>
          <cell r="BN13">
            <v>1.299999999999998</v>
          </cell>
          <cell r="BO13">
            <v>0.80000000000000249</v>
          </cell>
          <cell r="BP13">
            <v>0</v>
          </cell>
          <cell r="BQ13">
            <v>0</v>
          </cell>
          <cell r="BR13">
            <v>1.299999999999998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0.80000000000000249</v>
          </cell>
          <cell r="BX13">
            <v>2</v>
          </cell>
          <cell r="BY13">
            <v>4.7</v>
          </cell>
          <cell r="BZ13">
            <v>1.299999999999998</v>
          </cell>
          <cell r="CA13">
            <v>57600</v>
          </cell>
          <cell r="CB13">
            <v>0.42879188712522048</v>
          </cell>
          <cell r="CC13">
            <v>240</v>
          </cell>
          <cell r="CD13">
            <v>24000</v>
          </cell>
          <cell r="CE13">
            <v>698.41269841269843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16.3</v>
          </cell>
          <cell r="CV13">
            <v>15.200000000000728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 t="str">
            <v xml:space="preserve">EX2500-07 : 0.60hr Recheck &amp; Recondition Autolube Cable-- PC-1250-19 : 6.98hr Loading Non Production, 11.85hr Loading Coal-- PC-1250-25 : 2.54hr Low Power Engine-- </v>
          </cell>
          <cell r="DE13" t="str">
            <v>Rainfall &amp; Slippery</v>
          </cell>
          <cell r="DG13">
            <v>0</v>
          </cell>
          <cell r="DH13">
            <v>0</v>
          </cell>
          <cell r="DI13">
            <v>0</v>
          </cell>
          <cell r="DJ13">
            <v>6324.14</v>
          </cell>
          <cell r="DK13">
            <v>0</v>
          </cell>
          <cell r="DL13">
            <v>6324.14</v>
          </cell>
          <cell r="DM13">
            <v>6324.14</v>
          </cell>
          <cell r="DO13">
            <v>0</v>
          </cell>
          <cell r="DR13">
            <v>0</v>
          </cell>
          <cell r="DS13">
            <v>0</v>
          </cell>
          <cell r="DT13">
            <v>1228.0199947357178</v>
          </cell>
          <cell r="DU13">
            <v>1228.0199947357178</v>
          </cell>
          <cell r="DV13">
            <v>1228.0199947357178</v>
          </cell>
          <cell r="DW13" t="e">
            <v>#REF!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9790.1900030517572</v>
          </cell>
          <cell r="EC13">
            <v>3755.1199932098389</v>
          </cell>
          <cell r="ED13">
            <v>13545.309996261596</v>
          </cell>
          <cell r="EE13">
            <v>13545.309996261596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0</v>
          </cell>
          <cell r="EM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W13">
            <v>0</v>
          </cell>
        </row>
        <row r="14">
          <cell r="A14">
            <v>41703</v>
          </cell>
          <cell r="B14">
            <v>84994.41786300503</v>
          </cell>
          <cell r="C14">
            <v>84994.41786300503</v>
          </cell>
          <cell r="D14">
            <v>0</v>
          </cell>
          <cell r="E14">
            <v>0</v>
          </cell>
          <cell r="F14">
            <v>0</v>
          </cell>
          <cell r="G14">
            <v>89796.439981460571</v>
          </cell>
          <cell r="H14">
            <v>0</v>
          </cell>
          <cell r="I14">
            <v>0</v>
          </cell>
          <cell r="J14">
            <v>0</v>
          </cell>
          <cell r="K14">
            <v>89796.439981460571</v>
          </cell>
          <cell r="L14">
            <v>5959.3774970691547</v>
          </cell>
          <cell r="M14">
            <v>5959.3774970691547</v>
          </cell>
          <cell r="Q14">
            <v>1178.0900001525879</v>
          </cell>
          <cell r="R14">
            <v>6326.720027923584</v>
          </cell>
          <cell r="S14">
            <v>7504.810028076171</v>
          </cell>
          <cell r="T14">
            <v>7504.810028076171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10680</v>
          </cell>
          <cell r="Z14">
            <v>0</v>
          </cell>
          <cell r="AB14">
            <v>10680</v>
          </cell>
          <cell r="AC14">
            <v>328803.579928894</v>
          </cell>
          <cell r="AD14">
            <v>0</v>
          </cell>
          <cell r="AE14">
            <v>0</v>
          </cell>
          <cell r="AF14">
            <v>0</v>
          </cell>
          <cell r="AG14">
            <v>328803.579928894</v>
          </cell>
          <cell r="AH14">
            <v>263539.5420746117</v>
          </cell>
          <cell r="AI14">
            <v>0</v>
          </cell>
          <cell r="AJ14">
            <v>0</v>
          </cell>
          <cell r="AK14">
            <v>0</v>
          </cell>
          <cell r="AL14">
            <v>263539.5420746117</v>
          </cell>
          <cell r="AM14">
            <v>1713.3799999999999</v>
          </cell>
          <cell r="AN14">
            <v>5274.3399999999965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E14">
            <v>0</v>
          </cell>
          <cell r="BF14">
            <v>0</v>
          </cell>
          <cell r="BG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81648</v>
          </cell>
          <cell r="CB14">
            <v>0.22687401435196849</v>
          </cell>
          <cell r="CC14">
            <v>141</v>
          </cell>
          <cell r="CD14">
            <v>18000</v>
          </cell>
          <cell r="CE14">
            <v>523.80952380952385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 t="str">
            <v xml:space="preserve">EX2500-07 : 9.12hr Repair Bucket&amp;Structure; Backlog Job&amp;Flushing Hydraulic Oil-- EX2500-08 : 1.19hr Overheat Hydraulic-- EX2500-09 : 0.96hr Replace Grease-- PC-1250-20 : 0.56hr Low Power Engine Common Rail-- PC-1250-19 : 3.31hr Loading Coal-- PC-1250-22 : 1.17hr  Low Power, 11.20hr Non Production -- PC-1250-25 : 1.32hr Low Power Engine Common rail-- PC-1250-23 : 13.43 Standby (No Truck)-- </v>
          </cell>
          <cell r="DE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1023.63</v>
          </cell>
          <cell r="DK14">
            <v>0</v>
          </cell>
          <cell r="DL14">
            <v>1023.63</v>
          </cell>
          <cell r="DM14">
            <v>1023.63</v>
          </cell>
          <cell r="DO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 t="e">
            <v>#REF!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7350.3500279235841</v>
          </cell>
          <cell r="EC14">
            <v>1178.0900001525879</v>
          </cell>
          <cell r="ED14">
            <v>8528.4400280761729</v>
          </cell>
          <cell r="EE14">
            <v>8528.4400280761729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W14">
            <v>0</v>
          </cell>
        </row>
        <row r="15">
          <cell r="A15">
            <v>41704</v>
          </cell>
          <cell r="B15">
            <v>81945.678413692469</v>
          </cell>
          <cell r="C15">
            <v>81945.678413692469</v>
          </cell>
          <cell r="D15">
            <v>0</v>
          </cell>
          <cell r="E15">
            <v>0</v>
          </cell>
          <cell r="F15">
            <v>0</v>
          </cell>
          <cell r="G15">
            <v>91872.629880905151</v>
          </cell>
          <cell r="H15">
            <v>0</v>
          </cell>
          <cell r="I15">
            <v>0</v>
          </cell>
          <cell r="J15">
            <v>0</v>
          </cell>
          <cell r="K15">
            <v>91872.629880905151</v>
          </cell>
          <cell r="L15">
            <v>5959.3774970691547</v>
          </cell>
          <cell r="M15">
            <v>5959.3774970691547</v>
          </cell>
          <cell r="Q15">
            <v>1996.0000247955322</v>
          </cell>
          <cell r="R15">
            <v>4185.180004119873</v>
          </cell>
          <cell r="S15">
            <v>6181.1800289154053</v>
          </cell>
          <cell r="T15">
            <v>6181.1800289154053</v>
          </cell>
          <cell r="U15">
            <v>0</v>
          </cell>
          <cell r="V15">
            <v>0</v>
          </cell>
          <cell r="W15">
            <v>0</v>
          </cell>
          <cell r="X15">
            <v>3500</v>
          </cell>
          <cell r="Y15">
            <v>2760</v>
          </cell>
          <cell r="Z15">
            <v>0</v>
          </cell>
          <cell r="AB15">
            <v>6260</v>
          </cell>
          <cell r="AC15">
            <v>322275.00990867609</v>
          </cell>
          <cell r="AD15">
            <v>0</v>
          </cell>
          <cell r="AE15">
            <v>0</v>
          </cell>
          <cell r="AF15">
            <v>0</v>
          </cell>
          <cell r="AG15">
            <v>322275.00990867609</v>
          </cell>
          <cell r="AH15">
            <v>265061.62010444776</v>
          </cell>
          <cell r="AI15">
            <v>0</v>
          </cell>
          <cell r="AJ15">
            <v>0</v>
          </cell>
          <cell r="AK15">
            <v>0</v>
          </cell>
          <cell r="AL15">
            <v>265061.62010444776</v>
          </cell>
          <cell r="AM15">
            <v>1020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E15">
            <v>0</v>
          </cell>
          <cell r="BF15">
            <v>0</v>
          </cell>
          <cell r="BG15">
            <v>0</v>
          </cell>
          <cell r="BK15">
            <v>2.1833333333333336</v>
          </cell>
          <cell r="BL15">
            <v>1</v>
          </cell>
          <cell r="BM15">
            <v>3</v>
          </cell>
          <cell r="BN15">
            <v>1.9666666666666663</v>
          </cell>
          <cell r="BO15">
            <v>2.1833333333333336</v>
          </cell>
          <cell r="BP15">
            <v>0</v>
          </cell>
          <cell r="BQ15">
            <v>0</v>
          </cell>
          <cell r="BR15">
            <v>1.9666666666666663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2.1833333333333336</v>
          </cell>
          <cell r="BX15">
            <v>1</v>
          </cell>
          <cell r="BY15">
            <v>3</v>
          </cell>
          <cell r="BZ15">
            <v>1.9666666666666663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 t="str">
            <v xml:space="preserve">EX2500-08 : 0.48hr Overheat Hydraulic-- EX2500-09 : 0.36hr Contamination Main Pump, 0.52hr Welding Structure-- PC-1250-22 : 1.72hr radiator Error 11 C151NS Overheat, 11.32 Non Production-- PC-1250-23 : 9.51hr Periodic Maintenance PM 14750-- </v>
          </cell>
          <cell r="DE15" t="str">
            <v>Rainfall &amp; Slippery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936.52</v>
          </cell>
          <cell r="DL15">
            <v>936.52</v>
          </cell>
          <cell r="DM15">
            <v>936.52</v>
          </cell>
          <cell r="DO15">
            <v>0</v>
          </cell>
          <cell r="DR15">
            <v>589.13000869750977</v>
          </cell>
          <cell r="DS15">
            <v>0</v>
          </cell>
          <cell r="DT15">
            <v>0</v>
          </cell>
          <cell r="DU15">
            <v>589.13000869750977</v>
          </cell>
          <cell r="DV15">
            <v>589.13000869750977</v>
          </cell>
          <cell r="DW15" t="e">
            <v>#REF!</v>
          </cell>
          <cell r="DX15">
            <v>0</v>
          </cell>
          <cell r="DY15">
            <v>0</v>
          </cell>
          <cell r="DZ15">
            <v>0</v>
          </cell>
          <cell r="EA15">
            <v>936.52</v>
          </cell>
          <cell r="EB15">
            <v>4185.180004119873</v>
          </cell>
          <cell r="EC15">
            <v>1406.8700160980225</v>
          </cell>
          <cell r="ED15">
            <v>6528.5700202178959</v>
          </cell>
          <cell r="EE15">
            <v>6528.5700202178959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W15">
            <v>0</v>
          </cell>
        </row>
        <row r="16">
          <cell r="A16">
            <v>41705</v>
          </cell>
          <cell r="B16">
            <v>89461.899275642078</v>
          </cell>
          <cell r="C16">
            <v>89461.899275642078</v>
          </cell>
          <cell r="D16">
            <v>0</v>
          </cell>
          <cell r="E16">
            <v>0</v>
          </cell>
          <cell r="F16">
            <v>0</v>
          </cell>
          <cell r="G16">
            <v>96015.629880905151</v>
          </cell>
          <cell r="H16">
            <v>0</v>
          </cell>
          <cell r="I16">
            <v>0</v>
          </cell>
          <cell r="J16">
            <v>0</v>
          </cell>
          <cell r="K16">
            <v>96015.629880905151</v>
          </cell>
          <cell r="L16">
            <v>5719.8791822437424</v>
          </cell>
          <cell r="M16">
            <v>5719.8791822437424</v>
          </cell>
          <cell r="Q16">
            <v>4695.3200073242188</v>
          </cell>
          <cell r="R16">
            <v>1880.3500137329102</v>
          </cell>
          <cell r="S16">
            <v>6575.6700210571289</v>
          </cell>
          <cell r="T16">
            <v>6575.6700210571289</v>
          </cell>
          <cell r="U16">
            <v>0</v>
          </cell>
          <cell r="V16">
            <v>0</v>
          </cell>
          <cell r="W16">
            <v>0</v>
          </cell>
          <cell r="X16">
            <v>7800</v>
          </cell>
          <cell r="Y16">
            <v>0</v>
          </cell>
          <cell r="Z16">
            <v>0</v>
          </cell>
          <cell r="AB16">
            <v>7800</v>
          </cell>
          <cell r="AC16">
            <v>317812.08988761896</v>
          </cell>
          <cell r="AD16">
            <v>0</v>
          </cell>
          <cell r="AE16">
            <v>0</v>
          </cell>
          <cell r="AF16">
            <v>0</v>
          </cell>
          <cell r="AG16">
            <v>317812.08988761896</v>
          </cell>
          <cell r="AH16">
            <v>266652.33630525798</v>
          </cell>
          <cell r="AI16">
            <v>0</v>
          </cell>
          <cell r="AJ16">
            <v>0</v>
          </cell>
          <cell r="AK16">
            <v>0</v>
          </cell>
          <cell r="AL16">
            <v>266652.33630525798</v>
          </cell>
          <cell r="AM16">
            <v>979.01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E16">
            <v>0</v>
          </cell>
          <cell r="BF16">
            <v>0</v>
          </cell>
          <cell r="BG16">
            <v>0</v>
          </cell>
          <cell r="BK16">
            <v>0.91666666666666874</v>
          </cell>
          <cell r="BL16">
            <v>1</v>
          </cell>
          <cell r="BM16">
            <v>2</v>
          </cell>
          <cell r="BN16">
            <v>0.61666666666666714</v>
          </cell>
          <cell r="BO16">
            <v>0.91666666666666874</v>
          </cell>
          <cell r="BP16">
            <v>0</v>
          </cell>
          <cell r="BQ16">
            <v>0</v>
          </cell>
          <cell r="BR16">
            <v>0.61666666666666714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0.91666666666666874</v>
          </cell>
          <cell r="BX16">
            <v>1</v>
          </cell>
          <cell r="BY16">
            <v>2</v>
          </cell>
          <cell r="BZ16">
            <v>0.61666666666666714</v>
          </cell>
          <cell r="CA16">
            <v>157356</v>
          </cell>
          <cell r="CB16">
            <v>0.2275902946992705</v>
          </cell>
          <cell r="CC16">
            <v>270</v>
          </cell>
          <cell r="CD16">
            <v>34800</v>
          </cell>
          <cell r="CE16">
            <v>1012.6984126984128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 t="str">
            <v xml:space="preserve">EX2500-07 : 1.22hr Abnormal Swing System-- EX2500-09 : 0.19hr  Check Electrical System-- PC-1250-20 : 10.28hr Standby (No Truck)-- PC-1250-22 : 4.98hr General Work, 9.18hr Loading Non Production-- PC-1250-25 : 0.33hr Leveling Hydraulic Leaked-- PC-1250-23 : 7.12hr Standby (No Truck)-- </v>
          </cell>
          <cell r="DE16" t="str">
            <v>Rainfall &amp; Slippery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O16">
            <v>0</v>
          </cell>
          <cell r="DR16">
            <v>1491.0900001525879</v>
          </cell>
          <cell r="DS16">
            <v>0</v>
          </cell>
          <cell r="DT16">
            <v>621.65999984741211</v>
          </cell>
          <cell r="DU16">
            <v>2112.75</v>
          </cell>
          <cell r="DV16">
            <v>2112.75</v>
          </cell>
          <cell r="DW16" t="e">
            <v>#REF!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1880.3500137329102</v>
          </cell>
          <cell r="EC16">
            <v>2582.5700073242188</v>
          </cell>
          <cell r="ED16">
            <v>4462.9200210571289</v>
          </cell>
          <cell r="EE16">
            <v>4462.9200210571289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W16">
            <v>0</v>
          </cell>
        </row>
        <row r="17">
          <cell r="A17">
            <v>41706</v>
          </cell>
          <cell r="B17">
            <v>91976.701410802954</v>
          </cell>
          <cell r="C17">
            <v>91976.701410802954</v>
          </cell>
          <cell r="D17">
            <v>0</v>
          </cell>
          <cell r="E17">
            <v>0</v>
          </cell>
          <cell r="F17">
            <v>0</v>
          </cell>
          <cell r="G17">
            <v>94803.579662322998</v>
          </cell>
          <cell r="H17">
            <v>0</v>
          </cell>
          <cell r="I17">
            <v>0</v>
          </cell>
          <cell r="J17">
            <v>0</v>
          </cell>
          <cell r="K17">
            <v>94803.579662322998</v>
          </cell>
          <cell r="L17">
            <v>6198.8758118945689</v>
          </cell>
          <cell r="M17">
            <v>6198.8758118945689</v>
          </cell>
          <cell r="Q17">
            <v>7150.8099784851074</v>
          </cell>
          <cell r="R17">
            <v>0</v>
          </cell>
          <cell r="S17">
            <v>7150.8099784851074</v>
          </cell>
          <cell r="T17">
            <v>7150.8099784851074</v>
          </cell>
          <cell r="U17">
            <v>0</v>
          </cell>
          <cell r="V17">
            <v>0</v>
          </cell>
          <cell r="W17">
            <v>0</v>
          </cell>
          <cell r="X17">
            <v>8510</v>
          </cell>
          <cell r="Y17">
            <v>0</v>
          </cell>
          <cell r="Z17">
            <v>0</v>
          </cell>
          <cell r="AB17">
            <v>8510</v>
          </cell>
          <cell r="AC17">
            <v>312245.75991249079</v>
          </cell>
          <cell r="AD17">
            <v>0</v>
          </cell>
          <cell r="AE17">
            <v>0</v>
          </cell>
          <cell r="AF17">
            <v>0</v>
          </cell>
          <cell r="AG17">
            <v>312245.75991249079</v>
          </cell>
          <cell r="AH17">
            <v>268222.97215122089</v>
          </cell>
          <cell r="AI17">
            <v>0</v>
          </cell>
          <cell r="AJ17">
            <v>0</v>
          </cell>
          <cell r="AK17">
            <v>0</v>
          </cell>
          <cell r="AL17">
            <v>268222.97215122089</v>
          </cell>
          <cell r="AM17">
            <v>519.09</v>
          </cell>
          <cell r="AN17">
            <v>22.16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E17">
            <v>0</v>
          </cell>
          <cell r="BF17">
            <v>0</v>
          </cell>
          <cell r="BG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81192</v>
          </cell>
          <cell r="CB17">
            <v>0.28898773356355384</v>
          </cell>
          <cell r="CC17">
            <v>250</v>
          </cell>
          <cell r="CD17">
            <v>22800</v>
          </cell>
          <cell r="CE17">
            <v>663.49206349206349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 t="str">
            <v xml:space="preserve">EX2500-07 : 21.71hr Repair Swing machinery System-- EX2500-08 : 4.74hr Engine &amp; Hyd Boom And Swing Low Power-- PC-1250-20 : 2.72hr Standby (No Truck)-- PC-1250-22 : 6.39hr Loading Nonproduction-- PC-1250-23 : 1.45hr Air Conditioner Trouble-- </v>
          </cell>
          <cell r="DE17">
            <v>0</v>
          </cell>
          <cell r="DF17" t="str">
            <v xml:space="preserve"> 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O17">
            <v>0</v>
          </cell>
          <cell r="DR17">
            <v>0</v>
          </cell>
          <cell r="DS17">
            <v>0</v>
          </cell>
          <cell r="DT17">
            <v>1584.4800033569336</v>
          </cell>
          <cell r="DU17">
            <v>1584.4800033569336</v>
          </cell>
          <cell r="DV17">
            <v>1584.4800033569336</v>
          </cell>
          <cell r="DW17" t="e">
            <v>#REF!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5566.3299751281738</v>
          </cell>
          <cell r="ED17">
            <v>5566.3299751281738</v>
          </cell>
          <cell r="EE17">
            <v>5566.3299751281738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W17">
            <v>0</v>
          </cell>
        </row>
        <row r="18">
          <cell r="A18">
            <v>41707</v>
          </cell>
          <cell r="B18">
            <v>91976.701410802954</v>
          </cell>
          <cell r="C18">
            <v>91976.701410802954</v>
          </cell>
          <cell r="D18">
            <v>0</v>
          </cell>
          <cell r="E18">
            <v>0</v>
          </cell>
          <cell r="F18">
            <v>0</v>
          </cell>
          <cell r="G18">
            <v>107010.710105896</v>
          </cell>
          <cell r="H18">
            <v>0</v>
          </cell>
          <cell r="I18">
            <v>0</v>
          </cell>
          <cell r="J18">
            <v>0</v>
          </cell>
          <cell r="K18">
            <v>107010.710105896</v>
          </cell>
          <cell r="L18">
            <v>6198.8758118945689</v>
          </cell>
          <cell r="M18">
            <v>6198.8758118945689</v>
          </cell>
          <cell r="Q18">
            <v>6853.9699802398682</v>
          </cell>
          <cell r="R18">
            <v>0</v>
          </cell>
          <cell r="S18">
            <v>6853.9699802398682</v>
          </cell>
          <cell r="T18">
            <v>6853.9699802398682</v>
          </cell>
          <cell r="U18">
            <v>0</v>
          </cell>
          <cell r="V18">
            <v>0</v>
          </cell>
          <cell r="W18">
            <v>0</v>
          </cell>
          <cell r="X18">
            <v>8500</v>
          </cell>
          <cell r="Y18">
            <v>0</v>
          </cell>
          <cell r="Z18">
            <v>0</v>
          </cell>
          <cell r="AB18">
            <v>8500</v>
          </cell>
          <cell r="AC18">
            <v>303666.05992172234</v>
          </cell>
          <cell r="AD18">
            <v>0</v>
          </cell>
          <cell r="AE18">
            <v>0</v>
          </cell>
          <cell r="AF18">
            <v>0</v>
          </cell>
          <cell r="AG18">
            <v>303666.05992172234</v>
          </cell>
          <cell r="AH18">
            <v>269995.84673879371</v>
          </cell>
          <cell r="AI18">
            <v>0</v>
          </cell>
          <cell r="AJ18">
            <v>0</v>
          </cell>
          <cell r="AK18">
            <v>0</v>
          </cell>
          <cell r="AL18">
            <v>269995.84673879371</v>
          </cell>
          <cell r="AM18">
            <v>90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E18">
            <v>0</v>
          </cell>
          <cell r="BF18">
            <v>0</v>
          </cell>
          <cell r="BG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45600</v>
          </cell>
          <cell r="CB18">
            <v>0.46038707880813146</v>
          </cell>
          <cell r="CC18">
            <v>190</v>
          </cell>
          <cell r="CD18">
            <v>20400</v>
          </cell>
          <cell r="CE18">
            <v>593.65079365079373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 t="str">
            <v xml:space="preserve">EX2500-07 : 24hr Repair Swing machinery System-- EX2500-08 : 3.11hr Swing Abnormal-- PC-1250-20 : 0.15hr Replace Teeth Bucket, 0.54hr Loose Hydraulic Cover-- PC-1250-19 : 4.26hr General Work, 6.12hr Loading Coal-- PC-1250-22 : 1.22hr Hose Hydraulic (Control Valve) Leaked-- PC-1250-23 : 1.20hr Can Not Start (Electric)-- </v>
          </cell>
          <cell r="DE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3211.5200000000004</v>
          </cell>
          <cell r="DL18">
            <v>3211.5200000000004</v>
          </cell>
          <cell r="DM18">
            <v>3211.5200000000004</v>
          </cell>
          <cell r="DO18">
            <v>0</v>
          </cell>
          <cell r="DR18">
            <v>0</v>
          </cell>
          <cell r="DS18">
            <v>0</v>
          </cell>
          <cell r="DT18">
            <v>1485.7899894714355</v>
          </cell>
          <cell r="DU18">
            <v>1485.7899894714355</v>
          </cell>
          <cell r="DV18">
            <v>1485.7899894714355</v>
          </cell>
          <cell r="DW18" t="e">
            <v>#REF!</v>
          </cell>
          <cell r="DX18">
            <v>0</v>
          </cell>
          <cell r="DY18">
            <v>0</v>
          </cell>
          <cell r="DZ18">
            <v>0</v>
          </cell>
          <cell r="EA18">
            <v>3211.5200000000004</v>
          </cell>
          <cell r="EB18">
            <v>0</v>
          </cell>
          <cell r="EC18">
            <v>5368.1799907684326</v>
          </cell>
          <cell r="ED18">
            <v>8579.6999907684331</v>
          </cell>
          <cell r="EE18">
            <v>8579.6999907684331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W18">
            <v>0</v>
          </cell>
        </row>
        <row r="19">
          <cell r="A19">
            <v>41708</v>
          </cell>
          <cell r="B19">
            <v>88043.739461411416</v>
          </cell>
          <cell r="C19">
            <v>88043.739461411416</v>
          </cell>
          <cell r="D19">
            <v>0</v>
          </cell>
          <cell r="E19">
            <v>0</v>
          </cell>
          <cell r="F19">
            <v>0</v>
          </cell>
          <cell r="G19">
            <v>101678.13975143433</v>
          </cell>
          <cell r="H19">
            <v>0</v>
          </cell>
          <cell r="I19">
            <v>0</v>
          </cell>
          <cell r="J19">
            <v>0</v>
          </cell>
          <cell r="K19">
            <v>101678.13975143433</v>
          </cell>
          <cell r="L19">
            <v>5959.3774970691547</v>
          </cell>
          <cell r="M19">
            <v>5959.3774970691547</v>
          </cell>
          <cell r="Q19">
            <v>5016.1400089263916</v>
          </cell>
          <cell r="R19">
            <v>1800.9900131225586</v>
          </cell>
          <cell r="S19">
            <v>6817.1300220489502</v>
          </cell>
          <cell r="T19">
            <v>6817.1300220489502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B19">
            <v>0</v>
          </cell>
          <cell r="AC19">
            <v>296140.63989967341</v>
          </cell>
          <cell r="AD19">
            <v>0</v>
          </cell>
          <cell r="AE19">
            <v>0</v>
          </cell>
          <cell r="AF19">
            <v>0</v>
          </cell>
          <cell r="AG19">
            <v>296140.63989967341</v>
          </cell>
          <cell r="AH19">
            <v>271680.37523036817</v>
          </cell>
          <cell r="AI19">
            <v>0</v>
          </cell>
          <cell r="AJ19">
            <v>0</v>
          </cell>
          <cell r="AK19">
            <v>0</v>
          </cell>
          <cell r="AL19">
            <v>271680.37523036817</v>
          </cell>
          <cell r="AM19">
            <v>993.02999999999975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E19">
            <v>0</v>
          </cell>
          <cell r="BF19">
            <v>0</v>
          </cell>
          <cell r="BG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34650</v>
          </cell>
          <cell r="CB19">
            <v>0.57023752261847505</v>
          </cell>
          <cell r="CC19">
            <v>160</v>
          </cell>
          <cell r="CD19">
            <v>19200</v>
          </cell>
          <cell r="CE19">
            <v>558.73015873015879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 t="str">
            <v xml:space="preserve">EX2500-07 : 24hr Repair Swing machinery System-- EX2500-08 : 0.35hr radiator Engine STOP ON-- PC-1250-20 : 16.14hr PM 28500-- PC-1250-19 : 0.44hr Lighting Worklamp Off-- PC-1250-22 : 1.16hr Hydraulic Leak, 1.91hr Main Pump Leaked-- PC-1250-23 : 4.41hr  Motor Swing Leaked 2.24hr Can Not Start-- </v>
          </cell>
          <cell r="DE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708.29000000000008</v>
          </cell>
          <cell r="DL19">
            <v>708.29000000000008</v>
          </cell>
          <cell r="DM19">
            <v>708.29000000000008</v>
          </cell>
          <cell r="DO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 t="e">
            <v>#REF!</v>
          </cell>
          <cell r="DX19">
            <v>0</v>
          </cell>
          <cell r="DY19">
            <v>0</v>
          </cell>
          <cell r="DZ19">
            <v>0</v>
          </cell>
          <cell r="EA19">
            <v>708.29000000000008</v>
          </cell>
          <cell r="EB19">
            <v>1800.9900131225586</v>
          </cell>
          <cell r="EC19">
            <v>5016.1400089263916</v>
          </cell>
          <cell r="ED19">
            <v>7525.4200220489502</v>
          </cell>
          <cell r="EE19">
            <v>7525.4200220489502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W19">
            <v>0</v>
          </cell>
        </row>
        <row r="20">
          <cell r="A20">
            <v>41709</v>
          </cell>
          <cell r="B20">
            <v>82278.01983849956</v>
          </cell>
          <cell r="C20">
            <v>82278.01983849956</v>
          </cell>
          <cell r="D20">
            <v>0</v>
          </cell>
          <cell r="E20">
            <v>0</v>
          </cell>
          <cell r="F20">
            <v>0</v>
          </cell>
          <cell r="G20">
            <v>102958.64039230347</v>
          </cell>
          <cell r="H20">
            <v>0</v>
          </cell>
          <cell r="I20">
            <v>0</v>
          </cell>
          <cell r="J20">
            <v>0</v>
          </cell>
          <cell r="K20">
            <v>102958.64039230347</v>
          </cell>
          <cell r="L20">
            <v>5959.3774970691547</v>
          </cell>
          <cell r="M20">
            <v>5959.3774970691547</v>
          </cell>
          <cell r="Q20">
            <v>2516.4700000000003</v>
          </cell>
          <cell r="R20">
            <v>5486.96</v>
          </cell>
          <cell r="S20">
            <v>8003.43</v>
          </cell>
          <cell r="T20">
            <v>8003.43</v>
          </cell>
          <cell r="U20">
            <v>0</v>
          </cell>
          <cell r="V20">
            <v>0</v>
          </cell>
          <cell r="W20">
            <v>0</v>
          </cell>
          <cell r="X20">
            <v>440</v>
          </cell>
          <cell r="Y20">
            <v>8460</v>
          </cell>
          <cell r="Z20">
            <v>0</v>
          </cell>
          <cell r="AB20">
            <v>8900</v>
          </cell>
          <cell r="AC20">
            <v>290011.77989967342</v>
          </cell>
          <cell r="AD20">
            <v>0</v>
          </cell>
          <cell r="AE20">
            <v>0</v>
          </cell>
          <cell r="AF20">
            <v>0</v>
          </cell>
          <cell r="AG20">
            <v>290011.77989967342</v>
          </cell>
          <cell r="AH20">
            <v>273386.11811294442</v>
          </cell>
          <cell r="AI20">
            <v>0</v>
          </cell>
          <cell r="AJ20">
            <v>0</v>
          </cell>
          <cell r="AK20">
            <v>0</v>
          </cell>
          <cell r="AL20">
            <v>273386.11811294442</v>
          </cell>
          <cell r="AM20">
            <v>669.53000000000009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E20">
            <v>0</v>
          </cell>
          <cell r="BF20">
            <v>0</v>
          </cell>
          <cell r="BG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215550</v>
          </cell>
          <cell r="CB20">
            <v>0.17760398832075938</v>
          </cell>
          <cell r="CC20">
            <v>330</v>
          </cell>
          <cell r="CD20">
            <v>37200</v>
          </cell>
          <cell r="CE20">
            <v>1082.5396825396826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 t="str">
            <v xml:space="preserve">EX2500-07 : 24hr Repair Swing machinery System-- EX2500-08 : 2hr Overheat Hydraulic System-- EX2500-09 : 1.59hr Bucket Crack-- PC-1250-20 : 0.30hr Check Hydraulic Filter 1.04hr Loading Non-- PC-1250-19 : 0.06hr General work 0.07 Loading non-- PC-1250-22 : 2.21hr Radiator Overheat-- PC-1250-25 : 1.05hr Grease Leak-- PC-1250-23 : 0.68hr Coolant Radiator Low Level 0.42hr  Main Pump Leaked-- </v>
          </cell>
          <cell r="DE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O20">
            <v>0</v>
          </cell>
          <cell r="DR20">
            <v>475.98</v>
          </cell>
          <cell r="DS20">
            <v>0</v>
          </cell>
          <cell r="DT20">
            <v>1398.59</v>
          </cell>
          <cell r="DU20">
            <v>1874.57</v>
          </cell>
          <cell r="DV20">
            <v>1874.57</v>
          </cell>
          <cell r="DW20" t="e">
            <v>#REF!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>
            <v>5486.96</v>
          </cell>
          <cell r="EC20">
            <v>641.90000000000055</v>
          </cell>
          <cell r="ED20">
            <v>6128.8600000000006</v>
          </cell>
          <cell r="EE20">
            <v>6128.8600000000006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0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W20">
            <v>0</v>
          </cell>
        </row>
        <row r="21">
          <cell r="A21">
            <v>41710</v>
          </cell>
          <cell r="B21">
            <v>89594.146239742171</v>
          </cell>
          <cell r="C21">
            <v>89594.146239742171</v>
          </cell>
          <cell r="D21">
            <v>0</v>
          </cell>
          <cell r="E21">
            <v>0</v>
          </cell>
          <cell r="F21">
            <v>0</v>
          </cell>
          <cell r="G21">
            <v>104927.27003669739</v>
          </cell>
          <cell r="H21">
            <v>0</v>
          </cell>
          <cell r="I21">
            <v>0</v>
          </cell>
          <cell r="J21">
            <v>0</v>
          </cell>
          <cell r="K21">
            <v>104927.27003669739</v>
          </cell>
          <cell r="L21">
            <v>5959.3774970691547</v>
          </cell>
          <cell r="M21">
            <v>5959.3774970691547</v>
          </cell>
          <cell r="Q21">
            <v>3986.6199703216553</v>
          </cell>
          <cell r="R21">
            <v>3474.370002746582</v>
          </cell>
          <cell r="S21">
            <v>7460.9899730682373</v>
          </cell>
          <cell r="T21">
            <v>7460.9899730682373</v>
          </cell>
          <cell r="U21">
            <v>0</v>
          </cell>
          <cell r="V21">
            <v>0</v>
          </cell>
          <cell r="W21">
            <v>0</v>
          </cell>
          <cell r="X21">
            <v>60</v>
          </cell>
          <cell r="Y21">
            <v>1060</v>
          </cell>
          <cell r="Z21">
            <v>0</v>
          </cell>
          <cell r="AB21">
            <v>1120</v>
          </cell>
          <cell r="AC21">
            <v>284997.45990760799</v>
          </cell>
          <cell r="AD21">
            <v>0</v>
          </cell>
          <cell r="AE21">
            <v>0</v>
          </cell>
          <cell r="AF21">
            <v>0</v>
          </cell>
          <cell r="AG21">
            <v>284997.45990760799</v>
          </cell>
          <cell r="AH21">
            <v>275124.47580076248</v>
          </cell>
          <cell r="AI21">
            <v>0</v>
          </cell>
          <cell r="AJ21">
            <v>0</v>
          </cell>
          <cell r="AK21">
            <v>0</v>
          </cell>
          <cell r="AL21">
            <v>275124.47580076248</v>
          </cell>
          <cell r="AM21">
            <v>598.32000000000016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E21">
            <v>0</v>
          </cell>
          <cell r="BF21">
            <v>0</v>
          </cell>
          <cell r="BG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75426</v>
          </cell>
          <cell r="CB21">
            <v>0.44206052479061791</v>
          </cell>
          <cell r="CC21">
            <v>245</v>
          </cell>
          <cell r="CD21">
            <v>32400</v>
          </cell>
          <cell r="CE21">
            <v>942.85714285714289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 t="str">
            <v xml:space="preserve">EX2500-07 : 24hr Repair Swing machinery System-- EX2500-08 : 1.07hr Engine STOP ON 0.96hr Overheat Hydraulic System-- PC-1250-20 : 0.81hr Standby (No Truck)-- PC-1250-22 : 1.24hr Overheat Radiator-- PC-1250-23 : 3.26hr Main Pump Leaked 0.20hr Standby (No Truck)-- </v>
          </cell>
          <cell r="DE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O21">
            <v>0</v>
          </cell>
          <cell r="DR21">
            <v>164.51000022888184</v>
          </cell>
          <cell r="DS21">
            <v>0</v>
          </cell>
          <cell r="DT21">
            <v>2282.1599807739258</v>
          </cell>
          <cell r="DU21">
            <v>2446.6699810028076</v>
          </cell>
          <cell r="DV21">
            <v>2446.6699810028076</v>
          </cell>
          <cell r="DW21" t="e">
            <v>#REF!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3474.370002746582</v>
          </cell>
          <cell r="EC21">
            <v>1539.9499893188477</v>
          </cell>
          <cell r="ED21">
            <v>5014.3199920654297</v>
          </cell>
          <cell r="EE21">
            <v>5014.3199920654297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W21">
            <v>0</v>
          </cell>
        </row>
        <row r="22">
          <cell r="A22">
            <v>41711</v>
          </cell>
          <cell r="B22">
            <v>93379.945047342029</v>
          </cell>
          <cell r="C22">
            <v>93379.945047342029</v>
          </cell>
          <cell r="D22">
            <v>0</v>
          </cell>
          <cell r="E22">
            <v>0</v>
          </cell>
          <cell r="F22">
            <v>0</v>
          </cell>
          <cell r="G22">
            <v>102145.64009666443</v>
          </cell>
          <cell r="H22">
            <v>0</v>
          </cell>
          <cell r="I22">
            <v>0</v>
          </cell>
          <cell r="J22">
            <v>0</v>
          </cell>
          <cell r="K22">
            <v>102145.64009666443</v>
          </cell>
          <cell r="L22">
            <v>5959.3774970691547</v>
          </cell>
          <cell r="M22">
            <v>5959.3774970691547</v>
          </cell>
          <cell r="Q22">
            <v>6672.7700443267822</v>
          </cell>
          <cell r="R22">
            <v>1103.71999168396</v>
          </cell>
          <cell r="S22">
            <v>7776.4900360107422</v>
          </cell>
          <cell r="T22">
            <v>7776.4900360107422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B22">
            <v>0</v>
          </cell>
          <cell r="AC22">
            <v>279797.30986602779</v>
          </cell>
          <cell r="AD22">
            <v>0</v>
          </cell>
          <cell r="AE22">
            <v>0</v>
          </cell>
          <cell r="AF22">
            <v>0</v>
          </cell>
          <cell r="AG22">
            <v>279797.30986602779</v>
          </cell>
          <cell r="AH22">
            <v>276816.74949355016</v>
          </cell>
          <cell r="AI22">
            <v>0</v>
          </cell>
          <cell r="AJ22">
            <v>0</v>
          </cell>
          <cell r="AK22">
            <v>0</v>
          </cell>
          <cell r="AL22">
            <v>276816.74949355016</v>
          </cell>
          <cell r="AM22">
            <v>286.45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E22">
            <v>0</v>
          </cell>
          <cell r="BF22">
            <v>0</v>
          </cell>
          <cell r="BG22">
            <v>0</v>
          </cell>
          <cell r="BK22">
            <v>0.13333333333333286</v>
          </cell>
          <cell r="BL22">
            <v>1</v>
          </cell>
          <cell r="BM22">
            <v>0.4</v>
          </cell>
          <cell r="BN22">
            <v>0.15000000000000213</v>
          </cell>
          <cell r="BO22">
            <v>0.13333333333333286</v>
          </cell>
          <cell r="BP22">
            <v>0</v>
          </cell>
          <cell r="BQ22">
            <v>0</v>
          </cell>
          <cell r="BR22">
            <v>0.15000000000000213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0.13333333333333286</v>
          </cell>
          <cell r="BX22">
            <v>1</v>
          </cell>
          <cell r="BY22">
            <v>0.4</v>
          </cell>
          <cell r="BZ22">
            <v>0.15000000000000213</v>
          </cell>
          <cell r="CA22">
            <v>202500</v>
          </cell>
          <cell r="CB22">
            <v>0.17685283166764648</v>
          </cell>
          <cell r="CC22">
            <v>240</v>
          </cell>
          <cell r="CD22">
            <v>34800</v>
          </cell>
          <cell r="CE22">
            <v>1012.6984126984128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 t="str">
            <v xml:space="preserve">EX2500-07 : 24hr Repair Swing machinery System-- EX2500-08 : 1.51hr Replace Hose A 0.35hr Hydraulic Oil Overheat-- EX2500-09 : 9.44hr Repair Bucket and Structue-- PC-1250-19 : 1.62hr Fog 0.41 Loading Non Production-- PC-1250-22 : 0.61hr AC Off-- PC-1250-25 : 1.63hr Fog-- PC-1250-23 : 5.79hr V-Belt Ac Broken 4.47hr Standby (No Truck)-- </v>
          </cell>
          <cell r="DE22" t="str">
            <v>Rainfall &amp; Slippery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O22">
            <v>0</v>
          </cell>
          <cell r="DR22">
            <v>1718.5999965667725</v>
          </cell>
          <cell r="DS22">
            <v>42.139999389648438</v>
          </cell>
          <cell r="DT22">
            <v>815.59999847412109</v>
          </cell>
          <cell r="DU22">
            <v>2576.339994430542</v>
          </cell>
          <cell r="DV22">
            <v>2576.339994430542</v>
          </cell>
          <cell r="DW22" t="e">
            <v>#REF!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5200.1500415802002</v>
          </cell>
          <cell r="ED22">
            <v>5200.1500415802002</v>
          </cell>
          <cell r="EE22">
            <v>5200.1500415802002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W22">
            <v>0</v>
          </cell>
        </row>
        <row r="23">
          <cell r="A23">
            <v>41712</v>
          </cell>
          <cell r="B23">
            <v>85215.923199220837</v>
          </cell>
          <cell r="C23">
            <v>85215.923199220837</v>
          </cell>
          <cell r="D23">
            <v>0</v>
          </cell>
          <cell r="E23">
            <v>0</v>
          </cell>
          <cell r="F23">
            <v>0</v>
          </cell>
          <cell r="G23">
            <v>97014.519672393799</v>
          </cell>
          <cell r="H23">
            <v>0</v>
          </cell>
          <cell r="I23">
            <v>0</v>
          </cell>
          <cell r="J23">
            <v>0</v>
          </cell>
          <cell r="K23">
            <v>97014.519672393799</v>
          </cell>
          <cell r="L23">
            <v>5719.8791822437424</v>
          </cell>
          <cell r="M23">
            <v>5719.8791822437424</v>
          </cell>
          <cell r="Q23">
            <v>5493.8699970245361</v>
          </cell>
          <cell r="R23">
            <v>1338.7600002288818</v>
          </cell>
          <cell r="S23">
            <v>6832.629997253418</v>
          </cell>
          <cell r="T23">
            <v>6832.629997253418</v>
          </cell>
          <cell r="U23">
            <v>0</v>
          </cell>
          <cell r="V23">
            <v>0</v>
          </cell>
          <cell r="W23">
            <v>0</v>
          </cell>
          <cell r="X23">
            <v>7610</v>
          </cell>
          <cell r="Y23">
            <v>0</v>
          </cell>
          <cell r="Z23">
            <v>0</v>
          </cell>
          <cell r="AB23">
            <v>7610</v>
          </cell>
          <cell r="AC23">
            <v>275260.38986404415</v>
          </cell>
          <cell r="AD23">
            <v>0</v>
          </cell>
          <cell r="AE23">
            <v>0</v>
          </cell>
          <cell r="AF23">
            <v>0</v>
          </cell>
          <cell r="AG23">
            <v>275260.38986404415</v>
          </cell>
          <cell r="AH23">
            <v>278424.01456433203</v>
          </cell>
          <cell r="AI23">
            <v>0</v>
          </cell>
          <cell r="AJ23">
            <v>0</v>
          </cell>
          <cell r="AK23">
            <v>0</v>
          </cell>
          <cell r="AL23">
            <v>278424.01456433203</v>
          </cell>
          <cell r="AM23">
            <v>2617.0800000000022</v>
          </cell>
          <cell r="AN23">
            <v>1242.5599999999997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E23">
            <v>0</v>
          </cell>
          <cell r="BF23">
            <v>0</v>
          </cell>
          <cell r="BG23">
            <v>0</v>
          </cell>
          <cell r="BK23">
            <v>1.1833333333333345</v>
          </cell>
          <cell r="BL23">
            <v>1</v>
          </cell>
          <cell r="BM23">
            <v>1</v>
          </cell>
          <cell r="BN23">
            <v>0.49999999999999822</v>
          </cell>
          <cell r="BO23">
            <v>1.1833333333333345</v>
          </cell>
          <cell r="BP23">
            <v>0</v>
          </cell>
          <cell r="BQ23">
            <v>0</v>
          </cell>
          <cell r="BR23">
            <v>0.49999999999999822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1.1833333333333345</v>
          </cell>
          <cell r="BX23">
            <v>1</v>
          </cell>
          <cell r="BY23">
            <v>1</v>
          </cell>
          <cell r="BZ23">
            <v>0.49999999999999822</v>
          </cell>
          <cell r="CA23">
            <v>61110</v>
          </cell>
          <cell r="CB23">
            <v>0.40416319257752742</v>
          </cell>
          <cell r="CC23">
            <v>185</v>
          </cell>
          <cell r="CD23">
            <v>24000</v>
          </cell>
          <cell r="CE23">
            <v>698.41269841269843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 t="str">
            <v xml:space="preserve">EX2500-07 : 24hr Repair Swing machinery System-- EX2500-08 : 1.08hr General Work-- PC-1250-20 : 0.62hr Repair Autolube-- PC-1250-19 : 0.76hr Low Power Engine-- PC-1250-22 : 0.62hr Standby (No Truck)-- PC-1250-25 : 0.45hr Low Power Engine 3.70hr Hose Cylinder Bucket RH Leaked-- PC-1250-23 : 4.97hr V-Belt Ac Broken 0.42hr Working Lamp All Off, 2.17hr Standby (No Truck)-- </v>
          </cell>
          <cell r="DE23" t="str">
            <v>Rainfall &amp; Slippery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O23">
            <v>0</v>
          </cell>
          <cell r="DR23">
            <v>348.23999977111816</v>
          </cell>
          <cell r="DS23">
            <v>132.69000053405762</v>
          </cell>
          <cell r="DT23">
            <v>1814.7799949645996</v>
          </cell>
          <cell r="DU23">
            <v>2295.7099952697754</v>
          </cell>
          <cell r="DV23">
            <v>2295.7099952697754</v>
          </cell>
          <cell r="DW23" t="e">
            <v>#REF!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990.52000045776367</v>
          </cell>
          <cell r="EC23">
            <v>3546.4000015258789</v>
          </cell>
          <cell r="ED23">
            <v>4536.9200019836426</v>
          </cell>
          <cell r="EE23">
            <v>4536.9200019836426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W23">
            <v>0</v>
          </cell>
        </row>
        <row r="24">
          <cell r="A24">
            <v>41713</v>
          </cell>
          <cell r="B24">
            <v>93508.620473317278</v>
          </cell>
          <cell r="C24">
            <v>93508.620473317278</v>
          </cell>
          <cell r="D24">
            <v>0</v>
          </cell>
          <cell r="E24">
            <v>0</v>
          </cell>
          <cell r="F24">
            <v>0</v>
          </cell>
          <cell r="G24">
            <v>102091.92982673645</v>
          </cell>
          <cell r="H24">
            <v>0</v>
          </cell>
          <cell r="I24">
            <v>0</v>
          </cell>
          <cell r="J24">
            <v>0</v>
          </cell>
          <cell r="K24">
            <v>102091.92982673645</v>
          </cell>
          <cell r="L24">
            <v>6198.8758118945689</v>
          </cell>
          <cell r="M24">
            <v>6198.8758118945689</v>
          </cell>
          <cell r="Q24">
            <v>3697.3799915313721</v>
          </cell>
          <cell r="R24">
            <v>3512.8400096893311</v>
          </cell>
          <cell r="S24">
            <v>7210.2200012207031</v>
          </cell>
          <cell r="T24">
            <v>7210.2200012207031</v>
          </cell>
          <cell r="U24">
            <v>0</v>
          </cell>
          <cell r="V24">
            <v>0</v>
          </cell>
          <cell r="W24">
            <v>0</v>
          </cell>
          <cell r="X24">
            <v>290</v>
          </cell>
          <cell r="Y24">
            <v>5480</v>
          </cell>
          <cell r="Z24">
            <v>0</v>
          </cell>
          <cell r="AB24">
            <v>5770</v>
          </cell>
          <cell r="AC24">
            <v>270686.29985435482</v>
          </cell>
          <cell r="AD24">
            <v>0</v>
          </cell>
          <cell r="AE24">
            <v>0</v>
          </cell>
          <cell r="AF24">
            <v>0</v>
          </cell>
          <cell r="AG24">
            <v>270686.29985435482</v>
          </cell>
          <cell r="AH24">
            <v>280115.39842494729</v>
          </cell>
          <cell r="AI24">
            <v>0</v>
          </cell>
          <cell r="AJ24">
            <v>0</v>
          </cell>
          <cell r="AK24">
            <v>0</v>
          </cell>
          <cell r="AL24">
            <v>280115.39842494729</v>
          </cell>
          <cell r="AM24">
            <v>645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E24">
            <v>0</v>
          </cell>
          <cell r="BF24">
            <v>0</v>
          </cell>
          <cell r="BG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76830</v>
          </cell>
          <cell r="CB24">
            <v>0.51434934683665645</v>
          </cell>
          <cell r="CC24">
            <v>368</v>
          </cell>
          <cell r="CD24">
            <v>38400</v>
          </cell>
          <cell r="CE24">
            <v>1117.4603174603176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 t="str">
            <v xml:space="preserve">EX2500-07 : 24hr Repair Swing machinery System-- EX2500-08 : 0.41hr Overheat Coolant Radiator 0.23hr Check Autolube System-- PC-1250-20 : 2.23hr Hydraulic Leaked-- PC-1250-22 : 8.87hr PM 6.31hr Stndby-- PC-1250-25 : 0.77hr radiator Fuel Less; Trouble Fuel Gauge,                                          0.85hr Standby (No Truck)-- PC-1250-23 : 1.87hr Lighting System Off-- </v>
          </cell>
          <cell r="DE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O24">
            <v>0</v>
          </cell>
          <cell r="DR24">
            <v>879.08998870849609</v>
          </cell>
          <cell r="DS24">
            <v>1224.5900020599365</v>
          </cell>
          <cell r="DT24">
            <v>532.45000076293945</v>
          </cell>
          <cell r="DU24">
            <v>2636.1299915313721</v>
          </cell>
          <cell r="DV24">
            <v>2636.1299915313721</v>
          </cell>
          <cell r="DW24" t="e">
            <v>#REF!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3389.4600067138672</v>
          </cell>
          <cell r="EC24">
            <v>1184.6300029754639</v>
          </cell>
          <cell r="ED24">
            <v>4574.0900096893311</v>
          </cell>
          <cell r="EE24">
            <v>4574.0900096893311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W24">
            <v>0</v>
          </cell>
        </row>
        <row r="25">
          <cell r="A25">
            <v>41714</v>
          </cell>
          <cell r="B25">
            <v>85901.77314357947</v>
          </cell>
          <cell r="C25">
            <v>85901.77314357947</v>
          </cell>
          <cell r="D25">
            <v>0</v>
          </cell>
          <cell r="E25">
            <v>0</v>
          </cell>
          <cell r="F25">
            <v>0</v>
          </cell>
          <cell r="G25">
            <v>89689.790264129639</v>
          </cell>
          <cell r="H25">
            <v>0</v>
          </cell>
          <cell r="I25">
            <v>0</v>
          </cell>
          <cell r="J25">
            <v>0</v>
          </cell>
          <cell r="K25">
            <v>89689.790264129639</v>
          </cell>
          <cell r="L25">
            <v>6198.8758118945689</v>
          </cell>
          <cell r="M25">
            <v>6198.8758118945689</v>
          </cell>
          <cell r="Q25">
            <v>930.99998664855957</v>
          </cell>
          <cell r="R25">
            <v>2880.6100120544434</v>
          </cell>
          <cell r="S25">
            <v>3811.6099987030029</v>
          </cell>
          <cell r="T25">
            <v>3811.6099987030029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B25">
            <v>0</v>
          </cell>
          <cell r="AC25">
            <v>263451.88984230038</v>
          </cell>
          <cell r="AD25">
            <v>0</v>
          </cell>
          <cell r="AE25">
            <v>0</v>
          </cell>
          <cell r="AF25">
            <v>0</v>
          </cell>
          <cell r="AG25">
            <v>263451.88984230038</v>
          </cell>
          <cell r="AH25">
            <v>306196</v>
          </cell>
          <cell r="AI25">
            <v>0</v>
          </cell>
          <cell r="AJ25">
            <v>0</v>
          </cell>
          <cell r="AK25">
            <v>0</v>
          </cell>
          <cell r="AL25">
            <v>306196</v>
          </cell>
          <cell r="AM25">
            <v>915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E25">
            <v>0</v>
          </cell>
          <cell r="BF25">
            <v>0</v>
          </cell>
          <cell r="BG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 t="str">
            <v xml:space="preserve">EX2500-07 : 24hr Repair Swing machinery System-- EX2500-08 : 1.65hr Replace Hose-- EX2500-09 : 0.97hr No Power Pump Autolube, 0.03 Loading Non Production-- PC-1250-19 : 18.17hr General Work, 2.20hr Loading Coal-- PC-1250-22 : 9.20hrOverheat Coolant Radiator-- PC-1250-25 : 1.96hr adiator Error.15, 13.80hr Standby (No Truck)-- PC-1250-23 : 2.02hr AC Hot-- </v>
          </cell>
          <cell r="DE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4353.8</v>
          </cell>
          <cell r="DK25">
            <v>0</v>
          </cell>
          <cell r="DL25">
            <v>4353.8</v>
          </cell>
          <cell r="DM25">
            <v>4353.8</v>
          </cell>
          <cell r="DO25">
            <v>0</v>
          </cell>
          <cell r="DR25">
            <v>289.96999740600586</v>
          </cell>
          <cell r="DS25">
            <v>0</v>
          </cell>
          <cell r="DT25">
            <v>641.02998924255371</v>
          </cell>
          <cell r="DU25">
            <v>930.99998664855957</v>
          </cell>
          <cell r="DV25">
            <v>930.99998664855957</v>
          </cell>
          <cell r="DW25" t="e">
            <v>#REF!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7234.4100120544435</v>
          </cell>
          <cell r="EC25">
            <v>0</v>
          </cell>
          <cell r="ED25">
            <v>7234.4100120544435</v>
          </cell>
          <cell r="EE25">
            <v>7234.4100120544435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W25">
            <v>0</v>
          </cell>
        </row>
        <row r="26">
          <cell r="A26">
            <v>41715</v>
          </cell>
          <cell r="B26">
            <v>89150.317371240031</v>
          </cell>
          <cell r="C26">
            <v>89150.317371240031</v>
          </cell>
          <cell r="D26">
            <v>0</v>
          </cell>
          <cell r="E26">
            <v>0</v>
          </cell>
          <cell r="F26">
            <v>0</v>
          </cell>
          <cell r="G26">
            <v>87812.969869613647</v>
          </cell>
          <cell r="H26">
            <v>0</v>
          </cell>
          <cell r="I26">
            <v>0</v>
          </cell>
          <cell r="J26">
            <v>0</v>
          </cell>
          <cell r="K26">
            <v>87812.969869613647</v>
          </cell>
          <cell r="L26">
            <v>5959.3774970691547</v>
          </cell>
          <cell r="M26">
            <v>5959.3774970691547</v>
          </cell>
          <cell r="Q26">
            <v>4014.0200290679932</v>
          </cell>
          <cell r="R26">
            <v>197.57999992370605</v>
          </cell>
          <cell r="S26">
            <v>4211.6000289917001</v>
          </cell>
          <cell r="T26">
            <v>4211.6000289917001</v>
          </cell>
          <cell r="U26">
            <v>0</v>
          </cell>
          <cell r="V26">
            <v>0</v>
          </cell>
          <cell r="W26">
            <v>0</v>
          </cell>
          <cell r="X26">
            <v>7810</v>
          </cell>
          <cell r="Y26">
            <v>0</v>
          </cell>
          <cell r="Z26">
            <v>0</v>
          </cell>
          <cell r="AB26">
            <v>7810</v>
          </cell>
          <cell r="AC26">
            <v>254566.15981330868</v>
          </cell>
          <cell r="AD26">
            <v>0</v>
          </cell>
          <cell r="AE26">
            <v>0</v>
          </cell>
          <cell r="AF26">
            <v>0</v>
          </cell>
          <cell r="AG26">
            <v>254566.15981330868</v>
          </cell>
          <cell r="AH26">
            <v>307650.82057438063</v>
          </cell>
          <cell r="AI26">
            <v>0</v>
          </cell>
          <cell r="AJ26">
            <v>0</v>
          </cell>
          <cell r="AK26">
            <v>0</v>
          </cell>
          <cell r="AL26">
            <v>307650.82057438063</v>
          </cell>
          <cell r="AM26">
            <v>203.61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E26">
            <v>0</v>
          </cell>
          <cell r="BF26">
            <v>0</v>
          </cell>
          <cell r="BG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312570</v>
          </cell>
          <cell r="CB26">
            <v>0.1824707478241146</v>
          </cell>
          <cell r="CC26">
            <v>414</v>
          </cell>
          <cell r="CD26">
            <v>56400</v>
          </cell>
          <cell r="CE26">
            <v>634.88164738350486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 t="str">
            <v xml:space="preserve">EX2500-07 : 24hr Repair Swing machinery System-- EX2500-08 : 9.42hr Engine Oil Mixed Water, 4.04hr radiator Engine STOP ON-- EX2500-09 : 0.76hr V-Belt Alternator Damage-- PC-1250-20 : 4.25hr Hose Centre Joint Leak-- PC-1250-22 : 1.44hr Hose Radiator Leak-- PC-1250-25 : 2.91hr Standby (No Truck)-- PC-1250-23 : 1.00hr Hydraulic PTO Leaked, 4.87hr Pin Track Shoe LH Broken-- </v>
          </cell>
          <cell r="DE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4674.13</v>
          </cell>
          <cell r="DK26">
            <v>0</v>
          </cell>
          <cell r="DL26">
            <v>4674.13</v>
          </cell>
          <cell r="DM26">
            <v>4674.13</v>
          </cell>
          <cell r="DO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 t="e">
            <v>#REF!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4871.7099999237062</v>
          </cell>
          <cell r="EC26">
            <v>4014.0200290679932</v>
          </cell>
          <cell r="ED26">
            <v>8885.7300289917002</v>
          </cell>
          <cell r="EE26">
            <v>8885.7300289917002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W26">
            <v>0</v>
          </cell>
        </row>
        <row r="27">
          <cell r="A27">
            <v>41716</v>
          </cell>
          <cell r="B27">
            <v>90404.926316537472</v>
          </cell>
          <cell r="C27">
            <v>90404.926316537472</v>
          </cell>
          <cell r="D27">
            <v>0</v>
          </cell>
          <cell r="E27">
            <v>0</v>
          </cell>
          <cell r="F27">
            <v>0</v>
          </cell>
          <cell r="G27">
            <v>94578.979909896851</v>
          </cell>
          <cell r="H27">
            <v>0</v>
          </cell>
          <cell r="I27">
            <v>0</v>
          </cell>
          <cell r="J27">
            <v>0</v>
          </cell>
          <cell r="K27">
            <v>94578.979909896851</v>
          </cell>
          <cell r="L27">
            <v>5959.3774970691547</v>
          </cell>
          <cell r="M27">
            <v>5959.3774970691547</v>
          </cell>
          <cell r="Q27">
            <v>5234.519983291626</v>
          </cell>
          <cell r="R27">
            <v>0</v>
          </cell>
          <cell r="S27">
            <v>5234.519983291626</v>
          </cell>
          <cell r="T27">
            <v>5234.519983291626</v>
          </cell>
          <cell r="U27">
            <v>0</v>
          </cell>
          <cell r="V27">
            <v>0</v>
          </cell>
          <cell r="W27">
            <v>0</v>
          </cell>
          <cell r="X27">
            <v>7100</v>
          </cell>
          <cell r="Y27">
            <v>0</v>
          </cell>
          <cell r="Z27">
            <v>0</v>
          </cell>
          <cell r="AB27">
            <v>7100</v>
          </cell>
          <cell r="AC27">
            <v>246862.10983268733</v>
          </cell>
          <cell r="AD27">
            <v>0</v>
          </cell>
          <cell r="AE27">
            <v>0</v>
          </cell>
          <cell r="AF27">
            <v>0</v>
          </cell>
          <cell r="AG27">
            <v>246862.10983268733</v>
          </cell>
          <cell r="AH27">
            <v>309217.73541715561</v>
          </cell>
          <cell r="AI27">
            <v>0</v>
          </cell>
          <cell r="AJ27">
            <v>0</v>
          </cell>
          <cell r="AK27">
            <v>0</v>
          </cell>
          <cell r="AL27">
            <v>309217.73541715561</v>
          </cell>
          <cell r="AM27">
            <v>375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E27">
            <v>0</v>
          </cell>
          <cell r="BF27">
            <v>0</v>
          </cell>
          <cell r="BG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54690</v>
          </cell>
          <cell r="CB27">
            <v>0.53281398223809007</v>
          </cell>
          <cell r="CC27">
            <v>230</v>
          </cell>
          <cell r="CD27">
            <v>28800</v>
          </cell>
          <cell r="CE27">
            <v>339.59668860114624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 t="str">
            <v xml:space="preserve">EX2500-07 : 24hr Repair Swing machinery System-- EX2500-08 : 0.75hr Engine Oil Mixed Water, 23.25hr PM49250-- PC-1250-19 : 13.67hr Replace Main Pump-- PC-1250-22 : 11.60hr Overheat Coolant Radiator-- PC-1250-25 : 1.48hr PM18000-- PC-1250-23 : 0.77hr Hydraul,ic PTO Leaked, 1.67hr Stanby (No Truck)-- </v>
          </cell>
          <cell r="DE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4046.73</v>
          </cell>
          <cell r="DK27">
            <v>0</v>
          </cell>
          <cell r="DL27">
            <v>4046.73</v>
          </cell>
          <cell r="DM27">
            <v>4046.73</v>
          </cell>
          <cell r="DO27">
            <v>0</v>
          </cell>
          <cell r="DR27">
            <v>0</v>
          </cell>
          <cell r="DS27">
            <v>0</v>
          </cell>
          <cell r="DT27">
            <v>1577.2000026702881</v>
          </cell>
          <cell r="DU27">
            <v>1577.2000026702881</v>
          </cell>
          <cell r="DV27">
            <v>1577.2000026702881</v>
          </cell>
          <cell r="DW27" t="e">
            <v>#REF!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4046.73</v>
          </cell>
          <cell r="EC27">
            <v>3657.3199806213379</v>
          </cell>
          <cell r="ED27">
            <v>7704.0499806213375</v>
          </cell>
          <cell r="EE27">
            <v>7704.0499806213375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0</v>
          </cell>
          <cell r="EM27">
            <v>0</v>
          </cell>
          <cell r="EO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W27">
            <v>0</v>
          </cell>
        </row>
        <row r="28">
          <cell r="A28">
            <v>41717</v>
          </cell>
          <cell r="B28">
            <v>89594.146239742171</v>
          </cell>
          <cell r="C28">
            <v>89594.146239742171</v>
          </cell>
          <cell r="D28">
            <v>0</v>
          </cell>
          <cell r="E28">
            <v>0</v>
          </cell>
          <cell r="F28">
            <v>0</v>
          </cell>
          <cell r="G28">
            <v>90346.380023956299</v>
          </cell>
          <cell r="H28">
            <v>0</v>
          </cell>
          <cell r="I28">
            <v>0</v>
          </cell>
          <cell r="J28">
            <v>0</v>
          </cell>
          <cell r="K28">
            <v>90346.380023956299</v>
          </cell>
          <cell r="L28">
            <v>5959.3774970691547</v>
          </cell>
          <cell r="M28">
            <v>5959.3774970691547</v>
          </cell>
          <cell r="Q28">
            <v>6753.6899929046631</v>
          </cell>
          <cell r="R28">
            <v>0</v>
          </cell>
          <cell r="S28">
            <v>6753.6899929046631</v>
          </cell>
          <cell r="T28">
            <v>6753.6899929046631</v>
          </cell>
          <cell r="U28">
            <v>0</v>
          </cell>
          <cell r="V28">
            <v>0</v>
          </cell>
          <cell r="W28">
            <v>0</v>
          </cell>
          <cell r="X28">
            <v>8710</v>
          </cell>
          <cell r="Y28">
            <v>0</v>
          </cell>
          <cell r="Z28">
            <v>0</v>
          </cell>
          <cell r="AB28">
            <v>8710</v>
          </cell>
          <cell r="AC28">
            <v>242006.92982772822</v>
          </cell>
          <cell r="AD28">
            <v>0</v>
          </cell>
          <cell r="AE28">
            <v>0</v>
          </cell>
          <cell r="AF28">
            <v>0</v>
          </cell>
          <cell r="AG28">
            <v>242006.92982772822</v>
          </cell>
          <cell r="AH28">
            <v>310714.52766407339</v>
          </cell>
          <cell r="AI28">
            <v>0</v>
          </cell>
          <cell r="AJ28">
            <v>0</v>
          </cell>
          <cell r="AK28">
            <v>0</v>
          </cell>
          <cell r="AL28">
            <v>310714.52766407339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E28">
            <v>0</v>
          </cell>
          <cell r="BF28">
            <v>0</v>
          </cell>
          <cell r="BG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55035</v>
          </cell>
          <cell r="CB28">
            <v>0.50768063517335082</v>
          </cell>
          <cell r="CC28">
            <v>240</v>
          </cell>
          <cell r="CD28">
            <v>27600</v>
          </cell>
          <cell r="CE28">
            <v>340.20375676536133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 t="str">
            <v xml:space="preserve">EX2500-07 : 8.91hr Repair Swing machinery System-- EX2500-08 : 24hr PM49250-- EX2500-09 : 1.28hr Teeth Bucket No.01 Released-- PC-1250-20 : 5.12hr Teeth Bucket No.06 Damage, 8.84hr Standby (Not Used)-- PC-1250-19 : 1.49hr radiator  0.53hr Device Error 11 CA559, 7.20hr Standby (Not Used)-- PC-1250-22 : 4.87hr Radiator Overheat-- PC-1250-25 : 7.09hr  Welding Adapter Tooth Bucket, 3.99hr Can't Start/ Emergency STOP On 2.25hr Standby (Not Use)-- PC-1250-23 : 0.52hr Autolube Abnormal 1hr Trouble Door Cabin-- </v>
          </cell>
          <cell r="DE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752.88</v>
          </cell>
          <cell r="DK28">
            <v>0</v>
          </cell>
          <cell r="DL28">
            <v>752.88</v>
          </cell>
          <cell r="DM28">
            <v>752.88</v>
          </cell>
          <cell r="DO28">
            <v>0</v>
          </cell>
          <cell r="DR28">
            <v>0</v>
          </cell>
          <cell r="DS28">
            <v>0</v>
          </cell>
          <cell r="DT28">
            <v>2651.3899879455566</v>
          </cell>
          <cell r="DU28">
            <v>2651.3899879455566</v>
          </cell>
          <cell r="DV28">
            <v>2651.3899879455566</v>
          </cell>
          <cell r="DW28" t="e">
            <v>#REF!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752.88</v>
          </cell>
          <cell r="EC28">
            <v>4102.3000049591064</v>
          </cell>
          <cell r="ED28">
            <v>4855.1800049591066</v>
          </cell>
          <cell r="EE28">
            <v>4855.1800049591066</v>
          </cell>
        </row>
        <row r="29">
          <cell r="A29">
            <v>41718</v>
          </cell>
          <cell r="B29">
            <v>88645.517435081187</v>
          </cell>
          <cell r="C29">
            <v>88645.517435081187</v>
          </cell>
          <cell r="D29">
            <v>0</v>
          </cell>
          <cell r="E29">
            <v>0</v>
          </cell>
          <cell r="F29">
            <v>0</v>
          </cell>
          <cell r="G29">
            <v>40656.930097579956</v>
          </cell>
          <cell r="H29">
            <v>0</v>
          </cell>
          <cell r="I29">
            <v>0</v>
          </cell>
          <cell r="J29">
            <v>0</v>
          </cell>
          <cell r="K29">
            <v>40656.930097579956</v>
          </cell>
          <cell r="L29">
            <v>5959.3774970691547</v>
          </cell>
          <cell r="M29">
            <v>5959.3774970691547</v>
          </cell>
          <cell r="Q29">
            <v>3811.5799999237061</v>
          </cell>
          <cell r="R29">
            <v>0</v>
          </cell>
          <cell r="S29">
            <v>3811.5799999237061</v>
          </cell>
          <cell r="T29">
            <v>3811.5799999237061</v>
          </cell>
          <cell r="U29">
            <v>0</v>
          </cell>
          <cell r="V29">
            <v>0</v>
          </cell>
          <cell r="W29">
            <v>0</v>
          </cell>
          <cell r="X29">
            <v>310</v>
          </cell>
          <cell r="Y29">
            <v>7620</v>
          </cell>
          <cell r="Z29">
            <v>0</v>
          </cell>
          <cell r="AB29">
            <v>7930</v>
          </cell>
          <cell r="AC29">
            <v>238027.4798307037</v>
          </cell>
          <cell r="AD29">
            <v>0</v>
          </cell>
          <cell r="AE29">
            <v>0</v>
          </cell>
          <cell r="AF29">
            <v>0</v>
          </cell>
          <cell r="AG29">
            <v>238027.4798307037</v>
          </cell>
          <cell r="AH29">
            <v>311388.10172135604</v>
          </cell>
          <cell r="AI29">
            <v>0</v>
          </cell>
          <cell r="AJ29">
            <v>0</v>
          </cell>
          <cell r="AK29">
            <v>0</v>
          </cell>
          <cell r="AL29">
            <v>311388.10172135604</v>
          </cell>
          <cell r="AM29">
            <v>235.18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E29">
            <v>0</v>
          </cell>
          <cell r="BF29">
            <v>0</v>
          </cell>
          <cell r="BG29">
            <v>0</v>
          </cell>
          <cell r="BK29">
            <v>7.2500000000582077</v>
          </cell>
          <cell r="BL29">
            <v>3</v>
          </cell>
          <cell r="BM29">
            <v>47</v>
          </cell>
          <cell r="BN29">
            <v>6.2166666666744277</v>
          </cell>
          <cell r="BO29">
            <v>7.2500000000582077</v>
          </cell>
          <cell r="BP29">
            <v>0</v>
          </cell>
          <cell r="BQ29">
            <v>0</v>
          </cell>
          <cell r="BR29">
            <v>6.2166666666744277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7.2500000000582077</v>
          </cell>
          <cell r="BX29">
            <v>3</v>
          </cell>
          <cell r="BY29">
            <v>47</v>
          </cell>
          <cell r="BZ29">
            <v>6.2166666666744277</v>
          </cell>
          <cell r="CA29">
            <v>178200</v>
          </cell>
          <cell r="CB29">
            <v>0.18415650563358543</v>
          </cell>
          <cell r="CC29">
            <v>240</v>
          </cell>
          <cell r="CD29">
            <v>32400</v>
          </cell>
          <cell r="CE29">
            <v>416.68930390492363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 t="str">
            <v xml:space="preserve">EX2500-08 : 24.00hr Overhaul PM49250-- PC-1250-20 : 1.96hr AC Hot, 1.20hr Standby (Not Used), 2.58hr Loading Coal-- PC-1250-19 : 7.85hr radiator Errror.11 (Code:CA559), 1.64hr Standby (Not Used)-- PC-1250-22 : 1.65hr General Work-- PC-1250-25 : 0.14hr General Work-- </v>
          </cell>
          <cell r="DE29" t="str">
            <v>Rainfall &amp; Slippery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1209.08</v>
          </cell>
          <cell r="DL29">
            <v>1209.08</v>
          </cell>
          <cell r="DM29">
            <v>1209.08</v>
          </cell>
          <cell r="DO29">
            <v>0</v>
          </cell>
          <cell r="DR29">
            <v>0</v>
          </cell>
          <cell r="DS29">
            <v>955.79000282287598</v>
          </cell>
          <cell r="DT29">
            <v>85.420000076293945</v>
          </cell>
          <cell r="DU29">
            <v>1041.2100028991699</v>
          </cell>
          <cell r="DV29">
            <v>1041.2100028991699</v>
          </cell>
          <cell r="DW29" t="e">
            <v>#REF!</v>
          </cell>
          <cell r="DX29">
            <v>0</v>
          </cell>
          <cell r="DY29">
            <v>0</v>
          </cell>
          <cell r="DZ29">
            <v>0</v>
          </cell>
          <cell r="EA29">
            <v>1209.08</v>
          </cell>
          <cell r="EB29">
            <v>0</v>
          </cell>
          <cell r="EC29">
            <v>2770.3699970245361</v>
          </cell>
          <cell r="ED29">
            <v>3979.4499970245361</v>
          </cell>
          <cell r="EE29">
            <v>3979.4499970245361</v>
          </cell>
        </row>
        <row r="30">
          <cell r="A30">
            <v>41719</v>
          </cell>
          <cell r="B30">
            <v>77530.551241258756</v>
          </cell>
          <cell r="C30">
            <v>77530.551241258756</v>
          </cell>
          <cell r="D30">
            <v>0</v>
          </cell>
          <cell r="E30">
            <v>0</v>
          </cell>
          <cell r="F30">
            <v>0</v>
          </cell>
          <cell r="G30">
            <v>39429.460037231445</v>
          </cell>
          <cell r="H30">
            <v>0</v>
          </cell>
          <cell r="I30">
            <v>0</v>
          </cell>
          <cell r="J30">
            <v>0</v>
          </cell>
          <cell r="K30">
            <v>39429.460037231445</v>
          </cell>
          <cell r="L30">
            <v>5719.8791822437424</v>
          </cell>
          <cell r="M30">
            <v>5719.8791822437424</v>
          </cell>
          <cell r="Q30">
            <v>1532.220006942749</v>
          </cell>
          <cell r="R30">
            <v>0</v>
          </cell>
          <cell r="S30">
            <v>1532.220006942749</v>
          </cell>
          <cell r="T30">
            <v>1532.220006942749</v>
          </cell>
          <cell r="U30">
            <v>0</v>
          </cell>
          <cell r="V30">
            <v>0</v>
          </cell>
          <cell r="W30">
            <v>0</v>
          </cell>
          <cell r="X30">
            <v>3600</v>
          </cell>
          <cell r="Y30">
            <v>0</v>
          </cell>
          <cell r="Z30">
            <v>0</v>
          </cell>
          <cell r="AB30">
            <v>3600</v>
          </cell>
          <cell r="AC30">
            <v>236600.29982490535</v>
          </cell>
          <cell r="AD30">
            <v>0</v>
          </cell>
          <cell r="AE30">
            <v>0</v>
          </cell>
          <cell r="AF30">
            <v>0</v>
          </cell>
          <cell r="AG30">
            <v>236600.29982490535</v>
          </cell>
          <cell r="AH30">
            <v>312041.33995921607</v>
          </cell>
          <cell r="AI30">
            <v>0</v>
          </cell>
          <cell r="AJ30">
            <v>0</v>
          </cell>
          <cell r="AK30">
            <v>0</v>
          </cell>
          <cell r="AL30">
            <v>312041.33995921607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E30">
            <v>0</v>
          </cell>
          <cell r="BF30">
            <v>0</v>
          </cell>
          <cell r="BG30">
            <v>0</v>
          </cell>
          <cell r="BK30">
            <v>6.4499999999999984</v>
          </cell>
          <cell r="BL30">
            <v>3</v>
          </cell>
          <cell r="BM30">
            <v>5</v>
          </cell>
          <cell r="BN30">
            <v>6.8000000000000016</v>
          </cell>
          <cell r="BO30">
            <v>6.4499999999999984</v>
          </cell>
          <cell r="BP30">
            <v>0</v>
          </cell>
          <cell r="BQ30">
            <v>0</v>
          </cell>
          <cell r="BR30">
            <v>6.8000000000000016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6.4499999999999984</v>
          </cell>
          <cell r="BX30">
            <v>3</v>
          </cell>
          <cell r="BY30">
            <v>5</v>
          </cell>
          <cell r="BZ30">
            <v>6.8000000000000016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 t="str">
            <v xml:space="preserve">EX2500-07 : 0.88hr Monitor Fast Fueling ON-- EX2500-08 : 24hr Overhaul PM49250 (HM52911)-- PC-1250-20 : 1.77hr Standby (Not Used),  0.99hr Loading Coal-- PC-1250-22 : 0.76hr General work, 0.30hr Loading Non Production-- PC-1250-23 : 0.25hr Replace Hose Grease, 1.22hr Hose Autolube Leaked-- </v>
          </cell>
          <cell r="DE30" t="str">
            <v>Rainfall &amp; Slippery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314.76</v>
          </cell>
          <cell r="DL30">
            <v>314.76</v>
          </cell>
          <cell r="DM30">
            <v>314.76</v>
          </cell>
          <cell r="DO30">
            <v>0</v>
          </cell>
          <cell r="DR30">
            <v>0</v>
          </cell>
          <cell r="DS30">
            <v>419.80000114440918</v>
          </cell>
          <cell r="DT30">
            <v>0</v>
          </cell>
          <cell r="DU30">
            <v>419.80000114440918</v>
          </cell>
          <cell r="DV30">
            <v>419.80000114440918</v>
          </cell>
          <cell r="DW30" t="e">
            <v>#REF!</v>
          </cell>
          <cell r="DX30">
            <v>0</v>
          </cell>
          <cell r="DY30">
            <v>0</v>
          </cell>
          <cell r="DZ30">
            <v>0</v>
          </cell>
          <cell r="EA30">
            <v>314.76</v>
          </cell>
          <cell r="EB30">
            <v>0</v>
          </cell>
          <cell r="EC30">
            <v>1112.4200057983398</v>
          </cell>
          <cell r="ED30">
            <v>1427.1800057983398</v>
          </cell>
          <cell r="EE30">
            <v>1427.1800057983398</v>
          </cell>
        </row>
        <row r="31">
          <cell r="A31">
            <v>41720</v>
          </cell>
          <cell r="B31">
            <v>89493.029502442048</v>
          </cell>
          <cell r="C31">
            <v>89493.029502442048</v>
          </cell>
          <cell r="D31">
            <v>0</v>
          </cell>
          <cell r="E31">
            <v>0</v>
          </cell>
          <cell r="F31">
            <v>0</v>
          </cell>
          <cell r="G31">
            <v>68972.46996307373</v>
          </cell>
          <cell r="H31">
            <v>0</v>
          </cell>
          <cell r="I31">
            <v>0</v>
          </cell>
          <cell r="J31">
            <v>0</v>
          </cell>
          <cell r="K31">
            <v>68972.46996307373</v>
          </cell>
          <cell r="L31">
            <v>6198.8758118945689</v>
          </cell>
          <cell r="M31">
            <v>6198.8758118945689</v>
          </cell>
          <cell r="Q31">
            <v>4817.4900169372559</v>
          </cell>
          <cell r="R31">
            <v>0</v>
          </cell>
          <cell r="S31">
            <v>4817.4900169372559</v>
          </cell>
          <cell r="T31">
            <v>4817.4900169372559</v>
          </cell>
          <cell r="U31">
            <v>0</v>
          </cell>
          <cell r="V31">
            <v>0</v>
          </cell>
          <cell r="W31">
            <v>0</v>
          </cell>
          <cell r="X31">
            <v>8510</v>
          </cell>
          <cell r="Y31">
            <v>0</v>
          </cell>
          <cell r="Z31">
            <v>0</v>
          </cell>
          <cell r="AB31">
            <v>8510</v>
          </cell>
          <cell r="AC31">
            <v>231254.95980819699</v>
          </cell>
          <cell r="AD31">
            <v>0</v>
          </cell>
          <cell r="AE31">
            <v>0</v>
          </cell>
          <cell r="AF31">
            <v>0</v>
          </cell>
          <cell r="AG31">
            <v>231254.95980819699</v>
          </cell>
          <cell r="AH31">
            <v>313184.02501493302</v>
          </cell>
          <cell r="AI31">
            <v>0</v>
          </cell>
          <cell r="AJ31">
            <v>0</v>
          </cell>
          <cell r="AK31">
            <v>0</v>
          </cell>
          <cell r="AL31">
            <v>313184.02501493302</v>
          </cell>
          <cell r="AM31">
            <v>411.29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E31">
            <v>0</v>
          </cell>
          <cell r="BF31">
            <v>0</v>
          </cell>
          <cell r="BG31">
            <v>0</v>
          </cell>
          <cell r="BK31">
            <v>4.0999999999999988</v>
          </cell>
          <cell r="BL31">
            <v>1</v>
          </cell>
          <cell r="BM31">
            <v>16</v>
          </cell>
          <cell r="BN31">
            <v>4.0833333333333321</v>
          </cell>
          <cell r="BO31">
            <v>4.0999999999999988</v>
          </cell>
          <cell r="BP31">
            <v>0</v>
          </cell>
          <cell r="BQ31">
            <v>0</v>
          </cell>
          <cell r="BR31">
            <v>4.0833333333333321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4.0999999999999988</v>
          </cell>
          <cell r="BX31">
            <v>1</v>
          </cell>
          <cell r="BY31">
            <v>16</v>
          </cell>
          <cell r="BZ31">
            <v>4.0833333333333321</v>
          </cell>
          <cell r="CA31">
            <v>79794</v>
          </cell>
          <cell r="CB31">
            <v>0.45744622447359562</v>
          </cell>
          <cell r="CC31">
            <v>300</v>
          </cell>
          <cell r="CD31">
            <v>36000</v>
          </cell>
          <cell r="CE31">
            <v>501.46403564608522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 t="str">
            <v xml:space="preserve">EX2500-08 : 10.74hr PM49250, 2.37hr Pipe Hose Hydraulic leaked-- EX2500-09 : 1.89hr Pipe Hose Fuel leaked-- PC-1250-20 : 1.21hr Pipe Hose Hydraulic Leaked-- PC-1250-19 : 2.87hr Error 15 CA2249-- PC-1250-23 : 7.42hr PM 15000-- </v>
          </cell>
          <cell r="DE31" t="str">
            <v>Rainfall &amp; Slippery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549.36</v>
          </cell>
          <cell r="DL31">
            <v>549.36</v>
          </cell>
          <cell r="DM31">
            <v>549.36</v>
          </cell>
          <cell r="DO31">
            <v>0</v>
          </cell>
          <cell r="DR31">
            <v>0</v>
          </cell>
          <cell r="DS31">
            <v>21.510000228881836</v>
          </cell>
          <cell r="DT31">
            <v>0</v>
          </cell>
          <cell r="DU31">
            <v>21.510000228881836</v>
          </cell>
          <cell r="DV31">
            <v>21.510000228881836</v>
          </cell>
          <cell r="DW31" t="e">
            <v>#REF!</v>
          </cell>
          <cell r="DX31">
            <v>0</v>
          </cell>
          <cell r="DY31">
            <v>0</v>
          </cell>
          <cell r="DZ31">
            <v>0</v>
          </cell>
          <cell r="EA31">
            <v>549.36</v>
          </cell>
          <cell r="EB31">
            <v>0</v>
          </cell>
          <cell r="EC31">
            <v>4795.980016708374</v>
          </cell>
          <cell r="ED31">
            <v>5345.3400167083737</v>
          </cell>
          <cell r="EE31">
            <v>5345.3400167083737</v>
          </cell>
        </row>
        <row r="32">
          <cell r="A32">
            <v>41721</v>
          </cell>
          <cell r="B32">
            <v>88120.571792962219</v>
          </cell>
          <cell r="C32">
            <v>88120.571792962219</v>
          </cell>
          <cell r="D32">
            <v>0</v>
          </cell>
          <cell r="E32">
            <v>0</v>
          </cell>
          <cell r="F32">
            <v>0</v>
          </cell>
          <cell r="G32">
            <v>115512.84926986694</v>
          </cell>
          <cell r="H32">
            <v>0</v>
          </cell>
          <cell r="I32">
            <v>0</v>
          </cell>
          <cell r="J32">
            <v>0</v>
          </cell>
          <cell r="K32">
            <v>115512.84926986694</v>
          </cell>
          <cell r="L32">
            <v>6198.8758118945689</v>
          </cell>
          <cell r="M32">
            <v>6198.8758118945689</v>
          </cell>
          <cell r="Q32">
            <v>6274.6899909973145</v>
          </cell>
          <cell r="R32">
            <v>0</v>
          </cell>
          <cell r="S32">
            <v>6274.6899909973145</v>
          </cell>
          <cell r="T32">
            <v>6274.6899909973145</v>
          </cell>
          <cell r="U32">
            <v>0</v>
          </cell>
          <cell r="V32">
            <v>0</v>
          </cell>
          <cell r="W32">
            <v>0</v>
          </cell>
          <cell r="X32">
            <v>8510</v>
          </cell>
          <cell r="Y32">
            <v>0</v>
          </cell>
          <cell r="Z32">
            <v>0</v>
          </cell>
          <cell r="AB32">
            <v>8510</v>
          </cell>
          <cell r="AC32">
            <v>225514.97981246945</v>
          </cell>
          <cell r="AD32">
            <v>0</v>
          </cell>
          <cell r="AE32">
            <v>0</v>
          </cell>
          <cell r="AF32">
            <v>0</v>
          </cell>
          <cell r="AG32">
            <v>225514.97981246945</v>
          </cell>
          <cell r="AH32">
            <v>315097.75677884731</v>
          </cell>
          <cell r="AI32">
            <v>0</v>
          </cell>
          <cell r="AJ32">
            <v>0</v>
          </cell>
          <cell r="AK32">
            <v>0</v>
          </cell>
          <cell r="AL32">
            <v>315097.75677884731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E32">
            <v>0</v>
          </cell>
          <cell r="BF32">
            <v>0</v>
          </cell>
          <cell r="BG32">
            <v>0</v>
          </cell>
          <cell r="BK32">
            <v>0.76666666666666661</v>
          </cell>
          <cell r="BL32">
            <v>1</v>
          </cell>
          <cell r="BM32">
            <v>8</v>
          </cell>
          <cell r="BN32">
            <v>1.0166666666666657</v>
          </cell>
          <cell r="BO32">
            <v>0.76666666666666661</v>
          </cell>
          <cell r="BP32">
            <v>0</v>
          </cell>
          <cell r="BQ32">
            <v>0</v>
          </cell>
          <cell r="BR32">
            <v>1.0166666666666657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0.76666666666666661</v>
          </cell>
          <cell r="BX32">
            <v>1</v>
          </cell>
          <cell r="BY32">
            <v>8</v>
          </cell>
          <cell r="BZ32">
            <v>1.0166666666666657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DC32">
            <v>0</v>
          </cell>
          <cell r="DD32" t="str">
            <v xml:space="preserve">EX2500-08 : 1.81hr Hydraulic leaked-- EX2500-09 : 0.47hr Loose Tooth Bucket No.5-- PC-1250-22 : 1.41hr Engine Overheat, 1.59hr Standby (Not Used)-- PC-1250-23 : 10.86hr O Ring Control Valve Leaked, 4.51hr Standby (Not Used)-- </v>
          </cell>
          <cell r="DE32" t="str">
            <v>Rainfall &amp; Slippery</v>
          </cell>
          <cell r="DG32">
            <v>0</v>
          </cell>
          <cell r="DH32">
            <v>0</v>
          </cell>
          <cell r="DI32">
            <v>0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O32">
            <v>0</v>
          </cell>
          <cell r="DR32">
            <v>0</v>
          </cell>
          <cell r="DS32">
            <v>0</v>
          </cell>
          <cell r="DT32">
            <v>534.70999526977539</v>
          </cell>
          <cell r="DU32">
            <v>534.70999526977539</v>
          </cell>
          <cell r="DV32">
            <v>534.70999526977539</v>
          </cell>
          <cell r="DW32" t="e">
            <v>#REF!</v>
          </cell>
          <cell r="DX32">
            <v>0</v>
          </cell>
          <cell r="DY32">
            <v>0</v>
          </cell>
          <cell r="DZ32">
            <v>0</v>
          </cell>
          <cell r="EA32">
            <v>0</v>
          </cell>
          <cell r="EB32">
            <v>0</v>
          </cell>
          <cell r="EC32">
            <v>5739.9799957275391</v>
          </cell>
          <cell r="ED32">
            <v>5739.9799957275391</v>
          </cell>
          <cell r="EE32">
            <v>5739.9799957275391</v>
          </cell>
        </row>
        <row r="33">
          <cell r="A33">
            <v>41722</v>
          </cell>
          <cell r="B33">
            <v>88043.739461411416</v>
          </cell>
          <cell r="C33">
            <v>88043.739461411416</v>
          </cell>
          <cell r="D33">
            <v>0</v>
          </cell>
          <cell r="E33">
            <v>0</v>
          </cell>
          <cell r="F33">
            <v>0</v>
          </cell>
          <cell r="G33">
            <v>106704.4596862793</v>
          </cell>
          <cell r="H33">
            <v>0</v>
          </cell>
          <cell r="I33">
            <v>0</v>
          </cell>
          <cell r="J33">
            <v>0</v>
          </cell>
          <cell r="K33">
            <v>106704.4596862793</v>
          </cell>
          <cell r="L33">
            <v>5959.3774970691547</v>
          </cell>
          <cell r="M33">
            <v>5959.3774970691547</v>
          </cell>
          <cell r="Q33">
            <v>6915.6200275421143</v>
          </cell>
          <cell r="R33">
            <v>0</v>
          </cell>
          <cell r="S33">
            <v>6915.6200275421143</v>
          </cell>
          <cell r="T33">
            <v>6915.6200275421143</v>
          </cell>
          <cell r="U33">
            <v>0</v>
          </cell>
          <cell r="V33">
            <v>0</v>
          </cell>
          <cell r="W33">
            <v>0</v>
          </cell>
          <cell r="X33">
            <v>5700</v>
          </cell>
          <cell r="Y33">
            <v>2730</v>
          </cell>
          <cell r="Z33">
            <v>0</v>
          </cell>
          <cell r="AB33">
            <v>8430</v>
          </cell>
          <cell r="AC33">
            <v>222579.8197992706</v>
          </cell>
          <cell r="AD33">
            <v>0</v>
          </cell>
          <cell r="AE33">
            <v>0</v>
          </cell>
          <cell r="AF33">
            <v>0</v>
          </cell>
          <cell r="AG33">
            <v>222579.8197992706</v>
          </cell>
          <cell r="AH33">
            <v>316865.55763514747</v>
          </cell>
          <cell r="AI33">
            <v>0</v>
          </cell>
          <cell r="AJ33">
            <v>0</v>
          </cell>
          <cell r="AK33">
            <v>0</v>
          </cell>
          <cell r="AL33">
            <v>316865.55763514747</v>
          </cell>
          <cell r="AM33">
            <v>1207.5600000000002</v>
          </cell>
          <cell r="AN33">
            <v>822.65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E33">
            <v>0</v>
          </cell>
          <cell r="BF33">
            <v>0</v>
          </cell>
          <cell r="BG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72000</v>
          </cell>
          <cell r="CB33">
            <v>0.56600529100529107</v>
          </cell>
          <cell r="CC33">
            <v>300</v>
          </cell>
          <cell r="CD33">
            <v>39600</v>
          </cell>
          <cell r="CE33">
            <v>1152.3809523809525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D33" t="str">
            <v xml:space="preserve">EX2500-07 : 0.20hr Loading Non Production-- PC-1250-20 : 3.03hr Pipe Hose A no.5 Leaked, 12.88 Standby (Not Used) 4.28hr Standby (No Material)-- PC-1250-19 : 0.65hr Low Power Engin Error 11 CA 559-- PC-1250-22 : 1.43hr Hydraulic System Low Power 12.38hr Standby (Not Used)-- PC-1250-25 : 0.71hr Tooth Bucket No.04 Broken 0.24hr Standby (Not Used)-- PC-1250-23 : 2.47hr Standby Not Used) 9.29hr Standby (No Material)-- </v>
          </cell>
          <cell r="DE33">
            <v>0</v>
          </cell>
          <cell r="DG33">
            <v>0</v>
          </cell>
          <cell r="DH33">
            <v>0</v>
          </cell>
          <cell r="DI33">
            <v>0</v>
          </cell>
          <cell r="DJ33">
            <v>0</v>
          </cell>
          <cell r="DK33">
            <v>0</v>
          </cell>
          <cell r="DL33">
            <v>0</v>
          </cell>
          <cell r="DM33">
            <v>0</v>
          </cell>
          <cell r="DO33">
            <v>0</v>
          </cell>
          <cell r="DR33">
            <v>0</v>
          </cell>
          <cell r="DS33">
            <v>2431.7700004577637</v>
          </cell>
          <cell r="DT33">
            <v>1548.690013885498</v>
          </cell>
          <cell r="DU33">
            <v>3980.4600143432617</v>
          </cell>
          <cell r="DV33">
            <v>3980.4600143432617</v>
          </cell>
          <cell r="DW33" t="e">
            <v>#REF!</v>
          </cell>
          <cell r="DX33">
            <v>0</v>
          </cell>
          <cell r="DY33">
            <v>0</v>
          </cell>
          <cell r="DZ33">
            <v>0</v>
          </cell>
          <cell r="EA33">
            <v>0</v>
          </cell>
          <cell r="EB33">
            <v>0</v>
          </cell>
          <cell r="EC33">
            <v>2935.1600131988525</v>
          </cell>
          <cell r="ED33">
            <v>2935.1600131988525</v>
          </cell>
          <cell r="EE33">
            <v>2935.1600131988525</v>
          </cell>
        </row>
      </sheetData>
      <sheetData sheetId="8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</row>
        <row r="2">
          <cell r="A2" t="str">
            <v>Date</v>
          </cell>
          <cell r="B2" t="str">
            <v>Pit Production</v>
          </cell>
          <cell r="D2" t="str">
            <v>ROM Transfer</v>
          </cell>
          <cell r="E2" t="str">
            <v xml:space="preserve">ROM Stock </v>
          </cell>
          <cell r="H2" t="str">
            <v>ROM Hauling</v>
          </cell>
          <cell r="I2" t="str">
            <v>FC Production</v>
          </cell>
          <cell r="L2" t="str">
            <v>FC Stock at PSY</v>
          </cell>
          <cell r="O2" t="str">
            <v>Barge Loading</v>
          </cell>
        </row>
        <row r="3">
          <cell r="B3" t="str">
            <v>OB Removal</v>
          </cell>
          <cell r="C3" t="str">
            <v>Coal Winning</v>
          </cell>
          <cell r="D3" t="str">
            <v>Biangan - ROM Stock Temp.</v>
          </cell>
          <cell r="E3" t="str">
            <v>Biangan</v>
          </cell>
          <cell r="F3" t="str">
            <v>ROM Stock Temporarry</v>
          </cell>
          <cell r="G3" t="str">
            <v>Total</v>
          </cell>
          <cell r="H3" t="str">
            <v>ROM Stock Temp. - CR BEK</v>
          </cell>
          <cell r="I3" t="str">
            <v>LTS</v>
          </cell>
          <cell r="J3" t="str">
            <v>HTS</v>
          </cell>
          <cell r="K3" t="str">
            <v>Total</v>
          </cell>
          <cell r="L3" t="str">
            <v>LTS</v>
          </cell>
          <cell r="M3" t="str">
            <v>HTS</v>
          </cell>
          <cell r="N3" t="str">
            <v>Total</v>
          </cell>
          <cell r="O3" t="str">
            <v>BEK MCV LS</v>
          </cell>
          <cell r="P3" t="str">
            <v>BEK HCV HS</v>
          </cell>
          <cell r="Q3" t="str">
            <v>Total</v>
          </cell>
        </row>
        <row r="4">
          <cell r="G4">
            <v>271509.26530000003</v>
          </cell>
          <cell r="H4">
            <v>2802.8182000000002</v>
          </cell>
          <cell r="I4">
            <v>274312.08350000001</v>
          </cell>
          <cell r="K4">
            <v>0</v>
          </cell>
        </row>
        <row r="5">
          <cell r="A5">
            <v>41699</v>
          </cell>
          <cell r="B5">
            <v>69251</v>
          </cell>
          <cell r="C5">
            <v>9814.26</v>
          </cell>
          <cell r="D5">
            <v>6223.2999999999993</v>
          </cell>
          <cell r="E5">
            <v>344398.07210000005</v>
          </cell>
          <cell r="F5">
            <v>21941.048600000002</v>
          </cell>
          <cell r="G5">
            <v>366339.12070000003</v>
          </cell>
          <cell r="H5">
            <v>2529.08</v>
          </cell>
          <cell r="I5">
            <v>2529.08</v>
          </cell>
          <cell r="J5">
            <v>0</v>
          </cell>
          <cell r="K5">
            <v>2529.08</v>
          </cell>
          <cell r="L5">
            <v>4069.5077329999999</v>
          </cell>
          <cell r="M5">
            <v>9831.7595870000005</v>
          </cell>
          <cell r="N5">
            <v>13901.267320000001</v>
          </cell>
          <cell r="O5">
            <v>0</v>
          </cell>
          <cell r="P5">
            <v>0</v>
          </cell>
          <cell r="Q5">
            <v>0</v>
          </cell>
        </row>
        <row r="6">
          <cell r="A6">
            <v>41700</v>
          </cell>
          <cell r="B6">
            <v>48741</v>
          </cell>
          <cell r="C6">
            <v>7537.39</v>
          </cell>
          <cell r="D6">
            <v>6273</v>
          </cell>
          <cell r="E6">
            <v>345662.46210000006</v>
          </cell>
          <cell r="F6">
            <v>19543.848600000001</v>
          </cell>
          <cell r="G6">
            <v>365206.31070000009</v>
          </cell>
          <cell r="H6">
            <v>8670.2000000000007</v>
          </cell>
          <cell r="I6">
            <v>8670.2000000000007</v>
          </cell>
          <cell r="J6">
            <v>0</v>
          </cell>
          <cell r="K6">
            <v>8670.2000000000007</v>
          </cell>
          <cell r="L6">
            <v>12739.707733000001</v>
          </cell>
          <cell r="M6">
            <v>9831.7595870000005</v>
          </cell>
          <cell r="N6">
            <v>22571.467320000003</v>
          </cell>
          <cell r="O6">
            <v>0</v>
          </cell>
          <cell r="P6">
            <v>0</v>
          </cell>
          <cell r="Q6">
            <v>0</v>
          </cell>
        </row>
        <row r="7">
          <cell r="A7">
            <v>41701</v>
          </cell>
          <cell r="B7">
            <v>47253.5</v>
          </cell>
          <cell r="C7">
            <v>4890.1099999999997</v>
          </cell>
          <cell r="D7">
            <v>6551.68</v>
          </cell>
          <cell r="E7">
            <v>344000.89210000006</v>
          </cell>
          <cell r="F7">
            <v>19188.6086</v>
          </cell>
          <cell r="G7">
            <v>363189.50070000003</v>
          </cell>
          <cell r="H7">
            <v>6906.92</v>
          </cell>
          <cell r="I7">
            <v>6906.92</v>
          </cell>
          <cell r="J7">
            <v>0</v>
          </cell>
          <cell r="K7">
            <v>6906.92</v>
          </cell>
          <cell r="L7">
            <v>19646.627733000001</v>
          </cell>
          <cell r="M7">
            <v>9831.7595870000005</v>
          </cell>
          <cell r="N7">
            <v>29478.387320000002</v>
          </cell>
          <cell r="O7">
            <v>0</v>
          </cell>
          <cell r="P7">
            <v>0</v>
          </cell>
          <cell r="Q7">
            <v>0</v>
          </cell>
        </row>
        <row r="8">
          <cell r="A8">
            <v>41702</v>
          </cell>
          <cell r="B8">
            <v>56339.5</v>
          </cell>
          <cell r="C8">
            <v>8810.4599999999991</v>
          </cell>
          <cell r="D8">
            <v>6663.91</v>
          </cell>
          <cell r="E8">
            <v>346147.4421000001</v>
          </cell>
          <cell r="F8">
            <v>18637.658599999999</v>
          </cell>
          <cell r="G8">
            <v>364785.10070000013</v>
          </cell>
          <cell r="H8">
            <v>7214.86</v>
          </cell>
          <cell r="I8">
            <v>7214.86</v>
          </cell>
          <cell r="J8">
            <v>0</v>
          </cell>
          <cell r="K8">
            <v>7214.86</v>
          </cell>
          <cell r="L8">
            <v>26861.487733000002</v>
          </cell>
          <cell r="M8">
            <v>9831.7595870000005</v>
          </cell>
          <cell r="N8">
            <v>36693.247320000002</v>
          </cell>
          <cell r="O8">
            <v>0</v>
          </cell>
          <cell r="P8">
            <v>0</v>
          </cell>
          <cell r="Q8">
            <v>0</v>
          </cell>
        </row>
        <row r="9">
          <cell r="A9">
            <v>41703</v>
          </cell>
          <cell r="B9">
            <v>67470</v>
          </cell>
          <cell r="C9">
            <v>8158.2900000000009</v>
          </cell>
          <cell r="D9">
            <v>4991.18</v>
          </cell>
          <cell r="E9">
            <v>349314.55210000009</v>
          </cell>
          <cell r="F9">
            <v>16322.2786</v>
          </cell>
          <cell r="G9">
            <v>365636.83070000011</v>
          </cell>
          <cell r="H9">
            <v>7306.5599999999995</v>
          </cell>
          <cell r="I9">
            <v>7306.5599999999995</v>
          </cell>
          <cell r="J9">
            <v>0</v>
          </cell>
          <cell r="K9">
            <v>7306.5599999999995</v>
          </cell>
          <cell r="L9">
            <v>17363.885733000003</v>
          </cell>
          <cell r="M9">
            <v>9831.7595870000005</v>
          </cell>
          <cell r="N9">
            <v>27195.645320000003</v>
          </cell>
          <cell r="O9">
            <v>16804.162</v>
          </cell>
          <cell r="P9">
            <v>0</v>
          </cell>
          <cell r="Q9">
            <v>16804.162</v>
          </cell>
        </row>
        <row r="10">
          <cell r="A10">
            <v>41704</v>
          </cell>
          <cell r="B10">
            <v>66969</v>
          </cell>
          <cell r="C10">
            <v>8433.5999999999985</v>
          </cell>
          <cell r="D10">
            <v>6476.38</v>
          </cell>
          <cell r="E10">
            <v>351271.77210000006</v>
          </cell>
          <cell r="F10">
            <v>15644.0386</v>
          </cell>
          <cell r="G10">
            <v>366915.81070000003</v>
          </cell>
          <cell r="H10">
            <v>7154.62</v>
          </cell>
          <cell r="I10">
            <v>7154.62</v>
          </cell>
          <cell r="J10">
            <v>0</v>
          </cell>
          <cell r="K10">
            <v>7154.62</v>
          </cell>
          <cell r="L10">
            <v>24518.505733000005</v>
          </cell>
          <cell r="M10">
            <v>9831.7595870000005</v>
          </cell>
          <cell r="N10">
            <v>34350.265320000006</v>
          </cell>
          <cell r="O10">
            <v>0</v>
          </cell>
          <cell r="P10">
            <v>0</v>
          </cell>
          <cell r="Q10">
            <v>0</v>
          </cell>
        </row>
        <row r="11">
          <cell r="A11">
            <v>41705</v>
          </cell>
          <cell r="B11">
            <v>60861.5</v>
          </cell>
          <cell r="C11">
            <v>9069.6200000000008</v>
          </cell>
          <cell r="D11">
            <v>4896.6799999999994</v>
          </cell>
          <cell r="E11">
            <v>355444.71210000006</v>
          </cell>
          <cell r="F11">
            <v>17810.918600000001</v>
          </cell>
          <cell r="G11">
            <v>373255.63070000004</v>
          </cell>
          <cell r="H11">
            <v>2729.7999999999997</v>
          </cell>
          <cell r="I11">
            <v>2729.7999999999997</v>
          </cell>
          <cell r="J11">
            <v>0</v>
          </cell>
          <cell r="K11">
            <v>2729.7999999999997</v>
          </cell>
          <cell r="L11">
            <v>19779.688733000006</v>
          </cell>
          <cell r="M11">
            <v>9831.7595870000005</v>
          </cell>
          <cell r="N11">
            <v>29611.448320000007</v>
          </cell>
          <cell r="O11">
            <v>7468.6170000000002</v>
          </cell>
          <cell r="P11">
            <v>0</v>
          </cell>
          <cell r="Q11">
            <v>7468.6170000000002</v>
          </cell>
        </row>
        <row r="12">
          <cell r="A12">
            <v>41706</v>
          </cell>
          <cell r="B12">
            <v>64753.5</v>
          </cell>
          <cell r="C12">
            <v>8945.94</v>
          </cell>
          <cell r="D12">
            <v>6935.12</v>
          </cell>
          <cell r="E12">
            <v>357455.53210000007</v>
          </cell>
          <cell r="F12">
            <v>17597.5386</v>
          </cell>
          <cell r="G12">
            <v>375053.07070000004</v>
          </cell>
          <cell r="H12">
            <v>7148.5</v>
          </cell>
          <cell r="I12">
            <v>7148.5</v>
          </cell>
          <cell r="J12">
            <v>0</v>
          </cell>
          <cell r="K12">
            <v>7148.5</v>
          </cell>
          <cell r="L12">
            <v>18865.086733000007</v>
          </cell>
          <cell r="M12">
            <v>9831.7595870000005</v>
          </cell>
          <cell r="N12">
            <v>28696.846320000008</v>
          </cell>
          <cell r="O12">
            <v>8063.1019999999999</v>
          </cell>
          <cell r="P12">
            <v>0</v>
          </cell>
          <cell r="Q12">
            <v>8063.1019999999999</v>
          </cell>
        </row>
        <row r="13">
          <cell r="A13">
            <v>41707</v>
          </cell>
          <cell r="B13">
            <v>63952</v>
          </cell>
          <cell r="C13">
            <v>11083.8</v>
          </cell>
          <cell r="D13">
            <v>6439.5599999999995</v>
          </cell>
          <cell r="E13">
            <v>362099.77210000006</v>
          </cell>
          <cell r="F13">
            <v>16274.558599999997</v>
          </cell>
          <cell r="G13">
            <v>378374.33070000005</v>
          </cell>
          <cell r="H13">
            <v>7762.5400000000009</v>
          </cell>
          <cell r="I13">
            <v>7762.5400000000009</v>
          </cell>
          <cell r="J13">
            <v>0</v>
          </cell>
          <cell r="K13">
            <v>7762.5400000000009</v>
          </cell>
          <cell r="L13">
            <v>26627.626733000008</v>
          </cell>
          <cell r="M13">
            <v>9831.7595870000005</v>
          </cell>
          <cell r="N13">
            <v>36459.386320000005</v>
          </cell>
          <cell r="O13">
            <v>0</v>
          </cell>
          <cell r="P13">
            <v>0</v>
          </cell>
          <cell r="Q13">
            <v>0</v>
          </cell>
        </row>
        <row r="14">
          <cell r="A14">
            <v>41708</v>
          </cell>
          <cell r="B14">
            <v>53123</v>
          </cell>
          <cell r="C14">
            <v>7548.0199999999995</v>
          </cell>
          <cell r="D14">
            <v>7000.34</v>
          </cell>
          <cell r="E14">
            <v>362647.45210000005</v>
          </cell>
          <cell r="F14">
            <v>15071.518599999996</v>
          </cell>
          <cell r="G14">
            <v>377718.97070000006</v>
          </cell>
          <cell r="H14">
            <v>8203.380000000001</v>
          </cell>
          <cell r="I14">
            <v>8203.380000000001</v>
          </cell>
          <cell r="J14">
            <v>0</v>
          </cell>
          <cell r="K14">
            <v>8203.380000000001</v>
          </cell>
          <cell r="L14">
            <v>34831.006733000009</v>
          </cell>
          <cell r="M14">
            <v>9831.7595870000005</v>
          </cell>
          <cell r="N14">
            <v>44662.76632000001</v>
          </cell>
          <cell r="O14">
            <v>0</v>
          </cell>
          <cell r="P14">
            <v>0</v>
          </cell>
          <cell r="Q14">
            <v>0</v>
          </cell>
        </row>
        <row r="15">
          <cell r="A15">
            <v>41709</v>
          </cell>
          <cell r="B15">
            <v>69202</v>
          </cell>
          <cell r="C15">
            <v>12754.06</v>
          </cell>
          <cell r="D15">
            <v>6984.58</v>
          </cell>
          <cell r="E15">
            <v>368416.93210000003</v>
          </cell>
          <cell r="F15">
            <v>17084.018599999996</v>
          </cell>
          <cell r="G15">
            <v>385500.95070000004</v>
          </cell>
          <cell r="H15">
            <v>4972.08</v>
          </cell>
          <cell r="I15">
            <v>4972.08</v>
          </cell>
          <cell r="J15">
            <v>0</v>
          </cell>
          <cell r="K15">
            <v>4972.08</v>
          </cell>
          <cell r="L15">
            <v>39803.086733000011</v>
          </cell>
          <cell r="M15">
            <v>9831.7595870000005</v>
          </cell>
          <cell r="N15">
            <v>49634.846320000011</v>
          </cell>
          <cell r="O15">
            <v>0</v>
          </cell>
          <cell r="P15">
            <v>0</v>
          </cell>
          <cell r="Q15">
            <v>0</v>
          </cell>
        </row>
        <row r="16">
          <cell r="A16">
            <v>41710</v>
          </cell>
          <cell r="B16">
            <v>68334</v>
          </cell>
          <cell r="C16">
            <v>6222.9</v>
          </cell>
          <cell r="D16">
            <v>7028.84</v>
          </cell>
          <cell r="E16">
            <v>367610.99210000003</v>
          </cell>
          <cell r="F16">
            <v>15666.898599999997</v>
          </cell>
          <cell r="G16">
            <v>383277.89070000005</v>
          </cell>
          <cell r="H16">
            <v>8445.9599999999991</v>
          </cell>
          <cell r="I16">
            <v>8445.9599999999991</v>
          </cell>
          <cell r="J16">
            <v>0</v>
          </cell>
          <cell r="K16">
            <v>8445.9599999999991</v>
          </cell>
          <cell r="L16">
            <v>39037.175733000011</v>
          </cell>
          <cell r="M16">
            <v>9831.7595870000005</v>
          </cell>
          <cell r="N16">
            <v>48868.935320000011</v>
          </cell>
          <cell r="O16">
            <v>9211.8709999999992</v>
          </cell>
          <cell r="P16">
            <v>0</v>
          </cell>
          <cell r="Q16">
            <v>9211.8709999999992</v>
          </cell>
        </row>
        <row r="17">
          <cell r="A17">
            <v>41711</v>
          </cell>
          <cell r="B17">
            <v>67511.5</v>
          </cell>
          <cell r="C17">
            <v>9592.66</v>
          </cell>
          <cell r="D17">
            <v>6631.52</v>
          </cell>
          <cell r="E17">
            <v>370572.13209999999</v>
          </cell>
          <cell r="F17">
            <v>15947.398599999997</v>
          </cell>
          <cell r="G17">
            <v>386519.5307</v>
          </cell>
          <cell r="H17">
            <v>6351.02</v>
          </cell>
          <cell r="I17">
            <v>6351.02</v>
          </cell>
          <cell r="J17">
            <v>0</v>
          </cell>
          <cell r="K17">
            <v>6351.02</v>
          </cell>
          <cell r="L17">
            <v>45388.195733000015</v>
          </cell>
          <cell r="M17">
            <v>9831.7595870000005</v>
          </cell>
          <cell r="N17">
            <v>55219.955320000015</v>
          </cell>
          <cell r="O17">
            <v>0</v>
          </cell>
          <cell r="P17">
            <v>0</v>
          </cell>
          <cell r="Q17">
            <v>0</v>
          </cell>
        </row>
        <row r="18">
          <cell r="A18">
            <v>41712</v>
          </cell>
          <cell r="B18">
            <v>60991</v>
          </cell>
          <cell r="C18">
            <v>5861.7800000000007</v>
          </cell>
          <cell r="D18">
            <v>5685.56</v>
          </cell>
          <cell r="E18">
            <v>370748.35210000002</v>
          </cell>
          <cell r="F18">
            <v>17781.0386</v>
          </cell>
          <cell r="G18">
            <v>388529.39069999999</v>
          </cell>
          <cell r="H18">
            <v>3851.92</v>
          </cell>
          <cell r="I18">
            <v>3851.92</v>
          </cell>
          <cell r="J18">
            <v>0</v>
          </cell>
          <cell r="K18">
            <v>3851.92</v>
          </cell>
          <cell r="L18">
            <v>49240.115733000013</v>
          </cell>
          <cell r="M18">
            <v>9831.7595870000005</v>
          </cell>
          <cell r="N18">
            <v>59071.875320000014</v>
          </cell>
          <cell r="O18">
            <v>0</v>
          </cell>
          <cell r="P18">
            <v>0</v>
          </cell>
          <cell r="Q18">
            <v>0</v>
          </cell>
        </row>
        <row r="19">
          <cell r="A19">
            <v>41713</v>
          </cell>
          <cell r="B19">
            <v>74837</v>
          </cell>
          <cell r="C19">
            <v>8454.06</v>
          </cell>
          <cell r="D19">
            <v>6459.2</v>
          </cell>
          <cell r="E19">
            <v>372099.20019999996</v>
          </cell>
          <cell r="F19">
            <v>14727.330800000002</v>
          </cell>
          <cell r="G19">
            <v>386826.53099999996</v>
          </cell>
          <cell r="H19">
            <v>5735.1</v>
          </cell>
          <cell r="I19">
            <v>5735.1</v>
          </cell>
          <cell r="J19">
            <v>0</v>
          </cell>
          <cell r="K19">
            <v>5735.1</v>
          </cell>
          <cell r="L19">
            <v>54975.215733000012</v>
          </cell>
          <cell r="M19">
            <v>9831.7595870000005</v>
          </cell>
          <cell r="N19">
            <v>64806.975320000012</v>
          </cell>
          <cell r="O19">
            <v>0</v>
          </cell>
          <cell r="P19">
            <v>0</v>
          </cell>
          <cell r="Q19">
            <v>0</v>
          </cell>
        </row>
        <row r="20">
          <cell r="A20">
            <v>41714</v>
          </cell>
          <cell r="B20">
            <v>72254</v>
          </cell>
          <cell r="C20">
            <v>8371.7000000000007</v>
          </cell>
          <cell r="D20">
            <v>6356.2000000000007</v>
          </cell>
          <cell r="E20">
            <v>374114.70019999996</v>
          </cell>
          <cell r="F20">
            <v>16418.1708</v>
          </cell>
          <cell r="G20">
            <v>390532.87099999998</v>
          </cell>
          <cell r="H20">
            <v>4665.3600000000006</v>
          </cell>
          <cell r="I20">
            <v>4665.3600000000006</v>
          </cell>
          <cell r="J20">
            <v>0</v>
          </cell>
          <cell r="K20">
            <v>4665.3600000000006</v>
          </cell>
          <cell r="L20">
            <v>59640.575733000012</v>
          </cell>
          <cell r="M20">
            <v>9831.7595870000005</v>
          </cell>
          <cell r="N20">
            <v>69472.335320000013</v>
          </cell>
          <cell r="O20">
            <v>0</v>
          </cell>
          <cell r="P20">
            <v>0</v>
          </cell>
          <cell r="Q20">
            <v>0</v>
          </cell>
        </row>
        <row r="21">
          <cell r="A21">
            <v>41715</v>
          </cell>
          <cell r="B21">
            <v>64939</v>
          </cell>
          <cell r="C21">
            <v>8801.24</v>
          </cell>
          <cell r="D21">
            <v>7235.9</v>
          </cell>
          <cell r="E21">
            <v>375680.04019999993</v>
          </cell>
          <cell r="F21">
            <v>18656.0308</v>
          </cell>
          <cell r="G21">
            <v>394336.07099999994</v>
          </cell>
          <cell r="H21">
            <v>4998.0400000000009</v>
          </cell>
          <cell r="I21">
            <v>4998.0400000000009</v>
          </cell>
          <cell r="J21">
            <v>0</v>
          </cell>
          <cell r="K21">
            <v>4998.0400000000009</v>
          </cell>
          <cell r="L21">
            <v>64638.615733000013</v>
          </cell>
          <cell r="M21">
            <v>9831.7595870000005</v>
          </cell>
          <cell r="N21">
            <v>74470.375320000021</v>
          </cell>
          <cell r="O21">
            <v>0</v>
          </cell>
          <cell r="P21">
            <v>0</v>
          </cell>
          <cell r="Q21">
            <v>0</v>
          </cell>
        </row>
        <row r="22">
          <cell r="A22">
            <v>41716</v>
          </cell>
          <cell r="B22">
            <v>70553</v>
          </cell>
          <cell r="C22">
            <v>10055.099999999999</v>
          </cell>
          <cell r="D22">
            <v>7432</v>
          </cell>
          <cell r="E22">
            <v>378303.14019999991</v>
          </cell>
          <cell r="F22">
            <v>18982.650800000003</v>
          </cell>
          <cell r="G22">
            <v>397285.79099999991</v>
          </cell>
          <cell r="H22">
            <v>7105.3799999999992</v>
          </cell>
          <cell r="I22">
            <v>7105.3799999999992</v>
          </cell>
          <cell r="J22">
            <v>0</v>
          </cell>
          <cell r="K22">
            <v>7105.3799999999992</v>
          </cell>
          <cell r="L22">
            <v>71743.995733000003</v>
          </cell>
          <cell r="M22">
            <v>9831.7595870000005</v>
          </cell>
          <cell r="N22">
            <v>81575.755319999997</v>
          </cell>
          <cell r="O22">
            <v>0</v>
          </cell>
          <cell r="P22">
            <v>0</v>
          </cell>
          <cell r="Q22">
            <v>0</v>
          </cell>
        </row>
        <row r="23">
          <cell r="A23">
            <v>41717</v>
          </cell>
          <cell r="B23">
            <v>49105</v>
          </cell>
          <cell r="C23">
            <v>5472.0599999999995</v>
          </cell>
          <cell r="D23">
            <v>6580.02</v>
          </cell>
          <cell r="E23">
            <v>377195.18019999989</v>
          </cell>
          <cell r="F23">
            <v>20305.310800000003</v>
          </cell>
          <cell r="G23">
            <v>397500.49099999986</v>
          </cell>
          <cell r="H23">
            <v>5257.36</v>
          </cell>
          <cell r="I23">
            <v>5257.36</v>
          </cell>
          <cell r="J23">
            <v>0</v>
          </cell>
          <cell r="K23">
            <v>5257.36</v>
          </cell>
          <cell r="L23">
            <v>77001.355733000004</v>
          </cell>
          <cell r="M23">
            <v>9831.7595870000005</v>
          </cell>
          <cell r="N23">
            <v>86833.115320000012</v>
          </cell>
          <cell r="O23">
            <v>0</v>
          </cell>
          <cell r="P23">
            <v>0</v>
          </cell>
          <cell r="Q23">
            <v>0</v>
          </cell>
        </row>
        <row r="24">
          <cell r="A24">
            <v>41718</v>
          </cell>
          <cell r="B24">
            <v>71813</v>
          </cell>
          <cell r="C24">
            <v>7854.9800000000005</v>
          </cell>
          <cell r="D24">
            <v>6619.34</v>
          </cell>
          <cell r="E24">
            <v>378430.82019999984</v>
          </cell>
          <cell r="F24">
            <v>22062.850800000004</v>
          </cell>
          <cell r="G24">
            <v>400493.67099999986</v>
          </cell>
          <cell r="H24">
            <v>4861.7999999999993</v>
          </cell>
          <cell r="I24">
            <v>4861.7999999999993</v>
          </cell>
          <cell r="J24">
            <v>0</v>
          </cell>
          <cell r="K24">
            <v>4861.7999999999993</v>
          </cell>
          <cell r="L24">
            <v>81863.155733000007</v>
          </cell>
          <cell r="M24">
            <v>9831.7595870000005</v>
          </cell>
          <cell r="N24">
            <v>91694.91532</v>
          </cell>
          <cell r="O24">
            <v>0</v>
          </cell>
          <cell r="P24">
            <v>0</v>
          </cell>
          <cell r="Q24">
            <v>0</v>
          </cell>
        </row>
        <row r="25">
          <cell r="A25">
            <v>41719</v>
          </cell>
          <cell r="B25">
            <v>70266</v>
          </cell>
          <cell r="C25">
            <v>5882.51</v>
          </cell>
          <cell r="D25">
            <v>6424.1900000000005</v>
          </cell>
          <cell r="E25">
            <v>377889.14019999985</v>
          </cell>
          <cell r="F25">
            <v>23740.140800000001</v>
          </cell>
          <cell r="G25">
            <v>401629.28099999984</v>
          </cell>
          <cell r="H25">
            <v>4746.8999999999996</v>
          </cell>
          <cell r="I25">
            <v>4746.8999999999996</v>
          </cell>
          <cell r="J25">
            <v>0</v>
          </cell>
          <cell r="K25">
            <v>4746.8999999999996</v>
          </cell>
          <cell r="L25">
            <v>71886.081733000014</v>
          </cell>
          <cell r="M25">
            <v>9831.7595870000005</v>
          </cell>
          <cell r="N25">
            <v>81717.841320000007</v>
          </cell>
          <cell r="O25">
            <v>14723.974</v>
          </cell>
          <cell r="P25">
            <v>0</v>
          </cell>
          <cell r="Q25">
            <v>14723.974</v>
          </cell>
        </row>
        <row r="26">
          <cell r="A26">
            <v>41720</v>
          </cell>
          <cell r="B26">
            <v>73941</v>
          </cell>
          <cell r="C26">
            <v>9158.66</v>
          </cell>
          <cell r="D26">
            <v>7184.16</v>
          </cell>
          <cell r="E26">
            <v>379863.64019999985</v>
          </cell>
          <cell r="F26">
            <v>26596.480800000001</v>
          </cell>
          <cell r="G26">
            <v>406460.12099999987</v>
          </cell>
          <cell r="H26">
            <v>4327.82</v>
          </cell>
          <cell r="I26">
            <v>4327.82</v>
          </cell>
          <cell r="J26">
            <v>0</v>
          </cell>
          <cell r="K26">
            <v>4327.82</v>
          </cell>
          <cell r="L26">
            <v>68768.262733000025</v>
          </cell>
          <cell r="M26">
            <v>9831.7595870000005</v>
          </cell>
          <cell r="N26">
            <v>78600.022320000018</v>
          </cell>
          <cell r="O26">
            <v>7445.6390000000001</v>
          </cell>
          <cell r="P26">
            <v>0</v>
          </cell>
          <cell r="Q26">
            <v>7445.6390000000001</v>
          </cell>
        </row>
        <row r="27">
          <cell r="A27">
            <v>41721</v>
          </cell>
          <cell r="B27">
            <v>78998.5</v>
          </cell>
          <cell r="C27">
            <v>8329.5</v>
          </cell>
          <cell r="D27">
            <v>6999.32</v>
          </cell>
          <cell r="E27">
            <v>381193.82019999984</v>
          </cell>
          <cell r="F27">
            <v>27579.940799999997</v>
          </cell>
          <cell r="G27">
            <v>408773.76099999982</v>
          </cell>
          <cell r="H27">
            <v>6015.8600000000006</v>
          </cell>
          <cell r="I27">
            <v>6015.8600000000006</v>
          </cell>
          <cell r="J27">
            <v>0</v>
          </cell>
          <cell r="K27">
            <v>6015.8600000000006</v>
          </cell>
          <cell r="L27">
            <v>66595.01773300003</v>
          </cell>
          <cell r="M27">
            <v>9831.7595870000005</v>
          </cell>
          <cell r="N27">
            <v>76426.777320000023</v>
          </cell>
          <cell r="O27">
            <v>8189.1049999999996</v>
          </cell>
          <cell r="P27">
            <v>0</v>
          </cell>
          <cell r="Q27">
            <v>8189.1049999999996</v>
          </cell>
        </row>
        <row r="28">
          <cell r="A28">
            <v>41722</v>
          </cell>
          <cell r="B28">
            <v>65296</v>
          </cell>
          <cell r="C28">
            <v>5554.59</v>
          </cell>
          <cell r="D28">
            <v>6420.2999999999993</v>
          </cell>
          <cell r="E28">
            <v>380328.11019999988</v>
          </cell>
          <cell r="F28">
            <v>29092.1008</v>
          </cell>
          <cell r="G28">
            <v>409420.21099999989</v>
          </cell>
          <cell r="H28">
            <v>4908.1400000000003</v>
          </cell>
          <cell r="I28">
            <v>4908.1400000000003</v>
          </cell>
          <cell r="J28">
            <v>0</v>
          </cell>
          <cell r="K28">
            <v>4908.1400000000003</v>
          </cell>
          <cell r="L28">
            <v>46749.098733000021</v>
          </cell>
          <cell r="M28">
            <v>9831.7595870000005</v>
          </cell>
          <cell r="N28">
            <v>56580.858320000021</v>
          </cell>
          <cell r="O28">
            <v>24754.059000000001</v>
          </cell>
          <cell r="P28">
            <v>0</v>
          </cell>
          <cell r="Q28">
            <v>24754.059000000001</v>
          </cell>
        </row>
      </sheetData>
      <sheetData sheetId="9">
        <row r="4">
          <cell r="A4" t="str">
            <v>Date</v>
          </cell>
          <cell r="B4" t="str">
            <v>OB Removal</v>
          </cell>
          <cell r="I4" t="str">
            <v>Coal Winning by contractors</v>
          </cell>
          <cell r="Q4" t="str">
            <v>From MINE to -</v>
          </cell>
          <cell r="AJ4" t="str">
            <v>ROM STOCK to</v>
          </cell>
          <cell r="AN4" t="str">
            <v>FINISH COAL / FC PRODUCTION</v>
          </cell>
          <cell r="AP4" t="str">
            <v>ROM STOCK POSITION</v>
          </cell>
          <cell r="AR4" t="str">
            <v xml:space="preserve">to BARGE </v>
          </cell>
          <cell r="AU4" t="str">
            <v xml:space="preserve">to BARGE </v>
          </cell>
          <cell r="AX4" t="str">
            <v>FINISH COAL STOCK</v>
          </cell>
        </row>
        <row r="6">
          <cell r="Q6" t="str">
            <v>ROM STOCK</v>
          </cell>
          <cell r="X6" t="str">
            <v>CRUSHING PLANT</v>
          </cell>
          <cell r="AE6" t="str">
            <v>HAND PICKING</v>
          </cell>
          <cell r="AJ6" t="str">
            <v>CRUSHING PLANT</v>
          </cell>
          <cell r="AK6" t="str">
            <v>Hand Picking</v>
          </cell>
          <cell r="AL6" t="str">
            <v>Total FC</v>
          </cell>
        </row>
        <row r="7">
          <cell r="B7" t="str">
            <v>Riung</v>
          </cell>
          <cell r="E7" t="str">
            <v>Arkananta</v>
          </cell>
          <cell r="H7" t="str">
            <v>Total OB</v>
          </cell>
          <cell r="I7" t="str">
            <v>Riung</v>
          </cell>
          <cell r="L7" t="str">
            <v>Arkananta</v>
          </cell>
          <cell r="O7" t="str">
            <v>Total CW</v>
          </cell>
          <cell r="Q7" t="str">
            <v>Riung</v>
          </cell>
          <cell r="T7" t="str">
            <v>Arkananta</v>
          </cell>
          <cell r="W7" t="str">
            <v>Total</v>
          </cell>
          <cell r="X7" t="str">
            <v>Riung</v>
          </cell>
          <cell r="AA7" t="str">
            <v>Arkananta</v>
          </cell>
          <cell r="AD7" t="str">
            <v>Total FC</v>
          </cell>
          <cell r="AE7" t="str">
            <v>Riung</v>
          </cell>
          <cell r="AF7" t="str">
            <v>Arkananta</v>
          </cell>
          <cell r="AG7" t="str">
            <v>Total Feeding</v>
          </cell>
          <cell r="AH7" t="str">
            <v>Total FC</v>
          </cell>
          <cell r="AR7" t="str">
            <v>LOADING</v>
          </cell>
          <cell r="AS7" t="str">
            <v>BARGE NAME</v>
          </cell>
          <cell r="AU7" t="str">
            <v>LOADING</v>
          </cell>
          <cell r="AV7" t="str">
            <v>BARGE NAME</v>
          </cell>
        </row>
        <row r="8">
          <cell r="B8" t="str">
            <v>( R-02 )</v>
          </cell>
          <cell r="C8" t="str">
            <v>( RS22GNB-1 )</v>
          </cell>
          <cell r="D8" t="str">
            <v>( RS22GSB-2)</v>
          </cell>
          <cell r="E8" t="str">
            <v>( Channel Angkuang )</v>
          </cell>
          <cell r="F8" t="str">
            <v>( S12-South )</v>
          </cell>
          <cell r="G8" t="str">
            <v>( MOA-03 )</v>
          </cell>
          <cell r="H8" t="str">
            <v>BCM</v>
          </cell>
          <cell r="I8" t="str">
            <v>( R-02 )</v>
          </cell>
          <cell r="J8" t="str">
            <v>( RS22GNB-1 )</v>
          </cell>
          <cell r="K8" t="str">
            <v>( RS22GSB-2)</v>
          </cell>
          <cell r="L8" t="str">
            <v>( Channel Angkuang )</v>
          </cell>
          <cell r="M8" t="str">
            <v>( S12-South)</v>
          </cell>
          <cell r="N8" t="str">
            <v>( MOA-03 )</v>
          </cell>
          <cell r="O8" t="str">
            <v>Ton.</v>
          </cell>
          <cell r="Q8" t="str">
            <v>( R-02 )</v>
          </cell>
          <cell r="R8" t="str">
            <v>( RS22GNB-1 )</v>
          </cell>
          <cell r="S8" t="str">
            <v>( RS22GSB-2)</v>
          </cell>
          <cell r="T8" t="str">
            <v>( Channel Angkuang )</v>
          </cell>
          <cell r="U8" t="str">
            <v>( S12-South)</v>
          </cell>
          <cell r="V8" t="str">
            <v>( MOA-03 )</v>
          </cell>
          <cell r="X8" t="str">
            <v>( R-02 )</v>
          </cell>
          <cell r="Y8" t="str">
            <v>( RS22GNB-1 )</v>
          </cell>
          <cell r="Z8" t="str">
            <v>( RS22GSB-2)</v>
          </cell>
          <cell r="AA8" t="str">
            <v>( Channel Angkuang )</v>
          </cell>
          <cell r="AB8" t="str">
            <v>( S12-South)</v>
          </cell>
          <cell r="AC8" t="str">
            <v>( MOA-03 )</v>
          </cell>
          <cell r="AD8" t="str">
            <v>Ton</v>
          </cell>
          <cell r="AG8" t="str">
            <v>Ton</v>
          </cell>
          <cell r="AH8" t="str">
            <v>Ton</v>
          </cell>
          <cell r="AJ8" t="str">
            <v>Ton</v>
          </cell>
          <cell r="AK8" t="str">
            <v>Ton</v>
          </cell>
          <cell r="AL8" t="str">
            <v>Ton</v>
          </cell>
          <cell r="AN8" t="str">
            <v>Ton</v>
          </cell>
          <cell r="AP8" t="str">
            <v>Ton</v>
          </cell>
          <cell r="AR8" t="str">
            <v>Ton</v>
          </cell>
          <cell r="AU8" t="str">
            <v>Ton</v>
          </cell>
          <cell r="AX8" t="str">
            <v>Ton</v>
          </cell>
        </row>
        <row r="9">
          <cell r="AP9">
            <v>34133.78</v>
          </cell>
          <cell r="AX9">
            <v>48489.024000000012</v>
          </cell>
        </row>
        <row r="10">
          <cell r="A10">
            <v>41699</v>
          </cell>
          <cell r="B10">
            <v>0</v>
          </cell>
          <cell r="C10">
            <v>9880.5</v>
          </cell>
          <cell r="D10">
            <v>8032.5</v>
          </cell>
          <cell r="E10">
            <v>0</v>
          </cell>
          <cell r="F10">
            <v>0</v>
          </cell>
          <cell r="G10">
            <v>24655.3</v>
          </cell>
          <cell r="H10">
            <v>42568.3</v>
          </cell>
          <cell r="I10">
            <v>0</v>
          </cell>
          <cell r="J10">
            <v>2830.2699999999995</v>
          </cell>
          <cell r="K10">
            <v>0</v>
          </cell>
          <cell r="L10">
            <v>0</v>
          </cell>
          <cell r="M10">
            <v>0</v>
          </cell>
          <cell r="N10">
            <v>1341.3500000000001</v>
          </cell>
          <cell r="O10">
            <v>4171.62</v>
          </cell>
          <cell r="Q10">
            <v>0</v>
          </cell>
          <cell r="R10">
            <v>291.2</v>
          </cell>
          <cell r="S10">
            <v>0</v>
          </cell>
          <cell r="T10">
            <v>0</v>
          </cell>
          <cell r="U10">
            <v>0</v>
          </cell>
          <cell r="V10">
            <v>776.92000000000007</v>
          </cell>
          <cell r="W10">
            <v>1068.1200000000001</v>
          </cell>
          <cell r="X10">
            <v>0</v>
          </cell>
          <cell r="Y10">
            <v>2539.0699999999997</v>
          </cell>
          <cell r="Z10">
            <v>0</v>
          </cell>
          <cell r="AA10">
            <v>0</v>
          </cell>
          <cell r="AB10">
            <v>0</v>
          </cell>
          <cell r="AC10">
            <v>564.42999999999995</v>
          </cell>
          <cell r="AD10">
            <v>3103.4999999999995</v>
          </cell>
          <cell r="AF10">
            <v>0</v>
          </cell>
          <cell r="AG10">
            <v>0</v>
          </cell>
          <cell r="AH10">
            <v>0</v>
          </cell>
          <cell r="AJ10">
            <v>2453.12</v>
          </cell>
          <cell r="AL10">
            <v>2453.12</v>
          </cell>
          <cell r="AN10">
            <v>5556.619999999999</v>
          </cell>
          <cell r="AP10">
            <v>12698.959999999992</v>
          </cell>
          <cell r="AX10">
            <v>56973.293000000005</v>
          </cell>
        </row>
        <row r="11">
          <cell r="A11">
            <v>41700</v>
          </cell>
          <cell r="B11">
            <v>0</v>
          </cell>
          <cell r="C11">
            <v>9828</v>
          </cell>
          <cell r="D11">
            <v>12963.3</v>
          </cell>
          <cell r="E11">
            <v>0</v>
          </cell>
          <cell r="F11">
            <v>0</v>
          </cell>
          <cell r="G11">
            <v>23224.2</v>
          </cell>
          <cell r="H11">
            <v>46015.5</v>
          </cell>
          <cell r="I11">
            <v>0</v>
          </cell>
          <cell r="J11">
            <v>1612.25</v>
          </cell>
          <cell r="K11">
            <v>0</v>
          </cell>
          <cell r="L11">
            <v>0</v>
          </cell>
          <cell r="M11">
            <v>0</v>
          </cell>
          <cell r="N11">
            <v>654.30999999999995</v>
          </cell>
          <cell r="O11">
            <v>2266.56</v>
          </cell>
          <cell r="Q11">
            <v>0</v>
          </cell>
          <cell r="R11">
            <v>944.86</v>
          </cell>
          <cell r="S11">
            <v>0</v>
          </cell>
          <cell r="T11">
            <v>0</v>
          </cell>
          <cell r="U11">
            <v>0</v>
          </cell>
          <cell r="V11">
            <v>570.63</v>
          </cell>
          <cell r="W11">
            <v>1515.49</v>
          </cell>
          <cell r="X11">
            <v>0</v>
          </cell>
          <cell r="Y11">
            <v>667.39</v>
          </cell>
          <cell r="Z11">
            <v>0</v>
          </cell>
          <cell r="AA11">
            <v>0</v>
          </cell>
          <cell r="AB11">
            <v>0</v>
          </cell>
          <cell r="AC11">
            <v>83.68</v>
          </cell>
          <cell r="AD11">
            <v>751.06999999999994</v>
          </cell>
          <cell r="AG11">
            <v>0</v>
          </cell>
          <cell r="AH11">
            <v>0</v>
          </cell>
          <cell r="AJ11">
            <v>1575</v>
          </cell>
          <cell r="AL11">
            <v>1575</v>
          </cell>
          <cell r="AN11">
            <v>2326.0699999999997</v>
          </cell>
          <cell r="AP11">
            <v>18424.861999999997</v>
          </cell>
          <cell r="AR11">
            <v>9206.134</v>
          </cell>
          <cell r="AS11" t="str">
            <v>ROBBY 104</v>
          </cell>
          <cell r="AX11">
            <v>31542.953000000001</v>
          </cell>
        </row>
        <row r="12">
          <cell r="A12">
            <v>41701</v>
          </cell>
          <cell r="B12">
            <v>0</v>
          </cell>
          <cell r="C12">
            <v>4032</v>
          </cell>
          <cell r="D12">
            <v>6447</v>
          </cell>
          <cell r="E12">
            <v>0</v>
          </cell>
          <cell r="F12">
            <v>0</v>
          </cell>
          <cell r="G12">
            <v>10410</v>
          </cell>
          <cell r="H12">
            <v>20889</v>
          </cell>
          <cell r="I12">
            <v>0</v>
          </cell>
          <cell r="J12">
            <v>569.16</v>
          </cell>
          <cell r="K12">
            <v>0</v>
          </cell>
          <cell r="L12">
            <v>0</v>
          </cell>
          <cell r="M12">
            <v>0</v>
          </cell>
          <cell r="N12">
            <v>295.25</v>
          </cell>
          <cell r="O12">
            <v>864.41</v>
          </cell>
          <cell r="Q12">
            <v>0</v>
          </cell>
          <cell r="R12">
            <v>224.84</v>
          </cell>
          <cell r="S12">
            <v>0</v>
          </cell>
          <cell r="T12">
            <v>0</v>
          </cell>
          <cell r="U12">
            <v>0</v>
          </cell>
          <cell r="V12">
            <v>177.51</v>
          </cell>
          <cell r="W12">
            <v>402.35</v>
          </cell>
          <cell r="X12">
            <v>0</v>
          </cell>
          <cell r="Y12">
            <v>344.32</v>
          </cell>
          <cell r="Z12">
            <v>0</v>
          </cell>
          <cell r="AA12">
            <v>0</v>
          </cell>
          <cell r="AB12">
            <v>0</v>
          </cell>
          <cell r="AC12">
            <v>117.74</v>
          </cell>
          <cell r="AD12">
            <v>462.06</v>
          </cell>
          <cell r="AG12">
            <v>0</v>
          </cell>
          <cell r="AH12">
            <v>0</v>
          </cell>
          <cell r="AJ12">
            <v>837</v>
          </cell>
          <cell r="AL12">
            <v>837</v>
          </cell>
          <cell r="AN12">
            <v>1299.06</v>
          </cell>
          <cell r="AP12">
            <v>17990.211999999996</v>
          </cell>
          <cell r="AX12">
            <v>32842.012999999999</v>
          </cell>
        </row>
        <row r="13">
          <cell r="A13">
            <v>41702</v>
          </cell>
          <cell r="B13">
            <v>0</v>
          </cell>
          <cell r="C13">
            <v>9867.9</v>
          </cell>
          <cell r="D13">
            <v>12230.4</v>
          </cell>
          <cell r="E13">
            <v>0</v>
          </cell>
          <cell r="F13">
            <v>0</v>
          </cell>
          <cell r="G13">
            <v>21091.125</v>
          </cell>
          <cell r="H13">
            <v>43189.425000000003</v>
          </cell>
          <cell r="I13">
            <v>0</v>
          </cell>
          <cell r="J13">
            <v>2243.75</v>
          </cell>
          <cell r="K13">
            <v>0</v>
          </cell>
          <cell r="L13">
            <v>0</v>
          </cell>
          <cell r="M13">
            <v>0</v>
          </cell>
          <cell r="N13">
            <v>1079.8599999999999</v>
          </cell>
          <cell r="O13">
            <v>3323.6099999999997</v>
          </cell>
          <cell r="Q13">
            <v>0</v>
          </cell>
          <cell r="R13">
            <v>923.74</v>
          </cell>
          <cell r="S13">
            <v>0</v>
          </cell>
          <cell r="T13">
            <v>0</v>
          </cell>
          <cell r="U13">
            <v>0</v>
          </cell>
          <cell r="V13">
            <v>672.86</v>
          </cell>
          <cell r="W13">
            <v>1596.6</v>
          </cell>
          <cell r="X13">
            <v>0</v>
          </cell>
          <cell r="Y13">
            <v>1320.01</v>
          </cell>
          <cell r="Z13">
            <v>0</v>
          </cell>
          <cell r="AA13">
            <v>0</v>
          </cell>
          <cell r="AB13">
            <v>0</v>
          </cell>
          <cell r="AC13">
            <v>407</v>
          </cell>
          <cell r="AD13">
            <v>1727.01</v>
          </cell>
          <cell r="AG13">
            <v>0</v>
          </cell>
          <cell r="AH13">
            <v>0</v>
          </cell>
          <cell r="AJ13">
            <v>3164.7</v>
          </cell>
          <cell r="AL13">
            <v>3164.7</v>
          </cell>
          <cell r="AN13">
            <v>4891.71</v>
          </cell>
          <cell r="AP13">
            <v>16422.111999999994</v>
          </cell>
          <cell r="AR13">
            <v>7286.3119999999999</v>
          </cell>
          <cell r="AS13" t="str">
            <v>PST 1012</v>
          </cell>
          <cell r="AX13">
            <v>30447.411</v>
          </cell>
        </row>
        <row r="14">
          <cell r="A14">
            <v>41703</v>
          </cell>
          <cell r="B14">
            <v>0</v>
          </cell>
          <cell r="C14">
            <v>7662.9</v>
          </cell>
          <cell r="D14">
            <v>11823</v>
          </cell>
          <cell r="E14">
            <v>0</v>
          </cell>
          <cell r="F14">
            <v>0</v>
          </cell>
          <cell r="G14">
            <v>19107</v>
          </cell>
          <cell r="H14">
            <v>38592.9</v>
          </cell>
          <cell r="I14">
            <v>0</v>
          </cell>
          <cell r="J14">
            <v>1588.4099999999999</v>
          </cell>
          <cell r="K14">
            <v>0</v>
          </cell>
          <cell r="L14">
            <v>0</v>
          </cell>
          <cell r="M14">
            <v>0</v>
          </cell>
          <cell r="N14">
            <v>802.88000000000011</v>
          </cell>
          <cell r="O14">
            <v>2391.29</v>
          </cell>
          <cell r="Q14">
            <v>0</v>
          </cell>
          <cell r="R14">
            <v>1250.6099999999999</v>
          </cell>
          <cell r="S14">
            <v>0</v>
          </cell>
          <cell r="T14">
            <v>0</v>
          </cell>
          <cell r="U14">
            <v>0</v>
          </cell>
          <cell r="V14">
            <v>739.58</v>
          </cell>
          <cell r="W14">
            <v>1990.19</v>
          </cell>
          <cell r="X14">
            <v>0</v>
          </cell>
          <cell r="Y14">
            <v>337.8</v>
          </cell>
          <cell r="Z14">
            <v>0</v>
          </cell>
          <cell r="AA14">
            <v>0</v>
          </cell>
          <cell r="AB14">
            <v>0</v>
          </cell>
          <cell r="AC14">
            <v>63.3</v>
          </cell>
          <cell r="AD14">
            <v>401.1</v>
          </cell>
          <cell r="AG14">
            <v>0</v>
          </cell>
          <cell r="AH14">
            <v>0</v>
          </cell>
          <cell r="AJ14">
            <v>1426.91</v>
          </cell>
          <cell r="AL14">
            <v>1426.91</v>
          </cell>
          <cell r="AN14">
            <v>1828.0100000000002</v>
          </cell>
          <cell r="AP14">
            <v>16985.391999999993</v>
          </cell>
          <cell r="AR14">
            <v>7194.9080000000004</v>
          </cell>
          <cell r="AS14" t="str">
            <v>LINTAS SAMUDERA 76</v>
          </cell>
          <cell r="AX14">
            <v>25080.513000000003</v>
          </cell>
        </row>
        <row r="15">
          <cell r="A15">
            <v>41704</v>
          </cell>
          <cell r="B15">
            <v>0</v>
          </cell>
          <cell r="C15">
            <v>6149.85</v>
          </cell>
          <cell r="D15">
            <v>10006.5</v>
          </cell>
          <cell r="E15">
            <v>0</v>
          </cell>
          <cell r="F15">
            <v>0</v>
          </cell>
          <cell r="G15">
            <v>15819.3</v>
          </cell>
          <cell r="H15">
            <v>31975.65</v>
          </cell>
          <cell r="I15">
            <v>0</v>
          </cell>
          <cell r="J15">
            <v>1993.77</v>
          </cell>
          <cell r="K15">
            <v>0</v>
          </cell>
          <cell r="L15">
            <v>0</v>
          </cell>
          <cell r="M15">
            <v>0</v>
          </cell>
          <cell r="N15">
            <v>942.81</v>
          </cell>
          <cell r="O15">
            <v>2936.58</v>
          </cell>
          <cell r="Q15">
            <v>0</v>
          </cell>
          <cell r="R15">
            <v>718.35</v>
          </cell>
          <cell r="S15">
            <v>0</v>
          </cell>
          <cell r="T15">
            <v>0</v>
          </cell>
          <cell r="U15">
            <v>0</v>
          </cell>
          <cell r="V15">
            <v>62.22</v>
          </cell>
          <cell r="W15">
            <v>780.57</v>
          </cell>
          <cell r="X15">
            <v>0</v>
          </cell>
          <cell r="Y15">
            <v>1275.42</v>
          </cell>
          <cell r="Z15">
            <v>0</v>
          </cell>
          <cell r="AA15">
            <v>0</v>
          </cell>
          <cell r="AB15">
            <v>0</v>
          </cell>
          <cell r="AC15">
            <v>880.58999999999992</v>
          </cell>
          <cell r="AD15">
            <v>2156.0100000000002</v>
          </cell>
          <cell r="AG15">
            <v>0</v>
          </cell>
          <cell r="AH15">
            <v>0</v>
          </cell>
          <cell r="AJ15">
            <v>2265.9699999999998</v>
          </cell>
          <cell r="AL15">
            <v>2265.9699999999998</v>
          </cell>
          <cell r="AN15">
            <v>4421.9799999999996</v>
          </cell>
          <cell r="AP15">
            <v>15499.991999999993</v>
          </cell>
          <cell r="AX15">
            <v>29502.493000000002</v>
          </cell>
        </row>
        <row r="16">
          <cell r="A16">
            <v>41705</v>
          </cell>
          <cell r="B16">
            <v>0</v>
          </cell>
          <cell r="C16">
            <v>7665</v>
          </cell>
          <cell r="D16">
            <v>10206</v>
          </cell>
          <cell r="E16">
            <v>0</v>
          </cell>
          <cell r="F16">
            <v>0</v>
          </cell>
          <cell r="G16">
            <v>19801.7</v>
          </cell>
          <cell r="H16">
            <v>37672.699999999997</v>
          </cell>
          <cell r="I16">
            <v>0</v>
          </cell>
          <cell r="J16">
            <v>2065.12</v>
          </cell>
          <cell r="K16">
            <v>0</v>
          </cell>
          <cell r="L16">
            <v>0</v>
          </cell>
          <cell r="M16">
            <v>0</v>
          </cell>
          <cell r="N16">
            <v>63.84</v>
          </cell>
          <cell r="O16">
            <v>2128.96</v>
          </cell>
          <cell r="Q16">
            <v>0</v>
          </cell>
          <cell r="R16">
            <v>1599.26</v>
          </cell>
          <cell r="S16">
            <v>0</v>
          </cell>
          <cell r="T16">
            <v>0</v>
          </cell>
          <cell r="U16">
            <v>0</v>
          </cell>
          <cell r="V16">
            <v>63.84</v>
          </cell>
          <cell r="W16">
            <v>1663.1</v>
          </cell>
          <cell r="X16">
            <v>0</v>
          </cell>
          <cell r="Y16">
            <v>465.86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465.86</v>
          </cell>
          <cell r="AG16">
            <v>0</v>
          </cell>
          <cell r="AH16">
            <v>0</v>
          </cell>
          <cell r="AJ16">
            <v>369.84</v>
          </cell>
          <cell r="AL16">
            <v>369.84</v>
          </cell>
          <cell r="AN16">
            <v>835.7</v>
          </cell>
          <cell r="AP16">
            <v>16793.251999999993</v>
          </cell>
          <cell r="AX16">
            <v>30338.193000000003</v>
          </cell>
        </row>
        <row r="17">
          <cell r="A17">
            <v>41706</v>
          </cell>
          <cell r="B17">
            <v>304.5</v>
          </cell>
          <cell r="C17">
            <v>9823.7999999999993</v>
          </cell>
          <cell r="D17">
            <v>12608.4</v>
          </cell>
          <cell r="E17">
            <v>0</v>
          </cell>
          <cell r="F17">
            <v>0</v>
          </cell>
          <cell r="G17">
            <v>23373.5</v>
          </cell>
          <cell r="H17">
            <v>46110.2</v>
          </cell>
          <cell r="I17">
            <v>0</v>
          </cell>
          <cell r="J17">
            <v>2721.42</v>
          </cell>
          <cell r="K17">
            <v>0</v>
          </cell>
          <cell r="L17">
            <v>0</v>
          </cell>
          <cell r="M17">
            <v>0</v>
          </cell>
          <cell r="N17">
            <v>826.25</v>
          </cell>
          <cell r="O17">
            <v>3547.67</v>
          </cell>
          <cell r="Q17">
            <v>0</v>
          </cell>
          <cell r="R17">
            <v>1022.6600000000001</v>
          </cell>
          <cell r="S17">
            <v>0</v>
          </cell>
          <cell r="T17">
            <v>0</v>
          </cell>
          <cell r="U17">
            <v>0</v>
          </cell>
          <cell r="V17">
            <v>161.94999999999999</v>
          </cell>
          <cell r="W17">
            <v>1184.6100000000001</v>
          </cell>
          <cell r="X17">
            <v>0</v>
          </cell>
          <cell r="Y17">
            <v>1698.76</v>
          </cell>
          <cell r="Z17">
            <v>0</v>
          </cell>
          <cell r="AA17">
            <v>0</v>
          </cell>
          <cell r="AB17">
            <v>0</v>
          </cell>
          <cell r="AC17">
            <v>664.3</v>
          </cell>
          <cell r="AD17">
            <v>2363.06</v>
          </cell>
          <cell r="AG17">
            <v>0</v>
          </cell>
          <cell r="AH17">
            <v>0</v>
          </cell>
          <cell r="AJ17">
            <v>559.9</v>
          </cell>
          <cell r="AL17">
            <v>559.9</v>
          </cell>
          <cell r="AN17">
            <v>2922.96</v>
          </cell>
          <cell r="AP17">
            <v>17417.961999999992</v>
          </cell>
          <cell r="AR17">
            <v>7603.5230000000001</v>
          </cell>
          <cell r="AS17" t="str">
            <v>KALIMANTAN SATU</v>
          </cell>
          <cell r="AX17">
            <v>25657.630000000005</v>
          </cell>
        </row>
        <row r="18">
          <cell r="A18">
            <v>41707</v>
          </cell>
          <cell r="B18">
            <v>781.2</v>
          </cell>
          <cell r="C18">
            <v>10115.700000000001</v>
          </cell>
          <cell r="D18">
            <v>11875.5</v>
          </cell>
          <cell r="E18">
            <v>0</v>
          </cell>
          <cell r="F18">
            <v>0</v>
          </cell>
          <cell r="G18">
            <v>24562.9</v>
          </cell>
          <cell r="H18">
            <v>47335.3</v>
          </cell>
          <cell r="I18">
            <v>0</v>
          </cell>
          <cell r="J18">
            <v>2633.14</v>
          </cell>
          <cell r="K18">
            <v>0</v>
          </cell>
          <cell r="L18">
            <v>0</v>
          </cell>
          <cell r="M18">
            <v>0</v>
          </cell>
          <cell r="N18">
            <v>1371.86</v>
          </cell>
          <cell r="O18">
            <v>4005</v>
          </cell>
          <cell r="Q18">
            <v>0</v>
          </cell>
          <cell r="R18">
            <v>916.82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916.82</v>
          </cell>
          <cell r="X18">
            <v>0</v>
          </cell>
          <cell r="Y18">
            <v>1716.32</v>
          </cell>
          <cell r="Z18">
            <v>0</v>
          </cell>
          <cell r="AA18">
            <v>0</v>
          </cell>
          <cell r="AB18">
            <v>0</v>
          </cell>
          <cell r="AC18">
            <v>1371.86</v>
          </cell>
          <cell r="AD18">
            <v>3088.18</v>
          </cell>
          <cell r="AG18">
            <v>0</v>
          </cell>
          <cell r="AH18">
            <v>0</v>
          </cell>
          <cell r="AJ18">
            <v>1310.95</v>
          </cell>
          <cell r="AL18">
            <v>1310.95</v>
          </cell>
          <cell r="AN18">
            <v>4399.13</v>
          </cell>
          <cell r="AP18">
            <v>17023.831999999991</v>
          </cell>
          <cell r="AR18">
            <v>7248.9390000000003</v>
          </cell>
          <cell r="AS18" t="str">
            <v>PST 1012</v>
          </cell>
          <cell r="AX18">
            <v>22807.821000000004</v>
          </cell>
        </row>
        <row r="19">
          <cell r="A19">
            <v>41708</v>
          </cell>
          <cell r="B19">
            <v>831.6</v>
          </cell>
          <cell r="C19">
            <v>10743.6</v>
          </cell>
          <cell r="D19">
            <v>13083</v>
          </cell>
          <cell r="E19">
            <v>0</v>
          </cell>
          <cell r="F19">
            <v>0</v>
          </cell>
          <cell r="G19">
            <v>23387.275000000001</v>
          </cell>
          <cell r="H19">
            <v>48045.475000000006</v>
          </cell>
          <cell r="I19">
            <v>0</v>
          </cell>
          <cell r="J19">
            <v>2204.2200000000003</v>
          </cell>
          <cell r="K19">
            <v>0</v>
          </cell>
          <cell r="L19">
            <v>0</v>
          </cell>
          <cell r="M19">
            <v>0</v>
          </cell>
          <cell r="N19">
            <v>1361.64</v>
          </cell>
          <cell r="O19">
            <v>3565.8600000000006</v>
          </cell>
          <cell r="Q19">
            <v>0</v>
          </cell>
          <cell r="R19">
            <v>610.90000000000009</v>
          </cell>
          <cell r="S19">
            <v>0</v>
          </cell>
          <cell r="T19">
            <v>0</v>
          </cell>
          <cell r="U19">
            <v>0</v>
          </cell>
          <cell r="V19">
            <v>324.52999999999997</v>
          </cell>
          <cell r="W19">
            <v>935.43000000000006</v>
          </cell>
          <cell r="X19">
            <v>0</v>
          </cell>
          <cell r="Y19">
            <v>1593.32</v>
          </cell>
          <cell r="Z19">
            <v>0</v>
          </cell>
          <cell r="AA19">
            <v>0</v>
          </cell>
          <cell r="AB19">
            <v>0</v>
          </cell>
          <cell r="AC19">
            <v>1037.1100000000001</v>
          </cell>
          <cell r="AD19">
            <v>2630.4300000000003</v>
          </cell>
          <cell r="AG19">
            <v>0</v>
          </cell>
          <cell r="AH19">
            <v>0</v>
          </cell>
          <cell r="AJ19">
            <v>1257.53</v>
          </cell>
          <cell r="AL19">
            <v>1257.53</v>
          </cell>
          <cell r="AN19">
            <v>3887.96</v>
          </cell>
          <cell r="AP19">
            <v>16701.731999999993</v>
          </cell>
          <cell r="AR19">
            <v>7207.8980000000001</v>
          </cell>
          <cell r="AS19" t="str">
            <v>LINTAS SAMUDERA 77</v>
          </cell>
          <cell r="AX19">
            <v>19487.883000000002</v>
          </cell>
        </row>
        <row r="20">
          <cell r="A20">
            <v>41709</v>
          </cell>
          <cell r="B20">
            <v>814.80000000000007</v>
          </cell>
          <cell r="C20">
            <v>10901.099999999999</v>
          </cell>
          <cell r="D20">
            <v>11371.5</v>
          </cell>
          <cell r="E20">
            <v>0</v>
          </cell>
          <cell r="F20">
            <v>0</v>
          </cell>
          <cell r="G20">
            <v>22562.400000000001</v>
          </cell>
          <cell r="H20">
            <v>45649.8</v>
          </cell>
          <cell r="I20">
            <v>0</v>
          </cell>
          <cell r="J20">
            <v>2308.34</v>
          </cell>
          <cell r="K20">
            <v>0</v>
          </cell>
          <cell r="L20">
            <v>0</v>
          </cell>
          <cell r="M20">
            <v>0</v>
          </cell>
          <cell r="N20">
            <v>1279.52</v>
          </cell>
          <cell r="O20">
            <v>3587.86</v>
          </cell>
          <cell r="Q20">
            <v>0</v>
          </cell>
          <cell r="R20">
            <v>924.9</v>
          </cell>
          <cell r="S20">
            <v>0</v>
          </cell>
          <cell r="T20">
            <v>0</v>
          </cell>
          <cell r="U20">
            <v>0</v>
          </cell>
          <cell r="V20">
            <v>425.04</v>
          </cell>
          <cell r="W20">
            <v>1349.94</v>
          </cell>
          <cell r="X20">
            <v>0</v>
          </cell>
          <cell r="Y20">
            <v>1383.44</v>
          </cell>
          <cell r="Z20">
            <v>0</v>
          </cell>
          <cell r="AA20">
            <v>0</v>
          </cell>
          <cell r="AB20">
            <v>0</v>
          </cell>
          <cell r="AC20">
            <v>854.48</v>
          </cell>
          <cell r="AD20">
            <v>2237.92</v>
          </cell>
          <cell r="AG20">
            <v>0</v>
          </cell>
          <cell r="AH20">
            <v>0</v>
          </cell>
          <cell r="AJ20">
            <v>1352.04</v>
          </cell>
          <cell r="AL20">
            <v>1352.04</v>
          </cell>
          <cell r="AN20">
            <v>3589.96</v>
          </cell>
          <cell r="AP20">
            <v>16699.631999999991</v>
          </cell>
          <cell r="AX20">
            <v>23077.843000000001</v>
          </cell>
        </row>
        <row r="21">
          <cell r="A21">
            <v>41710</v>
          </cell>
          <cell r="B21">
            <v>453.6</v>
          </cell>
          <cell r="C21">
            <v>6598.2</v>
          </cell>
          <cell r="D21">
            <v>9019.5</v>
          </cell>
          <cell r="E21">
            <v>0</v>
          </cell>
          <cell r="F21">
            <v>0</v>
          </cell>
          <cell r="G21">
            <v>23785</v>
          </cell>
          <cell r="H21">
            <v>39856.300000000003</v>
          </cell>
          <cell r="I21">
            <v>0</v>
          </cell>
          <cell r="J21">
            <v>2225.09</v>
          </cell>
          <cell r="K21">
            <v>0</v>
          </cell>
          <cell r="L21">
            <v>0</v>
          </cell>
          <cell r="M21">
            <v>0</v>
          </cell>
          <cell r="N21">
            <v>1374.1499999999999</v>
          </cell>
          <cell r="O21">
            <v>3599.24</v>
          </cell>
          <cell r="Q21">
            <v>0</v>
          </cell>
          <cell r="R21">
            <v>1110.6300000000001</v>
          </cell>
          <cell r="S21">
            <v>0</v>
          </cell>
          <cell r="T21">
            <v>0</v>
          </cell>
          <cell r="U21">
            <v>0</v>
          </cell>
          <cell r="V21">
            <v>319.74</v>
          </cell>
          <cell r="W21">
            <v>1430.3700000000001</v>
          </cell>
          <cell r="X21">
            <v>0</v>
          </cell>
          <cell r="Y21">
            <v>1114.46</v>
          </cell>
          <cell r="Z21">
            <v>0</v>
          </cell>
          <cell r="AA21">
            <v>0</v>
          </cell>
          <cell r="AB21">
            <v>0</v>
          </cell>
          <cell r="AC21">
            <v>1054.4099999999999</v>
          </cell>
          <cell r="AD21">
            <v>2168.87</v>
          </cell>
          <cell r="AG21">
            <v>0</v>
          </cell>
          <cell r="AH21">
            <v>0</v>
          </cell>
          <cell r="AJ21">
            <v>1070.6400000000001</v>
          </cell>
          <cell r="AL21">
            <v>1070.6400000000001</v>
          </cell>
          <cell r="AN21">
            <v>3239.51</v>
          </cell>
          <cell r="AP21">
            <v>17059.36199999999</v>
          </cell>
          <cell r="AX21">
            <v>26317.353000000003</v>
          </cell>
        </row>
        <row r="22">
          <cell r="A22">
            <v>41711</v>
          </cell>
          <cell r="B22">
            <v>814.80000000000007</v>
          </cell>
          <cell r="C22">
            <v>4630.5</v>
          </cell>
          <cell r="D22">
            <v>9219</v>
          </cell>
          <cell r="E22">
            <v>0</v>
          </cell>
          <cell r="F22">
            <v>0</v>
          </cell>
          <cell r="G22">
            <v>21051.3</v>
          </cell>
          <cell r="H22">
            <v>35715.599999999999</v>
          </cell>
          <cell r="I22">
            <v>0</v>
          </cell>
          <cell r="J22">
            <v>3523.0200000000004</v>
          </cell>
          <cell r="K22">
            <v>0</v>
          </cell>
          <cell r="L22">
            <v>0</v>
          </cell>
          <cell r="M22">
            <v>0</v>
          </cell>
          <cell r="N22">
            <v>748.57</v>
          </cell>
          <cell r="O22">
            <v>4271.59</v>
          </cell>
          <cell r="Q22">
            <v>0</v>
          </cell>
          <cell r="R22">
            <v>1022.76</v>
          </cell>
          <cell r="S22">
            <v>0</v>
          </cell>
          <cell r="T22">
            <v>0</v>
          </cell>
          <cell r="U22">
            <v>0</v>
          </cell>
          <cell r="V22">
            <v>620.18000000000006</v>
          </cell>
          <cell r="W22">
            <v>1642.94</v>
          </cell>
          <cell r="X22">
            <v>0</v>
          </cell>
          <cell r="Y22">
            <v>2500.2600000000002</v>
          </cell>
          <cell r="Z22">
            <v>0</v>
          </cell>
          <cell r="AA22">
            <v>0</v>
          </cell>
          <cell r="AB22">
            <v>0</v>
          </cell>
          <cell r="AC22">
            <v>128.38999999999999</v>
          </cell>
          <cell r="AD22">
            <v>2628.65</v>
          </cell>
          <cell r="AG22">
            <v>0</v>
          </cell>
          <cell r="AH22">
            <v>0</v>
          </cell>
          <cell r="AJ22">
            <v>1953.75</v>
          </cell>
          <cell r="AL22">
            <v>1953.75</v>
          </cell>
          <cell r="AN22">
            <v>4582.3999999999996</v>
          </cell>
          <cell r="AP22">
            <v>16748.551999999989</v>
          </cell>
          <cell r="AR22">
            <v>7332.7330000000002</v>
          </cell>
          <cell r="AS22" t="str">
            <v>ASIA BAY 107</v>
          </cell>
          <cell r="AX22">
            <v>23567.020000000004</v>
          </cell>
        </row>
        <row r="23">
          <cell r="A23">
            <v>41712</v>
          </cell>
          <cell r="B23">
            <v>411.6</v>
          </cell>
          <cell r="C23">
            <v>6955.2</v>
          </cell>
          <cell r="D23">
            <v>8484</v>
          </cell>
          <cell r="E23">
            <v>0</v>
          </cell>
          <cell r="F23">
            <v>0</v>
          </cell>
          <cell r="G23">
            <v>22808.940000000002</v>
          </cell>
          <cell r="H23">
            <v>38659.740000000005</v>
          </cell>
          <cell r="I23">
            <v>0</v>
          </cell>
          <cell r="J23">
            <v>3988.0699999999997</v>
          </cell>
          <cell r="K23">
            <v>0</v>
          </cell>
          <cell r="L23">
            <v>0</v>
          </cell>
          <cell r="M23">
            <v>0</v>
          </cell>
          <cell r="N23">
            <v>1004.2</v>
          </cell>
          <cell r="O23">
            <v>4992.2699999999995</v>
          </cell>
          <cell r="Q23">
            <v>0</v>
          </cell>
          <cell r="R23">
            <v>1060.8599999999999</v>
          </cell>
          <cell r="S23">
            <v>0</v>
          </cell>
          <cell r="T23">
            <v>0</v>
          </cell>
          <cell r="U23">
            <v>0</v>
          </cell>
          <cell r="V23">
            <v>84.47</v>
          </cell>
          <cell r="W23">
            <v>1145.33</v>
          </cell>
          <cell r="X23">
            <v>0</v>
          </cell>
          <cell r="Y23">
            <v>2927.21</v>
          </cell>
          <cell r="Z23">
            <v>0</v>
          </cell>
          <cell r="AA23">
            <v>0</v>
          </cell>
          <cell r="AB23">
            <v>0</v>
          </cell>
          <cell r="AC23">
            <v>919.73</v>
          </cell>
          <cell r="AD23">
            <v>3846.94</v>
          </cell>
          <cell r="AG23">
            <v>0</v>
          </cell>
          <cell r="AH23">
            <v>0</v>
          </cell>
          <cell r="AJ23">
            <v>1617.47</v>
          </cell>
          <cell r="AL23">
            <v>1617.47</v>
          </cell>
          <cell r="AN23">
            <v>5464.41</v>
          </cell>
          <cell r="AP23">
            <v>16276.411999999991</v>
          </cell>
          <cell r="AX23">
            <v>29031.430000000004</v>
          </cell>
        </row>
        <row r="24">
          <cell r="A24">
            <v>41713</v>
          </cell>
          <cell r="B24">
            <v>890.40000000000009</v>
          </cell>
          <cell r="C24">
            <v>8809.5</v>
          </cell>
          <cell r="D24">
            <v>9019.5</v>
          </cell>
          <cell r="E24">
            <v>0</v>
          </cell>
          <cell r="F24">
            <v>0</v>
          </cell>
          <cell r="G24">
            <v>23454.959999999999</v>
          </cell>
          <cell r="H24">
            <v>42174.36</v>
          </cell>
          <cell r="I24">
            <v>0</v>
          </cell>
          <cell r="J24">
            <v>3088.6800000000003</v>
          </cell>
          <cell r="K24">
            <v>0</v>
          </cell>
          <cell r="L24">
            <v>0</v>
          </cell>
          <cell r="M24">
            <v>0</v>
          </cell>
          <cell r="N24">
            <v>1272.08</v>
          </cell>
          <cell r="O24">
            <v>4360.76</v>
          </cell>
          <cell r="Q24">
            <v>0</v>
          </cell>
          <cell r="R24">
            <v>902.46</v>
          </cell>
          <cell r="S24">
            <v>0</v>
          </cell>
          <cell r="T24">
            <v>0</v>
          </cell>
          <cell r="U24">
            <v>0</v>
          </cell>
          <cell r="V24">
            <v>401.51</v>
          </cell>
          <cell r="W24">
            <v>1303.97</v>
          </cell>
          <cell r="X24">
            <v>0</v>
          </cell>
          <cell r="Y24">
            <v>2186.2200000000003</v>
          </cell>
          <cell r="Z24">
            <v>0</v>
          </cell>
          <cell r="AA24">
            <v>0</v>
          </cell>
          <cell r="AB24">
            <v>0</v>
          </cell>
          <cell r="AC24">
            <v>870.56999999999994</v>
          </cell>
          <cell r="AD24">
            <v>3056.79</v>
          </cell>
          <cell r="AG24">
            <v>0</v>
          </cell>
          <cell r="AH24">
            <v>0</v>
          </cell>
          <cell r="AJ24">
            <v>1845.23</v>
          </cell>
          <cell r="AL24">
            <v>1845.23</v>
          </cell>
          <cell r="AN24">
            <v>4902.0200000000004</v>
          </cell>
          <cell r="AP24">
            <v>15735.151999999991</v>
          </cell>
          <cell r="AX24">
            <v>33933.450000000004</v>
          </cell>
        </row>
        <row r="25">
          <cell r="A25">
            <v>41714</v>
          </cell>
          <cell r="B25">
            <v>1226.4000000000001</v>
          </cell>
          <cell r="C25">
            <v>8977.5</v>
          </cell>
          <cell r="D25">
            <v>7192.5</v>
          </cell>
          <cell r="E25">
            <v>0</v>
          </cell>
          <cell r="F25">
            <v>0</v>
          </cell>
          <cell r="G25">
            <v>25159.699999999997</v>
          </cell>
          <cell r="H25">
            <v>42556.1</v>
          </cell>
          <cell r="I25">
            <v>0</v>
          </cell>
          <cell r="J25">
            <v>3535.4700000000003</v>
          </cell>
          <cell r="K25">
            <v>0</v>
          </cell>
          <cell r="L25">
            <v>0</v>
          </cell>
          <cell r="M25">
            <v>0</v>
          </cell>
          <cell r="N25">
            <v>1308.8500000000001</v>
          </cell>
          <cell r="O25">
            <v>4844.3200000000006</v>
          </cell>
          <cell r="Q25">
            <v>0</v>
          </cell>
          <cell r="R25">
            <v>3161.46</v>
          </cell>
          <cell r="S25">
            <v>0</v>
          </cell>
          <cell r="T25">
            <v>0</v>
          </cell>
          <cell r="U25">
            <v>0</v>
          </cell>
          <cell r="V25">
            <v>1149.0900000000001</v>
          </cell>
          <cell r="W25">
            <v>4310.55</v>
          </cell>
          <cell r="X25">
            <v>0</v>
          </cell>
          <cell r="Y25">
            <v>374.01</v>
          </cell>
          <cell r="Z25">
            <v>0</v>
          </cell>
          <cell r="AA25">
            <v>0</v>
          </cell>
          <cell r="AB25">
            <v>0</v>
          </cell>
          <cell r="AC25">
            <v>159.76</v>
          </cell>
          <cell r="AD25">
            <v>533.77</v>
          </cell>
          <cell r="AG25">
            <v>0</v>
          </cell>
          <cell r="AH25">
            <v>0</v>
          </cell>
          <cell r="AJ25">
            <v>360</v>
          </cell>
          <cell r="AL25">
            <v>360</v>
          </cell>
          <cell r="AN25">
            <v>893.77</v>
          </cell>
          <cell r="AP25">
            <v>19685.70199999999</v>
          </cell>
          <cell r="AX25">
            <v>34827.22</v>
          </cell>
        </row>
        <row r="26">
          <cell r="A26">
            <v>41715</v>
          </cell>
          <cell r="B26">
            <v>1713.6000000000001</v>
          </cell>
          <cell r="C26">
            <v>7413</v>
          </cell>
          <cell r="D26">
            <v>4525.5</v>
          </cell>
          <cell r="E26">
            <v>0</v>
          </cell>
          <cell r="F26">
            <v>0</v>
          </cell>
          <cell r="G26">
            <v>25784.200000000004</v>
          </cell>
          <cell r="H26">
            <v>39436.300000000003</v>
          </cell>
          <cell r="J26">
            <v>3101.37</v>
          </cell>
          <cell r="K26">
            <v>0</v>
          </cell>
          <cell r="L26">
            <v>0</v>
          </cell>
          <cell r="M26">
            <v>0</v>
          </cell>
          <cell r="N26">
            <v>795.12</v>
          </cell>
          <cell r="O26">
            <v>3896.49</v>
          </cell>
          <cell r="R26">
            <v>451.02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451.02</v>
          </cell>
          <cell r="Y26">
            <v>2650.35</v>
          </cell>
          <cell r="Z26">
            <v>0</v>
          </cell>
          <cell r="AA26">
            <v>0</v>
          </cell>
          <cell r="AB26">
            <v>0</v>
          </cell>
          <cell r="AC26">
            <v>795.12</v>
          </cell>
          <cell r="AD26">
            <v>3445.47</v>
          </cell>
          <cell r="AG26">
            <v>0</v>
          </cell>
          <cell r="AH26">
            <v>0</v>
          </cell>
          <cell r="AJ26">
            <v>2348.85</v>
          </cell>
          <cell r="AL26">
            <v>2348.85</v>
          </cell>
          <cell r="AN26">
            <v>5794.32</v>
          </cell>
          <cell r="AP26">
            <v>17787.871999999992</v>
          </cell>
          <cell r="AX26">
            <v>40621.54</v>
          </cell>
        </row>
        <row r="27">
          <cell r="A27">
            <v>41716</v>
          </cell>
          <cell r="B27">
            <v>1293.6000000000001</v>
          </cell>
          <cell r="C27">
            <v>8935.5</v>
          </cell>
          <cell r="D27">
            <v>8232</v>
          </cell>
          <cell r="E27">
            <v>0</v>
          </cell>
          <cell r="F27">
            <v>0</v>
          </cell>
          <cell r="G27">
            <v>24276.5</v>
          </cell>
          <cell r="H27">
            <v>42737.599999999999</v>
          </cell>
          <cell r="J27">
            <v>3808.7200000000007</v>
          </cell>
          <cell r="K27">
            <v>0</v>
          </cell>
          <cell r="L27">
            <v>0</v>
          </cell>
          <cell r="M27">
            <v>0</v>
          </cell>
          <cell r="N27">
            <v>1015.94</v>
          </cell>
          <cell r="O27">
            <v>4824.6600000000008</v>
          </cell>
          <cell r="R27">
            <v>221.55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221.55</v>
          </cell>
          <cell r="Y27">
            <v>3587.1700000000005</v>
          </cell>
          <cell r="Z27">
            <v>0</v>
          </cell>
          <cell r="AA27">
            <v>0</v>
          </cell>
          <cell r="AB27">
            <v>0</v>
          </cell>
          <cell r="AC27">
            <v>1015.94</v>
          </cell>
          <cell r="AD27">
            <v>4603.1100000000006</v>
          </cell>
          <cell r="AG27">
            <v>0</v>
          </cell>
          <cell r="AH27">
            <v>0</v>
          </cell>
          <cell r="AJ27">
            <v>2319</v>
          </cell>
          <cell r="AL27">
            <v>2319</v>
          </cell>
          <cell r="AN27">
            <v>6922.1100000000006</v>
          </cell>
          <cell r="AP27">
            <v>15690.421999999991</v>
          </cell>
          <cell r="AX27">
            <v>47543.65</v>
          </cell>
        </row>
        <row r="28">
          <cell r="A28">
            <v>41717</v>
          </cell>
          <cell r="B28">
            <v>1201.2</v>
          </cell>
          <cell r="C28">
            <v>9471</v>
          </cell>
          <cell r="D28">
            <v>8179.5</v>
          </cell>
          <cell r="E28">
            <v>0</v>
          </cell>
          <cell r="F28">
            <v>0</v>
          </cell>
          <cell r="G28">
            <v>25029.1</v>
          </cell>
          <cell r="H28">
            <v>43880.800000000003</v>
          </cell>
          <cell r="J28">
            <v>3103.9000000000005</v>
          </cell>
          <cell r="K28">
            <v>0</v>
          </cell>
          <cell r="L28">
            <v>0</v>
          </cell>
          <cell r="M28">
            <v>0</v>
          </cell>
          <cell r="N28">
            <v>2110.37</v>
          </cell>
          <cell r="O28">
            <v>5214.2700000000004</v>
          </cell>
          <cell r="R28">
            <v>752.84</v>
          </cell>
          <cell r="S28">
            <v>0</v>
          </cell>
          <cell r="T28">
            <v>0</v>
          </cell>
          <cell r="U28">
            <v>0</v>
          </cell>
          <cell r="V28">
            <v>184.88000000000002</v>
          </cell>
          <cell r="W28">
            <v>937.72</v>
          </cell>
          <cell r="Y28">
            <v>2351.0600000000004</v>
          </cell>
          <cell r="Z28">
            <v>0</v>
          </cell>
          <cell r="AA28">
            <v>0</v>
          </cell>
          <cell r="AB28">
            <v>0</v>
          </cell>
          <cell r="AC28">
            <v>1925.49</v>
          </cell>
          <cell r="AD28">
            <v>4276.55</v>
          </cell>
          <cell r="AG28">
            <v>0</v>
          </cell>
          <cell r="AH28">
            <v>0</v>
          </cell>
          <cell r="AJ28">
            <v>671.34</v>
          </cell>
          <cell r="AL28">
            <v>671.34</v>
          </cell>
          <cell r="AN28">
            <v>4947.8900000000003</v>
          </cell>
          <cell r="AP28">
            <v>15956.801999999992</v>
          </cell>
          <cell r="AX28">
            <v>52491.54</v>
          </cell>
        </row>
        <row r="29">
          <cell r="A29">
            <v>41718</v>
          </cell>
          <cell r="B29">
            <v>1579.2</v>
          </cell>
          <cell r="C29">
            <v>8080.8</v>
          </cell>
          <cell r="D29">
            <v>5197.5</v>
          </cell>
          <cell r="E29">
            <v>0</v>
          </cell>
          <cell r="F29">
            <v>0</v>
          </cell>
          <cell r="G29">
            <v>21497.1</v>
          </cell>
          <cell r="H29">
            <v>36354.6</v>
          </cell>
          <cell r="J29">
            <v>2377.7600000000002</v>
          </cell>
          <cell r="K29">
            <v>0</v>
          </cell>
          <cell r="L29">
            <v>0</v>
          </cell>
          <cell r="M29">
            <v>0</v>
          </cell>
          <cell r="N29">
            <v>735.66000000000008</v>
          </cell>
          <cell r="O29">
            <v>3113.42</v>
          </cell>
          <cell r="R29">
            <v>1006.6800000000001</v>
          </cell>
          <cell r="S29">
            <v>0</v>
          </cell>
          <cell r="T29">
            <v>0</v>
          </cell>
          <cell r="U29">
            <v>0</v>
          </cell>
          <cell r="V29">
            <v>316.31</v>
          </cell>
          <cell r="W29">
            <v>1322.99</v>
          </cell>
          <cell r="Y29">
            <v>1371.08</v>
          </cell>
          <cell r="Z29">
            <v>0</v>
          </cell>
          <cell r="AA29">
            <v>0</v>
          </cell>
          <cell r="AB29">
            <v>0</v>
          </cell>
          <cell r="AC29">
            <v>419.35</v>
          </cell>
          <cell r="AD29">
            <v>1790.4299999999998</v>
          </cell>
          <cell r="AG29">
            <v>0</v>
          </cell>
          <cell r="AH29">
            <v>0</v>
          </cell>
          <cell r="AJ29">
            <v>726</v>
          </cell>
          <cell r="AL29">
            <v>726</v>
          </cell>
          <cell r="AN29">
            <v>2516.4299999999998</v>
          </cell>
          <cell r="AP29">
            <v>16553.791999999994</v>
          </cell>
          <cell r="AX29">
            <v>55007.97</v>
          </cell>
        </row>
        <row r="30">
          <cell r="A30">
            <v>41719</v>
          </cell>
          <cell r="B30">
            <v>0</v>
          </cell>
          <cell r="C30">
            <v>5481</v>
          </cell>
          <cell r="D30">
            <v>7770</v>
          </cell>
          <cell r="E30">
            <v>0</v>
          </cell>
          <cell r="F30">
            <v>0</v>
          </cell>
          <cell r="G30">
            <v>15800</v>
          </cell>
          <cell r="H30">
            <v>29051</v>
          </cell>
          <cell r="J30">
            <v>1957.1399999999999</v>
          </cell>
          <cell r="K30">
            <v>0</v>
          </cell>
          <cell r="L30">
            <v>0</v>
          </cell>
          <cell r="M30">
            <v>0</v>
          </cell>
          <cell r="N30">
            <v>1171.2399999999998</v>
          </cell>
          <cell r="O30">
            <v>3128.3799999999997</v>
          </cell>
          <cell r="R30">
            <v>1691.76</v>
          </cell>
          <cell r="S30">
            <v>0</v>
          </cell>
          <cell r="T30">
            <v>0</v>
          </cell>
          <cell r="U30">
            <v>0</v>
          </cell>
          <cell r="V30">
            <v>895.56999999999994</v>
          </cell>
          <cell r="W30">
            <v>2587.33</v>
          </cell>
          <cell r="Y30">
            <v>265.38</v>
          </cell>
          <cell r="Z30">
            <v>0</v>
          </cell>
          <cell r="AA30">
            <v>0</v>
          </cell>
          <cell r="AB30">
            <v>0</v>
          </cell>
          <cell r="AC30">
            <v>275.67</v>
          </cell>
          <cell r="AD30">
            <v>541.04999999999995</v>
          </cell>
          <cell r="AG30">
            <v>0</v>
          </cell>
          <cell r="AH30">
            <v>0</v>
          </cell>
          <cell r="AJ30">
            <v>189</v>
          </cell>
          <cell r="AL30">
            <v>189</v>
          </cell>
          <cell r="AN30">
            <v>730.05</v>
          </cell>
          <cell r="AP30">
            <v>18952.121999999996</v>
          </cell>
          <cell r="AR30">
            <v>7561.32</v>
          </cell>
          <cell r="AS30" t="str">
            <v>LINTAS SAMUDERA</v>
          </cell>
          <cell r="AX30">
            <v>48176.700000000004</v>
          </cell>
        </row>
        <row r="31">
          <cell r="A31">
            <v>41720</v>
          </cell>
          <cell r="B31">
            <v>1134</v>
          </cell>
          <cell r="C31">
            <v>11539.5</v>
          </cell>
          <cell r="D31">
            <v>7203</v>
          </cell>
          <cell r="E31">
            <v>0</v>
          </cell>
          <cell r="F31">
            <v>0</v>
          </cell>
          <cell r="G31">
            <v>20040.099999999999</v>
          </cell>
          <cell r="H31">
            <v>39916.6</v>
          </cell>
          <cell r="J31">
            <v>2899.75</v>
          </cell>
          <cell r="K31">
            <v>0</v>
          </cell>
          <cell r="L31">
            <v>0</v>
          </cell>
          <cell r="M31">
            <v>0</v>
          </cell>
          <cell r="N31">
            <v>702.01</v>
          </cell>
          <cell r="O31">
            <v>3601.76</v>
          </cell>
          <cell r="R31">
            <v>1845.26</v>
          </cell>
          <cell r="S31">
            <v>0</v>
          </cell>
          <cell r="T31">
            <v>0</v>
          </cell>
          <cell r="U31">
            <v>0</v>
          </cell>
          <cell r="V31">
            <v>286.01</v>
          </cell>
          <cell r="W31">
            <v>2131.27</v>
          </cell>
          <cell r="Y31">
            <v>1054.49</v>
          </cell>
          <cell r="Z31">
            <v>0</v>
          </cell>
          <cell r="AA31">
            <v>0</v>
          </cell>
          <cell r="AB31">
            <v>0</v>
          </cell>
          <cell r="AC31">
            <v>416</v>
          </cell>
          <cell r="AD31">
            <v>1470.49</v>
          </cell>
          <cell r="AG31">
            <v>0</v>
          </cell>
          <cell r="AH31">
            <v>0</v>
          </cell>
          <cell r="AJ31">
            <v>903</v>
          </cell>
          <cell r="AL31">
            <v>903</v>
          </cell>
          <cell r="AN31">
            <v>2373.4899999999998</v>
          </cell>
          <cell r="AP31">
            <v>20180.391999999996</v>
          </cell>
          <cell r="AX31">
            <v>50550.19</v>
          </cell>
        </row>
        <row r="32">
          <cell r="A32">
            <v>41721</v>
          </cell>
          <cell r="B32">
            <v>1596</v>
          </cell>
          <cell r="C32">
            <v>12568.5</v>
          </cell>
          <cell r="D32">
            <v>7896</v>
          </cell>
          <cell r="E32">
            <v>0</v>
          </cell>
          <cell r="F32">
            <v>0</v>
          </cell>
          <cell r="G32">
            <v>24195.9</v>
          </cell>
          <cell r="H32">
            <v>46256.4</v>
          </cell>
          <cell r="J32">
            <v>3110.08</v>
          </cell>
          <cell r="K32">
            <v>0</v>
          </cell>
          <cell r="L32">
            <v>0</v>
          </cell>
          <cell r="M32">
            <v>0</v>
          </cell>
          <cell r="N32">
            <v>870.1099999999999</v>
          </cell>
          <cell r="O32">
            <v>3980.1899999999996</v>
          </cell>
          <cell r="R32">
            <v>2284.5300000000002</v>
          </cell>
          <cell r="S32">
            <v>0</v>
          </cell>
          <cell r="T32">
            <v>0</v>
          </cell>
          <cell r="U32">
            <v>0</v>
          </cell>
          <cell r="V32">
            <v>870.1099999999999</v>
          </cell>
          <cell r="W32">
            <v>3154.6400000000003</v>
          </cell>
          <cell r="Y32">
            <v>825.55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825.55</v>
          </cell>
          <cell r="AG32">
            <v>0</v>
          </cell>
          <cell r="AH32">
            <v>0</v>
          </cell>
          <cell r="AJ32">
            <v>1008</v>
          </cell>
          <cell r="AL32">
            <v>1008</v>
          </cell>
          <cell r="AN32">
            <v>1833.55</v>
          </cell>
          <cell r="AP32">
            <v>22327.031999999996</v>
          </cell>
          <cell r="AX32">
            <v>52383.740000000005</v>
          </cell>
        </row>
        <row r="33">
          <cell r="A33">
            <v>41722</v>
          </cell>
          <cell r="B33">
            <v>680.40000000000009</v>
          </cell>
          <cell r="C33">
            <v>9233.7000000000007</v>
          </cell>
          <cell r="D33">
            <v>5239.5</v>
          </cell>
          <cell r="E33">
            <v>0</v>
          </cell>
          <cell r="F33">
            <v>0</v>
          </cell>
          <cell r="G33">
            <v>17429.3</v>
          </cell>
          <cell r="H33">
            <v>32582.9</v>
          </cell>
          <cell r="J33">
            <v>958.65</v>
          </cell>
          <cell r="K33">
            <v>0</v>
          </cell>
          <cell r="L33">
            <v>0</v>
          </cell>
          <cell r="M33">
            <v>0</v>
          </cell>
          <cell r="N33">
            <v>650.89</v>
          </cell>
          <cell r="O33">
            <v>1609.54</v>
          </cell>
          <cell r="R33">
            <v>241.6</v>
          </cell>
          <cell r="S33">
            <v>0</v>
          </cell>
          <cell r="T33">
            <v>0</v>
          </cell>
          <cell r="U33">
            <v>0</v>
          </cell>
          <cell r="V33">
            <v>260.02999999999997</v>
          </cell>
          <cell r="W33">
            <v>501.63</v>
          </cell>
          <cell r="Y33">
            <v>717.05</v>
          </cell>
          <cell r="Z33">
            <v>0</v>
          </cell>
          <cell r="AA33">
            <v>0</v>
          </cell>
          <cell r="AB33">
            <v>0</v>
          </cell>
          <cell r="AC33">
            <v>390.86</v>
          </cell>
          <cell r="AD33">
            <v>1107.9099999999999</v>
          </cell>
          <cell r="AG33">
            <v>0</v>
          </cell>
          <cell r="AH33">
            <v>0</v>
          </cell>
          <cell r="AJ33">
            <v>2595</v>
          </cell>
          <cell r="AL33">
            <v>2595</v>
          </cell>
          <cell r="AN33">
            <v>3702.91</v>
          </cell>
          <cell r="AP33">
            <v>20233.661999999997</v>
          </cell>
          <cell r="AX33">
            <v>56086.650000000009</v>
          </cell>
        </row>
      </sheetData>
      <sheetData sheetId="10"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  <cell r="W2">
            <v>23</v>
          </cell>
          <cell r="X2">
            <v>24</v>
          </cell>
          <cell r="Y2">
            <v>25</v>
          </cell>
          <cell r="Z2">
            <v>26</v>
          </cell>
          <cell r="AA2">
            <v>27</v>
          </cell>
          <cell r="AB2">
            <v>28</v>
          </cell>
          <cell r="AC2">
            <v>29</v>
          </cell>
          <cell r="AD2">
            <v>30</v>
          </cell>
          <cell r="AE2">
            <v>31</v>
          </cell>
          <cell r="AF2">
            <v>32</v>
          </cell>
          <cell r="AG2">
            <v>33</v>
          </cell>
          <cell r="AH2">
            <v>34</v>
          </cell>
          <cell r="AI2">
            <v>35</v>
          </cell>
          <cell r="AJ2">
            <v>36</v>
          </cell>
          <cell r="AK2">
            <v>37</v>
          </cell>
          <cell r="AL2">
            <v>38</v>
          </cell>
          <cell r="AM2">
            <v>39</v>
          </cell>
          <cell r="AN2">
            <v>40</v>
          </cell>
          <cell r="AO2">
            <v>41</v>
          </cell>
          <cell r="AP2">
            <v>42</v>
          </cell>
          <cell r="AQ2">
            <v>43</v>
          </cell>
          <cell r="AR2">
            <v>44</v>
          </cell>
          <cell r="AS2">
            <v>45</v>
          </cell>
          <cell r="AT2">
            <v>46</v>
          </cell>
          <cell r="AU2">
            <v>47</v>
          </cell>
          <cell r="AV2">
            <v>48</v>
          </cell>
          <cell r="AW2">
            <v>49</v>
          </cell>
          <cell r="AX2">
            <v>50</v>
          </cell>
          <cell r="AY2">
            <v>51</v>
          </cell>
          <cell r="AZ2">
            <v>52</v>
          </cell>
          <cell r="BA2">
            <v>53</v>
          </cell>
          <cell r="BB2">
            <v>54</v>
          </cell>
          <cell r="BC2">
            <v>55</v>
          </cell>
          <cell r="BD2">
            <v>56</v>
          </cell>
          <cell r="BE2">
            <v>57</v>
          </cell>
          <cell r="BF2">
            <v>58</v>
          </cell>
          <cell r="BG2">
            <v>59</v>
          </cell>
          <cell r="BH2">
            <v>60</v>
          </cell>
          <cell r="BI2">
            <v>61</v>
          </cell>
          <cell r="BJ2">
            <v>62</v>
          </cell>
          <cell r="BK2">
            <v>63</v>
          </cell>
          <cell r="BL2">
            <v>64</v>
          </cell>
          <cell r="BM2">
            <v>65</v>
          </cell>
          <cell r="BN2">
            <v>66</v>
          </cell>
          <cell r="BO2">
            <v>67</v>
          </cell>
          <cell r="BP2">
            <v>68</v>
          </cell>
          <cell r="BQ2">
            <v>69</v>
          </cell>
          <cell r="BR2">
            <v>70</v>
          </cell>
          <cell r="BS2">
            <v>71</v>
          </cell>
          <cell r="BT2">
            <v>72</v>
          </cell>
          <cell r="BU2">
            <v>73</v>
          </cell>
          <cell r="BV2">
            <v>74</v>
          </cell>
          <cell r="BW2">
            <v>75</v>
          </cell>
          <cell r="BX2">
            <v>76</v>
          </cell>
          <cell r="BY2">
            <v>77</v>
          </cell>
          <cell r="BZ2">
            <v>78</v>
          </cell>
          <cell r="CA2">
            <v>79</v>
          </cell>
          <cell r="CB2">
            <v>80</v>
          </cell>
          <cell r="CC2">
            <v>81</v>
          </cell>
          <cell r="CD2">
            <v>82</v>
          </cell>
          <cell r="CE2">
            <v>83</v>
          </cell>
          <cell r="CF2">
            <v>84</v>
          </cell>
          <cell r="CG2">
            <v>85</v>
          </cell>
          <cell r="CH2">
            <v>86</v>
          </cell>
          <cell r="CI2">
            <v>87</v>
          </cell>
          <cell r="CJ2">
            <v>88</v>
          </cell>
          <cell r="CK2">
            <v>89</v>
          </cell>
          <cell r="CL2">
            <v>90</v>
          </cell>
          <cell r="CM2">
            <v>91</v>
          </cell>
          <cell r="CN2">
            <v>92</v>
          </cell>
          <cell r="CO2">
            <v>93</v>
          </cell>
          <cell r="CP2">
            <v>94</v>
          </cell>
          <cell r="CQ2">
            <v>95</v>
          </cell>
          <cell r="CR2">
            <v>96</v>
          </cell>
          <cell r="CS2">
            <v>97</v>
          </cell>
          <cell r="CT2">
            <v>98</v>
          </cell>
          <cell r="CU2">
            <v>99</v>
          </cell>
          <cell r="CV2">
            <v>100</v>
          </cell>
          <cell r="CW2">
            <v>101</v>
          </cell>
          <cell r="CX2">
            <v>102</v>
          </cell>
          <cell r="CY2">
            <v>103</v>
          </cell>
          <cell r="CZ2">
            <v>104</v>
          </cell>
          <cell r="DA2">
            <v>105</v>
          </cell>
          <cell r="DB2">
            <v>106</v>
          </cell>
          <cell r="DC2">
            <v>107</v>
          </cell>
          <cell r="DD2">
            <v>108</v>
          </cell>
          <cell r="DE2">
            <v>109</v>
          </cell>
          <cell r="DF2">
            <v>110</v>
          </cell>
          <cell r="DG2">
            <v>111</v>
          </cell>
          <cell r="DH2">
            <v>112</v>
          </cell>
          <cell r="DI2">
            <v>113</v>
          </cell>
          <cell r="DJ2">
            <v>114</v>
          </cell>
          <cell r="DK2">
            <v>115</v>
          </cell>
          <cell r="DL2">
            <v>116</v>
          </cell>
          <cell r="DM2">
            <v>117</v>
          </cell>
          <cell r="DN2">
            <v>118</v>
          </cell>
          <cell r="DO2">
            <v>119</v>
          </cell>
          <cell r="DP2">
            <v>120</v>
          </cell>
          <cell r="DQ2">
            <v>121</v>
          </cell>
          <cell r="DR2">
            <v>122</v>
          </cell>
          <cell r="DS2">
            <v>123</v>
          </cell>
          <cell r="DT2">
            <v>124</v>
          </cell>
          <cell r="DU2">
            <v>125</v>
          </cell>
          <cell r="DV2">
            <v>126</v>
          </cell>
          <cell r="DW2">
            <v>127</v>
          </cell>
          <cell r="DX2">
            <v>128</v>
          </cell>
          <cell r="DY2">
            <v>129</v>
          </cell>
          <cell r="DZ2">
            <v>130</v>
          </cell>
          <cell r="EA2">
            <v>131</v>
          </cell>
          <cell r="EB2">
            <v>132</v>
          </cell>
          <cell r="EC2">
            <v>133</v>
          </cell>
          <cell r="ED2">
            <v>134</v>
          </cell>
          <cell r="EE2">
            <v>135</v>
          </cell>
          <cell r="EF2">
            <v>136</v>
          </cell>
          <cell r="EG2">
            <v>137</v>
          </cell>
          <cell r="EH2">
            <v>138</v>
          </cell>
          <cell r="EI2">
            <v>139</v>
          </cell>
          <cell r="EJ2">
            <v>140</v>
          </cell>
          <cell r="EK2">
            <v>141</v>
          </cell>
          <cell r="EL2">
            <v>142</v>
          </cell>
          <cell r="EM2">
            <v>143</v>
          </cell>
          <cell r="EN2">
            <v>144</v>
          </cell>
          <cell r="EO2">
            <v>145</v>
          </cell>
          <cell r="EP2">
            <v>146</v>
          </cell>
          <cell r="EQ2">
            <v>147</v>
          </cell>
          <cell r="ER2">
            <v>148</v>
          </cell>
          <cell r="ES2">
            <v>149</v>
          </cell>
          <cell r="ET2">
            <v>150</v>
          </cell>
          <cell r="EU2">
            <v>151</v>
          </cell>
          <cell r="EV2">
            <v>152</v>
          </cell>
          <cell r="EW2">
            <v>153</v>
          </cell>
          <cell r="EX2">
            <v>154</v>
          </cell>
          <cell r="EY2">
            <v>155</v>
          </cell>
          <cell r="EZ2">
            <v>156</v>
          </cell>
          <cell r="FA2">
            <v>157</v>
          </cell>
          <cell r="FB2">
            <v>158</v>
          </cell>
          <cell r="FC2">
            <v>159</v>
          </cell>
          <cell r="FD2">
            <v>160</v>
          </cell>
          <cell r="FE2">
            <v>161</v>
          </cell>
          <cell r="FF2">
            <v>162</v>
          </cell>
          <cell r="FG2">
            <v>163</v>
          </cell>
          <cell r="FH2">
            <v>164</v>
          </cell>
          <cell r="FI2">
            <v>165</v>
          </cell>
          <cell r="FJ2">
            <v>166</v>
          </cell>
          <cell r="FK2">
            <v>167</v>
          </cell>
          <cell r="FL2">
            <v>168</v>
          </cell>
          <cell r="FM2">
            <v>169</v>
          </cell>
          <cell r="FN2">
            <v>170</v>
          </cell>
          <cell r="FO2">
            <v>171</v>
          </cell>
          <cell r="FP2">
            <v>172</v>
          </cell>
          <cell r="FQ2">
            <v>173</v>
          </cell>
          <cell r="FR2">
            <v>174</v>
          </cell>
          <cell r="FS2">
            <v>175</v>
          </cell>
          <cell r="FT2">
            <v>176</v>
          </cell>
          <cell r="FU2">
            <v>177</v>
          </cell>
          <cell r="FV2">
            <v>178</v>
          </cell>
          <cell r="FW2">
            <v>179</v>
          </cell>
          <cell r="FX2">
            <v>180</v>
          </cell>
          <cell r="FY2">
            <v>181</v>
          </cell>
          <cell r="FZ2">
            <v>182</v>
          </cell>
          <cell r="GA2">
            <v>183</v>
          </cell>
          <cell r="GB2">
            <v>184</v>
          </cell>
          <cell r="GC2">
            <v>185</v>
          </cell>
          <cell r="GD2">
            <v>186</v>
          </cell>
          <cell r="GE2">
            <v>187</v>
          </cell>
          <cell r="GF2">
            <v>188</v>
          </cell>
          <cell r="GG2">
            <v>189</v>
          </cell>
          <cell r="GH2">
            <v>190</v>
          </cell>
          <cell r="GI2">
            <v>191</v>
          </cell>
          <cell r="GJ2">
            <v>192</v>
          </cell>
          <cell r="GK2">
            <v>193</v>
          </cell>
          <cell r="GL2">
            <v>194</v>
          </cell>
          <cell r="GM2">
            <v>195</v>
          </cell>
          <cell r="GN2">
            <v>196</v>
          </cell>
          <cell r="GO2">
            <v>197</v>
          </cell>
          <cell r="GP2">
            <v>198</v>
          </cell>
          <cell r="GQ2">
            <v>199</v>
          </cell>
          <cell r="GR2">
            <v>200</v>
          </cell>
          <cell r="GS2">
            <v>201</v>
          </cell>
          <cell r="GT2">
            <v>202</v>
          </cell>
          <cell r="GU2">
            <v>203</v>
          </cell>
          <cell r="GV2">
            <v>204</v>
          </cell>
          <cell r="GW2">
            <v>205</v>
          </cell>
          <cell r="GX2">
            <v>206</v>
          </cell>
          <cell r="GY2">
            <v>207</v>
          </cell>
          <cell r="GZ2">
            <v>208</v>
          </cell>
          <cell r="HA2">
            <v>209</v>
          </cell>
          <cell r="HB2">
            <v>210</v>
          </cell>
          <cell r="HC2">
            <v>211</v>
          </cell>
          <cell r="HD2">
            <v>212</v>
          </cell>
          <cell r="HE2">
            <v>213</v>
          </cell>
          <cell r="HF2">
            <v>214</v>
          </cell>
          <cell r="HG2">
            <v>215</v>
          </cell>
          <cell r="HH2">
            <v>216</v>
          </cell>
          <cell r="HI2">
            <v>217</v>
          </cell>
          <cell r="HJ2">
            <v>218</v>
          </cell>
          <cell r="HK2">
            <v>219</v>
          </cell>
          <cell r="HL2">
            <v>220</v>
          </cell>
          <cell r="HM2">
            <v>221</v>
          </cell>
          <cell r="HN2">
            <v>222</v>
          </cell>
          <cell r="HO2">
            <v>223</v>
          </cell>
          <cell r="HP2">
            <v>224</v>
          </cell>
          <cell r="HQ2">
            <v>225</v>
          </cell>
        </row>
        <row r="3">
          <cell r="A3" t="str">
            <v>Date</v>
          </cell>
          <cell r="B3" t="str">
            <v>Crushed Coal (FC)</v>
          </cell>
          <cell r="V3" t="str">
            <v>Data dari summary WP</v>
          </cell>
          <cell r="AB3" t="str">
            <v>OB Actual</v>
          </cell>
          <cell r="AC3" t="str">
            <v>Top Soil Rehandling</v>
          </cell>
          <cell r="AD3" t="str">
            <v>FC Production</v>
          </cell>
          <cell r="AF3" t="str">
            <v>Diff</v>
          </cell>
          <cell r="AG3" t="str">
            <v>CRUSHED</v>
          </cell>
          <cell r="AI3" t="str">
            <v>data dari T/S program (hopper)</v>
          </cell>
          <cell r="AJ3" t="str">
            <v>Coal Winning</v>
          </cell>
          <cell r="AM3" t="str">
            <v>COAL TRANSACTION</v>
          </cell>
          <cell r="EY3" t="str">
            <v>BALANCE ROM</v>
          </cell>
          <cell r="FQ3" t="str">
            <v>BALANCE</v>
          </cell>
          <cell r="FR3" t="str">
            <v>PIT TO DCS</v>
          </cell>
          <cell r="GQ3" t="str">
            <v>DCS TO WP</v>
          </cell>
          <cell r="HP3" t="str">
            <v xml:space="preserve">Balance DC </v>
          </cell>
          <cell r="IO3" t="str">
            <v>BALANCE  FW</v>
          </cell>
          <cell r="IQ3" t="str">
            <v>PRODUCT at MSY</v>
          </cell>
          <cell r="IT3" t="str">
            <v>BALANCE</v>
          </cell>
          <cell r="IU3" t="str">
            <v>Coal Hauling by Product</v>
          </cell>
          <cell r="JF3" t="str">
            <v>Coal Hauling by Contractor</v>
          </cell>
          <cell r="JO3" t="str">
            <v>Total Balance at PSY (MT)</v>
          </cell>
          <cell r="JU3" t="str">
            <v xml:space="preserve">Loading </v>
          </cell>
        </row>
        <row r="4">
          <cell r="B4" t="str">
            <v>Truck Scale A (CR1)</v>
          </cell>
          <cell r="F4" t="str">
            <v>Data dari summary CP</v>
          </cell>
          <cell r="G4" t="str">
            <v>CR2(Bunyut)</v>
          </cell>
          <cell r="I4" t="str">
            <v>PLTGB</v>
          </cell>
          <cell r="U4" t="str">
            <v>Total</v>
          </cell>
          <cell r="Z4" t="str">
            <v>Total</v>
          </cell>
          <cell r="AA4" t="str">
            <v>Total</v>
          </cell>
          <cell r="AD4" t="str">
            <v>Plan</v>
          </cell>
          <cell r="AE4" t="str">
            <v>Actual (b/s)</v>
          </cell>
          <cell r="AG4" t="str">
            <v>COAL</v>
          </cell>
          <cell r="AM4" t="str">
            <v>PIT to DH (Coal winning)</v>
          </cell>
          <cell r="AT4" t="str">
            <v>PIT TO ROM (Coal winning)</v>
          </cell>
          <cell r="BD4" t="str">
            <v>PIT TO TEMPORARY ROM (Coal winning)</v>
          </cell>
          <cell r="DN4" t="str">
            <v>ROM TO DH (Rom Rehandling)</v>
          </cell>
          <cell r="EC4" t="str">
            <v>ROM TEMPORARY to DH (ROM Rehandling)</v>
          </cell>
          <cell r="EN4" t="str">
            <v>ROM TEMPORARY TO ROM</v>
          </cell>
          <cell r="EY4" t="str">
            <v>ROM STOCK YARD 1</v>
          </cell>
          <cell r="FG4" t="str">
            <v>ROM STOCK YARD 2 (NB)</v>
          </cell>
          <cell r="FK4" t="str">
            <v>ROM STOCK YARD 3 (SB)</v>
          </cell>
          <cell r="FQ4" t="str">
            <v>at ROM</v>
          </cell>
          <cell r="GP4" t="str">
            <v>Total</v>
          </cell>
          <cell r="HO4" t="str">
            <v>Total</v>
          </cell>
          <cell r="IN4" t="str">
            <v>BALANCE DC</v>
          </cell>
          <cell r="IT4" t="str">
            <v>at MSY</v>
          </cell>
          <cell r="IU4" t="str">
            <v>Truck Scale B</v>
          </cell>
          <cell r="JF4" t="str">
            <v>Truck Scale B</v>
          </cell>
          <cell r="JM4" t="str">
            <v>Tons/Day TCM (MSY to PSY)</v>
          </cell>
          <cell r="JN4" t="str">
            <v>Tons/Day TCM (ROM to CR 2)</v>
          </cell>
          <cell r="JU4" t="str">
            <v>(Draft Survey)</v>
          </cell>
        </row>
        <row r="5">
          <cell r="IU5" t="str">
            <v>MSY to PSY</v>
          </cell>
          <cell r="IZ5" t="str">
            <v>ROM JUMBO to CR 2</v>
          </cell>
          <cell r="JD5" t="str">
            <v>TEMP ROM to CR 2</v>
          </cell>
          <cell r="JF5" t="str">
            <v>Runa Persada</v>
          </cell>
          <cell r="JG5" t="str">
            <v>Yohana</v>
          </cell>
          <cell r="JI5" t="str">
            <v>Arief Nusa Raya</v>
          </cell>
          <cell r="JJ5" t="str">
            <v>Lancarjaya Mitra Abadi</v>
          </cell>
          <cell r="JO5" t="str">
            <v>HCV-LS</v>
          </cell>
          <cell r="JP5" t="str">
            <v>HCV-HS</v>
          </cell>
          <cell r="JQ5" t="str">
            <v>LCV - LS</v>
          </cell>
          <cell r="JR5" t="str">
            <v>LCV - HS (CR2)</v>
          </cell>
          <cell r="JS5" t="str">
            <v>LCV - LS (CR2)</v>
          </cell>
          <cell r="JT5" t="str">
            <v>Total</v>
          </cell>
          <cell r="JU5" t="str">
            <v>HCV-LS</v>
          </cell>
          <cell r="JV5" t="str">
            <v>HCV-HS</v>
          </cell>
          <cell r="JW5" t="str">
            <v>LCV - LS</v>
          </cell>
          <cell r="JX5" t="str">
            <v>LCV - HS (CR2)</v>
          </cell>
          <cell r="JY5" t="str">
            <v>LCV - LS (CR2)</v>
          </cell>
          <cell r="JZ5" t="str">
            <v>TOTAL Barge</v>
          </cell>
        </row>
        <row r="6">
          <cell r="I6" t="str">
            <v>ROM Adong</v>
          </cell>
          <cell r="Q6" t="str">
            <v>Temp NB</v>
          </cell>
          <cell r="S6" t="str">
            <v>Temp SB</v>
          </cell>
          <cell r="U6" t="str">
            <v>FC</v>
          </cell>
          <cell r="AA6" t="str">
            <v>TCM FC</v>
          </cell>
          <cell r="BD6" t="str">
            <v>NB</v>
          </cell>
          <cell r="BN6" t="str">
            <v>SB</v>
          </cell>
          <cell r="DO6" t="str">
            <v>CR1 (TCM)</v>
          </cell>
          <cell r="DW6" t="str">
            <v>CR2 (TCM)</v>
          </cell>
          <cell r="EC6" t="str">
            <v>NB</v>
          </cell>
          <cell r="EG6" t="str">
            <v>SB</v>
          </cell>
          <cell r="EN6" t="str">
            <v>NB</v>
          </cell>
          <cell r="ER6" t="str">
            <v>SB</v>
          </cell>
          <cell r="FR6" t="str">
            <v>NB</v>
          </cell>
          <cell r="GF6" t="str">
            <v>SB</v>
          </cell>
          <cell r="GQ6" t="str">
            <v>NB</v>
          </cell>
          <cell r="HE6" t="str">
            <v>SB</v>
          </cell>
          <cell r="HP6" t="str">
            <v>NB</v>
          </cell>
          <cell r="ID6" t="str">
            <v>SB</v>
          </cell>
          <cell r="IZ6" t="str">
            <v>ROM 1</v>
          </cell>
          <cell r="JB6" t="str">
            <v>ROM 2</v>
          </cell>
        </row>
        <row r="7">
          <cell r="B7" t="str">
            <v>HCV-LS</v>
          </cell>
          <cell r="C7" t="str">
            <v>HCV-HS</v>
          </cell>
          <cell r="D7" t="str">
            <v>LCV - LS</v>
          </cell>
          <cell r="E7" t="str">
            <v>LCV - HS</v>
          </cell>
          <cell r="F7" t="str">
            <v>CR1</v>
          </cell>
          <cell r="G7" t="str">
            <v>LCV-LS</v>
          </cell>
          <cell r="H7" t="str">
            <v xml:space="preserve">LCV - HS </v>
          </cell>
          <cell r="I7" t="str">
            <v>Rom1</v>
          </cell>
          <cell r="J7" t="str">
            <v>Rom2</v>
          </cell>
          <cell r="L7" t="str">
            <v>Rom3</v>
          </cell>
          <cell r="M7" t="str">
            <v>Rom 4</v>
          </cell>
          <cell r="N7" t="str">
            <v>Rom 5</v>
          </cell>
          <cell r="P7" t="str">
            <v>Rom 6</v>
          </cell>
          <cell r="Q7" t="str">
            <v>Temp ROM1</v>
          </cell>
          <cell r="S7" t="str">
            <v>Temp ROM2</v>
          </cell>
          <cell r="V7" t="str">
            <v>FW TO CR1</v>
          </cell>
          <cell r="Z7" t="str">
            <v>FW -CR1</v>
          </cell>
          <cell r="AD7" t="str">
            <v>Tons / Day</v>
          </cell>
          <cell r="AE7" t="str">
            <v>Tons / Day</v>
          </cell>
          <cell r="AF7" t="str">
            <v>(TSA -BSA)</v>
          </cell>
          <cell r="AG7" t="str">
            <v>YTD</v>
          </cell>
          <cell r="AJ7" t="str">
            <v>TOTAL</v>
          </cell>
          <cell r="AK7" t="str">
            <v>Good coal</v>
          </cell>
          <cell r="AL7" t="str">
            <v>Coal HB</v>
          </cell>
          <cell r="AM7" t="str">
            <v>Tons/Day</v>
          </cell>
          <cell r="AN7" t="str">
            <v>Rom 1</v>
          </cell>
          <cell r="AO7" t="str">
            <v>Rom 2</v>
          </cell>
          <cell r="AP7" t="str">
            <v>Rom 3</v>
          </cell>
          <cell r="AQ7" t="str">
            <v>Rom 4</v>
          </cell>
          <cell r="AR7" t="str">
            <v>Rom 5</v>
          </cell>
          <cell r="AS7" t="str">
            <v>Rom 6</v>
          </cell>
          <cell r="AT7" t="str">
            <v>Tons/Day</v>
          </cell>
          <cell r="AU7" t="str">
            <v>Rom 1</v>
          </cell>
          <cell r="AV7" t="str">
            <v>Rom 2</v>
          </cell>
          <cell r="AX7" t="str">
            <v>Rom 3</v>
          </cell>
          <cell r="AY7" t="str">
            <v>Rom 4</v>
          </cell>
          <cell r="AZ7" t="str">
            <v>Rom 5</v>
          </cell>
          <cell r="BB7" t="str">
            <v>Rom 6</v>
          </cell>
          <cell r="BD7" t="str">
            <v>Temp Rom Good 1 (NB)</v>
          </cell>
          <cell r="BN7" t="str">
            <v>Temp Rom Good 1 (SB)</v>
          </cell>
          <cell r="BU7" t="str">
            <v>Temp Rom 1 (CPA SB)</v>
          </cell>
          <cell r="BW7" t="str">
            <v>Temp  Room Good 2</v>
          </cell>
          <cell r="CD7" t="str">
            <v>Temp Rom R3</v>
          </cell>
          <cell r="CZ7" t="str">
            <v>Temp Rom R4</v>
          </cell>
          <cell r="DD7" t="str">
            <v>Temp Rom R5</v>
          </cell>
          <cell r="DI7" t="str">
            <v>Temp Rom 6</v>
          </cell>
          <cell r="DN7" t="str">
            <v>Tons/Day</v>
          </cell>
          <cell r="DO7" t="str">
            <v>Rom 1</v>
          </cell>
          <cell r="DP7" t="str">
            <v>Rom 2</v>
          </cell>
          <cell r="DR7" t="str">
            <v>Rom 3</v>
          </cell>
          <cell r="DS7" t="str">
            <v>Rom 4</v>
          </cell>
          <cell r="DT7" t="str">
            <v>Rom 5</v>
          </cell>
          <cell r="DV7" t="str">
            <v>Rom 6</v>
          </cell>
          <cell r="DW7" t="str">
            <v>Rom 1</v>
          </cell>
          <cell r="DX7" t="str">
            <v>Rom 2</v>
          </cell>
          <cell r="DY7" t="str">
            <v>Rom 3</v>
          </cell>
          <cell r="DZ7" t="str">
            <v>Rom 4</v>
          </cell>
          <cell r="EA7" t="str">
            <v>Rom 5</v>
          </cell>
          <cell r="EB7" t="str">
            <v>Rom 6</v>
          </cell>
          <cell r="EC7" t="str">
            <v>Tem R1(NB)</v>
          </cell>
          <cell r="EE7" t="str">
            <v>Tem R2(NB)</v>
          </cell>
          <cell r="EG7" t="str">
            <v>Tem R1 (SB)</v>
          </cell>
          <cell r="EH7" t="str">
            <v>Tem R2(SB)</v>
          </cell>
          <cell r="EI7" t="str">
            <v>Tem R3(SB)</v>
          </cell>
          <cell r="EJ7" t="str">
            <v>Temp R4(SB)</v>
          </cell>
          <cell r="EK7" t="str">
            <v>Temp R5(SB)</v>
          </cell>
          <cell r="EM7" t="str">
            <v>Tem R6(SB)</v>
          </cell>
          <cell r="EN7" t="str">
            <v>Tem R1(NB)</v>
          </cell>
          <cell r="EP7" t="str">
            <v>Rom 2(NB)</v>
          </cell>
          <cell r="ER7" t="str">
            <v>ROM 1(SB)</v>
          </cell>
          <cell r="ES7" t="str">
            <v>ROM 2(SB)</v>
          </cell>
          <cell r="ET7" t="str">
            <v>ROM 3(SB)</v>
          </cell>
          <cell r="EU7" t="str">
            <v>ROM 4(SB)</v>
          </cell>
          <cell r="EV7" t="str">
            <v>ROM 5(SB)</v>
          </cell>
          <cell r="EX7" t="str">
            <v>ROM 6(SB)</v>
          </cell>
          <cell r="EY7" t="str">
            <v>Rom1</v>
          </cell>
          <cell r="EZ7" t="str">
            <v>Rom2</v>
          </cell>
          <cell r="FB7" t="str">
            <v>Rom3</v>
          </cell>
          <cell r="FC7" t="str">
            <v>Rom 4</v>
          </cell>
          <cell r="FD7" t="str">
            <v>Rom 5</v>
          </cell>
          <cell r="FF7" t="str">
            <v>Rom 6</v>
          </cell>
          <cell r="FG7" t="str">
            <v>Temp ROM1</v>
          </cell>
          <cell r="FI7" t="str">
            <v>Temp ROM2</v>
          </cell>
          <cell r="FK7" t="str">
            <v>Temp ROM1</v>
          </cell>
          <cell r="FL7" t="str">
            <v>Temp ROM2</v>
          </cell>
          <cell r="FM7" t="str">
            <v>Temp ROM3</v>
          </cell>
          <cell r="FN7" t="str">
            <v>Temp ROM4</v>
          </cell>
          <cell r="FO7" t="str">
            <v>Temp ROM5</v>
          </cell>
          <cell r="FP7" t="str">
            <v>Temp ROM6</v>
          </cell>
          <cell r="FQ7" t="str">
            <v>Tons/Day</v>
          </cell>
          <cell r="GP7" t="str">
            <v>PIT-DCS</v>
          </cell>
          <cell r="HO7" t="str">
            <v>DCS-FW</v>
          </cell>
          <cell r="IO7" t="str">
            <v>Tons/Day</v>
          </cell>
          <cell r="IP7" t="str">
            <v>HCV-LS</v>
          </cell>
          <cell r="IQ7" t="str">
            <v>HCV-HS</v>
          </cell>
          <cell r="IR7" t="str">
            <v>LCV - LS</v>
          </cell>
          <cell r="IS7" t="str">
            <v>LCV - HS</v>
          </cell>
          <cell r="IT7" t="str">
            <v>Tons/Day</v>
          </cell>
          <cell r="IU7" t="str">
            <v>HCV-LS</v>
          </cell>
          <cell r="IV7" t="str">
            <v>HCV-HS</v>
          </cell>
          <cell r="IW7" t="str">
            <v>LCV - LS</v>
          </cell>
          <cell r="IX7" t="str">
            <v>LCV - HS</v>
          </cell>
          <cell r="IY7" t="str">
            <v>Tons/Days</v>
          </cell>
          <cell r="IZ7" t="str">
            <v xml:space="preserve">LCV-HS </v>
          </cell>
          <cell r="JA7" t="str">
            <v>LCV - LS</v>
          </cell>
          <cell r="JB7" t="str">
            <v xml:space="preserve">LCV-HS </v>
          </cell>
          <cell r="JC7" t="str">
            <v>LCV - LS</v>
          </cell>
          <cell r="JD7" t="str">
            <v xml:space="preserve">LCV-HS </v>
          </cell>
          <cell r="JE7" t="str">
            <v xml:space="preserve">LCV - LS </v>
          </cell>
        </row>
        <row r="8">
          <cell r="I8" t="str">
            <v>Good Coal</v>
          </cell>
          <cell r="J8" t="str">
            <v>Good Coal</v>
          </cell>
          <cell r="K8" t="str">
            <v>HB</v>
          </cell>
          <cell r="L8" t="str">
            <v>Good Coal</v>
          </cell>
          <cell r="M8" t="str">
            <v>Good Coal</v>
          </cell>
          <cell r="N8" t="str">
            <v>Good Coal</v>
          </cell>
          <cell r="O8" t="str">
            <v>HB</v>
          </cell>
          <cell r="P8" t="str">
            <v>Good Coal</v>
          </cell>
          <cell r="Q8" t="str">
            <v>Good</v>
          </cell>
          <cell r="R8" t="str">
            <v>HB</v>
          </cell>
          <cell r="S8" t="str">
            <v>Good</v>
          </cell>
          <cell r="T8" t="str">
            <v>HB</v>
          </cell>
          <cell r="V8" t="str">
            <v>HCV-LS</v>
          </cell>
          <cell r="W8" t="str">
            <v>HCV-HS</v>
          </cell>
          <cell r="X8" t="str">
            <v>LCV-LS</v>
          </cell>
          <cell r="Y8" t="str">
            <v>LCV-HS</v>
          </cell>
          <cell r="AB8" t="str">
            <v>BCM</v>
          </cell>
          <cell r="AC8" t="str">
            <v>BCM</v>
          </cell>
          <cell r="AI8" t="str">
            <v>( TSA + TSC)</v>
          </cell>
          <cell r="AJ8" t="str">
            <v xml:space="preserve"> (tons/day)</v>
          </cell>
          <cell r="AK8" t="str">
            <v>(tons/day)</v>
          </cell>
          <cell r="AL8" t="str">
            <v>(tons/day)</v>
          </cell>
          <cell r="AU8" t="str">
            <v>Good Coal</v>
          </cell>
          <cell r="AV8" t="str">
            <v>Good Coal</v>
          </cell>
          <cell r="AW8" t="str">
            <v>HB</v>
          </cell>
          <cell r="AX8" t="str">
            <v>Good Coal</v>
          </cell>
          <cell r="AY8" t="str">
            <v>Good Coal</v>
          </cell>
          <cell r="AZ8" t="str">
            <v>Good Coal</v>
          </cell>
          <cell r="BA8" t="str">
            <v>HB</v>
          </cell>
          <cell r="BB8" t="str">
            <v>Good Coal</v>
          </cell>
          <cell r="BC8" t="str">
            <v>Contaminated</v>
          </cell>
          <cell r="BD8" t="str">
            <v>P3000 Bk1A S4500</v>
          </cell>
          <cell r="BE8" t="str">
            <v>P3000 Bk1A S4510</v>
          </cell>
          <cell r="BF8" t="str">
            <v>P3000 Bk1A S4520</v>
          </cell>
          <cell r="BG8" t="str">
            <v>P3000 Bk1A S5000</v>
          </cell>
          <cell r="BH8" t="str">
            <v>P3000 Bk1A S5010</v>
          </cell>
          <cell r="BI8" t="str">
            <v>P5300 Bk1A S5510</v>
          </cell>
          <cell r="BJ8" t="str">
            <v>P5300 Bk1A S5520</v>
          </cell>
          <cell r="BK8" t="str">
            <v>P6500 Bk1A S6500</v>
          </cell>
          <cell r="BL8" t="str">
            <v>P8500 Bk1A S8500</v>
          </cell>
          <cell r="BM8" t="str">
            <v>P8500 Bk1A S9000</v>
          </cell>
          <cell r="BN8" t="str">
            <v>P6800 Bk05 S6800</v>
          </cell>
          <cell r="BO8" t="str">
            <v>P6800 Bk05 S7000</v>
          </cell>
          <cell r="BP8" t="str">
            <v>P7000 BK05 S7000</v>
          </cell>
          <cell r="BQ8" t="str">
            <v>P4500 Bk12 seam 5600</v>
          </cell>
          <cell r="BR8" t="str">
            <v>P6200 Bk05 seam 6400</v>
          </cell>
          <cell r="BS8" t="str">
            <v>P6200 Bk05 seam 6600</v>
          </cell>
          <cell r="BT8" t="str">
            <v>P4500 Bk05 seam 5600</v>
          </cell>
          <cell r="BU8" t="str">
            <v>P6200 Bk05 seam 6400</v>
          </cell>
          <cell r="BV8" t="str">
            <v>P3000 Bk1A S2000(BAS)</v>
          </cell>
          <cell r="BW8" t="str">
            <v>P3000 Bk1A S3000(BAS)</v>
          </cell>
          <cell r="BX8" t="str">
            <v>P3000 Bk1A 4500(BAS)</v>
          </cell>
          <cell r="BY8" t="str">
            <v>P3000 Bk1A 4700(BAS)</v>
          </cell>
          <cell r="BZ8" t="str">
            <v>P3000 Bk1A 5200(BAS)</v>
          </cell>
          <cell r="CA8" t="str">
            <v>P5300 Bk1A 5300(BAS)</v>
          </cell>
          <cell r="CB8" t="str">
            <v>P5300 Bk7 5300(RML)</v>
          </cell>
          <cell r="CC8" t="str">
            <v>P5300 Bk7 5500(RML)</v>
          </cell>
          <cell r="CD8" t="str">
            <v>P4500 Bk04 S4500</v>
          </cell>
          <cell r="CE8" t="str">
            <v>P4500 Bk04 S4600</v>
          </cell>
          <cell r="CF8" t="str">
            <v>P4500 Bk04 S4700</v>
          </cell>
          <cell r="CG8" t="str">
            <v>P4500 Bk04 S4800</v>
          </cell>
          <cell r="CH8" t="str">
            <v>P4500 Bk04 S4900</v>
          </cell>
          <cell r="CI8" t="str">
            <v>P4500 Bk04 S5000</v>
          </cell>
          <cell r="CJ8" t="str">
            <v>P4500 Bk04 S4600</v>
          </cell>
          <cell r="CK8" t="str">
            <v>P4500 Bk05 S4500</v>
          </cell>
          <cell r="CL8" t="str">
            <v>P4500 Bk05 S4600</v>
          </cell>
          <cell r="CM8" t="str">
            <v>P4500 Bk05 S4700</v>
          </cell>
          <cell r="CN8" t="str">
            <v>P4500 Bk05 S4900</v>
          </cell>
          <cell r="CO8" t="str">
            <v>P4500 Bk05 S5000</v>
          </cell>
          <cell r="CP8" t="str">
            <v>P4500 Bk05 S5200</v>
          </cell>
          <cell r="CQ8" t="str">
            <v>P4500 Bk05 S5400</v>
          </cell>
          <cell r="CR8" t="str">
            <v>P4500 Bk12 seam 4500</v>
          </cell>
          <cell r="CS8" t="str">
            <v>P4500 Bk12 seam 4600</v>
          </cell>
          <cell r="CT8" t="str">
            <v>P4500 Bk12 seam 4700</v>
          </cell>
          <cell r="CU8" t="str">
            <v>P4500 Bk12 seam 4800</v>
          </cell>
          <cell r="CV8" t="str">
            <v>P4500 Bk12 seam 4900</v>
          </cell>
          <cell r="CW8" t="str">
            <v>P4500 Bk12 seam 5000</v>
          </cell>
          <cell r="CX8" t="str">
            <v>P4500 Bk12 seam 5200</v>
          </cell>
          <cell r="CY8" t="str">
            <v>P4500 Bk12 seam 5400</v>
          </cell>
          <cell r="CZ8" t="str">
            <v>P4500 Bk12 seam 4800</v>
          </cell>
          <cell r="DA8" t="str">
            <v>P4500 Bk12 seam 4900</v>
          </cell>
          <cell r="DB8" t="str">
            <v>P4500 Bk05 seam 4800</v>
          </cell>
          <cell r="DC8" t="str">
            <v>P4500 Bk05 seam 4900</v>
          </cell>
          <cell r="DD8" t="str">
            <v>P4500 Bk05 seam 4500</v>
          </cell>
          <cell r="DE8" t="str">
            <v>P4200 Bk06 seam 4200</v>
          </cell>
          <cell r="DF8" t="str">
            <v>P4200 Bk06 seam 4300</v>
          </cell>
          <cell r="DG8" t="str">
            <v>P3000 Bk015 seam 2000</v>
          </cell>
          <cell r="DH8" t="str">
            <v>P3000 Bk015 seam 3000</v>
          </cell>
          <cell r="DI8" t="str">
            <v>P3000 Bk07 Ext</v>
          </cell>
          <cell r="DJ8" t="str">
            <v>P2600 Bk7 S2600</v>
          </cell>
          <cell r="DK8" t="str">
            <v>P2600 Bk7 S2700</v>
          </cell>
          <cell r="DL8" t="str">
            <v>P2600 Bk7 S2800</v>
          </cell>
          <cell r="DM8" t="str">
            <v>P3000 Bk11</v>
          </cell>
          <cell r="DO8" t="str">
            <v>Good Coal</v>
          </cell>
          <cell r="DP8" t="str">
            <v>Good Coal</v>
          </cell>
          <cell r="DQ8" t="str">
            <v>HB</v>
          </cell>
          <cell r="DR8" t="str">
            <v>Good Coal</v>
          </cell>
          <cell r="DS8" t="str">
            <v>Good Coal</v>
          </cell>
          <cell r="DT8" t="str">
            <v>Good Coal</v>
          </cell>
          <cell r="DU8" t="str">
            <v>Contaminated</v>
          </cell>
          <cell r="DV8" t="str">
            <v>Good Coal</v>
          </cell>
          <cell r="DW8" t="str">
            <v>Good Coal</v>
          </cell>
          <cell r="DX8" t="str">
            <v>Good Coal</v>
          </cell>
          <cell r="DY8" t="str">
            <v>Good Coal</v>
          </cell>
          <cell r="DZ8" t="str">
            <v>Good Coal</v>
          </cell>
          <cell r="EA8" t="str">
            <v>Good Coal</v>
          </cell>
          <cell r="EB8" t="str">
            <v>Good Coal</v>
          </cell>
          <cell r="EC8" t="str">
            <v>Good Coal</v>
          </cell>
          <cell r="ED8" t="str">
            <v>HB</v>
          </cell>
          <cell r="EE8" t="str">
            <v>Good Coal</v>
          </cell>
          <cell r="EF8" t="str">
            <v>HB</v>
          </cell>
          <cell r="EG8" t="str">
            <v>Good Coal</v>
          </cell>
          <cell r="EH8" t="str">
            <v>Good Coal</v>
          </cell>
          <cell r="EI8" t="str">
            <v>Good Coal</v>
          </cell>
          <cell r="EJ8" t="str">
            <v>Good Coal</v>
          </cell>
          <cell r="EK8" t="str">
            <v>Good Coal</v>
          </cell>
          <cell r="EL8" t="str">
            <v>Contaminated</v>
          </cell>
          <cell r="EM8" t="str">
            <v>Good Coal</v>
          </cell>
          <cell r="EN8" t="str">
            <v>Good Coal</v>
          </cell>
          <cell r="EO8" t="str">
            <v>HB</v>
          </cell>
          <cell r="EP8" t="str">
            <v>Good Coal</v>
          </cell>
          <cell r="EQ8" t="str">
            <v>HB</v>
          </cell>
          <cell r="ER8" t="str">
            <v>Good Coal</v>
          </cell>
          <cell r="ES8" t="str">
            <v>Good Coal</v>
          </cell>
          <cell r="ET8" t="str">
            <v>Good Coal</v>
          </cell>
          <cell r="EU8" t="str">
            <v>Good Coal</v>
          </cell>
          <cell r="EV8" t="str">
            <v>Good Coal</v>
          </cell>
          <cell r="EW8" t="str">
            <v>Contaminated</v>
          </cell>
          <cell r="EX8" t="str">
            <v>Good Coal</v>
          </cell>
          <cell r="EY8" t="str">
            <v>Good Coal</v>
          </cell>
          <cell r="EZ8" t="str">
            <v>Good Coal</v>
          </cell>
          <cell r="FA8" t="str">
            <v>HB</v>
          </cell>
          <cell r="FB8" t="str">
            <v>Good Coal</v>
          </cell>
          <cell r="FC8" t="str">
            <v>Good Coal</v>
          </cell>
          <cell r="FD8" t="str">
            <v>Good Coal</v>
          </cell>
          <cell r="FE8" t="str">
            <v>HB</v>
          </cell>
          <cell r="FF8" t="str">
            <v>Good Coal</v>
          </cell>
          <cell r="FG8" t="str">
            <v>Good</v>
          </cell>
          <cell r="FH8" t="str">
            <v>HB</v>
          </cell>
          <cell r="FI8" t="str">
            <v>Good</v>
          </cell>
          <cell r="FJ8" t="str">
            <v>HB</v>
          </cell>
          <cell r="FK8" t="str">
            <v>Good Coal</v>
          </cell>
          <cell r="FL8" t="str">
            <v>Good Coal</v>
          </cell>
          <cell r="FM8" t="str">
            <v>Good Coal</v>
          </cell>
          <cell r="FN8" t="str">
            <v>Good Coal</v>
          </cell>
          <cell r="FO8" t="str">
            <v>Good Coal</v>
          </cell>
          <cell r="FP8" t="str">
            <v>Good Coal</v>
          </cell>
          <cell r="FR8" t="str">
            <v>Bk 01 (NB)</v>
          </cell>
          <cell r="FS8" t="str">
            <v>Bk 02 (NB)</v>
          </cell>
          <cell r="FT8" t="str">
            <v>Bk 04 (NB)</v>
          </cell>
          <cell r="FU8" t="str">
            <v>Bk 05 (NB)</v>
          </cell>
          <cell r="FV8" t="str">
            <v>Bk 06 (NB)</v>
          </cell>
          <cell r="FW8" t="str">
            <v>Bk 07 (NB)</v>
          </cell>
          <cell r="FX8" t="str">
            <v xml:space="preserve"> Bk 08(NB)</v>
          </cell>
          <cell r="FY8" t="str">
            <v xml:space="preserve"> Bk 09(NB)</v>
          </cell>
          <cell r="FZ8" t="str">
            <v>Bk 10 (NB)</v>
          </cell>
          <cell r="GA8" t="str">
            <v>Bk 11 (NB)</v>
          </cell>
          <cell r="GB8" t="str">
            <v>Bk 13 (NB)</v>
          </cell>
          <cell r="GC8" t="str">
            <v>Bk 14 (NB)</v>
          </cell>
          <cell r="GD8" t="str">
            <v>Bk 15 (NB)</v>
          </cell>
          <cell r="GE8" t="str">
            <v>Bk 16 (NB)</v>
          </cell>
          <cell r="GF8" t="str">
            <v xml:space="preserve">P4500 Bk 04(SB) </v>
          </cell>
          <cell r="GG8" t="str">
            <v xml:space="preserve">P6800,7000,4500 Bk 05(SB) </v>
          </cell>
          <cell r="GH8" t="str">
            <v>Bk 06 P4200</v>
          </cell>
          <cell r="GI8" t="str">
            <v>Bk 06 P4500</v>
          </cell>
          <cell r="GJ8" t="str">
            <v xml:space="preserve">P3000 Bk 07RML(SB) </v>
          </cell>
          <cell r="GK8" t="str">
            <v xml:space="preserve">P3000 Bk 07PAMA(SB) </v>
          </cell>
          <cell r="GL8" t="str">
            <v xml:space="preserve">P3000 Bk 07(SB) </v>
          </cell>
          <cell r="GM8" t="str">
            <v xml:space="preserve">P2600 Bk 07(SB) </v>
          </cell>
          <cell r="GN8" t="str">
            <v>Bk 11 P3000 (SB)</v>
          </cell>
          <cell r="GO8" t="str">
            <v>Bk 12 P4500 (SB)</v>
          </cell>
          <cell r="GQ8" t="str">
            <v>BK 01(NB)</v>
          </cell>
          <cell r="GR8" t="str">
            <v>Bk 02 (NB)</v>
          </cell>
          <cell r="GS8" t="str">
            <v>Bk 04 (NB)</v>
          </cell>
          <cell r="GT8" t="str">
            <v>Bk 05 (NB)</v>
          </cell>
          <cell r="GU8" t="str">
            <v>Bk 06 (NB)</v>
          </cell>
          <cell r="GV8" t="str">
            <v>Bk 07 (NB)</v>
          </cell>
          <cell r="GW8" t="str">
            <v xml:space="preserve"> Bk 08(NB)</v>
          </cell>
          <cell r="GX8" t="str">
            <v xml:space="preserve"> Bk 09(NB)</v>
          </cell>
          <cell r="GY8" t="str">
            <v>Bk 10 (NB)</v>
          </cell>
          <cell r="GZ8" t="str">
            <v>Bk 11 (NB)</v>
          </cell>
          <cell r="HA8" t="str">
            <v>Bk 13 (NB)</v>
          </cell>
          <cell r="HB8" t="str">
            <v>Bk 14 (NB)</v>
          </cell>
          <cell r="HC8" t="str">
            <v>Bk 15 (NB)</v>
          </cell>
          <cell r="HD8" t="str">
            <v>Bk 16 (NB)</v>
          </cell>
          <cell r="HE8" t="str">
            <v xml:space="preserve">P4500 Bk 04(SB) </v>
          </cell>
          <cell r="HF8" t="str">
            <v xml:space="preserve">P6800,7000 Bk 05(SB) </v>
          </cell>
          <cell r="HG8" t="str">
            <v>Bk 06 P4200</v>
          </cell>
          <cell r="HH8" t="str">
            <v>Bk 06 P4500</v>
          </cell>
          <cell r="HI8" t="str">
            <v xml:space="preserve">P3000 Bk 07RML(SB) </v>
          </cell>
          <cell r="HJ8" t="str">
            <v xml:space="preserve">P3000 Bk 07PAMA(SB) </v>
          </cell>
          <cell r="HK8" t="str">
            <v xml:space="preserve">P3000 Bk 07(SB) </v>
          </cell>
          <cell r="HL8" t="str">
            <v xml:space="preserve">P2600 Bk 07(SB) </v>
          </cell>
          <cell r="HM8" t="str">
            <v>Bk 12 P3000 (SB)</v>
          </cell>
          <cell r="HN8" t="str">
            <v>Bk 12 P4500 (SB)</v>
          </cell>
          <cell r="HP8" t="str">
            <v>Bk 01 (NB)</v>
          </cell>
          <cell r="HQ8" t="str">
            <v>Bk 02 (NB)</v>
          </cell>
          <cell r="HR8" t="str">
            <v>Bk 04 (NB)</v>
          </cell>
          <cell r="HS8" t="str">
            <v>Bk 05 (NB)</v>
          </cell>
          <cell r="HT8" t="str">
            <v>Bk 06 (NB)</v>
          </cell>
          <cell r="HU8" t="str">
            <v>Bk 07 (NB)</v>
          </cell>
          <cell r="HV8" t="str">
            <v xml:space="preserve"> Bk 08(NB)</v>
          </cell>
          <cell r="HW8" t="str">
            <v xml:space="preserve"> Bk 09(NB)</v>
          </cell>
          <cell r="HX8" t="str">
            <v>Bk 10 (NB)</v>
          </cell>
          <cell r="HY8" t="str">
            <v>Bk 11 (NB)</v>
          </cell>
          <cell r="HZ8" t="str">
            <v>Bk 13 (NB)</v>
          </cell>
          <cell r="IA8" t="str">
            <v>Bk 14 (NB)</v>
          </cell>
          <cell r="IB8" t="str">
            <v>Bk 15 (NB)</v>
          </cell>
          <cell r="IC8" t="str">
            <v>Bk 16 (NB)</v>
          </cell>
          <cell r="ID8" t="str">
            <v xml:space="preserve">P4500 Bk 04(SB) </v>
          </cell>
          <cell r="IE8" t="str">
            <v xml:space="preserve">P6800,7000 Bk 05(SB) </v>
          </cell>
          <cell r="IF8" t="str">
            <v>Bk 06 P4200</v>
          </cell>
          <cell r="IG8" t="str">
            <v>Bk 06 P4500</v>
          </cell>
          <cell r="IH8" t="str">
            <v xml:space="preserve">P3000 Bk 07RML(SB) </v>
          </cell>
          <cell r="II8" t="str">
            <v xml:space="preserve">P3000 Bk 07PAMA(SB) </v>
          </cell>
          <cell r="IJ8" t="str">
            <v xml:space="preserve">P3000 Bk 07(SB) </v>
          </cell>
          <cell r="IK8" t="str">
            <v xml:space="preserve">P2600 Bk 07(SB) </v>
          </cell>
          <cell r="IL8" t="str">
            <v>Bk 12 P3000 (SB)</v>
          </cell>
          <cell r="IM8" t="str">
            <v>Bk 12 P4500 (SB)</v>
          </cell>
          <cell r="IN8" t="str">
            <v>bcm/days</v>
          </cell>
          <cell r="JF8" t="str">
            <v>FROM MSY</v>
          </cell>
          <cell r="JG8" t="str">
            <v>FROM MSY</v>
          </cell>
          <cell r="JH8" t="str">
            <v>ROM TO CR 2</v>
          </cell>
          <cell r="JI8" t="str">
            <v>FROM MSY</v>
          </cell>
          <cell r="JJ8" t="str">
            <v>FROM MSY</v>
          </cell>
          <cell r="JK8" t="str">
            <v>ROM JUMBO TO CR 2</v>
          </cell>
          <cell r="JL8" t="str">
            <v>TEMP.ROM TO CR 2</v>
          </cell>
        </row>
        <row r="9">
          <cell r="AG9">
            <v>0</v>
          </cell>
          <cell r="EY9">
            <v>0</v>
          </cell>
          <cell r="EZ9">
            <v>0</v>
          </cell>
          <cell r="FB9" t="e">
            <v>#REF!</v>
          </cell>
          <cell r="FC9">
            <v>0</v>
          </cell>
          <cell r="FD9">
            <v>0</v>
          </cell>
          <cell r="FF9">
            <v>0</v>
          </cell>
          <cell r="FI9">
            <v>0</v>
          </cell>
          <cell r="FK9">
            <v>0</v>
          </cell>
          <cell r="FM9">
            <v>0</v>
          </cell>
          <cell r="FN9">
            <v>0</v>
          </cell>
          <cell r="FP9">
            <v>0</v>
          </cell>
          <cell r="FQ9" t="e">
            <v>#REF!</v>
          </cell>
          <cell r="HP9">
            <v>0</v>
          </cell>
          <cell r="HQ9">
            <v>0</v>
          </cell>
          <cell r="HR9">
            <v>0</v>
          </cell>
          <cell r="HS9">
            <v>0</v>
          </cell>
          <cell r="HT9">
            <v>0</v>
          </cell>
          <cell r="HU9">
            <v>0</v>
          </cell>
          <cell r="HV9">
            <v>0</v>
          </cell>
          <cell r="HW9">
            <v>0</v>
          </cell>
          <cell r="HX9">
            <v>0</v>
          </cell>
          <cell r="HY9">
            <v>0</v>
          </cell>
          <cell r="HZ9">
            <v>0</v>
          </cell>
          <cell r="IA9">
            <v>0</v>
          </cell>
          <cell r="IB9">
            <v>0</v>
          </cell>
          <cell r="IC9">
            <v>0</v>
          </cell>
          <cell r="ID9">
            <v>0</v>
          </cell>
          <cell r="IE9">
            <v>0</v>
          </cell>
          <cell r="IF9">
            <v>0</v>
          </cell>
          <cell r="IG9">
            <v>0</v>
          </cell>
          <cell r="IH9">
            <v>0</v>
          </cell>
          <cell r="II9">
            <v>0</v>
          </cell>
          <cell r="IJ9">
            <v>0</v>
          </cell>
          <cell r="IK9">
            <v>0</v>
          </cell>
          <cell r="IL9">
            <v>0</v>
          </cell>
          <cell r="IM9">
            <v>0</v>
          </cell>
          <cell r="IN9">
            <v>0</v>
          </cell>
          <cell r="IP9">
            <v>0</v>
          </cell>
          <cell r="IR9">
            <v>0</v>
          </cell>
          <cell r="IT9">
            <v>0</v>
          </cell>
          <cell r="JO9">
            <v>0</v>
          </cell>
          <cell r="JQ9">
            <v>0</v>
          </cell>
          <cell r="JT9">
            <v>0</v>
          </cell>
        </row>
        <row r="10">
          <cell r="EY10">
            <v>1877.5924287</v>
          </cell>
          <cell r="EZ10">
            <v>20544.174340199999</v>
          </cell>
          <cell r="FB10">
            <v>443.60633129999997</v>
          </cell>
          <cell r="FC10">
            <v>235.62473369999998</v>
          </cell>
          <cell r="FD10">
            <v>566.55384719999995</v>
          </cell>
          <cell r="FF10">
            <v>435.62244719999995</v>
          </cell>
          <cell r="FI10">
            <v>149846.44085370001</v>
          </cell>
          <cell r="FK10">
            <v>12758.6601051</v>
          </cell>
          <cell r="FM10">
            <v>62451.773492699998</v>
          </cell>
          <cell r="FN10">
            <v>50578.723606199994</v>
          </cell>
          <cell r="FP10">
            <v>6132.3812183999999</v>
          </cell>
          <cell r="FQ10">
            <v>305871.15340440004</v>
          </cell>
          <cell r="IN10">
            <v>0</v>
          </cell>
          <cell r="IP10">
            <v>4043.0789510999998</v>
          </cell>
          <cell r="IR10">
            <v>6988.2199364999997</v>
          </cell>
          <cell r="IT10">
            <v>11031.2988876</v>
          </cell>
          <cell r="JO10">
            <v>5917.7302450999996</v>
          </cell>
          <cell r="JQ10">
            <v>50850.235562200003</v>
          </cell>
          <cell r="JT10">
            <v>56767.965807300003</v>
          </cell>
        </row>
        <row r="11">
          <cell r="A11">
            <v>41699</v>
          </cell>
          <cell r="B11">
            <v>16632.18</v>
          </cell>
          <cell r="F11">
            <v>16632.18</v>
          </cell>
          <cell r="U11">
            <v>16632.18</v>
          </cell>
          <cell r="V11">
            <v>184.96</v>
          </cell>
          <cell r="Z11">
            <v>184.96</v>
          </cell>
          <cell r="AA11">
            <v>16817.14</v>
          </cell>
          <cell r="AB11">
            <v>233607</v>
          </cell>
          <cell r="AD11">
            <v>17096.774193548386</v>
          </cell>
          <cell r="AE11">
            <v>17366.700000000186</v>
          </cell>
          <cell r="AF11">
            <v>-734.52000000018597</v>
          </cell>
          <cell r="AG11">
            <v>1024187.7599999998</v>
          </cell>
          <cell r="AH11">
            <v>0</v>
          </cell>
          <cell r="AI11">
            <v>16632.179999999997</v>
          </cell>
          <cell r="AJ11">
            <v>22680.42</v>
          </cell>
          <cell r="AK11">
            <v>22680.42</v>
          </cell>
          <cell r="AL11">
            <v>0</v>
          </cell>
          <cell r="AM11">
            <v>4026.6200000000003</v>
          </cell>
          <cell r="AN11">
            <v>775</v>
          </cell>
          <cell r="AP11">
            <v>2668.9800000000005</v>
          </cell>
          <cell r="AR11">
            <v>582.64</v>
          </cell>
          <cell r="AT11">
            <v>18653.8</v>
          </cell>
          <cell r="AU11">
            <v>381.12</v>
          </cell>
          <cell r="AV11">
            <v>1996.4</v>
          </cell>
          <cell r="AX11">
            <v>615.88000000000011</v>
          </cell>
          <cell r="AZ11">
            <v>256.96000000000004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W11">
            <v>0</v>
          </cell>
          <cell r="BY11">
            <v>0</v>
          </cell>
          <cell r="CA11">
            <v>0</v>
          </cell>
          <cell r="CB11">
            <v>0</v>
          </cell>
          <cell r="CC11">
            <v>0</v>
          </cell>
          <cell r="CE11">
            <v>473.01</v>
          </cell>
          <cell r="CI11">
            <v>430.28999999999996</v>
          </cell>
          <cell r="CS11">
            <v>1566.03</v>
          </cell>
          <cell r="CT11">
            <v>1790.14</v>
          </cell>
          <cell r="CU11">
            <v>4391.28</v>
          </cell>
          <cell r="CX11">
            <v>1586.06</v>
          </cell>
          <cell r="DA11">
            <v>1983.56</v>
          </cell>
          <cell r="DB11">
            <v>3183.0699999999997</v>
          </cell>
          <cell r="DP11">
            <v>12605.559999999998</v>
          </cell>
          <cell r="DT11">
            <v>2022.02</v>
          </cell>
          <cell r="EK11">
            <v>5462.2</v>
          </cell>
          <cell r="EL11">
            <v>1028.04</v>
          </cell>
          <cell r="EO11">
            <v>4093.2999999999997</v>
          </cell>
          <cell r="FA11">
            <v>4899.7111331999995</v>
          </cell>
          <cell r="FB11">
            <v>21898.430082800001</v>
          </cell>
          <cell r="FC11">
            <v>0</v>
          </cell>
          <cell r="FD11">
            <v>1149.9164701999998</v>
          </cell>
          <cell r="FE11">
            <v>0</v>
          </cell>
          <cell r="FF11">
            <v>256.96000000000004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149846.44085370001</v>
          </cell>
          <cell r="FL11">
            <v>0</v>
          </cell>
          <cell r="FM11">
            <v>4484.3818850999996</v>
          </cell>
          <cell r="FN11">
            <v>0</v>
          </cell>
          <cell r="FO11">
            <v>46021.909399999997</v>
          </cell>
          <cell r="FP11">
            <v>66824.053568400006</v>
          </cell>
          <cell r="FQ11">
            <v>0</v>
          </cell>
          <cell r="FR11">
            <v>12653.216899999999</v>
          </cell>
          <cell r="FS11">
            <v>308035.02029340004</v>
          </cell>
          <cell r="FT11">
            <v>135</v>
          </cell>
          <cell r="GF11">
            <v>237.5</v>
          </cell>
          <cell r="GQ11">
            <v>0</v>
          </cell>
          <cell r="GR11">
            <v>372.5</v>
          </cell>
          <cell r="GY11">
            <v>141.6</v>
          </cell>
          <cell r="HQ11">
            <v>141.6</v>
          </cell>
          <cell r="HR11">
            <v>52934.776999999995</v>
          </cell>
          <cell r="HS11">
            <v>12629</v>
          </cell>
          <cell r="HT11">
            <v>14648</v>
          </cell>
          <cell r="HU11">
            <v>15301.43</v>
          </cell>
          <cell r="HV11">
            <v>7645</v>
          </cell>
          <cell r="HW11">
            <v>0</v>
          </cell>
          <cell r="HX11">
            <v>18604.400000000001</v>
          </cell>
          <cell r="HY11">
            <v>5351</v>
          </cell>
          <cell r="HZ11">
            <v>0</v>
          </cell>
          <cell r="IA11">
            <v>0</v>
          </cell>
          <cell r="IB11">
            <v>0</v>
          </cell>
          <cell r="IC11">
            <v>27726.42</v>
          </cell>
          <cell r="ID11">
            <v>10327.5</v>
          </cell>
          <cell r="IE11">
            <v>104215.45</v>
          </cell>
          <cell r="IF11">
            <v>10901</v>
          </cell>
          <cell r="IG11">
            <v>43817.700000000004</v>
          </cell>
          <cell r="IH11">
            <v>1386.82</v>
          </cell>
          <cell r="II11">
            <v>18824.39</v>
          </cell>
          <cell r="IJ11">
            <v>465.65</v>
          </cell>
          <cell r="IK11">
            <v>64167.47</v>
          </cell>
          <cell r="IL11">
            <v>36072.68373886343</v>
          </cell>
          <cell r="IM11">
            <v>0</v>
          </cell>
          <cell r="IN11">
            <v>19616.990000000002</v>
          </cell>
          <cell r="IO11">
            <v>253802.4</v>
          </cell>
          <cell r="IP11">
            <v>718438.08073886356</v>
          </cell>
          <cell r="IQ11">
            <v>0</v>
          </cell>
          <cell r="IR11">
            <v>41823.8232948</v>
          </cell>
          <cell r="IS11">
            <v>0</v>
          </cell>
          <cell r="IT11">
            <v>5341.4253866999998</v>
          </cell>
          <cell r="IU11">
            <v>0</v>
          </cell>
          <cell r="IV11">
            <v>47165.248681500001</v>
          </cell>
          <cell r="IW11">
            <v>14163.26</v>
          </cell>
          <cell r="JA11">
            <v>14163.26</v>
          </cell>
          <cell r="JH11">
            <v>1307.72</v>
          </cell>
          <cell r="JI11">
            <v>7199.82</v>
          </cell>
          <cell r="JK11">
            <v>2574.1800000000003</v>
          </cell>
          <cell r="JL11">
            <v>3081.54</v>
          </cell>
          <cell r="JO11">
            <v>14163.259999999998</v>
          </cell>
          <cell r="JP11">
            <v>0</v>
          </cell>
          <cell r="JQ11">
            <v>58389.234026699996</v>
          </cell>
          <cell r="JR11">
            <v>0</v>
          </cell>
          <cell r="JS11">
            <v>78535.270932300002</v>
          </cell>
          <cell r="JT11">
            <v>0</v>
          </cell>
          <cell r="JU11">
            <v>0</v>
          </cell>
          <cell r="JV11">
            <v>136924.50495899998</v>
          </cell>
          <cell r="JW11">
            <v>7414.1450000000004</v>
          </cell>
          <cell r="JY11">
            <v>7505.076</v>
          </cell>
        </row>
        <row r="12">
          <cell r="A12">
            <v>41700</v>
          </cell>
          <cell r="B12">
            <v>24661.4</v>
          </cell>
          <cell r="F12">
            <v>24661.4</v>
          </cell>
          <cell r="U12">
            <v>24661.4</v>
          </cell>
          <cell r="Z12">
            <v>0</v>
          </cell>
          <cell r="AA12">
            <v>24661.4</v>
          </cell>
          <cell r="AB12">
            <v>217362.9</v>
          </cell>
          <cell r="AD12">
            <v>17096.774193548386</v>
          </cell>
          <cell r="AE12">
            <v>25670.699999999721</v>
          </cell>
          <cell r="AF12">
            <v>-1009.2999999997191</v>
          </cell>
          <cell r="AG12">
            <v>1049858.4599999995</v>
          </cell>
          <cell r="AH12">
            <v>0</v>
          </cell>
          <cell r="AI12">
            <v>24661.4</v>
          </cell>
          <cell r="AJ12">
            <v>22500.68</v>
          </cell>
          <cell r="AK12">
            <v>22500.68</v>
          </cell>
          <cell r="AL12">
            <v>0</v>
          </cell>
          <cell r="AM12">
            <v>7011.34</v>
          </cell>
          <cell r="AN12">
            <v>1568.58</v>
          </cell>
          <cell r="AO12">
            <v>1095.18</v>
          </cell>
          <cell r="AP12">
            <v>3996.92</v>
          </cell>
          <cell r="AQ12">
            <v>27.12</v>
          </cell>
          <cell r="AR12">
            <v>323.54000000000002</v>
          </cell>
          <cell r="AT12">
            <v>15489.34</v>
          </cell>
          <cell r="AU12">
            <v>701.2</v>
          </cell>
          <cell r="AV12">
            <v>228.02</v>
          </cell>
          <cell r="AX12">
            <v>20.48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W12">
            <v>0</v>
          </cell>
          <cell r="BY12">
            <v>0</v>
          </cell>
          <cell r="CA12">
            <v>0</v>
          </cell>
          <cell r="CB12">
            <v>0</v>
          </cell>
          <cell r="CC12">
            <v>0</v>
          </cell>
          <cell r="CH12">
            <v>62.21</v>
          </cell>
          <cell r="CI12">
            <v>162.72999999999999</v>
          </cell>
          <cell r="CS12">
            <v>2555.39</v>
          </cell>
          <cell r="CT12">
            <v>2093.4300000000003</v>
          </cell>
          <cell r="CU12">
            <v>4870.8100000000004</v>
          </cell>
          <cell r="CX12">
            <v>1536.34</v>
          </cell>
          <cell r="DA12">
            <v>581.16999999999996</v>
          </cell>
          <cell r="DB12">
            <v>2677.5600000000004</v>
          </cell>
          <cell r="DP12">
            <v>17650.060000000001</v>
          </cell>
          <cell r="DT12">
            <v>530</v>
          </cell>
          <cell r="DV12">
            <v>3275.86</v>
          </cell>
          <cell r="EK12">
            <v>7495.96</v>
          </cell>
          <cell r="EL12">
            <v>5793.88</v>
          </cell>
          <cell r="EO12">
            <v>554.36</v>
          </cell>
          <cell r="FA12">
            <v>5600.9111331999993</v>
          </cell>
          <cell r="FB12">
            <v>22126.450082800002</v>
          </cell>
          <cell r="FC12">
            <v>0</v>
          </cell>
          <cell r="FD12">
            <v>640.39647019999984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149846.44085370001</v>
          </cell>
          <cell r="FL12">
            <v>0</v>
          </cell>
          <cell r="FM12">
            <v>4484.3818850999996</v>
          </cell>
          <cell r="FN12">
            <v>0</v>
          </cell>
          <cell r="FO12">
            <v>49806.859399999994</v>
          </cell>
          <cell r="FP12">
            <v>64288.903568400005</v>
          </cell>
          <cell r="FQ12">
            <v>0</v>
          </cell>
          <cell r="FR12">
            <v>12098.856899999999</v>
          </cell>
          <cell r="FS12">
            <v>308893.20029340003</v>
          </cell>
          <cell r="FT12">
            <v>0</v>
          </cell>
          <cell r="GH12">
            <v>48</v>
          </cell>
          <cell r="GQ12">
            <v>0</v>
          </cell>
          <cell r="GR12">
            <v>48</v>
          </cell>
          <cell r="HQ12">
            <v>0</v>
          </cell>
          <cell r="HR12">
            <v>52934.776999999995</v>
          </cell>
          <cell r="HS12">
            <v>12629</v>
          </cell>
          <cell r="HT12">
            <v>14648</v>
          </cell>
          <cell r="HU12">
            <v>15301.43</v>
          </cell>
          <cell r="HV12">
            <v>7645</v>
          </cell>
          <cell r="HW12">
            <v>0</v>
          </cell>
          <cell r="HX12">
            <v>18604.400000000001</v>
          </cell>
          <cell r="HY12">
            <v>5351</v>
          </cell>
          <cell r="HZ12">
            <v>0</v>
          </cell>
          <cell r="IA12">
            <v>0</v>
          </cell>
          <cell r="IB12">
            <v>0</v>
          </cell>
          <cell r="IC12">
            <v>27726.42</v>
          </cell>
          <cell r="ID12">
            <v>10327.5</v>
          </cell>
          <cell r="IE12">
            <v>104215.45</v>
          </cell>
          <cell r="IF12">
            <v>10901</v>
          </cell>
          <cell r="IG12">
            <v>43817.700000000004</v>
          </cell>
          <cell r="IH12">
            <v>1386.82</v>
          </cell>
          <cell r="II12">
            <v>18824.39</v>
          </cell>
          <cell r="IJ12">
            <v>465.65</v>
          </cell>
          <cell r="IK12">
            <v>64167.47</v>
          </cell>
          <cell r="IL12">
            <v>36072.68373886343</v>
          </cell>
          <cell r="IM12">
            <v>0</v>
          </cell>
          <cell r="IN12">
            <v>19616.990000000002</v>
          </cell>
          <cell r="IO12">
            <v>253802.4</v>
          </cell>
          <cell r="IP12">
            <v>718438.08073886356</v>
          </cell>
          <cell r="IQ12">
            <v>0</v>
          </cell>
          <cell r="IR12">
            <v>41944.063294799998</v>
          </cell>
          <cell r="IS12">
            <v>0</v>
          </cell>
          <cell r="IT12">
            <v>5341.4253866999998</v>
          </cell>
          <cell r="IU12">
            <v>0</v>
          </cell>
          <cell r="IV12">
            <v>47285.488681499999</v>
          </cell>
          <cell r="IW12">
            <v>24541.16</v>
          </cell>
          <cell r="JA12">
            <v>24541.16</v>
          </cell>
          <cell r="JH12">
            <v>2376.04</v>
          </cell>
          <cell r="JI12">
            <v>12120.32</v>
          </cell>
          <cell r="JK12">
            <v>4169.24</v>
          </cell>
          <cell r="JL12">
            <v>5875.5599999999995</v>
          </cell>
          <cell r="JO12">
            <v>24541.159999999996</v>
          </cell>
          <cell r="JP12">
            <v>0</v>
          </cell>
          <cell r="JQ12">
            <v>75607.806026699996</v>
          </cell>
          <cell r="JR12">
            <v>0</v>
          </cell>
          <cell r="JS12">
            <v>70620.682932299998</v>
          </cell>
          <cell r="JT12">
            <v>0</v>
          </cell>
          <cell r="JU12">
            <v>0</v>
          </cell>
          <cell r="JV12">
            <v>146228.48895899998</v>
          </cell>
          <cell r="JW12">
            <v>7322.5879999999997</v>
          </cell>
          <cell r="JY12">
            <v>7914.5879999999997</v>
          </cell>
        </row>
        <row r="13">
          <cell r="A13">
            <v>41701</v>
          </cell>
          <cell r="B13">
            <v>10618.92</v>
          </cell>
          <cell r="F13">
            <v>10618.92</v>
          </cell>
          <cell r="U13">
            <v>10618.92</v>
          </cell>
          <cell r="Z13">
            <v>0</v>
          </cell>
          <cell r="AA13">
            <v>10618.92</v>
          </cell>
          <cell r="AB13">
            <v>91054</v>
          </cell>
          <cell r="AD13">
            <v>17096.774193548386</v>
          </cell>
          <cell r="AE13">
            <v>11123.899999999907</v>
          </cell>
          <cell r="AF13">
            <v>-504.97999999990679</v>
          </cell>
          <cell r="AG13">
            <v>1060982.3599999994</v>
          </cell>
          <cell r="AH13">
            <v>0</v>
          </cell>
          <cell r="AI13">
            <v>10618.92</v>
          </cell>
          <cell r="AJ13">
            <v>8611.09</v>
          </cell>
          <cell r="AK13">
            <v>8611.09</v>
          </cell>
          <cell r="AL13">
            <v>0</v>
          </cell>
          <cell r="AM13">
            <v>2718.48</v>
          </cell>
          <cell r="AN13">
            <v>1272.92</v>
          </cell>
          <cell r="AP13">
            <v>1235.6599999999999</v>
          </cell>
          <cell r="AQ13">
            <v>30.32</v>
          </cell>
          <cell r="AR13">
            <v>179.58</v>
          </cell>
          <cell r="AT13">
            <v>5892.61</v>
          </cell>
          <cell r="AU13">
            <v>18.98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W13">
            <v>0</v>
          </cell>
          <cell r="BY13">
            <v>0</v>
          </cell>
          <cell r="CA13">
            <v>0</v>
          </cell>
          <cell r="CB13">
            <v>0</v>
          </cell>
          <cell r="CC13">
            <v>0</v>
          </cell>
          <cell r="CS13">
            <v>878.31</v>
          </cell>
          <cell r="CT13">
            <v>537.23</v>
          </cell>
          <cell r="CU13">
            <v>3482.2</v>
          </cell>
          <cell r="CX13">
            <v>55.76</v>
          </cell>
          <cell r="DB13">
            <v>920.13</v>
          </cell>
          <cell r="DP13">
            <v>7900.4400000000005</v>
          </cell>
          <cell r="DQ13">
            <v>1128.46</v>
          </cell>
          <cell r="DR13">
            <v>603.96</v>
          </cell>
          <cell r="EK13">
            <v>3243.2799999999997</v>
          </cell>
          <cell r="EL13">
            <v>2924.7400000000002</v>
          </cell>
          <cell r="EV13">
            <v>33.04</v>
          </cell>
          <cell r="FA13">
            <v>4491.4311331999988</v>
          </cell>
          <cell r="FB13">
            <v>21522.490082800003</v>
          </cell>
          <cell r="FC13">
            <v>0</v>
          </cell>
          <cell r="FD13">
            <v>673.4364701999998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149846.44085370001</v>
          </cell>
          <cell r="FL13">
            <v>0</v>
          </cell>
          <cell r="FM13">
            <v>4484.3818850999996</v>
          </cell>
          <cell r="FN13">
            <v>0</v>
          </cell>
          <cell r="FO13">
            <v>51484.039399999994</v>
          </cell>
          <cell r="FP13">
            <v>62284.293568400004</v>
          </cell>
          <cell r="FQ13">
            <v>0</v>
          </cell>
          <cell r="FR13">
            <v>12098.856899999999</v>
          </cell>
          <cell r="FS13">
            <v>306885.37029340008</v>
          </cell>
          <cell r="FT13">
            <v>0</v>
          </cell>
          <cell r="GH13">
            <v>0</v>
          </cell>
          <cell r="GQ13">
            <v>0</v>
          </cell>
          <cell r="GR13">
            <v>0</v>
          </cell>
          <cell r="HQ13">
            <v>0</v>
          </cell>
          <cell r="HR13">
            <v>52934.776999999995</v>
          </cell>
          <cell r="HS13">
            <v>12629</v>
          </cell>
          <cell r="HT13">
            <v>14648</v>
          </cell>
          <cell r="HU13">
            <v>15301.43</v>
          </cell>
          <cell r="HV13">
            <v>7645</v>
          </cell>
          <cell r="HW13">
            <v>0</v>
          </cell>
          <cell r="HX13">
            <v>18604.400000000001</v>
          </cell>
          <cell r="HY13">
            <v>5351</v>
          </cell>
          <cell r="HZ13">
            <v>0</v>
          </cell>
          <cell r="IA13">
            <v>0</v>
          </cell>
          <cell r="IB13">
            <v>0</v>
          </cell>
          <cell r="IC13">
            <v>27726.42</v>
          </cell>
          <cell r="ID13">
            <v>10327.5</v>
          </cell>
          <cell r="IE13">
            <v>104215.45</v>
          </cell>
          <cell r="IF13">
            <v>10901</v>
          </cell>
          <cell r="IG13">
            <v>43817.700000000004</v>
          </cell>
          <cell r="IH13">
            <v>1386.82</v>
          </cell>
          <cell r="II13">
            <v>18824.39</v>
          </cell>
          <cell r="IJ13">
            <v>465.65</v>
          </cell>
          <cell r="IK13">
            <v>64167.47</v>
          </cell>
          <cell r="IL13">
            <v>36072.68373886343</v>
          </cell>
          <cell r="IM13">
            <v>0</v>
          </cell>
          <cell r="IN13">
            <v>19616.990000000002</v>
          </cell>
          <cell r="IO13">
            <v>253802.4</v>
          </cell>
          <cell r="IP13">
            <v>718438.08073886356</v>
          </cell>
          <cell r="IQ13">
            <v>0</v>
          </cell>
          <cell r="IR13">
            <v>29415.823294799997</v>
          </cell>
          <cell r="IS13">
            <v>0</v>
          </cell>
          <cell r="IT13">
            <v>5341.4253866999998</v>
          </cell>
          <cell r="IU13">
            <v>0</v>
          </cell>
          <cell r="IV13">
            <v>34757.248681499994</v>
          </cell>
          <cell r="IW13">
            <v>23147.16</v>
          </cell>
          <cell r="JA13">
            <v>23147.16</v>
          </cell>
          <cell r="JH13">
            <v>2082.48</v>
          </cell>
          <cell r="JI13">
            <v>11646.18</v>
          </cell>
          <cell r="JK13">
            <v>3266.46</v>
          </cell>
          <cell r="JL13">
            <v>6152.04</v>
          </cell>
          <cell r="JO13">
            <v>23147.16</v>
          </cell>
          <cell r="JP13">
            <v>0</v>
          </cell>
          <cell r="JQ13">
            <v>90796.883026700001</v>
          </cell>
          <cell r="JR13">
            <v>0</v>
          </cell>
          <cell r="JS13">
            <v>54868.032932299997</v>
          </cell>
          <cell r="JT13">
            <v>0</v>
          </cell>
          <cell r="JU13">
            <v>0</v>
          </cell>
          <cell r="JV13">
            <v>145664.91595900001</v>
          </cell>
          <cell r="JW13">
            <v>7958.0829999999996</v>
          </cell>
          <cell r="JY13">
            <v>15752.65</v>
          </cell>
        </row>
        <row r="14">
          <cell r="A14">
            <v>41702</v>
          </cell>
          <cell r="B14">
            <v>11899.459999999997</v>
          </cell>
          <cell r="D14">
            <v>12175.380000000001</v>
          </cell>
          <cell r="F14">
            <v>24074.839999999997</v>
          </cell>
          <cell r="U14">
            <v>24074.839999999997</v>
          </cell>
          <cell r="X14">
            <v>464.6</v>
          </cell>
          <cell r="Z14">
            <v>464.6</v>
          </cell>
          <cell r="AA14">
            <v>24539.439999999995</v>
          </cell>
          <cell r="AB14">
            <v>246047</v>
          </cell>
          <cell r="AD14">
            <v>17096.774193548386</v>
          </cell>
          <cell r="AE14">
            <v>25181.900000000373</v>
          </cell>
          <cell r="AF14">
            <v>-1107.060000000376</v>
          </cell>
          <cell r="AG14">
            <v>1086164.2599999998</v>
          </cell>
          <cell r="AH14">
            <v>0</v>
          </cell>
          <cell r="AI14">
            <v>24074.84</v>
          </cell>
          <cell r="AJ14">
            <v>22064.3</v>
          </cell>
          <cell r="AK14">
            <v>22064.3</v>
          </cell>
          <cell r="AL14">
            <v>0</v>
          </cell>
          <cell r="AM14">
            <v>7502.7600000000011</v>
          </cell>
          <cell r="AN14">
            <v>1343.46</v>
          </cell>
          <cell r="AO14">
            <v>18.420000000000002</v>
          </cell>
          <cell r="AP14">
            <v>3853.82</v>
          </cell>
          <cell r="AQ14">
            <v>1014.18</v>
          </cell>
          <cell r="AR14">
            <v>1250.8400000000001</v>
          </cell>
          <cell r="AS14">
            <v>22.04</v>
          </cell>
          <cell r="AT14">
            <v>14561.539999999999</v>
          </cell>
          <cell r="AU14">
            <v>656.12</v>
          </cell>
          <cell r="AV14">
            <v>513.44000000000005</v>
          </cell>
          <cell r="AZ14">
            <v>207.52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W14">
            <v>0</v>
          </cell>
          <cell r="BY14">
            <v>0</v>
          </cell>
          <cell r="CA14">
            <v>0</v>
          </cell>
          <cell r="CB14">
            <v>0</v>
          </cell>
          <cell r="CC14">
            <v>0</v>
          </cell>
          <cell r="CS14">
            <v>27.03</v>
          </cell>
          <cell r="CT14">
            <v>666.86</v>
          </cell>
          <cell r="CU14">
            <v>5354.16</v>
          </cell>
          <cell r="DA14">
            <v>446.32</v>
          </cell>
          <cell r="DB14">
            <v>6302.12</v>
          </cell>
          <cell r="DL14">
            <v>387.97</v>
          </cell>
          <cell r="DP14">
            <v>16572.079999999998</v>
          </cell>
          <cell r="DQ14">
            <v>3095</v>
          </cell>
          <cell r="DR14">
            <v>191.4</v>
          </cell>
          <cell r="EK14">
            <v>10650.16</v>
          </cell>
          <cell r="EL14">
            <v>2635.52</v>
          </cell>
          <cell r="FA14">
            <v>2052.5511331999987</v>
          </cell>
          <cell r="FB14">
            <v>21844.5300828</v>
          </cell>
          <cell r="FC14">
            <v>0</v>
          </cell>
          <cell r="FD14">
            <v>673.4364701999998</v>
          </cell>
          <cell r="FE14">
            <v>0</v>
          </cell>
          <cell r="FF14">
            <v>207.52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149846.44085370001</v>
          </cell>
          <cell r="FL14">
            <v>0</v>
          </cell>
          <cell r="FM14">
            <v>4484.3818850999996</v>
          </cell>
          <cell r="FN14">
            <v>0</v>
          </cell>
          <cell r="FO14">
            <v>46881.929399999994</v>
          </cell>
          <cell r="FP14">
            <v>66397.213568399995</v>
          </cell>
          <cell r="FQ14">
            <v>0</v>
          </cell>
          <cell r="FR14">
            <v>12486.826899999998</v>
          </cell>
          <cell r="FS14">
            <v>304874.83029339998</v>
          </cell>
          <cell r="FT14">
            <v>36</v>
          </cell>
          <cell r="GH14">
            <v>0</v>
          </cell>
          <cell r="GQ14">
            <v>0</v>
          </cell>
          <cell r="GR14">
            <v>36</v>
          </cell>
          <cell r="GY14">
            <v>679.84</v>
          </cell>
          <cell r="HQ14">
            <v>679.84</v>
          </cell>
          <cell r="HR14">
            <v>52970.776999999995</v>
          </cell>
          <cell r="HS14">
            <v>12629</v>
          </cell>
          <cell r="HT14">
            <v>14648</v>
          </cell>
          <cell r="HU14">
            <v>15301.43</v>
          </cell>
          <cell r="HV14">
            <v>7645</v>
          </cell>
          <cell r="HW14">
            <v>0</v>
          </cell>
          <cell r="HX14">
            <v>17924.560000000001</v>
          </cell>
          <cell r="HY14">
            <v>5351</v>
          </cell>
          <cell r="HZ14">
            <v>0</v>
          </cell>
          <cell r="IA14">
            <v>0</v>
          </cell>
          <cell r="IB14">
            <v>0</v>
          </cell>
          <cell r="IC14">
            <v>27726.42</v>
          </cell>
          <cell r="ID14">
            <v>10327.5</v>
          </cell>
          <cell r="IE14">
            <v>104215.45</v>
          </cell>
          <cell r="IF14">
            <v>10901</v>
          </cell>
          <cell r="IG14">
            <v>43817.700000000004</v>
          </cell>
          <cell r="IH14">
            <v>1386.82</v>
          </cell>
          <cell r="II14">
            <v>18824.39</v>
          </cell>
          <cell r="IJ14">
            <v>465.65</v>
          </cell>
          <cell r="IK14">
            <v>64167.47</v>
          </cell>
          <cell r="IL14">
            <v>36072.68373886343</v>
          </cell>
          <cell r="IM14">
            <v>0</v>
          </cell>
          <cell r="IN14">
            <v>19616.990000000002</v>
          </cell>
          <cell r="IO14">
            <v>253802.4</v>
          </cell>
          <cell r="IP14">
            <v>717794.24073886347</v>
          </cell>
          <cell r="IQ14">
            <v>215.24</v>
          </cell>
          <cell r="IR14">
            <v>16847.143294799993</v>
          </cell>
          <cell r="IS14">
            <v>0</v>
          </cell>
          <cell r="IT14">
            <v>17981.4053867</v>
          </cell>
          <cell r="IU14">
            <v>0</v>
          </cell>
          <cell r="IV14">
            <v>34828.548681499989</v>
          </cell>
          <cell r="IW14">
            <v>24468.14</v>
          </cell>
          <cell r="JA14">
            <v>24468.14</v>
          </cell>
          <cell r="JH14">
            <v>2241.98</v>
          </cell>
          <cell r="JI14">
            <v>11303.52</v>
          </cell>
          <cell r="JK14">
            <v>4320.8799999999992</v>
          </cell>
          <cell r="JL14">
            <v>6601.76</v>
          </cell>
          <cell r="JO14">
            <v>24468.14</v>
          </cell>
          <cell r="JP14">
            <v>0</v>
          </cell>
          <cell r="JQ14">
            <v>100502.6450267</v>
          </cell>
          <cell r="JR14">
            <v>0</v>
          </cell>
          <cell r="JS14">
            <v>46277.4389323</v>
          </cell>
          <cell r="JT14">
            <v>0</v>
          </cell>
          <cell r="JU14">
            <v>0</v>
          </cell>
          <cell r="JV14">
            <v>146780.08395900001</v>
          </cell>
          <cell r="JW14">
            <v>14762.378000000001</v>
          </cell>
          <cell r="JY14">
            <v>8590.5939999999991</v>
          </cell>
        </row>
        <row r="15">
          <cell r="A15">
            <v>41703</v>
          </cell>
          <cell r="B15">
            <v>10279.43</v>
          </cell>
          <cell r="D15">
            <v>11634.130000000001</v>
          </cell>
          <cell r="F15">
            <v>21913.56</v>
          </cell>
          <cell r="U15">
            <v>21913.56</v>
          </cell>
          <cell r="Z15">
            <v>0</v>
          </cell>
          <cell r="AA15">
            <v>21913.56</v>
          </cell>
          <cell r="AB15">
            <v>213477</v>
          </cell>
          <cell r="AD15">
            <v>17096.774193548386</v>
          </cell>
          <cell r="AE15">
            <v>22765.899999999907</v>
          </cell>
          <cell r="AF15">
            <v>-852.33999999990556</v>
          </cell>
          <cell r="AG15">
            <v>1108930.1599999997</v>
          </cell>
          <cell r="AH15">
            <v>0</v>
          </cell>
          <cell r="AI15">
            <v>21913.559999999998</v>
          </cell>
          <cell r="AJ15">
            <v>21515.98</v>
          </cell>
          <cell r="AK15">
            <v>21515.98</v>
          </cell>
          <cell r="AL15">
            <v>0</v>
          </cell>
          <cell r="AM15">
            <v>5016.62</v>
          </cell>
          <cell r="AP15">
            <v>3320.38</v>
          </cell>
          <cell r="AQ15">
            <v>582.04</v>
          </cell>
          <cell r="AR15">
            <v>1114.1999999999998</v>
          </cell>
          <cell r="AT15">
            <v>16499.36</v>
          </cell>
          <cell r="AV15">
            <v>3167.62</v>
          </cell>
          <cell r="AX15">
            <v>26.94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W15">
            <v>0</v>
          </cell>
          <cell r="BY15">
            <v>0</v>
          </cell>
          <cell r="CA15">
            <v>0</v>
          </cell>
          <cell r="CB15">
            <v>0</v>
          </cell>
          <cell r="CC15">
            <v>0</v>
          </cell>
          <cell r="CS15">
            <v>26.26</v>
          </cell>
          <cell r="CT15">
            <v>2019.34</v>
          </cell>
          <cell r="CU15">
            <v>4136.9400000000005</v>
          </cell>
          <cell r="DA15">
            <v>2791.41</v>
          </cell>
          <cell r="DB15">
            <v>4330.8500000000004</v>
          </cell>
          <cell r="DP15">
            <v>16896.939999999999</v>
          </cell>
          <cell r="DQ15">
            <v>2244.2800000000002</v>
          </cell>
          <cell r="DR15">
            <v>2148.8000000000002</v>
          </cell>
          <cell r="EK15">
            <v>9969.58</v>
          </cell>
          <cell r="EL15">
            <v>2534.2799999999997</v>
          </cell>
          <cell r="FA15">
            <v>0</v>
          </cell>
          <cell r="FB15">
            <v>22863.3500828</v>
          </cell>
          <cell r="FC15">
            <v>0</v>
          </cell>
          <cell r="FD15">
            <v>700.37647019999986</v>
          </cell>
          <cell r="FE15">
            <v>0</v>
          </cell>
          <cell r="FF15">
            <v>207.52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149846.44085370001</v>
          </cell>
          <cell r="FL15">
            <v>0</v>
          </cell>
          <cell r="FM15">
            <v>4484.3818850999996</v>
          </cell>
          <cell r="FN15">
            <v>0</v>
          </cell>
          <cell r="FO15">
            <v>43094.889399999993</v>
          </cell>
          <cell r="FP15">
            <v>70985.193568399991</v>
          </cell>
          <cell r="FQ15">
            <v>0</v>
          </cell>
          <cell r="FR15">
            <v>12486.826899999998</v>
          </cell>
          <cell r="FS15">
            <v>304668.97916019999</v>
          </cell>
          <cell r="FT15">
            <v>54</v>
          </cell>
          <cell r="GF15">
            <v>57</v>
          </cell>
          <cell r="GH15">
            <v>128</v>
          </cell>
          <cell r="GQ15">
            <v>1392.3</v>
          </cell>
          <cell r="GR15">
            <v>1631.3</v>
          </cell>
          <cell r="HQ15">
            <v>0</v>
          </cell>
          <cell r="HR15">
            <v>53024.776999999995</v>
          </cell>
          <cell r="HS15">
            <v>12629</v>
          </cell>
          <cell r="HT15">
            <v>14648</v>
          </cell>
          <cell r="HU15">
            <v>15301.43</v>
          </cell>
          <cell r="HV15">
            <v>7645</v>
          </cell>
          <cell r="HW15">
            <v>0</v>
          </cell>
          <cell r="HX15">
            <v>17924.560000000001</v>
          </cell>
          <cell r="HY15">
            <v>5351</v>
          </cell>
          <cell r="HZ15">
            <v>0</v>
          </cell>
          <cell r="IA15">
            <v>0</v>
          </cell>
          <cell r="IB15">
            <v>0</v>
          </cell>
          <cell r="IC15">
            <v>27726.42</v>
          </cell>
          <cell r="ID15">
            <v>10384.5</v>
          </cell>
          <cell r="IE15">
            <v>104215.45</v>
          </cell>
          <cell r="IF15">
            <v>11029</v>
          </cell>
          <cell r="IG15">
            <v>43817.700000000004</v>
          </cell>
          <cell r="IH15">
            <v>1386.82</v>
          </cell>
          <cell r="II15">
            <v>18824.39</v>
          </cell>
          <cell r="IJ15">
            <v>465.65</v>
          </cell>
          <cell r="IK15">
            <v>64167.47</v>
          </cell>
          <cell r="IL15">
            <v>36072.68373886343</v>
          </cell>
          <cell r="IM15">
            <v>0</v>
          </cell>
          <cell r="IN15">
            <v>19616.990000000002</v>
          </cell>
          <cell r="IO15">
            <v>255194.69999999998</v>
          </cell>
          <cell r="IP15">
            <v>719425.5407388634</v>
          </cell>
          <cell r="IQ15">
            <v>215.24</v>
          </cell>
          <cell r="IR15">
            <v>16968.353294799992</v>
          </cell>
          <cell r="IS15">
            <v>0</v>
          </cell>
          <cell r="IT15">
            <v>18434.515386700001</v>
          </cell>
          <cell r="IU15">
            <v>0</v>
          </cell>
          <cell r="IV15">
            <v>35402.868681499996</v>
          </cell>
          <cell r="IW15">
            <v>10158.219999999999</v>
          </cell>
          <cell r="IY15">
            <v>11181.02</v>
          </cell>
          <cell r="JA15">
            <v>21339.239999999998</v>
          </cell>
          <cell r="JH15">
            <v>2816.56</v>
          </cell>
          <cell r="JI15">
            <v>10503.94</v>
          </cell>
          <cell r="JK15">
            <v>1959</v>
          </cell>
          <cell r="JL15">
            <v>6059.74</v>
          </cell>
          <cell r="JO15">
            <v>21339.239999999998</v>
          </cell>
          <cell r="JP15">
            <v>0</v>
          </cell>
          <cell r="JQ15">
            <v>103231.1710267</v>
          </cell>
          <cell r="JR15">
            <v>0</v>
          </cell>
          <cell r="JS15">
            <v>50033.271932299998</v>
          </cell>
          <cell r="JT15">
            <v>0</v>
          </cell>
          <cell r="JU15">
            <v>0</v>
          </cell>
          <cell r="JV15">
            <v>153264.44295900001</v>
          </cell>
          <cell r="JW15">
            <v>7429.6940000000004</v>
          </cell>
          <cell r="JY15">
            <v>7425.1869999999999</v>
          </cell>
        </row>
        <row r="16">
          <cell r="A16">
            <v>41704</v>
          </cell>
          <cell r="B16">
            <v>25201.84</v>
          </cell>
          <cell r="F16">
            <v>25201.84</v>
          </cell>
          <cell r="U16">
            <v>25201.84</v>
          </cell>
          <cell r="V16">
            <v>227.56</v>
          </cell>
          <cell r="Z16">
            <v>227.56</v>
          </cell>
          <cell r="AA16">
            <v>25429.4</v>
          </cell>
          <cell r="AB16">
            <v>226747</v>
          </cell>
          <cell r="AD16">
            <v>17096.774193548386</v>
          </cell>
          <cell r="AE16">
            <v>26352.5</v>
          </cell>
          <cell r="AF16">
            <v>-1150.6599999999999</v>
          </cell>
          <cell r="AG16">
            <v>1135282.6599999997</v>
          </cell>
          <cell r="AH16">
            <v>0</v>
          </cell>
          <cell r="AI16">
            <v>25201.840000000004</v>
          </cell>
          <cell r="AJ16">
            <v>23796.949999999997</v>
          </cell>
          <cell r="AK16">
            <v>23796.949999999997</v>
          </cell>
          <cell r="AL16">
            <v>0</v>
          </cell>
          <cell r="AM16">
            <v>9208.4</v>
          </cell>
          <cell r="AN16">
            <v>1369.24</v>
          </cell>
          <cell r="AO16">
            <v>1849.68</v>
          </cell>
          <cell r="AP16">
            <v>3741.9999999999995</v>
          </cell>
          <cell r="AQ16">
            <v>980.98</v>
          </cell>
          <cell r="AR16">
            <v>1266.5</v>
          </cell>
          <cell r="AT16">
            <v>14588.55</v>
          </cell>
          <cell r="AU16">
            <v>858.46</v>
          </cell>
          <cell r="AV16">
            <v>106.06</v>
          </cell>
          <cell r="AX16">
            <v>70.44</v>
          </cell>
          <cell r="AZ16">
            <v>43.9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W16">
            <v>0</v>
          </cell>
          <cell r="BY16">
            <v>0</v>
          </cell>
          <cell r="CA16">
            <v>0</v>
          </cell>
          <cell r="CB16">
            <v>0</v>
          </cell>
          <cell r="CC16">
            <v>0</v>
          </cell>
          <cell r="CS16">
            <v>1121.8499999999999</v>
          </cell>
          <cell r="CT16">
            <v>2245.8999999999996</v>
          </cell>
          <cell r="CU16">
            <v>4380.7700000000004</v>
          </cell>
          <cell r="DA16">
            <v>1241.05</v>
          </cell>
          <cell r="DB16">
            <v>4520.12</v>
          </cell>
          <cell r="DP16">
            <v>15993.440000000002</v>
          </cell>
          <cell r="DR16">
            <v>3464.38</v>
          </cell>
          <cell r="EK16">
            <v>7092.68</v>
          </cell>
          <cell r="EL16">
            <v>5436.38</v>
          </cell>
          <cell r="EW16">
            <v>33.08</v>
          </cell>
          <cell r="FA16">
            <v>858.46</v>
          </cell>
          <cell r="FB16">
            <v>19505.0300828</v>
          </cell>
          <cell r="FC16">
            <v>0</v>
          </cell>
          <cell r="FD16">
            <v>770.81647019999991</v>
          </cell>
          <cell r="FE16">
            <v>33.08</v>
          </cell>
          <cell r="FF16">
            <v>251.42000000000002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K16">
            <v>149846.44085370001</v>
          </cell>
          <cell r="FL16">
            <v>0</v>
          </cell>
          <cell r="FM16">
            <v>4484.3818850999996</v>
          </cell>
          <cell r="FN16">
            <v>0</v>
          </cell>
          <cell r="FO16">
            <v>43750.729399999989</v>
          </cell>
          <cell r="FP16">
            <v>71276.903568399983</v>
          </cell>
          <cell r="FQ16">
            <v>0</v>
          </cell>
          <cell r="FR16">
            <v>12486.826899999998</v>
          </cell>
          <cell r="FS16">
            <v>303264.08916019998</v>
          </cell>
          <cell r="FT16">
            <v>0</v>
          </cell>
          <cell r="GH16">
            <v>288</v>
          </cell>
          <cell r="GQ16">
            <v>878.89999999999986</v>
          </cell>
          <cell r="GR16">
            <v>1166.8999999999999</v>
          </cell>
          <cell r="GY16">
            <v>414.92</v>
          </cell>
          <cell r="HQ16">
            <v>414.92</v>
          </cell>
          <cell r="HR16">
            <v>53024.776999999995</v>
          </cell>
          <cell r="HS16">
            <v>12629</v>
          </cell>
          <cell r="HT16">
            <v>14648</v>
          </cell>
          <cell r="HU16">
            <v>15301.43</v>
          </cell>
          <cell r="HV16">
            <v>7645</v>
          </cell>
          <cell r="HW16">
            <v>0</v>
          </cell>
          <cell r="HX16">
            <v>17509.640000000003</v>
          </cell>
          <cell r="HY16">
            <v>5351</v>
          </cell>
          <cell r="HZ16">
            <v>0</v>
          </cell>
          <cell r="IA16">
            <v>0</v>
          </cell>
          <cell r="IB16">
            <v>0</v>
          </cell>
          <cell r="IC16">
            <v>27726.42</v>
          </cell>
          <cell r="ID16">
            <v>10384.5</v>
          </cell>
          <cell r="IE16">
            <v>104215.45</v>
          </cell>
          <cell r="IF16">
            <v>11317</v>
          </cell>
          <cell r="IG16">
            <v>43817.700000000004</v>
          </cell>
          <cell r="IH16">
            <v>1386.82</v>
          </cell>
          <cell r="II16">
            <v>18824.39</v>
          </cell>
          <cell r="IJ16">
            <v>465.65</v>
          </cell>
          <cell r="IK16">
            <v>64167.47</v>
          </cell>
          <cell r="IL16">
            <v>36072.68373886343</v>
          </cell>
          <cell r="IM16">
            <v>0</v>
          </cell>
          <cell r="IN16">
            <v>19616.990000000002</v>
          </cell>
          <cell r="IO16">
            <v>256073.59999999998</v>
          </cell>
          <cell r="IP16">
            <v>720177.5207388635</v>
          </cell>
          <cell r="IQ16">
            <v>402.60000000000008</v>
          </cell>
          <cell r="IR16">
            <v>34851.27329479999</v>
          </cell>
          <cell r="IS16">
            <v>0</v>
          </cell>
          <cell r="IT16">
            <v>6361.4153867000005</v>
          </cell>
          <cell r="IU16">
            <v>0</v>
          </cell>
          <cell r="IV16">
            <v>41212.688681499989</v>
          </cell>
          <cell r="IW16">
            <v>7546.48</v>
          </cell>
          <cell r="IY16">
            <v>12073.1</v>
          </cell>
          <cell r="JA16">
            <v>19619.580000000002</v>
          </cell>
          <cell r="JH16">
            <v>1666.42</v>
          </cell>
          <cell r="JI16">
            <v>9815.86</v>
          </cell>
          <cell r="JK16">
            <v>3451.66</v>
          </cell>
          <cell r="JL16">
            <v>4685.6400000000003</v>
          </cell>
          <cell r="JO16">
            <v>19619.580000000002</v>
          </cell>
          <cell r="JP16">
            <v>0</v>
          </cell>
          <cell r="JQ16">
            <v>85315.087026699999</v>
          </cell>
          <cell r="JR16">
            <v>0</v>
          </cell>
          <cell r="JS16">
            <v>54628.121932299997</v>
          </cell>
          <cell r="JT16">
            <v>0</v>
          </cell>
          <cell r="JU16">
            <v>0</v>
          </cell>
          <cell r="JV16">
            <v>139943.20895900001</v>
          </cell>
          <cell r="JW16">
            <v>25462.563999999998</v>
          </cell>
          <cell r="JY16">
            <v>7478.25</v>
          </cell>
        </row>
        <row r="17">
          <cell r="A17">
            <v>41705</v>
          </cell>
          <cell r="B17">
            <v>24683.019999999997</v>
          </cell>
          <cell r="F17">
            <v>24683.019999999997</v>
          </cell>
          <cell r="U17">
            <v>24683.019999999997</v>
          </cell>
          <cell r="V17">
            <v>350.74</v>
          </cell>
          <cell r="Z17">
            <v>350.74</v>
          </cell>
          <cell r="AA17">
            <v>25033.759999999998</v>
          </cell>
          <cell r="AB17">
            <v>231730.5</v>
          </cell>
          <cell r="AD17">
            <v>17096.774193548386</v>
          </cell>
          <cell r="AE17">
            <v>25765.199999999721</v>
          </cell>
          <cell r="AF17">
            <v>-1082.1799999997238</v>
          </cell>
          <cell r="AG17">
            <v>1161047.8599999994</v>
          </cell>
          <cell r="AH17">
            <v>0</v>
          </cell>
          <cell r="AI17">
            <v>24683.020000000004</v>
          </cell>
          <cell r="AJ17">
            <v>24484.120000000003</v>
          </cell>
          <cell r="AK17">
            <v>24484.120000000003</v>
          </cell>
          <cell r="AL17">
            <v>0</v>
          </cell>
          <cell r="AM17">
            <v>9838.2800000000007</v>
          </cell>
          <cell r="AN17">
            <v>2369.5200000000004</v>
          </cell>
          <cell r="AO17">
            <v>1642.6000000000001</v>
          </cell>
          <cell r="AP17">
            <v>2650.6</v>
          </cell>
          <cell r="AQ17">
            <v>1924.7199999999998</v>
          </cell>
          <cell r="AR17">
            <v>1250.8400000000001</v>
          </cell>
          <cell r="AT17">
            <v>14645.840000000002</v>
          </cell>
          <cell r="AU17">
            <v>284.3</v>
          </cell>
          <cell r="AV17">
            <v>105.69999999999999</v>
          </cell>
          <cell r="AX17">
            <v>169.17999999999998</v>
          </cell>
          <cell r="AY17">
            <v>193.56</v>
          </cell>
          <cell r="AZ17">
            <v>203.36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W17">
            <v>0</v>
          </cell>
          <cell r="BY17">
            <v>0</v>
          </cell>
          <cell r="CA17">
            <v>0</v>
          </cell>
          <cell r="CB17">
            <v>0</v>
          </cell>
          <cell r="CC17">
            <v>0</v>
          </cell>
          <cell r="CS17">
            <v>6541.2000000000007</v>
          </cell>
          <cell r="CT17">
            <v>1561.96</v>
          </cell>
          <cell r="CU17">
            <v>3664.35</v>
          </cell>
          <cell r="DA17">
            <v>368.74</v>
          </cell>
          <cell r="DB17">
            <v>1553.49</v>
          </cell>
          <cell r="DP17">
            <v>14844.740000000002</v>
          </cell>
          <cell r="DR17">
            <v>3321.2799999999997</v>
          </cell>
          <cell r="DV17">
            <v>309.56</v>
          </cell>
          <cell r="EK17">
            <v>6750.42</v>
          </cell>
          <cell r="EL17">
            <v>4463.4800000000005</v>
          </cell>
          <cell r="FA17">
            <v>1142.76</v>
          </cell>
          <cell r="FB17">
            <v>16289.450082800002</v>
          </cell>
          <cell r="FC17">
            <v>0</v>
          </cell>
          <cell r="FD17">
            <v>939.99647019999986</v>
          </cell>
          <cell r="FE17">
            <v>226.64</v>
          </cell>
          <cell r="FF17">
            <v>145.22000000000003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149846.44085370001</v>
          </cell>
          <cell r="FL17">
            <v>0</v>
          </cell>
          <cell r="FM17">
            <v>4484.3818850999996</v>
          </cell>
          <cell r="FN17">
            <v>0</v>
          </cell>
          <cell r="FO17">
            <v>48767.819399999993</v>
          </cell>
          <cell r="FP17">
            <v>68735.653568399983</v>
          </cell>
          <cell r="FQ17">
            <v>0</v>
          </cell>
          <cell r="FR17">
            <v>12486.826899999998</v>
          </cell>
          <cell r="FS17">
            <v>303065.18916019995</v>
          </cell>
          <cell r="FT17">
            <v>225</v>
          </cell>
          <cell r="GH17">
            <v>0</v>
          </cell>
          <cell r="GQ17">
            <v>785.4</v>
          </cell>
          <cell r="GR17">
            <v>1010.4</v>
          </cell>
          <cell r="GY17">
            <v>566.72</v>
          </cell>
          <cell r="HQ17">
            <v>566.72</v>
          </cell>
          <cell r="HR17">
            <v>53249.776999999995</v>
          </cell>
          <cell r="HS17">
            <v>12629</v>
          </cell>
          <cell r="HT17">
            <v>14648</v>
          </cell>
          <cell r="HU17">
            <v>15301.43</v>
          </cell>
          <cell r="HV17">
            <v>7645</v>
          </cell>
          <cell r="HW17">
            <v>0</v>
          </cell>
          <cell r="HX17">
            <v>16942.920000000002</v>
          </cell>
          <cell r="HY17">
            <v>5351</v>
          </cell>
          <cell r="HZ17">
            <v>0</v>
          </cell>
          <cell r="IA17">
            <v>0</v>
          </cell>
          <cell r="IB17">
            <v>0</v>
          </cell>
          <cell r="IC17">
            <v>27726.42</v>
          </cell>
          <cell r="ID17">
            <v>10384.5</v>
          </cell>
          <cell r="IE17">
            <v>104215.45</v>
          </cell>
          <cell r="IF17">
            <v>11317</v>
          </cell>
          <cell r="IG17">
            <v>43817.700000000004</v>
          </cell>
          <cell r="IH17">
            <v>1386.82</v>
          </cell>
          <cell r="II17">
            <v>18824.39</v>
          </cell>
          <cell r="IJ17">
            <v>465.65</v>
          </cell>
          <cell r="IK17">
            <v>64167.47</v>
          </cell>
          <cell r="IL17">
            <v>36072.68373886343</v>
          </cell>
          <cell r="IM17">
            <v>0</v>
          </cell>
          <cell r="IN17">
            <v>19616.990000000002</v>
          </cell>
          <cell r="IO17">
            <v>256858.99999999997</v>
          </cell>
          <cell r="IP17">
            <v>720621.20073886344</v>
          </cell>
          <cell r="IQ17">
            <v>618.58000000000015</v>
          </cell>
          <cell r="IR17">
            <v>45296.793294799987</v>
          </cell>
          <cell r="IS17">
            <v>0</v>
          </cell>
          <cell r="IT17">
            <v>6361.4153867000005</v>
          </cell>
          <cell r="IU17">
            <v>0</v>
          </cell>
          <cell r="IV17">
            <v>51658.208681499986</v>
          </cell>
          <cell r="IW17">
            <v>14588.24</v>
          </cell>
          <cell r="JA17">
            <v>14588.24</v>
          </cell>
          <cell r="JH17">
            <v>1334.58</v>
          </cell>
          <cell r="JI17">
            <v>8030.4</v>
          </cell>
          <cell r="JK17">
            <v>3284.12</v>
          </cell>
          <cell r="JL17">
            <v>1939.1399999999999</v>
          </cell>
          <cell r="JO17">
            <v>14588.239999999998</v>
          </cell>
          <cell r="JP17">
            <v>0</v>
          </cell>
          <cell r="JQ17">
            <v>77630.3940267</v>
          </cell>
          <cell r="JR17">
            <v>0</v>
          </cell>
          <cell r="JS17">
            <v>47051.362932299999</v>
          </cell>
          <cell r="JT17">
            <v>0</v>
          </cell>
          <cell r="JU17">
            <v>0</v>
          </cell>
          <cell r="JV17">
            <v>124681.75695899999</v>
          </cell>
          <cell r="JW17">
            <v>22272.933000000001</v>
          </cell>
          <cell r="JY17">
            <v>7576.759</v>
          </cell>
        </row>
        <row r="18">
          <cell r="A18">
            <v>41706</v>
          </cell>
          <cell r="B18">
            <v>24796.9</v>
          </cell>
          <cell r="F18">
            <v>24796.9</v>
          </cell>
          <cell r="U18">
            <v>24796.9</v>
          </cell>
          <cell r="V18">
            <v>375.48</v>
          </cell>
          <cell r="Z18">
            <v>375.48</v>
          </cell>
          <cell r="AA18">
            <v>25172.38</v>
          </cell>
          <cell r="AB18">
            <v>242344.9</v>
          </cell>
          <cell r="AD18">
            <v>17096.774193548386</v>
          </cell>
          <cell r="AE18">
            <v>25933.400000000373</v>
          </cell>
          <cell r="AF18">
            <v>-1136.5000000003711</v>
          </cell>
          <cell r="AG18">
            <v>1186981.2599999998</v>
          </cell>
          <cell r="AH18">
            <v>0</v>
          </cell>
          <cell r="AI18">
            <v>24796.9</v>
          </cell>
          <cell r="AJ18">
            <v>26104.91</v>
          </cell>
          <cell r="AK18">
            <v>26104.91</v>
          </cell>
          <cell r="AL18">
            <v>0</v>
          </cell>
          <cell r="AM18">
            <v>10724.7</v>
          </cell>
          <cell r="AN18">
            <v>2674.4</v>
          </cell>
          <cell r="AO18">
            <v>2353.3200000000002</v>
          </cell>
          <cell r="AP18">
            <v>3822.7400000000002</v>
          </cell>
          <cell r="AQ18">
            <v>1025.06</v>
          </cell>
          <cell r="AR18">
            <v>804.24</v>
          </cell>
          <cell r="AS18">
            <v>44.94</v>
          </cell>
          <cell r="AT18">
            <v>15380.21</v>
          </cell>
          <cell r="AU18">
            <v>542.84</v>
          </cell>
          <cell r="AV18">
            <v>242.44</v>
          </cell>
          <cell r="AX18">
            <v>546.54</v>
          </cell>
          <cell r="AY18">
            <v>122.86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W18">
            <v>0</v>
          </cell>
          <cell r="BY18">
            <v>0</v>
          </cell>
          <cell r="CA18">
            <v>0</v>
          </cell>
          <cell r="CB18">
            <v>0</v>
          </cell>
          <cell r="CC18">
            <v>0</v>
          </cell>
          <cell r="CS18">
            <v>5498.46</v>
          </cell>
          <cell r="CT18">
            <v>331.54</v>
          </cell>
          <cell r="CU18">
            <v>4988.24</v>
          </cell>
          <cell r="DB18">
            <v>2708.5</v>
          </cell>
          <cell r="DL18">
            <v>398.79</v>
          </cell>
          <cell r="DP18">
            <v>14072.2</v>
          </cell>
          <cell r="DR18">
            <v>2754.34</v>
          </cell>
          <cell r="DT18">
            <v>305.60000000000002</v>
          </cell>
          <cell r="DU18">
            <v>213.14</v>
          </cell>
          <cell r="DV18">
            <v>166.64</v>
          </cell>
          <cell r="EK18">
            <v>6563.24</v>
          </cell>
          <cell r="EL18">
            <v>4069.2400000000007</v>
          </cell>
          <cell r="FA18">
            <v>1685.6</v>
          </cell>
          <cell r="FB18">
            <v>13777.5500828</v>
          </cell>
          <cell r="FC18">
            <v>0</v>
          </cell>
          <cell r="FD18">
            <v>1180.9364701999998</v>
          </cell>
          <cell r="FE18">
            <v>136.36000000000001</v>
          </cell>
          <cell r="FF18">
            <v>0</v>
          </cell>
          <cell r="FG18">
            <v>0</v>
          </cell>
          <cell r="FH18">
            <v>0</v>
          </cell>
          <cell r="FI18">
            <v>0</v>
          </cell>
          <cell r="FJ18">
            <v>0</v>
          </cell>
          <cell r="FK18">
            <v>149846.44085370001</v>
          </cell>
          <cell r="FL18">
            <v>0</v>
          </cell>
          <cell r="FM18">
            <v>4484.3818850999996</v>
          </cell>
          <cell r="FN18">
            <v>0</v>
          </cell>
          <cell r="FO18">
            <v>53022.819399999993</v>
          </cell>
          <cell r="FP18">
            <v>67374.913568399978</v>
          </cell>
          <cell r="FQ18">
            <v>0</v>
          </cell>
          <cell r="FR18">
            <v>12885.616899999999</v>
          </cell>
          <cell r="FS18">
            <v>304394.6191602</v>
          </cell>
          <cell r="FT18">
            <v>27</v>
          </cell>
          <cell r="GH18">
            <v>0</v>
          </cell>
          <cell r="GQ18">
            <v>214.2</v>
          </cell>
          <cell r="GR18">
            <v>241.2</v>
          </cell>
          <cell r="GY18">
            <v>599.85</v>
          </cell>
          <cell r="HQ18">
            <v>599.85</v>
          </cell>
          <cell r="HR18">
            <v>53276.776999999995</v>
          </cell>
          <cell r="HS18">
            <v>12629</v>
          </cell>
          <cell r="HT18">
            <v>14648</v>
          </cell>
          <cell r="HU18">
            <v>15301.43</v>
          </cell>
          <cell r="HV18">
            <v>7645</v>
          </cell>
          <cell r="HW18">
            <v>0</v>
          </cell>
          <cell r="HX18">
            <v>16343.070000000002</v>
          </cell>
          <cell r="HY18">
            <v>5351</v>
          </cell>
          <cell r="HZ18">
            <v>0</v>
          </cell>
          <cell r="IA18">
            <v>0</v>
          </cell>
          <cell r="IB18">
            <v>0</v>
          </cell>
          <cell r="IC18">
            <v>27726.42</v>
          </cell>
          <cell r="ID18">
            <v>10384.5</v>
          </cell>
          <cell r="IE18">
            <v>104215.45</v>
          </cell>
          <cell r="IF18">
            <v>11317</v>
          </cell>
          <cell r="IG18">
            <v>43817.700000000004</v>
          </cell>
          <cell r="IH18">
            <v>1386.82</v>
          </cell>
          <cell r="II18">
            <v>18824.39</v>
          </cell>
          <cell r="IJ18">
            <v>465.65</v>
          </cell>
          <cell r="IK18">
            <v>64167.47</v>
          </cell>
          <cell r="IL18">
            <v>36072.68373886343</v>
          </cell>
          <cell r="IM18">
            <v>0</v>
          </cell>
          <cell r="IN18">
            <v>19616.990000000002</v>
          </cell>
          <cell r="IO18">
            <v>257073.19999999998</v>
          </cell>
          <cell r="IP18">
            <v>720262.55073886341</v>
          </cell>
          <cell r="IQ18">
            <v>842.95000000000027</v>
          </cell>
          <cell r="IR18">
            <v>48307.573294799986</v>
          </cell>
          <cell r="IS18">
            <v>0</v>
          </cell>
          <cell r="IT18">
            <v>6361.4153867000005</v>
          </cell>
          <cell r="IU18">
            <v>0</v>
          </cell>
          <cell r="IV18">
            <v>54668.988681499985</v>
          </cell>
          <cell r="IW18">
            <v>22161.599999999999</v>
          </cell>
          <cell r="JA18">
            <v>22161.599999999999</v>
          </cell>
          <cell r="JH18">
            <v>1868.02</v>
          </cell>
          <cell r="JI18">
            <v>10341.94</v>
          </cell>
          <cell r="JK18">
            <v>3832.78</v>
          </cell>
          <cell r="JL18">
            <v>6118.8600000000006</v>
          </cell>
          <cell r="JO18">
            <v>22161.600000000002</v>
          </cell>
          <cell r="JP18">
            <v>0</v>
          </cell>
          <cell r="JQ18">
            <v>74077.707026700009</v>
          </cell>
          <cell r="JR18">
            <v>0</v>
          </cell>
          <cell r="JS18">
            <v>47051.362932299999</v>
          </cell>
          <cell r="JT18">
            <v>0</v>
          </cell>
          <cell r="JU18">
            <v>0</v>
          </cell>
          <cell r="JV18">
            <v>121129.06995900001</v>
          </cell>
          <cell r="JW18">
            <v>25714.286999999997</v>
          </cell>
        </row>
        <row r="19">
          <cell r="A19">
            <v>41707</v>
          </cell>
          <cell r="B19">
            <v>24431.690000000002</v>
          </cell>
          <cell r="F19">
            <v>24431.690000000002</v>
          </cell>
          <cell r="U19">
            <v>24431.690000000002</v>
          </cell>
          <cell r="V19">
            <v>248.16</v>
          </cell>
          <cell r="Z19">
            <v>248.16</v>
          </cell>
          <cell r="AA19">
            <v>24679.850000000002</v>
          </cell>
          <cell r="AB19">
            <v>200695.7</v>
          </cell>
          <cell r="AD19">
            <v>17096.774193548386</v>
          </cell>
          <cell r="AE19">
            <v>25352.299999999814</v>
          </cell>
          <cell r="AF19">
            <v>-920.60999999981141</v>
          </cell>
          <cell r="AG19">
            <v>1212333.5599999996</v>
          </cell>
          <cell r="AH19">
            <v>0</v>
          </cell>
          <cell r="AI19">
            <v>24431.690000000002</v>
          </cell>
          <cell r="AJ19">
            <v>24187.149999999998</v>
          </cell>
          <cell r="AK19">
            <v>24187.149999999998</v>
          </cell>
          <cell r="AL19">
            <v>0</v>
          </cell>
          <cell r="AM19">
            <v>10057.789999999999</v>
          </cell>
          <cell r="AN19">
            <v>2756.1400000000003</v>
          </cell>
          <cell r="AO19">
            <v>2145.6999999999998</v>
          </cell>
          <cell r="AP19">
            <v>4599.8899999999994</v>
          </cell>
          <cell r="AR19">
            <v>556.05999999999995</v>
          </cell>
          <cell r="AT19">
            <v>14129.359999999999</v>
          </cell>
          <cell r="AU19">
            <v>1684.62</v>
          </cell>
          <cell r="AV19">
            <v>497.5</v>
          </cell>
          <cell r="AX19">
            <v>335.62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W19">
            <v>0</v>
          </cell>
          <cell r="BY19">
            <v>0</v>
          </cell>
          <cell r="CA19">
            <v>0</v>
          </cell>
          <cell r="CB19">
            <v>0</v>
          </cell>
          <cell r="CC19">
            <v>0</v>
          </cell>
          <cell r="CS19">
            <v>1376.0300000000002</v>
          </cell>
          <cell r="CT19">
            <v>1303.29</v>
          </cell>
          <cell r="CU19">
            <v>5535.32</v>
          </cell>
          <cell r="DB19">
            <v>2169.8999999999996</v>
          </cell>
          <cell r="DL19">
            <v>1227.08</v>
          </cell>
          <cell r="DP19">
            <v>14373.900000000001</v>
          </cell>
          <cell r="DR19">
            <v>2367.98</v>
          </cell>
          <cell r="DT19">
            <v>939.06</v>
          </cell>
          <cell r="EK19">
            <v>6526.02</v>
          </cell>
          <cell r="EL19">
            <v>4540.84</v>
          </cell>
          <cell r="FA19">
            <v>3370.22</v>
          </cell>
          <cell r="FB19">
            <v>11907.070082800001</v>
          </cell>
          <cell r="FC19">
            <v>0</v>
          </cell>
          <cell r="FD19">
            <v>577.49647019999975</v>
          </cell>
          <cell r="FE19">
            <v>136.36000000000001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149846.44085370001</v>
          </cell>
          <cell r="FL19">
            <v>0</v>
          </cell>
          <cell r="FM19">
            <v>4484.3818850999996</v>
          </cell>
          <cell r="FN19">
            <v>0</v>
          </cell>
          <cell r="FO19">
            <v>54711.439399999988</v>
          </cell>
          <cell r="FP19">
            <v>65003.973568399975</v>
          </cell>
          <cell r="FQ19">
            <v>0</v>
          </cell>
          <cell r="FR19">
            <v>14112.696899999999</v>
          </cell>
          <cell r="FS19">
            <v>304150.07916019997</v>
          </cell>
          <cell r="FT19">
            <v>0</v>
          </cell>
          <cell r="FX19">
            <v>152</v>
          </cell>
          <cell r="GH19">
            <v>198</v>
          </cell>
          <cell r="GQ19">
            <v>1201.9000000000001</v>
          </cell>
          <cell r="GR19">
            <v>1551.9</v>
          </cell>
          <cell r="GY19">
            <v>432.1</v>
          </cell>
          <cell r="HQ19">
            <v>432.1</v>
          </cell>
          <cell r="HR19">
            <v>53276.776999999995</v>
          </cell>
          <cell r="HS19">
            <v>12629</v>
          </cell>
          <cell r="HT19">
            <v>14648</v>
          </cell>
          <cell r="HU19">
            <v>15301.43</v>
          </cell>
          <cell r="HV19">
            <v>7797</v>
          </cell>
          <cell r="HW19">
            <v>0</v>
          </cell>
          <cell r="HX19">
            <v>15910.970000000001</v>
          </cell>
          <cell r="HY19">
            <v>5351</v>
          </cell>
          <cell r="HZ19">
            <v>0</v>
          </cell>
          <cell r="IA19">
            <v>0</v>
          </cell>
          <cell r="IB19">
            <v>0</v>
          </cell>
          <cell r="IC19">
            <v>27726.42</v>
          </cell>
          <cell r="ID19">
            <v>10384.5</v>
          </cell>
          <cell r="IE19">
            <v>104215.45</v>
          </cell>
          <cell r="IF19">
            <v>11515</v>
          </cell>
          <cell r="IG19">
            <v>43817.700000000004</v>
          </cell>
          <cell r="IH19">
            <v>1386.82</v>
          </cell>
          <cell r="II19">
            <v>18824.39</v>
          </cell>
          <cell r="IJ19">
            <v>465.65</v>
          </cell>
          <cell r="IK19">
            <v>64167.47</v>
          </cell>
          <cell r="IL19">
            <v>36072.68373886343</v>
          </cell>
          <cell r="IM19">
            <v>0</v>
          </cell>
          <cell r="IN19">
            <v>19616.990000000002</v>
          </cell>
          <cell r="IO19">
            <v>258275.09999999998</v>
          </cell>
          <cell r="IP19">
            <v>721382.35073886346</v>
          </cell>
          <cell r="IQ19">
            <v>1026.8900000000001</v>
          </cell>
          <cell r="IR19">
            <v>51417.183294799979</v>
          </cell>
          <cell r="IS19">
            <v>0</v>
          </cell>
          <cell r="IT19">
            <v>6361.4153867000005</v>
          </cell>
          <cell r="IU19">
            <v>0</v>
          </cell>
          <cell r="IV19">
            <v>57778.598681499978</v>
          </cell>
          <cell r="IW19">
            <v>21570.240000000002</v>
          </cell>
          <cell r="JA19">
            <v>21570.240000000002</v>
          </cell>
          <cell r="JH19">
            <v>1867.74</v>
          </cell>
          <cell r="JI19">
            <v>9752.1</v>
          </cell>
          <cell r="JK19">
            <v>4746.5599999999995</v>
          </cell>
          <cell r="JL19">
            <v>5203.84</v>
          </cell>
          <cell r="JO19">
            <v>21570.239999999998</v>
          </cell>
          <cell r="JP19">
            <v>0</v>
          </cell>
          <cell r="JQ19">
            <v>54824.661026700014</v>
          </cell>
          <cell r="JR19">
            <v>0</v>
          </cell>
          <cell r="JS19">
            <v>47051.362932299999</v>
          </cell>
          <cell r="JT19">
            <v>0</v>
          </cell>
          <cell r="JU19">
            <v>0</v>
          </cell>
          <cell r="JV19">
            <v>101876.02395900001</v>
          </cell>
          <cell r="JW19">
            <v>40823.286</v>
          </cell>
        </row>
        <row r="20">
          <cell r="A20">
            <v>41708</v>
          </cell>
          <cell r="B20">
            <v>25950.379999999997</v>
          </cell>
          <cell r="F20">
            <v>25950.379999999997</v>
          </cell>
          <cell r="U20">
            <v>25950.379999999997</v>
          </cell>
          <cell r="V20">
            <v>350.16</v>
          </cell>
          <cell r="Z20">
            <v>350.16</v>
          </cell>
          <cell r="AA20">
            <v>26300.539999999997</v>
          </cell>
          <cell r="AB20">
            <v>232182.5</v>
          </cell>
          <cell r="AD20">
            <v>17096.774193548386</v>
          </cell>
          <cell r="AE20">
            <v>27135.399999999907</v>
          </cell>
          <cell r="AF20">
            <v>-1185.0199999999095</v>
          </cell>
          <cell r="AG20">
            <v>1239468.9599999995</v>
          </cell>
          <cell r="AH20">
            <v>0</v>
          </cell>
          <cell r="AI20">
            <v>25950.379999999997</v>
          </cell>
          <cell r="AJ20">
            <v>22972.22</v>
          </cell>
          <cell r="AK20">
            <v>22972.22</v>
          </cell>
          <cell r="AL20">
            <v>0</v>
          </cell>
          <cell r="AM20">
            <v>10755.3</v>
          </cell>
          <cell r="AN20">
            <v>2705</v>
          </cell>
          <cell r="AO20">
            <v>1369.6399999999999</v>
          </cell>
          <cell r="AP20">
            <v>6680.66</v>
          </cell>
          <cell r="AT20">
            <v>12216.92</v>
          </cell>
          <cell r="AU20">
            <v>810.84</v>
          </cell>
          <cell r="AV20">
            <v>21.92</v>
          </cell>
          <cell r="AX20">
            <v>19.22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W20">
            <v>0</v>
          </cell>
          <cell r="BY20">
            <v>0</v>
          </cell>
          <cell r="CA20">
            <v>0</v>
          </cell>
          <cell r="CB20">
            <v>0</v>
          </cell>
          <cell r="CC20">
            <v>0</v>
          </cell>
          <cell r="CS20">
            <v>989.95</v>
          </cell>
          <cell r="CT20">
            <v>1007.91</v>
          </cell>
          <cell r="CU20">
            <v>3581.71</v>
          </cell>
          <cell r="CX20">
            <v>226.45</v>
          </cell>
          <cell r="DB20">
            <v>4944.42</v>
          </cell>
          <cell r="DL20">
            <v>614.5</v>
          </cell>
          <cell r="DP20">
            <v>15195.08</v>
          </cell>
          <cell r="DR20">
            <v>3830.48</v>
          </cell>
          <cell r="EK20">
            <v>6195.42</v>
          </cell>
          <cell r="EL20">
            <v>5169.18</v>
          </cell>
          <cell r="FA20">
            <v>4181.0599999999995</v>
          </cell>
          <cell r="FB20">
            <v>8098.5100828000013</v>
          </cell>
          <cell r="FC20">
            <v>0</v>
          </cell>
          <cell r="FD20">
            <v>596.71647019999978</v>
          </cell>
          <cell r="FE20">
            <v>136.36000000000001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K20">
            <v>149846.44085370001</v>
          </cell>
          <cell r="FL20">
            <v>0</v>
          </cell>
          <cell r="FM20">
            <v>4484.3818850999996</v>
          </cell>
          <cell r="FN20">
            <v>0</v>
          </cell>
          <cell r="FO20">
            <v>54322.039399999987</v>
          </cell>
          <cell r="FP20">
            <v>64779.213568399973</v>
          </cell>
          <cell r="FQ20">
            <v>0</v>
          </cell>
          <cell r="FR20">
            <v>14727.196899999999</v>
          </cell>
          <cell r="FS20">
            <v>301171.91916019993</v>
          </cell>
          <cell r="GQ20">
            <v>1939.6999999999998</v>
          </cell>
          <cell r="GR20">
            <v>1939.6999999999998</v>
          </cell>
          <cell r="GY20">
            <v>633.25</v>
          </cell>
          <cell r="HQ20">
            <v>633.25</v>
          </cell>
          <cell r="HR20">
            <v>53276.776999999995</v>
          </cell>
          <cell r="HS20">
            <v>12629</v>
          </cell>
          <cell r="HT20">
            <v>14648</v>
          </cell>
          <cell r="HU20">
            <v>15301.43</v>
          </cell>
          <cell r="HV20">
            <v>7797</v>
          </cell>
          <cell r="HW20">
            <v>0</v>
          </cell>
          <cell r="HX20">
            <v>15277.720000000001</v>
          </cell>
          <cell r="HY20">
            <v>5351</v>
          </cell>
          <cell r="HZ20">
            <v>0</v>
          </cell>
          <cell r="IA20">
            <v>0</v>
          </cell>
          <cell r="IB20">
            <v>0</v>
          </cell>
          <cell r="IC20">
            <v>27726.42</v>
          </cell>
          <cell r="ID20">
            <v>10384.5</v>
          </cell>
          <cell r="IE20">
            <v>104215.45</v>
          </cell>
          <cell r="IF20">
            <v>11515</v>
          </cell>
          <cell r="IG20">
            <v>43817.700000000004</v>
          </cell>
          <cell r="IH20">
            <v>1386.82</v>
          </cell>
          <cell r="II20">
            <v>18824.39</v>
          </cell>
          <cell r="IJ20">
            <v>465.65</v>
          </cell>
          <cell r="IK20">
            <v>64167.47</v>
          </cell>
          <cell r="IL20">
            <v>36072.68373886343</v>
          </cell>
          <cell r="IM20">
            <v>0</v>
          </cell>
          <cell r="IN20">
            <v>19616.990000000002</v>
          </cell>
          <cell r="IO20">
            <v>260214.8</v>
          </cell>
          <cell r="IP20">
            <v>722688.80073886341</v>
          </cell>
          <cell r="IQ20">
            <v>1309.98</v>
          </cell>
          <cell r="IR20">
            <v>56077.543294799973</v>
          </cell>
          <cell r="IS20">
            <v>0</v>
          </cell>
          <cell r="IT20">
            <v>6361.4153867000005</v>
          </cell>
          <cell r="IU20">
            <v>0</v>
          </cell>
          <cell r="IV20">
            <v>62438.958681499971</v>
          </cell>
          <cell r="IW20">
            <v>21640.18</v>
          </cell>
          <cell r="JA20">
            <v>21640.18</v>
          </cell>
          <cell r="JH20">
            <v>1954.98</v>
          </cell>
          <cell r="JI20">
            <v>10058.219999999999</v>
          </cell>
          <cell r="JK20">
            <v>4181.66</v>
          </cell>
          <cell r="JL20">
            <v>5445.32</v>
          </cell>
          <cell r="JO20">
            <v>21640.18</v>
          </cell>
          <cell r="JP20">
            <v>0</v>
          </cell>
          <cell r="JQ20">
            <v>60903.163026700015</v>
          </cell>
          <cell r="JR20">
            <v>0</v>
          </cell>
          <cell r="JS20">
            <v>24813.518932300001</v>
          </cell>
          <cell r="JT20">
            <v>0</v>
          </cell>
          <cell r="JU20">
            <v>0</v>
          </cell>
          <cell r="JV20">
            <v>85716.681959000009</v>
          </cell>
          <cell r="JW20">
            <v>15561.678</v>
          </cell>
          <cell r="JY20">
            <v>22237.843999999997</v>
          </cell>
        </row>
        <row r="21">
          <cell r="A21">
            <v>41709</v>
          </cell>
          <cell r="B21">
            <v>24708.82</v>
          </cell>
          <cell r="F21">
            <v>24708.82</v>
          </cell>
          <cell r="U21">
            <v>24708.82</v>
          </cell>
          <cell r="V21">
            <v>409.12</v>
          </cell>
          <cell r="Z21">
            <v>409.12</v>
          </cell>
          <cell r="AA21">
            <v>25117.94</v>
          </cell>
          <cell r="AB21">
            <v>230334.5</v>
          </cell>
          <cell r="AD21">
            <v>17096.774193548386</v>
          </cell>
          <cell r="AE21">
            <v>26083.899999999907</v>
          </cell>
          <cell r="AF21">
            <v>-1375.0799999999072</v>
          </cell>
          <cell r="AG21">
            <v>1265552.8599999994</v>
          </cell>
          <cell r="AH21">
            <v>0</v>
          </cell>
          <cell r="AI21">
            <v>24708.82</v>
          </cell>
          <cell r="AJ21">
            <v>25415.77</v>
          </cell>
          <cell r="AK21">
            <v>25415.77</v>
          </cell>
          <cell r="AL21">
            <v>0</v>
          </cell>
          <cell r="AM21">
            <v>10223.379999999999</v>
          </cell>
          <cell r="AN21">
            <v>3337.62</v>
          </cell>
          <cell r="AO21">
            <v>611.5</v>
          </cell>
          <cell r="AP21">
            <v>3579.12</v>
          </cell>
          <cell r="AQ21">
            <v>1239.3799999999999</v>
          </cell>
          <cell r="AR21">
            <v>1455.7599999999998</v>
          </cell>
          <cell r="AT21">
            <v>15192.390000000001</v>
          </cell>
          <cell r="AU21">
            <v>130.26</v>
          </cell>
          <cell r="AX21">
            <v>23.42</v>
          </cell>
          <cell r="AZ21">
            <v>67.11999999999999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W21">
            <v>0</v>
          </cell>
          <cell r="BY21">
            <v>0</v>
          </cell>
          <cell r="CA21">
            <v>0</v>
          </cell>
          <cell r="CB21">
            <v>0</v>
          </cell>
          <cell r="CC21">
            <v>0</v>
          </cell>
          <cell r="CT21">
            <v>4029.83</v>
          </cell>
          <cell r="CU21">
            <v>5233.16</v>
          </cell>
          <cell r="CX21">
            <v>408.78</v>
          </cell>
          <cell r="DB21">
            <v>4108.08</v>
          </cell>
          <cell r="DL21">
            <v>1191.74</v>
          </cell>
          <cell r="DP21">
            <v>14485.44</v>
          </cell>
          <cell r="DQ21">
            <v>536.26</v>
          </cell>
          <cell r="DR21">
            <v>2485.8000000000002</v>
          </cell>
          <cell r="EK21">
            <v>6542.2</v>
          </cell>
          <cell r="EL21">
            <v>4921.18</v>
          </cell>
          <cell r="EV21">
            <v>32.700000000000003</v>
          </cell>
          <cell r="FA21">
            <v>3775.0599999999995</v>
          </cell>
          <cell r="FB21">
            <v>5612.7100828000011</v>
          </cell>
          <cell r="FC21">
            <v>0</v>
          </cell>
          <cell r="FD21">
            <v>652.83647019999978</v>
          </cell>
          <cell r="FE21">
            <v>136.36000000000001</v>
          </cell>
          <cell r="FF21">
            <v>67.11999999999999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149846.44085370001</v>
          </cell>
          <cell r="FL21">
            <v>0</v>
          </cell>
          <cell r="FM21">
            <v>4484.3818850999996</v>
          </cell>
          <cell r="FN21">
            <v>0</v>
          </cell>
          <cell r="FO21">
            <v>57418.90939999999</v>
          </cell>
          <cell r="FP21">
            <v>63966.113568399967</v>
          </cell>
          <cell r="FQ21">
            <v>0</v>
          </cell>
          <cell r="FR21">
            <v>15918.936899999999</v>
          </cell>
          <cell r="FS21">
            <v>301878.86916019995</v>
          </cell>
          <cell r="FT21">
            <v>108</v>
          </cell>
          <cell r="GQ21">
            <v>844.9</v>
          </cell>
          <cell r="GR21">
            <v>952.9</v>
          </cell>
          <cell r="GY21">
            <v>691.98</v>
          </cell>
          <cell r="HQ21">
            <v>691.98</v>
          </cell>
          <cell r="HR21">
            <v>53384.776999999995</v>
          </cell>
          <cell r="HS21">
            <v>12629</v>
          </cell>
          <cell r="HT21">
            <v>14648</v>
          </cell>
          <cell r="HU21">
            <v>15301.43</v>
          </cell>
          <cell r="HV21">
            <v>7797</v>
          </cell>
          <cell r="HW21">
            <v>0</v>
          </cell>
          <cell r="HX21">
            <v>14585.740000000002</v>
          </cell>
          <cell r="HY21">
            <v>5351</v>
          </cell>
          <cell r="HZ21">
            <v>0</v>
          </cell>
          <cell r="IA21">
            <v>0</v>
          </cell>
          <cell r="IB21">
            <v>0</v>
          </cell>
          <cell r="IC21">
            <v>27726.42</v>
          </cell>
          <cell r="ID21">
            <v>10384.5</v>
          </cell>
          <cell r="IE21">
            <v>104215.45</v>
          </cell>
          <cell r="IF21">
            <v>11515</v>
          </cell>
          <cell r="IG21">
            <v>43817.700000000004</v>
          </cell>
          <cell r="IH21">
            <v>1386.82</v>
          </cell>
          <cell r="II21">
            <v>18824.39</v>
          </cell>
          <cell r="IJ21">
            <v>465.65</v>
          </cell>
          <cell r="IK21">
            <v>64167.47</v>
          </cell>
          <cell r="IL21">
            <v>36072.68373886343</v>
          </cell>
          <cell r="IM21">
            <v>0</v>
          </cell>
          <cell r="IN21">
            <v>19616.990000000002</v>
          </cell>
          <cell r="IO21">
            <v>261059.69999999998</v>
          </cell>
          <cell r="IP21">
            <v>722949.72073886346</v>
          </cell>
          <cell r="IQ21">
            <v>1592.8400000000001</v>
          </cell>
          <cell r="IR21">
            <v>60458.183294799965</v>
          </cell>
          <cell r="IS21">
            <v>0</v>
          </cell>
          <cell r="IT21">
            <v>6361.4153867000005</v>
          </cell>
          <cell r="IU21">
            <v>0</v>
          </cell>
          <cell r="IV21">
            <v>66819.598681499963</v>
          </cell>
          <cell r="IW21">
            <v>20737.3</v>
          </cell>
          <cell r="JA21">
            <v>20737.3</v>
          </cell>
          <cell r="JH21">
            <v>1914.44</v>
          </cell>
          <cell r="JI21">
            <v>10736.32</v>
          </cell>
          <cell r="JK21">
            <v>2974.44</v>
          </cell>
          <cell r="JL21">
            <v>5112.1000000000004</v>
          </cell>
          <cell r="JO21">
            <v>20737.300000000003</v>
          </cell>
          <cell r="JP21">
            <v>0</v>
          </cell>
          <cell r="JQ21">
            <v>66173.356026700014</v>
          </cell>
          <cell r="JR21">
            <v>0</v>
          </cell>
          <cell r="JS21">
            <v>24813.518932300001</v>
          </cell>
          <cell r="JT21">
            <v>0</v>
          </cell>
          <cell r="JU21">
            <v>0</v>
          </cell>
          <cell r="JV21">
            <v>90986.874959000008</v>
          </cell>
          <cell r="JW21">
            <v>15467.107</v>
          </cell>
        </row>
        <row r="22">
          <cell r="A22">
            <v>41710</v>
          </cell>
          <cell r="B22">
            <v>15142.34</v>
          </cell>
          <cell r="F22">
            <v>15142.34</v>
          </cell>
          <cell r="U22">
            <v>15142.34</v>
          </cell>
          <cell r="V22">
            <v>203.38</v>
          </cell>
          <cell r="Z22">
            <v>203.38</v>
          </cell>
          <cell r="AA22">
            <v>15345.72</v>
          </cell>
          <cell r="AB22">
            <v>239451.5</v>
          </cell>
          <cell r="AD22">
            <v>17096.774193548386</v>
          </cell>
          <cell r="AE22">
            <v>15808.300000000279</v>
          </cell>
          <cell r="AF22">
            <v>-665.96000000027925</v>
          </cell>
          <cell r="AG22">
            <v>1281361.1599999997</v>
          </cell>
          <cell r="AH22">
            <v>0</v>
          </cell>
          <cell r="AI22">
            <v>15142.34</v>
          </cell>
          <cell r="AJ22">
            <v>25678.679999999997</v>
          </cell>
          <cell r="AK22">
            <v>25678.679999999997</v>
          </cell>
          <cell r="AL22">
            <v>0</v>
          </cell>
          <cell r="AM22">
            <v>7262.28</v>
          </cell>
          <cell r="AN22">
            <v>2789.7799999999997</v>
          </cell>
          <cell r="AP22">
            <v>2020.58</v>
          </cell>
          <cell r="AQ22">
            <v>784.36</v>
          </cell>
          <cell r="AR22">
            <v>1181.92</v>
          </cell>
          <cell r="AS22">
            <v>485.64</v>
          </cell>
          <cell r="AT22">
            <v>18416.399999999998</v>
          </cell>
          <cell r="AU22">
            <v>864.5</v>
          </cell>
          <cell r="AX22">
            <v>52.739999999999995</v>
          </cell>
          <cell r="AZ22">
            <v>575.64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W22">
            <v>0</v>
          </cell>
          <cell r="BY22">
            <v>0</v>
          </cell>
          <cell r="CA22">
            <v>0</v>
          </cell>
          <cell r="CB22">
            <v>0</v>
          </cell>
          <cell r="CC22">
            <v>0</v>
          </cell>
          <cell r="CE22">
            <v>299.25</v>
          </cell>
          <cell r="CH22">
            <v>41.45</v>
          </cell>
          <cell r="CT22">
            <v>2369.65</v>
          </cell>
          <cell r="CU22">
            <v>4147.71</v>
          </cell>
          <cell r="CX22">
            <v>52.46</v>
          </cell>
          <cell r="DA22">
            <v>2468.0100000000002</v>
          </cell>
          <cell r="DB22">
            <v>5574.96</v>
          </cell>
          <cell r="DL22">
            <v>1220.28</v>
          </cell>
          <cell r="DO22">
            <v>749.75</v>
          </cell>
          <cell r="DP22">
            <v>7880.0599999999995</v>
          </cell>
          <cell r="EK22">
            <v>7880.0599999999995</v>
          </cell>
          <cell r="FA22">
            <v>4639.5599999999995</v>
          </cell>
          <cell r="FB22">
            <v>5612.7100828000011</v>
          </cell>
          <cell r="FC22">
            <v>0</v>
          </cell>
          <cell r="FD22">
            <v>705.57647019999979</v>
          </cell>
          <cell r="FE22">
            <v>136.36000000000001</v>
          </cell>
          <cell r="FF22">
            <v>642.76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149846.44085370001</v>
          </cell>
          <cell r="FL22">
            <v>0</v>
          </cell>
          <cell r="FM22">
            <v>4484.3818850999996</v>
          </cell>
          <cell r="FN22">
            <v>0</v>
          </cell>
          <cell r="FO22">
            <v>56449.369399999989</v>
          </cell>
          <cell r="FP22">
            <v>72009.083568399961</v>
          </cell>
          <cell r="FQ22">
            <v>0</v>
          </cell>
          <cell r="FR22">
            <v>17888.966899999999</v>
          </cell>
          <cell r="FS22">
            <v>312415.20916019997</v>
          </cell>
          <cell r="FT22">
            <v>225</v>
          </cell>
          <cell r="FX22">
            <v>104.5</v>
          </cell>
          <cell r="GH22">
            <v>74</v>
          </cell>
          <cell r="GQ22">
            <v>904.4</v>
          </cell>
          <cell r="GR22">
            <v>1307.9000000000001</v>
          </cell>
          <cell r="GY22">
            <v>627.44000000000005</v>
          </cell>
          <cell r="HQ22">
            <v>627.44000000000005</v>
          </cell>
          <cell r="HR22">
            <v>53609.776999999995</v>
          </cell>
          <cell r="HS22">
            <v>12629</v>
          </cell>
          <cell r="HT22">
            <v>14648</v>
          </cell>
          <cell r="HU22">
            <v>15301.43</v>
          </cell>
          <cell r="HV22">
            <v>7901.5</v>
          </cell>
          <cell r="HW22">
            <v>0</v>
          </cell>
          <cell r="HX22">
            <v>13958.300000000001</v>
          </cell>
          <cell r="HY22">
            <v>5351</v>
          </cell>
          <cell r="HZ22">
            <v>0</v>
          </cell>
          <cell r="IA22">
            <v>0</v>
          </cell>
          <cell r="IB22">
            <v>0</v>
          </cell>
          <cell r="IC22">
            <v>27726.42</v>
          </cell>
          <cell r="ID22">
            <v>10384.5</v>
          </cell>
          <cell r="IE22">
            <v>104215.45</v>
          </cell>
          <cell r="IF22">
            <v>11589</v>
          </cell>
          <cell r="IG22">
            <v>43817.700000000004</v>
          </cell>
          <cell r="IH22">
            <v>1386.82</v>
          </cell>
          <cell r="II22">
            <v>18824.39</v>
          </cell>
          <cell r="IJ22">
            <v>465.65</v>
          </cell>
          <cell r="IK22">
            <v>64167.47</v>
          </cell>
          <cell r="IL22">
            <v>36072.68373886343</v>
          </cell>
          <cell r="IM22">
            <v>0</v>
          </cell>
          <cell r="IN22">
            <v>19616.990000000002</v>
          </cell>
          <cell r="IO22">
            <v>261964.09999999998</v>
          </cell>
          <cell r="IP22">
            <v>723630.18073886342</v>
          </cell>
          <cell r="IQ22">
            <v>2016.9</v>
          </cell>
          <cell r="IR22">
            <v>54745.683294799965</v>
          </cell>
          <cell r="IS22">
            <v>0</v>
          </cell>
          <cell r="IT22">
            <v>6361.4153867000005</v>
          </cell>
          <cell r="IU22">
            <v>0</v>
          </cell>
          <cell r="IV22">
            <v>61107.098681499963</v>
          </cell>
          <cell r="IW22">
            <v>21058.22</v>
          </cell>
          <cell r="JA22">
            <v>21058.22</v>
          </cell>
          <cell r="JH22">
            <v>1874.1999999999998</v>
          </cell>
          <cell r="JI22">
            <v>11290</v>
          </cell>
          <cell r="JK22">
            <v>3736.62</v>
          </cell>
          <cell r="JL22">
            <v>4157.3999999999996</v>
          </cell>
          <cell r="JO22">
            <v>21058.22</v>
          </cell>
          <cell r="JP22">
            <v>0</v>
          </cell>
          <cell r="JQ22">
            <v>72398.607026700018</v>
          </cell>
          <cell r="JR22">
            <v>0</v>
          </cell>
          <cell r="JS22">
            <v>24813.518932300001</v>
          </cell>
          <cell r="JT22">
            <v>0</v>
          </cell>
          <cell r="JU22">
            <v>0</v>
          </cell>
          <cell r="JV22">
            <v>97212.125959000026</v>
          </cell>
          <cell r="JW22">
            <v>14832.969000000001</v>
          </cell>
        </row>
        <row r="23">
          <cell r="A23">
            <v>41711</v>
          </cell>
          <cell r="B23">
            <v>19246.180000000004</v>
          </cell>
          <cell r="F23">
            <v>19246.180000000004</v>
          </cell>
          <cell r="U23">
            <v>19246.180000000004</v>
          </cell>
          <cell r="V23">
            <v>342.96</v>
          </cell>
          <cell r="Z23">
            <v>342.96</v>
          </cell>
          <cell r="AA23">
            <v>19589.140000000003</v>
          </cell>
          <cell r="AB23">
            <v>204574.3</v>
          </cell>
          <cell r="AD23">
            <v>17096.774193548386</v>
          </cell>
          <cell r="AE23">
            <v>20353.100000000093</v>
          </cell>
          <cell r="AF23">
            <v>-1106.9200000000892</v>
          </cell>
          <cell r="AG23">
            <v>1301714.2599999998</v>
          </cell>
          <cell r="AH23">
            <v>0</v>
          </cell>
          <cell r="AI23">
            <v>19246.18</v>
          </cell>
          <cell r="AJ23">
            <v>19522.32</v>
          </cell>
          <cell r="AK23">
            <v>19522.32</v>
          </cell>
          <cell r="AL23">
            <v>0</v>
          </cell>
          <cell r="AM23">
            <v>7697.6</v>
          </cell>
          <cell r="AN23">
            <v>2644.86</v>
          </cell>
          <cell r="AP23">
            <v>1585.6</v>
          </cell>
          <cell r="AR23">
            <v>1376.88</v>
          </cell>
          <cell r="AS23">
            <v>2090.2600000000002</v>
          </cell>
          <cell r="AT23">
            <v>11824.72</v>
          </cell>
          <cell r="AU23">
            <v>29.56</v>
          </cell>
          <cell r="AX23">
            <v>26.6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W23">
            <v>0</v>
          </cell>
          <cell r="BY23">
            <v>0</v>
          </cell>
          <cell r="CA23">
            <v>0</v>
          </cell>
          <cell r="CB23">
            <v>0</v>
          </cell>
          <cell r="CC23">
            <v>0</v>
          </cell>
          <cell r="CT23">
            <v>1038.8</v>
          </cell>
          <cell r="CU23">
            <v>4142.7299999999996</v>
          </cell>
          <cell r="DA23">
            <v>847.51</v>
          </cell>
          <cell r="DB23">
            <v>4959.42</v>
          </cell>
          <cell r="DL23">
            <v>780.1</v>
          </cell>
          <cell r="DP23">
            <v>11548.58</v>
          </cell>
          <cell r="EK23">
            <v>11548.58</v>
          </cell>
          <cell r="EV23">
            <v>33.74</v>
          </cell>
          <cell r="FA23">
            <v>4669.12</v>
          </cell>
          <cell r="FB23">
            <v>5612.7100828000011</v>
          </cell>
          <cell r="FC23">
            <v>0</v>
          </cell>
          <cell r="FD23">
            <v>765.91647019999982</v>
          </cell>
          <cell r="FE23">
            <v>136.36000000000001</v>
          </cell>
          <cell r="FF23">
            <v>642.76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149846.44085370001</v>
          </cell>
          <cell r="FL23">
            <v>0</v>
          </cell>
          <cell r="FM23">
            <v>4484.3818850999996</v>
          </cell>
          <cell r="FN23">
            <v>0</v>
          </cell>
          <cell r="FO23">
            <v>50048.579399999988</v>
          </cell>
          <cell r="FP23">
            <v>77816.013568399969</v>
          </cell>
          <cell r="FQ23">
            <v>0</v>
          </cell>
          <cell r="FR23">
            <v>18669.066899999998</v>
          </cell>
          <cell r="FS23">
            <v>312691.34916019998</v>
          </cell>
          <cell r="FT23">
            <v>90</v>
          </cell>
          <cell r="FX23">
            <v>85.5</v>
          </cell>
          <cell r="GH23">
            <v>0</v>
          </cell>
          <cell r="GQ23">
            <v>47.6</v>
          </cell>
          <cell r="GR23">
            <v>223.1</v>
          </cell>
          <cell r="GY23">
            <v>409.75</v>
          </cell>
          <cell r="HQ23">
            <v>409.75</v>
          </cell>
          <cell r="HR23">
            <v>53699.776999999995</v>
          </cell>
          <cell r="HS23">
            <v>12629</v>
          </cell>
          <cell r="HT23">
            <v>14648</v>
          </cell>
          <cell r="HU23">
            <v>15301.43</v>
          </cell>
          <cell r="HV23">
            <v>7987</v>
          </cell>
          <cell r="HW23">
            <v>0</v>
          </cell>
          <cell r="HX23">
            <v>13548.550000000001</v>
          </cell>
          <cell r="HY23">
            <v>5351</v>
          </cell>
          <cell r="HZ23">
            <v>0</v>
          </cell>
          <cell r="IA23">
            <v>0</v>
          </cell>
          <cell r="IB23">
            <v>0</v>
          </cell>
          <cell r="IC23">
            <v>27726.42</v>
          </cell>
          <cell r="ID23">
            <v>10384.5</v>
          </cell>
          <cell r="IE23">
            <v>104215.45</v>
          </cell>
          <cell r="IF23">
            <v>11589</v>
          </cell>
          <cell r="IG23">
            <v>43817.700000000004</v>
          </cell>
          <cell r="IH23">
            <v>1386.82</v>
          </cell>
          <cell r="II23">
            <v>18824.39</v>
          </cell>
          <cell r="IJ23">
            <v>465.65</v>
          </cell>
          <cell r="IK23">
            <v>64167.47</v>
          </cell>
          <cell r="IL23">
            <v>36072.68373886343</v>
          </cell>
          <cell r="IM23">
            <v>0</v>
          </cell>
          <cell r="IN23">
            <v>19616.990000000002</v>
          </cell>
          <cell r="IO23">
            <v>262011.69999999998</v>
          </cell>
          <cell r="IP23">
            <v>723443.5307388634</v>
          </cell>
          <cell r="IQ23">
            <v>2083.69</v>
          </cell>
          <cell r="IR23">
            <v>54876.883294799976</v>
          </cell>
          <cell r="IS23">
            <v>0</v>
          </cell>
          <cell r="IT23">
            <v>6361.4153867000005</v>
          </cell>
          <cell r="IU23">
            <v>0</v>
          </cell>
          <cell r="IV23">
            <v>61238.298681499975</v>
          </cell>
          <cell r="IW23">
            <v>19457.940000000002</v>
          </cell>
          <cell r="JA23">
            <v>19457.940000000002</v>
          </cell>
          <cell r="JH23">
            <v>1902.56</v>
          </cell>
          <cell r="JI23">
            <v>9947.0600000000013</v>
          </cell>
          <cell r="JK23">
            <v>3495.6</v>
          </cell>
          <cell r="JL23">
            <v>4112.7199999999993</v>
          </cell>
          <cell r="JO23">
            <v>19457.940000000002</v>
          </cell>
          <cell r="JP23">
            <v>0</v>
          </cell>
          <cell r="JQ23">
            <v>67766.819026700017</v>
          </cell>
          <cell r="JR23">
            <v>0</v>
          </cell>
          <cell r="JS23">
            <v>24813.518932300001</v>
          </cell>
          <cell r="JT23">
            <v>0</v>
          </cell>
          <cell r="JU23">
            <v>0</v>
          </cell>
          <cell r="JV23">
            <v>92580.337959000026</v>
          </cell>
          <cell r="JW23">
            <v>24089.727999999999</v>
          </cell>
        </row>
        <row r="24">
          <cell r="A24">
            <v>41712</v>
          </cell>
          <cell r="B24">
            <v>21797.599999999999</v>
          </cell>
          <cell r="F24">
            <v>21797.599999999999</v>
          </cell>
          <cell r="U24">
            <v>21797.599999999999</v>
          </cell>
          <cell r="V24">
            <v>307.56</v>
          </cell>
          <cell r="Z24">
            <v>307.56</v>
          </cell>
          <cell r="AA24">
            <v>22105.16</v>
          </cell>
          <cell r="AB24">
            <v>200085.5</v>
          </cell>
          <cell r="AD24">
            <v>17096.774193548386</v>
          </cell>
          <cell r="AE24">
            <v>22703.799999999814</v>
          </cell>
          <cell r="AF24">
            <v>-906.19999999981519</v>
          </cell>
          <cell r="AG24">
            <v>1324418.0599999996</v>
          </cell>
          <cell r="AH24">
            <v>0</v>
          </cell>
          <cell r="AI24">
            <v>21797.599999999999</v>
          </cell>
          <cell r="AJ24">
            <v>21467.73</v>
          </cell>
          <cell r="AK24">
            <v>21467.73</v>
          </cell>
          <cell r="AL24">
            <v>0</v>
          </cell>
          <cell r="AM24">
            <v>8757.26</v>
          </cell>
          <cell r="AN24">
            <v>1942.4</v>
          </cell>
          <cell r="AO24">
            <v>254.88</v>
          </cell>
          <cell r="AP24">
            <v>2978.7000000000003</v>
          </cell>
          <cell r="AR24">
            <v>1345.92</v>
          </cell>
          <cell r="AS24">
            <v>2235.3599999999997</v>
          </cell>
          <cell r="AT24">
            <v>12710.47</v>
          </cell>
          <cell r="AU24">
            <v>553.58000000000004</v>
          </cell>
          <cell r="AV24">
            <v>63.58</v>
          </cell>
          <cell r="AX24">
            <v>251.92</v>
          </cell>
          <cell r="AZ24">
            <v>264.42</v>
          </cell>
          <cell r="BB24">
            <v>85.5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W24">
            <v>0</v>
          </cell>
          <cell r="BY24">
            <v>0</v>
          </cell>
          <cell r="CA24">
            <v>0</v>
          </cell>
          <cell r="CB24">
            <v>0</v>
          </cell>
          <cell r="CC24">
            <v>0</v>
          </cell>
          <cell r="CM24">
            <v>178.89000000000001</v>
          </cell>
          <cell r="CN24">
            <v>22.86</v>
          </cell>
          <cell r="CS24">
            <v>2036.7600000000002</v>
          </cell>
          <cell r="CT24">
            <v>54.02</v>
          </cell>
          <cell r="CU24">
            <v>5639.4</v>
          </cell>
          <cell r="DA24">
            <v>2458.3300000000004</v>
          </cell>
          <cell r="DB24">
            <v>493.88</v>
          </cell>
          <cell r="DL24">
            <v>607.33000000000004</v>
          </cell>
          <cell r="DP24">
            <v>13040.34</v>
          </cell>
          <cell r="EK24">
            <v>12356.5</v>
          </cell>
          <cell r="EL24">
            <v>683.84</v>
          </cell>
          <cell r="FA24">
            <v>5222.7</v>
          </cell>
          <cell r="FB24">
            <v>5676.2900828000011</v>
          </cell>
          <cell r="FC24">
            <v>0</v>
          </cell>
          <cell r="FD24">
            <v>1017.8364701999998</v>
          </cell>
          <cell r="FE24">
            <v>136.36000000000001</v>
          </cell>
          <cell r="FF24">
            <v>907.18000000000006</v>
          </cell>
          <cell r="FG24">
            <v>0</v>
          </cell>
          <cell r="FH24">
            <v>85.5</v>
          </cell>
          <cell r="FI24">
            <v>0</v>
          </cell>
          <cell r="FJ24">
            <v>0</v>
          </cell>
          <cell r="FK24">
            <v>149846.44085370001</v>
          </cell>
          <cell r="FL24">
            <v>0</v>
          </cell>
          <cell r="FM24">
            <v>4484.3818850999996</v>
          </cell>
          <cell r="FN24">
            <v>0</v>
          </cell>
          <cell r="FO24">
            <v>45624.009399999988</v>
          </cell>
          <cell r="FP24">
            <v>80084.383568399979</v>
          </cell>
          <cell r="FQ24">
            <v>0</v>
          </cell>
          <cell r="FR24">
            <v>19276.3969</v>
          </cell>
          <cell r="FS24">
            <v>312361.47916019999</v>
          </cell>
          <cell r="GH24">
            <v>52</v>
          </cell>
          <cell r="GQ24">
            <v>83.3</v>
          </cell>
          <cell r="GR24">
            <v>135.30000000000001</v>
          </cell>
          <cell r="GY24">
            <v>208.6</v>
          </cell>
          <cell r="HQ24">
            <v>208.6</v>
          </cell>
          <cell r="HR24">
            <v>53699.776999999995</v>
          </cell>
          <cell r="HS24">
            <v>12629</v>
          </cell>
          <cell r="HT24">
            <v>14648</v>
          </cell>
          <cell r="HU24">
            <v>15301.43</v>
          </cell>
          <cell r="HV24">
            <v>7987</v>
          </cell>
          <cell r="HW24">
            <v>0</v>
          </cell>
          <cell r="HX24">
            <v>13339.95</v>
          </cell>
          <cell r="HY24">
            <v>5351</v>
          </cell>
          <cell r="HZ24">
            <v>0</v>
          </cell>
          <cell r="IA24">
            <v>0</v>
          </cell>
          <cell r="IB24">
            <v>0</v>
          </cell>
          <cell r="IC24">
            <v>27726.42</v>
          </cell>
          <cell r="ID24">
            <v>10384.5</v>
          </cell>
          <cell r="IE24">
            <v>104215.45</v>
          </cell>
          <cell r="IF24">
            <v>11641</v>
          </cell>
          <cell r="IG24">
            <v>43817.700000000004</v>
          </cell>
          <cell r="IH24">
            <v>1386.82</v>
          </cell>
          <cell r="II24">
            <v>18824.39</v>
          </cell>
          <cell r="IJ24">
            <v>465.65</v>
          </cell>
          <cell r="IK24">
            <v>64167.47</v>
          </cell>
          <cell r="IL24">
            <v>36072.68373886343</v>
          </cell>
          <cell r="IM24">
            <v>0</v>
          </cell>
          <cell r="IN24">
            <v>19616.990000000002</v>
          </cell>
          <cell r="IO24">
            <v>262094.99999999997</v>
          </cell>
          <cell r="IP24">
            <v>723370.23073886347</v>
          </cell>
          <cell r="IQ24">
            <v>1984.73</v>
          </cell>
          <cell r="IR24">
            <v>61599.923294799977</v>
          </cell>
          <cell r="IS24">
            <v>0</v>
          </cell>
          <cell r="IT24">
            <v>6361.4153867000005</v>
          </cell>
          <cell r="IU24">
            <v>0</v>
          </cell>
          <cell r="IV24">
            <v>67961.338681499983</v>
          </cell>
          <cell r="IW24">
            <v>15382.12</v>
          </cell>
          <cell r="JA24">
            <v>15382.12</v>
          </cell>
          <cell r="JH24">
            <v>1418.8400000000001</v>
          </cell>
          <cell r="JI24">
            <v>6572.82</v>
          </cell>
          <cell r="JK24">
            <v>3813.2</v>
          </cell>
          <cell r="JL24">
            <v>3577.26</v>
          </cell>
          <cell r="JO24">
            <v>15382.12</v>
          </cell>
          <cell r="JP24">
            <v>0</v>
          </cell>
          <cell r="JQ24">
            <v>51645.288026700015</v>
          </cell>
          <cell r="JR24">
            <v>0</v>
          </cell>
          <cell r="JS24">
            <v>24813.518932300001</v>
          </cell>
          <cell r="JT24">
            <v>0</v>
          </cell>
          <cell r="JU24">
            <v>0</v>
          </cell>
          <cell r="JV24">
            <v>76458.806959000009</v>
          </cell>
          <cell r="JW24">
            <v>31503.650999999998</v>
          </cell>
        </row>
        <row r="25">
          <cell r="A25">
            <v>41713</v>
          </cell>
          <cell r="B25">
            <v>9201.3399999999983</v>
          </cell>
          <cell r="D25">
            <v>12586.3</v>
          </cell>
          <cell r="F25">
            <v>21787.64</v>
          </cell>
          <cell r="U25">
            <v>21787.64</v>
          </cell>
          <cell r="Z25">
            <v>0</v>
          </cell>
          <cell r="AA25">
            <v>21787.64</v>
          </cell>
          <cell r="AB25">
            <v>229551.5</v>
          </cell>
          <cell r="AD25">
            <v>17096.774193548386</v>
          </cell>
          <cell r="AE25">
            <v>22413.5</v>
          </cell>
          <cell r="AF25">
            <v>-625.86000000000058</v>
          </cell>
          <cell r="AG25">
            <v>1346831.5599999996</v>
          </cell>
          <cell r="AH25">
            <v>0</v>
          </cell>
          <cell r="AI25">
            <v>21787.64</v>
          </cell>
          <cell r="AJ25">
            <v>23321.93</v>
          </cell>
          <cell r="AK25">
            <v>23321.93</v>
          </cell>
          <cell r="AL25">
            <v>0</v>
          </cell>
          <cell r="AM25">
            <v>9221.2199999999993</v>
          </cell>
          <cell r="AN25">
            <v>1791.48</v>
          </cell>
          <cell r="AO25">
            <v>1265.6999999999998</v>
          </cell>
          <cell r="AP25">
            <v>6041.6799999999994</v>
          </cell>
          <cell r="AR25">
            <v>66.16</v>
          </cell>
          <cell r="AS25">
            <v>56.2</v>
          </cell>
          <cell r="AT25">
            <v>14100.71</v>
          </cell>
          <cell r="AV25">
            <v>44.56</v>
          </cell>
          <cell r="AX25">
            <v>38.06</v>
          </cell>
          <cell r="AZ25">
            <v>698.72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W25">
            <v>0</v>
          </cell>
          <cell r="BY25">
            <v>0</v>
          </cell>
          <cell r="CA25">
            <v>0</v>
          </cell>
          <cell r="CB25">
            <v>0</v>
          </cell>
          <cell r="CC25">
            <v>0</v>
          </cell>
          <cell r="CS25">
            <v>3795.94</v>
          </cell>
          <cell r="CU25">
            <v>2971.59</v>
          </cell>
          <cell r="CX25">
            <v>429.32</v>
          </cell>
          <cell r="DA25">
            <v>3075.3</v>
          </cell>
          <cell r="DF25">
            <v>21.95</v>
          </cell>
          <cell r="DL25">
            <v>326.48</v>
          </cell>
          <cell r="DO25">
            <v>2698.79</v>
          </cell>
          <cell r="DP25">
            <v>12566.42</v>
          </cell>
          <cell r="DR25">
            <v>1578.02</v>
          </cell>
          <cell r="DT25">
            <v>490.94</v>
          </cell>
          <cell r="DV25">
            <v>287.36</v>
          </cell>
          <cell r="EK25">
            <v>4333.5200000000004</v>
          </cell>
          <cell r="EL25">
            <v>5876.58</v>
          </cell>
          <cell r="FA25">
            <v>5222.7</v>
          </cell>
          <cell r="FB25">
            <v>4142.830082800001</v>
          </cell>
          <cell r="FC25">
            <v>0</v>
          </cell>
          <cell r="FD25">
            <v>564.95647019999979</v>
          </cell>
          <cell r="FE25">
            <v>136.36000000000001</v>
          </cell>
          <cell r="FF25">
            <v>1318.54</v>
          </cell>
          <cell r="FG25">
            <v>0</v>
          </cell>
          <cell r="FH25">
            <v>85.5</v>
          </cell>
          <cell r="FI25">
            <v>0</v>
          </cell>
          <cell r="FJ25">
            <v>0</v>
          </cell>
          <cell r="FK25">
            <v>149846.44085370001</v>
          </cell>
          <cell r="FL25">
            <v>0</v>
          </cell>
          <cell r="FM25">
            <v>4484.3818850999996</v>
          </cell>
          <cell r="FN25">
            <v>0</v>
          </cell>
          <cell r="FO25">
            <v>48487.339399999983</v>
          </cell>
          <cell r="FP25">
            <v>77283.10356839998</v>
          </cell>
          <cell r="FQ25">
            <v>21.95</v>
          </cell>
          <cell r="FR25">
            <v>22301.6669</v>
          </cell>
          <cell r="FS25">
            <v>313895.76916019997</v>
          </cell>
          <cell r="FT25">
            <v>243</v>
          </cell>
          <cell r="GF25">
            <v>370.5</v>
          </cell>
          <cell r="GH25">
            <v>16</v>
          </cell>
          <cell r="GR25">
            <v>629.5</v>
          </cell>
          <cell r="GY25">
            <v>0</v>
          </cell>
          <cell r="HQ25">
            <v>0</v>
          </cell>
          <cell r="HR25">
            <v>53942.776999999995</v>
          </cell>
          <cell r="HS25">
            <v>12629</v>
          </cell>
          <cell r="HT25">
            <v>14648</v>
          </cell>
          <cell r="HU25">
            <v>15301.43</v>
          </cell>
          <cell r="HV25">
            <v>7987</v>
          </cell>
          <cell r="HW25">
            <v>0</v>
          </cell>
          <cell r="HX25">
            <v>13339.95</v>
          </cell>
          <cell r="HY25">
            <v>5351</v>
          </cell>
          <cell r="HZ25">
            <v>0</v>
          </cell>
          <cell r="IA25">
            <v>0</v>
          </cell>
          <cell r="IB25">
            <v>0</v>
          </cell>
          <cell r="IC25">
            <v>27726.42</v>
          </cell>
          <cell r="ID25">
            <v>10755</v>
          </cell>
          <cell r="IE25">
            <v>104215.45</v>
          </cell>
          <cell r="IF25">
            <v>11657</v>
          </cell>
          <cell r="IG25">
            <v>43817.700000000004</v>
          </cell>
          <cell r="IH25">
            <v>1386.82</v>
          </cell>
          <cell r="II25">
            <v>18824.39</v>
          </cell>
          <cell r="IJ25">
            <v>465.65</v>
          </cell>
          <cell r="IK25">
            <v>64167.47</v>
          </cell>
          <cell r="IL25">
            <v>36072.68373886343</v>
          </cell>
          <cell r="IM25">
            <v>0</v>
          </cell>
          <cell r="IN25">
            <v>19616.990000000002</v>
          </cell>
          <cell r="IO25">
            <v>262094.99999999997</v>
          </cell>
          <cell r="IP25">
            <v>723999.73073886347</v>
          </cell>
          <cell r="IQ25">
            <v>1984.73</v>
          </cell>
          <cell r="IR25">
            <v>49167.463294799978</v>
          </cell>
          <cell r="IS25">
            <v>0</v>
          </cell>
          <cell r="IT25">
            <v>18947.715386700002</v>
          </cell>
          <cell r="IU25">
            <v>0</v>
          </cell>
          <cell r="IV25">
            <v>68115.17868149998</v>
          </cell>
          <cell r="IW25">
            <v>21633.8</v>
          </cell>
          <cell r="JA25">
            <v>21633.8</v>
          </cell>
          <cell r="JH25">
            <v>1694.04</v>
          </cell>
          <cell r="JI25">
            <v>10393.14</v>
          </cell>
          <cell r="JK25">
            <v>4255.9799999999996</v>
          </cell>
          <cell r="JL25">
            <v>5290.6399999999994</v>
          </cell>
          <cell r="JO25">
            <v>21633.8</v>
          </cell>
          <cell r="JP25">
            <v>0</v>
          </cell>
          <cell r="JQ25">
            <v>39200.12402670001</v>
          </cell>
          <cell r="JR25">
            <v>0</v>
          </cell>
          <cell r="JS25">
            <v>24813.518932300001</v>
          </cell>
          <cell r="JT25">
            <v>0</v>
          </cell>
          <cell r="JU25">
            <v>0</v>
          </cell>
          <cell r="JV25">
            <v>64013.642959000012</v>
          </cell>
          <cell r="JW25">
            <v>34078.964000000007</v>
          </cell>
        </row>
        <row r="26">
          <cell r="A26">
            <v>41714</v>
          </cell>
          <cell r="B26">
            <v>25060.54</v>
          </cell>
          <cell r="F26">
            <v>25060.54</v>
          </cell>
          <cell r="U26">
            <v>25060.54</v>
          </cell>
          <cell r="Z26">
            <v>0</v>
          </cell>
          <cell r="AA26">
            <v>25060.54</v>
          </cell>
          <cell r="AB26">
            <v>205493.5</v>
          </cell>
          <cell r="AD26">
            <v>17096.774193548386</v>
          </cell>
          <cell r="AE26">
            <v>25473.399999999907</v>
          </cell>
          <cell r="AF26">
            <v>-412.85999999990599</v>
          </cell>
          <cell r="AG26">
            <v>1372304.9599999995</v>
          </cell>
          <cell r="AH26">
            <v>0</v>
          </cell>
          <cell r="AI26">
            <v>25060.539999999997</v>
          </cell>
          <cell r="AJ26">
            <v>19400.71</v>
          </cell>
          <cell r="AK26">
            <v>19400.71</v>
          </cell>
          <cell r="AL26">
            <v>0</v>
          </cell>
          <cell r="AM26">
            <v>8364.9399999999987</v>
          </cell>
          <cell r="AN26">
            <v>2413.6799999999998</v>
          </cell>
          <cell r="AO26">
            <v>847.74</v>
          </cell>
          <cell r="AP26">
            <v>3731.98</v>
          </cell>
          <cell r="AQ26">
            <v>30.48</v>
          </cell>
          <cell r="AR26">
            <v>1182.98</v>
          </cell>
          <cell r="AS26">
            <v>158.08000000000001</v>
          </cell>
          <cell r="AT26">
            <v>11035.77</v>
          </cell>
          <cell r="AU26">
            <v>281.5</v>
          </cell>
          <cell r="AV26">
            <v>66.400000000000006</v>
          </cell>
          <cell r="AX26">
            <v>258.94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W26">
            <v>0</v>
          </cell>
          <cell r="BY26">
            <v>0</v>
          </cell>
          <cell r="CA26">
            <v>0</v>
          </cell>
          <cell r="CB26">
            <v>0</v>
          </cell>
          <cell r="CC26">
            <v>0</v>
          </cell>
          <cell r="CS26">
            <v>3760.1</v>
          </cell>
          <cell r="CU26">
            <v>2667.16</v>
          </cell>
          <cell r="CX26">
            <v>430.88</v>
          </cell>
          <cell r="DA26">
            <v>1136.9000000000001</v>
          </cell>
          <cell r="DB26">
            <v>116.45</v>
          </cell>
          <cell r="DO26">
            <v>2317.4399999999996</v>
          </cell>
          <cell r="DP26">
            <v>16695.599999999999</v>
          </cell>
          <cell r="DR26">
            <v>3280.54</v>
          </cell>
          <cell r="DV26">
            <v>476.9</v>
          </cell>
          <cell r="EK26">
            <v>7515.0199999999986</v>
          </cell>
          <cell r="EL26">
            <v>5423.1399999999994</v>
          </cell>
          <cell r="FA26">
            <v>5504.2</v>
          </cell>
          <cell r="FB26">
            <v>928.69008280000071</v>
          </cell>
          <cell r="FC26">
            <v>0</v>
          </cell>
          <cell r="FD26">
            <v>823.89647019999984</v>
          </cell>
          <cell r="FE26">
            <v>136.36000000000001</v>
          </cell>
          <cell r="FF26">
            <v>841.64</v>
          </cell>
          <cell r="FG26">
            <v>0</v>
          </cell>
          <cell r="FH26">
            <v>85.5</v>
          </cell>
          <cell r="FI26">
            <v>0</v>
          </cell>
          <cell r="FJ26">
            <v>0</v>
          </cell>
          <cell r="FK26">
            <v>149846.44085370001</v>
          </cell>
          <cell r="FL26">
            <v>0</v>
          </cell>
          <cell r="FM26">
            <v>4484.3818850999996</v>
          </cell>
          <cell r="FN26">
            <v>0</v>
          </cell>
          <cell r="FO26">
            <v>47830.459399999985</v>
          </cell>
          <cell r="FP26">
            <v>73113.313568399986</v>
          </cell>
          <cell r="FQ26">
            <v>21.95</v>
          </cell>
          <cell r="FR26">
            <v>24619.106899999999</v>
          </cell>
          <cell r="FS26">
            <v>308235.93916020001</v>
          </cell>
          <cell r="FT26">
            <v>153</v>
          </cell>
          <cell r="GH26">
            <v>469</v>
          </cell>
          <cell r="GR26">
            <v>622</v>
          </cell>
          <cell r="GY26">
            <v>0</v>
          </cell>
          <cell r="HQ26">
            <v>0</v>
          </cell>
          <cell r="HR26">
            <v>54095.776999999995</v>
          </cell>
          <cell r="HS26">
            <v>12629</v>
          </cell>
          <cell r="HT26">
            <v>14648</v>
          </cell>
          <cell r="HU26">
            <v>15301.43</v>
          </cell>
          <cell r="HV26">
            <v>7987</v>
          </cell>
          <cell r="HW26">
            <v>0</v>
          </cell>
          <cell r="HX26">
            <v>13339.95</v>
          </cell>
          <cell r="HY26">
            <v>5351</v>
          </cell>
          <cell r="HZ26">
            <v>0</v>
          </cell>
          <cell r="IA26">
            <v>0</v>
          </cell>
          <cell r="IB26">
            <v>0</v>
          </cell>
          <cell r="IC26">
            <v>27726.42</v>
          </cell>
          <cell r="ID26">
            <v>10755</v>
          </cell>
          <cell r="IE26">
            <v>104215.45</v>
          </cell>
          <cell r="IF26">
            <v>12126</v>
          </cell>
          <cell r="IG26">
            <v>43817.700000000004</v>
          </cell>
          <cell r="IH26">
            <v>1386.82</v>
          </cell>
          <cell r="II26">
            <v>18824.39</v>
          </cell>
          <cell r="IJ26">
            <v>465.65</v>
          </cell>
          <cell r="IK26">
            <v>64167.47</v>
          </cell>
          <cell r="IL26">
            <v>36072.68373886343</v>
          </cell>
          <cell r="IM26">
            <v>0</v>
          </cell>
          <cell r="IN26">
            <v>19616.990000000002</v>
          </cell>
          <cell r="IO26">
            <v>262094.99999999997</v>
          </cell>
          <cell r="IP26">
            <v>724621.73073886347</v>
          </cell>
          <cell r="IQ26">
            <v>1984.73</v>
          </cell>
          <cell r="IR26">
            <v>51216.263294799974</v>
          </cell>
          <cell r="IS26">
            <v>0</v>
          </cell>
          <cell r="IT26">
            <v>18947.715386700002</v>
          </cell>
          <cell r="IU26">
            <v>0</v>
          </cell>
          <cell r="IV26">
            <v>70163.978681499982</v>
          </cell>
          <cell r="IW26">
            <v>23011.739999999998</v>
          </cell>
          <cell r="JA26">
            <v>23011.739999999998</v>
          </cell>
          <cell r="JH26">
            <v>1937.38</v>
          </cell>
          <cell r="JI26">
            <v>12696.26</v>
          </cell>
          <cell r="JK26">
            <v>3958.88</v>
          </cell>
          <cell r="JL26">
            <v>4419.22</v>
          </cell>
          <cell r="JO26">
            <v>23011.74</v>
          </cell>
          <cell r="JP26">
            <v>0</v>
          </cell>
          <cell r="JQ26">
            <v>39916.450026700011</v>
          </cell>
          <cell r="JR26">
            <v>0</v>
          </cell>
          <cell r="JS26">
            <v>17125.269932300002</v>
          </cell>
          <cell r="JT26">
            <v>0</v>
          </cell>
          <cell r="JU26">
            <v>0</v>
          </cell>
          <cell r="JV26">
            <v>57041.719959000009</v>
          </cell>
          <cell r="JW26">
            <v>22295.414000000001</v>
          </cell>
          <cell r="JY26">
            <v>7688.2489999999998</v>
          </cell>
        </row>
        <row r="27">
          <cell r="A27">
            <v>41715</v>
          </cell>
          <cell r="B27">
            <v>22084.26</v>
          </cell>
          <cell r="F27">
            <v>22084.26</v>
          </cell>
          <cell r="U27">
            <v>22084.26</v>
          </cell>
          <cell r="V27">
            <v>261.7</v>
          </cell>
          <cell r="Z27">
            <v>261.7</v>
          </cell>
          <cell r="AA27">
            <v>22345.96</v>
          </cell>
          <cell r="AB27">
            <v>219881</v>
          </cell>
          <cell r="AD27">
            <v>17096.774193548386</v>
          </cell>
          <cell r="AE27">
            <v>23139.899999999907</v>
          </cell>
          <cell r="AF27">
            <v>-1055.6399999999085</v>
          </cell>
          <cell r="AG27">
            <v>1395444.8599999994</v>
          </cell>
          <cell r="AH27">
            <v>0</v>
          </cell>
          <cell r="AI27">
            <v>22084.26</v>
          </cell>
          <cell r="AJ27">
            <v>19582.02</v>
          </cell>
          <cell r="AK27">
            <v>19582.02</v>
          </cell>
          <cell r="AL27">
            <v>0</v>
          </cell>
          <cell r="AM27">
            <v>6513.5999999999995</v>
          </cell>
          <cell r="AN27">
            <v>1244.54</v>
          </cell>
          <cell r="AO27">
            <v>518.41999999999996</v>
          </cell>
          <cell r="AP27">
            <v>3991.2</v>
          </cell>
          <cell r="AQ27">
            <v>61.74</v>
          </cell>
          <cell r="AR27">
            <v>697.7</v>
          </cell>
          <cell r="AT27">
            <v>13068.42</v>
          </cell>
          <cell r="AU27">
            <v>424.82</v>
          </cell>
          <cell r="AV27">
            <v>133.02000000000001</v>
          </cell>
          <cell r="AX27">
            <v>59.46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W27">
            <v>0</v>
          </cell>
          <cell r="BY27">
            <v>0</v>
          </cell>
          <cell r="CA27">
            <v>0</v>
          </cell>
          <cell r="CB27">
            <v>0</v>
          </cell>
          <cell r="CC27">
            <v>0</v>
          </cell>
          <cell r="CS27">
            <v>2930.37</v>
          </cell>
          <cell r="CU27">
            <v>3458.84</v>
          </cell>
          <cell r="CX27">
            <v>558.88</v>
          </cell>
          <cell r="DA27">
            <v>710.13000000000011</v>
          </cell>
          <cell r="DB27">
            <v>769.39</v>
          </cell>
          <cell r="DL27">
            <v>739.27</v>
          </cell>
          <cell r="DO27">
            <v>3284.24</v>
          </cell>
          <cell r="DP27">
            <v>15570.66</v>
          </cell>
          <cell r="DQ27">
            <v>2278.6400000000003</v>
          </cell>
          <cell r="DV27">
            <v>721.78</v>
          </cell>
          <cell r="DX27">
            <v>156.38</v>
          </cell>
          <cell r="EK27">
            <v>6996.34</v>
          </cell>
          <cell r="EL27">
            <v>2960.2000000000003</v>
          </cell>
          <cell r="EO27">
            <v>2457.3200000000002</v>
          </cell>
          <cell r="FA27">
            <v>3650.3799999999992</v>
          </cell>
          <cell r="FB27">
            <v>1061.7100828000007</v>
          </cell>
          <cell r="FC27">
            <v>0</v>
          </cell>
          <cell r="FD27">
            <v>883.35647019999988</v>
          </cell>
          <cell r="FE27">
            <v>136.36000000000001</v>
          </cell>
          <cell r="FF27">
            <v>119.86000000000001</v>
          </cell>
          <cell r="FG27">
            <v>0</v>
          </cell>
          <cell r="FH27">
            <v>0</v>
          </cell>
          <cell r="FI27">
            <v>0</v>
          </cell>
          <cell r="FJ27">
            <v>0</v>
          </cell>
          <cell r="FK27">
            <v>149846.44085370001</v>
          </cell>
          <cell r="FL27">
            <v>0</v>
          </cell>
          <cell r="FM27">
            <v>4484.3818850999996</v>
          </cell>
          <cell r="FN27">
            <v>0</v>
          </cell>
          <cell r="FO27">
            <v>47782.209399999992</v>
          </cell>
          <cell r="FP27">
            <v>71632.633568399993</v>
          </cell>
          <cell r="FQ27">
            <v>21.95</v>
          </cell>
          <cell r="FR27">
            <v>26185.296899999998</v>
          </cell>
          <cell r="FS27">
            <v>305804.57916020002</v>
          </cell>
          <cell r="FT27">
            <v>54</v>
          </cell>
          <cell r="FX27">
            <v>114.00000000000001</v>
          </cell>
          <cell r="GR27">
            <v>168</v>
          </cell>
          <cell r="GY27">
            <v>610.9</v>
          </cell>
          <cell r="HQ27">
            <v>610.9</v>
          </cell>
          <cell r="HR27">
            <v>54149.776999999995</v>
          </cell>
          <cell r="HS27">
            <v>12629</v>
          </cell>
          <cell r="HT27">
            <v>14648</v>
          </cell>
          <cell r="HU27">
            <v>15301.43</v>
          </cell>
          <cell r="HV27">
            <v>8101</v>
          </cell>
          <cell r="HW27">
            <v>0</v>
          </cell>
          <cell r="HX27">
            <v>12729.050000000001</v>
          </cell>
          <cell r="HY27">
            <v>5351</v>
          </cell>
          <cell r="HZ27">
            <v>0</v>
          </cell>
          <cell r="IA27">
            <v>0</v>
          </cell>
          <cell r="IB27">
            <v>0</v>
          </cell>
          <cell r="IC27">
            <v>27726.42</v>
          </cell>
          <cell r="ID27">
            <v>10755</v>
          </cell>
          <cell r="IE27">
            <v>104215.45</v>
          </cell>
          <cell r="IF27">
            <v>12126</v>
          </cell>
          <cell r="IG27">
            <v>43817.700000000004</v>
          </cell>
          <cell r="IH27">
            <v>1386.82</v>
          </cell>
          <cell r="II27">
            <v>18824.39</v>
          </cell>
          <cell r="IJ27">
            <v>465.65</v>
          </cell>
          <cell r="IK27">
            <v>64167.47</v>
          </cell>
          <cell r="IL27">
            <v>36072.68373886343</v>
          </cell>
          <cell r="IM27">
            <v>0</v>
          </cell>
          <cell r="IN27">
            <v>19616.990000000002</v>
          </cell>
          <cell r="IO27">
            <v>262094.99999999997</v>
          </cell>
          <cell r="IP27">
            <v>724178.83073886344</v>
          </cell>
          <cell r="IQ27">
            <v>2333.9300000000003</v>
          </cell>
          <cell r="IR27">
            <v>51706.703294799976</v>
          </cell>
          <cell r="IS27">
            <v>0</v>
          </cell>
          <cell r="IT27">
            <v>18947.715386700002</v>
          </cell>
          <cell r="IU27">
            <v>0</v>
          </cell>
          <cell r="IV27">
            <v>70654.418681499985</v>
          </cell>
          <cell r="IW27">
            <v>21855.519999999997</v>
          </cell>
          <cell r="JA27">
            <v>21855.519999999997</v>
          </cell>
          <cell r="JH27">
            <v>1832.46</v>
          </cell>
          <cell r="JI27">
            <v>10689.880000000001</v>
          </cell>
          <cell r="JK27">
            <v>4423.04</v>
          </cell>
          <cell r="JL27">
            <v>4910.1399999999994</v>
          </cell>
          <cell r="JO27">
            <v>21855.52</v>
          </cell>
          <cell r="JP27">
            <v>0</v>
          </cell>
          <cell r="JQ27">
            <v>37728.918026700005</v>
          </cell>
          <cell r="JR27">
            <v>0</v>
          </cell>
          <cell r="JS27">
            <v>17125.269932300002</v>
          </cell>
          <cell r="JT27">
            <v>0</v>
          </cell>
          <cell r="JU27">
            <v>0</v>
          </cell>
          <cell r="JV27">
            <v>54854.187959000003</v>
          </cell>
          <cell r="JW27">
            <v>24043.052</v>
          </cell>
        </row>
        <row r="28">
          <cell r="A28">
            <v>41716</v>
          </cell>
          <cell r="B28">
            <v>24196.052000000003</v>
          </cell>
          <cell r="F28">
            <v>24196.052000000003</v>
          </cell>
          <cell r="U28">
            <v>24196.052000000003</v>
          </cell>
          <cell r="V28">
            <v>449.06</v>
          </cell>
          <cell r="Z28">
            <v>449.06</v>
          </cell>
          <cell r="AA28">
            <v>24645.112000000005</v>
          </cell>
          <cell r="AB28">
            <v>232058.5</v>
          </cell>
          <cell r="AD28">
            <v>17096.774193548386</v>
          </cell>
          <cell r="AE28">
            <v>25250.600000000093</v>
          </cell>
          <cell r="AF28">
            <v>-1054.5480000000898</v>
          </cell>
          <cell r="AG28">
            <v>1420695.4599999995</v>
          </cell>
          <cell r="AH28">
            <v>0</v>
          </cell>
          <cell r="AI28">
            <v>24196.051999999996</v>
          </cell>
          <cell r="AJ28">
            <v>22126.081999999999</v>
          </cell>
          <cell r="AK28">
            <v>22126.081999999999</v>
          </cell>
          <cell r="AL28">
            <v>0</v>
          </cell>
          <cell r="AM28">
            <v>10305.151999999998</v>
          </cell>
          <cell r="AN28">
            <v>2623.83</v>
          </cell>
          <cell r="AO28">
            <v>962.69999999999993</v>
          </cell>
          <cell r="AP28">
            <v>5335.5</v>
          </cell>
          <cell r="AQ28">
            <v>26.66</v>
          </cell>
          <cell r="AR28">
            <v>1356.4620000000002</v>
          </cell>
          <cell r="AT28">
            <v>11820.93</v>
          </cell>
          <cell r="AU28">
            <v>387.70000000000005</v>
          </cell>
          <cell r="AV28">
            <v>190.5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W28">
            <v>0</v>
          </cell>
          <cell r="BY28">
            <v>0</v>
          </cell>
          <cell r="CA28">
            <v>0</v>
          </cell>
          <cell r="CB28">
            <v>0</v>
          </cell>
          <cell r="CC28">
            <v>0</v>
          </cell>
          <cell r="CS28">
            <v>421.6</v>
          </cell>
          <cell r="CT28">
            <v>26.88</v>
          </cell>
          <cell r="CU28">
            <v>3629.78</v>
          </cell>
          <cell r="CX28">
            <v>1054.54</v>
          </cell>
          <cell r="DA28">
            <v>2538.89</v>
          </cell>
          <cell r="DB28">
            <v>107.62</v>
          </cell>
          <cell r="DL28">
            <v>87.96</v>
          </cell>
          <cell r="DO28">
            <v>3375.46</v>
          </cell>
          <cell r="DP28">
            <v>13890.9</v>
          </cell>
          <cell r="DQ28">
            <v>3516.34</v>
          </cell>
          <cell r="EK28">
            <v>5245.16</v>
          </cell>
          <cell r="EO28">
            <v>5129.3999999999996</v>
          </cell>
          <cell r="FA28">
            <v>521.73999999999887</v>
          </cell>
          <cell r="FB28">
            <v>1252.2100828000007</v>
          </cell>
          <cell r="FC28">
            <v>0</v>
          </cell>
          <cell r="FD28">
            <v>883.35647019999988</v>
          </cell>
          <cell r="FE28">
            <v>136.36000000000001</v>
          </cell>
          <cell r="FF28">
            <v>119.86000000000001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149846.44085370001</v>
          </cell>
          <cell r="FL28">
            <v>0</v>
          </cell>
          <cell r="FM28">
            <v>4484.3818850999996</v>
          </cell>
          <cell r="FN28">
            <v>0</v>
          </cell>
          <cell r="FO28">
            <v>47669.849399999992</v>
          </cell>
          <cell r="FP28">
            <v>74279.143568399988</v>
          </cell>
          <cell r="FQ28">
            <v>21.95</v>
          </cell>
          <cell r="FR28">
            <v>24519.316899999998</v>
          </cell>
          <cell r="FS28">
            <v>303734.60916019999</v>
          </cell>
          <cell r="FT28">
            <v>72</v>
          </cell>
          <cell r="FX28">
            <v>28.5</v>
          </cell>
          <cell r="GF28">
            <v>9.5</v>
          </cell>
          <cell r="GH28">
            <v>656</v>
          </cell>
          <cell r="GR28">
            <v>766</v>
          </cell>
          <cell r="GY28">
            <v>588.54999999999995</v>
          </cell>
          <cell r="HQ28">
            <v>588.54999999999995</v>
          </cell>
          <cell r="HR28">
            <v>54221.776999999995</v>
          </cell>
          <cell r="HS28">
            <v>12629</v>
          </cell>
          <cell r="HT28">
            <v>14648</v>
          </cell>
          <cell r="HU28">
            <v>15301.43</v>
          </cell>
          <cell r="HV28">
            <v>8129.5</v>
          </cell>
          <cell r="HW28">
            <v>0</v>
          </cell>
          <cell r="HX28">
            <v>12140.500000000002</v>
          </cell>
          <cell r="HY28">
            <v>5351</v>
          </cell>
          <cell r="HZ28">
            <v>0</v>
          </cell>
          <cell r="IA28">
            <v>0</v>
          </cell>
          <cell r="IB28">
            <v>0</v>
          </cell>
          <cell r="IC28">
            <v>27726.42</v>
          </cell>
          <cell r="ID28">
            <v>10764.5</v>
          </cell>
          <cell r="IE28">
            <v>104215.45</v>
          </cell>
          <cell r="IF28">
            <v>12782</v>
          </cell>
          <cell r="IG28">
            <v>43817.700000000004</v>
          </cell>
          <cell r="IH28">
            <v>1386.82</v>
          </cell>
          <cell r="II28">
            <v>18824.39</v>
          </cell>
          <cell r="IJ28">
            <v>465.65</v>
          </cell>
          <cell r="IK28">
            <v>64167.47</v>
          </cell>
          <cell r="IL28">
            <v>36072.68373886343</v>
          </cell>
          <cell r="IM28">
            <v>0</v>
          </cell>
          <cell r="IN28">
            <v>19616.990000000002</v>
          </cell>
          <cell r="IO28">
            <v>262094.99999999997</v>
          </cell>
          <cell r="IP28">
            <v>724356.28073886351</v>
          </cell>
          <cell r="IQ28">
            <v>2473.4200000000005</v>
          </cell>
          <cell r="IR28">
            <v>54758.695294799982</v>
          </cell>
          <cell r="IS28">
            <v>0</v>
          </cell>
          <cell r="IT28">
            <v>18947.715386700002</v>
          </cell>
          <cell r="IU28">
            <v>0</v>
          </cell>
          <cell r="IV28">
            <v>73706.410681499983</v>
          </cell>
          <cell r="IW28">
            <v>21593.119999999999</v>
          </cell>
          <cell r="JA28">
            <v>21593.119999999999</v>
          </cell>
          <cell r="JH28">
            <v>2429.6800000000003</v>
          </cell>
          <cell r="JI28">
            <v>11783.699999999999</v>
          </cell>
          <cell r="JK28">
            <v>3534.3599999999997</v>
          </cell>
          <cell r="JL28">
            <v>3845.38</v>
          </cell>
          <cell r="JO28">
            <v>21593.119999999999</v>
          </cell>
          <cell r="JP28">
            <v>0</v>
          </cell>
          <cell r="JQ28">
            <v>42636.960026700006</v>
          </cell>
          <cell r="JR28">
            <v>0</v>
          </cell>
          <cell r="JS28">
            <v>17125.269932300002</v>
          </cell>
          <cell r="JT28">
            <v>0</v>
          </cell>
          <cell r="JU28">
            <v>0</v>
          </cell>
          <cell r="JV28">
            <v>59762.229959000004</v>
          </cell>
          <cell r="JW28">
            <v>9223.8209999999999</v>
          </cell>
        </row>
        <row r="29">
          <cell r="A29">
            <v>41717</v>
          </cell>
          <cell r="D29">
            <v>13688.98</v>
          </cell>
          <cell r="F29">
            <v>13688.98</v>
          </cell>
          <cell r="U29">
            <v>13688.98</v>
          </cell>
          <cell r="Z29">
            <v>0</v>
          </cell>
          <cell r="AA29">
            <v>13688.98</v>
          </cell>
          <cell r="AB29">
            <v>226190.5</v>
          </cell>
          <cell r="AD29">
            <v>17096.774193548386</v>
          </cell>
          <cell r="AE29">
            <v>13910.700000000186</v>
          </cell>
          <cell r="AF29">
            <v>-221.7200000001867</v>
          </cell>
          <cell r="AG29">
            <v>1434606.1599999997</v>
          </cell>
          <cell r="AH29">
            <v>0</v>
          </cell>
          <cell r="AI29">
            <v>13688.98</v>
          </cell>
          <cell r="AJ29">
            <v>23647.41</v>
          </cell>
          <cell r="AK29">
            <v>23647.41</v>
          </cell>
          <cell r="AL29">
            <v>0</v>
          </cell>
          <cell r="AM29">
            <v>5766.2999999999993</v>
          </cell>
          <cell r="AN29">
            <v>2055.54</v>
          </cell>
          <cell r="AO29">
            <v>822.24</v>
          </cell>
          <cell r="AP29">
            <v>2636.12</v>
          </cell>
          <cell r="AR29">
            <v>252.4</v>
          </cell>
          <cell r="AT29">
            <v>17881.11</v>
          </cell>
          <cell r="AU29">
            <v>714.12</v>
          </cell>
          <cell r="AV29">
            <v>506.28</v>
          </cell>
          <cell r="AX29">
            <v>1087.74</v>
          </cell>
          <cell r="AZ29">
            <v>340.1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W29">
            <v>0</v>
          </cell>
          <cell r="BY29">
            <v>0</v>
          </cell>
          <cell r="CA29">
            <v>0</v>
          </cell>
          <cell r="CB29">
            <v>0</v>
          </cell>
          <cell r="CC29">
            <v>0</v>
          </cell>
          <cell r="CE29">
            <v>105.06</v>
          </cell>
          <cell r="CS29">
            <v>1460.61</v>
          </cell>
          <cell r="CT29">
            <v>3853.51</v>
          </cell>
          <cell r="CU29">
            <v>2506.1400000000003</v>
          </cell>
          <cell r="CX29">
            <v>1581.6</v>
          </cell>
          <cell r="DA29">
            <v>2614.21</v>
          </cell>
          <cell r="DO29">
            <v>3111.74</v>
          </cell>
          <cell r="DP29">
            <v>7922.68</v>
          </cell>
          <cell r="DQ29">
            <v>1901.12</v>
          </cell>
          <cell r="EK29">
            <v>2942.04</v>
          </cell>
          <cell r="EL29">
            <v>3079.52</v>
          </cell>
          <cell r="FA29">
            <v>0</v>
          </cell>
          <cell r="FB29">
            <v>1758.4900828000007</v>
          </cell>
          <cell r="FC29">
            <v>0</v>
          </cell>
          <cell r="FD29">
            <v>1971.0964701999999</v>
          </cell>
          <cell r="FE29">
            <v>136.36000000000001</v>
          </cell>
          <cell r="FF29">
            <v>459.96000000000004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K29">
            <v>149846.44085370001</v>
          </cell>
          <cell r="FL29">
            <v>0</v>
          </cell>
          <cell r="FM29">
            <v>4484.3818850999996</v>
          </cell>
          <cell r="FN29">
            <v>0</v>
          </cell>
          <cell r="FO29">
            <v>54234.729399999989</v>
          </cell>
          <cell r="FP29">
            <v>73813.83356839999</v>
          </cell>
          <cell r="FQ29">
            <v>21.95</v>
          </cell>
          <cell r="FR29">
            <v>27631.056899999996</v>
          </cell>
          <cell r="FS29">
            <v>314358.29916020005</v>
          </cell>
          <cell r="GF29">
            <v>57.000000000000007</v>
          </cell>
          <cell r="GH29">
            <v>170</v>
          </cell>
          <cell r="GR29">
            <v>227</v>
          </cell>
          <cell r="GY29">
            <v>688.16</v>
          </cell>
          <cell r="HQ29">
            <v>688.16</v>
          </cell>
          <cell r="HR29">
            <v>54221.776999999995</v>
          </cell>
          <cell r="HS29">
            <v>12629</v>
          </cell>
          <cell r="HT29">
            <v>14648</v>
          </cell>
          <cell r="HU29">
            <v>15301.43</v>
          </cell>
          <cell r="HV29">
            <v>8129.5</v>
          </cell>
          <cell r="HW29">
            <v>0</v>
          </cell>
          <cell r="HX29">
            <v>11452.340000000002</v>
          </cell>
          <cell r="HY29">
            <v>5351</v>
          </cell>
          <cell r="HZ29">
            <v>0</v>
          </cell>
          <cell r="IA29">
            <v>0</v>
          </cell>
          <cell r="IB29">
            <v>0</v>
          </cell>
          <cell r="IC29">
            <v>27726.42</v>
          </cell>
          <cell r="ID29">
            <v>10821.5</v>
          </cell>
          <cell r="IE29">
            <v>104215.45</v>
          </cell>
          <cell r="IF29">
            <v>12952</v>
          </cell>
          <cell r="IG29">
            <v>43817.700000000004</v>
          </cell>
          <cell r="IH29">
            <v>1386.82</v>
          </cell>
          <cell r="II29">
            <v>18824.39</v>
          </cell>
          <cell r="IJ29">
            <v>465.65</v>
          </cell>
          <cell r="IK29">
            <v>64167.47</v>
          </cell>
          <cell r="IL29">
            <v>36072.68373886343</v>
          </cell>
          <cell r="IM29">
            <v>0</v>
          </cell>
          <cell r="IN29">
            <v>19616.990000000002</v>
          </cell>
          <cell r="IO29">
            <v>262094.99999999997</v>
          </cell>
          <cell r="IP29">
            <v>723895.12073886348</v>
          </cell>
          <cell r="IQ29">
            <v>3161.5800000000004</v>
          </cell>
          <cell r="IR29">
            <v>31756.43529479998</v>
          </cell>
          <cell r="IS29">
            <v>0</v>
          </cell>
          <cell r="IT29">
            <v>32636.695386700001</v>
          </cell>
          <cell r="IU29">
            <v>0</v>
          </cell>
          <cell r="IV29">
            <v>64393.130681499984</v>
          </cell>
          <cell r="IW29">
            <v>23002.260000000002</v>
          </cell>
          <cell r="JA29">
            <v>23002.260000000002</v>
          </cell>
          <cell r="JH29">
            <v>2200.44</v>
          </cell>
          <cell r="JI29">
            <v>11451.64</v>
          </cell>
          <cell r="JK29">
            <v>3878.2799999999997</v>
          </cell>
          <cell r="JL29">
            <v>5471.9</v>
          </cell>
          <cell r="JO29">
            <v>23002.260000000002</v>
          </cell>
          <cell r="JP29">
            <v>0</v>
          </cell>
          <cell r="JQ29">
            <v>41679.515026699999</v>
          </cell>
          <cell r="JR29">
            <v>0</v>
          </cell>
          <cell r="JS29">
            <v>17125.269932300002</v>
          </cell>
          <cell r="JT29">
            <v>0</v>
          </cell>
          <cell r="JU29">
            <v>0</v>
          </cell>
          <cell r="JV29">
            <v>58804.784958999997</v>
          </cell>
          <cell r="JW29">
            <v>23959.705000000002</v>
          </cell>
        </row>
        <row r="30">
          <cell r="A30">
            <v>41718</v>
          </cell>
          <cell r="B30">
            <v>23474.300000000007</v>
          </cell>
          <cell r="F30">
            <v>23474.300000000007</v>
          </cell>
          <cell r="U30">
            <v>23474.300000000007</v>
          </cell>
          <cell r="V30">
            <v>510.78</v>
          </cell>
          <cell r="Z30">
            <v>510.78</v>
          </cell>
          <cell r="AA30">
            <v>23985.080000000005</v>
          </cell>
          <cell r="AB30">
            <v>180518.5</v>
          </cell>
          <cell r="AD30">
            <v>17096.774193548386</v>
          </cell>
          <cell r="AE30">
            <v>24569.5</v>
          </cell>
          <cell r="AF30">
            <v>-1095.1999999999935</v>
          </cell>
          <cell r="AG30">
            <v>1459175.6599999997</v>
          </cell>
          <cell r="AH30">
            <v>0</v>
          </cell>
          <cell r="AI30">
            <v>23474.300000000003</v>
          </cell>
          <cell r="AJ30">
            <v>19964.980000000003</v>
          </cell>
          <cell r="AK30">
            <v>19964.980000000003</v>
          </cell>
          <cell r="AL30">
            <v>0</v>
          </cell>
          <cell r="AM30">
            <v>6938.7600000000011</v>
          </cell>
          <cell r="AN30">
            <v>1452.0600000000002</v>
          </cell>
          <cell r="AO30">
            <v>657.54</v>
          </cell>
          <cell r="AP30">
            <v>4151.1400000000003</v>
          </cell>
          <cell r="AR30">
            <v>678.0200000000001</v>
          </cell>
          <cell r="AT30">
            <v>13026.220000000001</v>
          </cell>
          <cell r="AU30">
            <v>422.88</v>
          </cell>
          <cell r="AV30">
            <v>141.18</v>
          </cell>
          <cell r="AX30">
            <v>159.38</v>
          </cell>
          <cell r="AZ30">
            <v>44.68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W30">
            <v>0</v>
          </cell>
          <cell r="BY30">
            <v>0</v>
          </cell>
          <cell r="CA30">
            <v>0</v>
          </cell>
          <cell r="CB30">
            <v>0</v>
          </cell>
          <cell r="CC30">
            <v>0</v>
          </cell>
          <cell r="CS30">
            <v>1949.84</v>
          </cell>
          <cell r="CT30">
            <v>2959.88</v>
          </cell>
          <cell r="CU30">
            <v>2360.2600000000002</v>
          </cell>
          <cell r="CX30">
            <v>457.6</v>
          </cell>
          <cell r="DA30">
            <v>116.42</v>
          </cell>
          <cell r="DB30">
            <v>1952.42</v>
          </cell>
          <cell r="DO30">
            <v>2461.6800000000003</v>
          </cell>
          <cell r="DP30">
            <v>16535.54</v>
          </cell>
          <cell r="DR30">
            <v>1964.98</v>
          </cell>
          <cell r="DT30">
            <v>1500.4</v>
          </cell>
          <cell r="DV30">
            <v>374.16</v>
          </cell>
          <cell r="EK30">
            <v>7146.38</v>
          </cell>
          <cell r="EL30">
            <v>3203.78</v>
          </cell>
          <cell r="EO30">
            <v>2345.84</v>
          </cell>
          <cell r="EW30">
            <v>32.56</v>
          </cell>
          <cell r="FA30">
            <v>422.88</v>
          </cell>
          <cell r="FB30">
            <v>0</v>
          </cell>
          <cell r="FC30">
            <v>0</v>
          </cell>
          <cell r="FD30">
            <v>630.07647019999968</v>
          </cell>
          <cell r="FE30">
            <v>168.92000000000002</v>
          </cell>
          <cell r="FF30">
            <v>130.48000000000002</v>
          </cell>
          <cell r="FG30">
            <v>0</v>
          </cell>
          <cell r="FH30">
            <v>0</v>
          </cell>
          <cell r="FI30">
            <v>0</v>
          </cell>
          <cell r="FJ30">
            <v>0</v>
          </cell>
          <cell r="FK30">
            <v>149846.44085370001</v>
          </cell>
          <cell r="FL30">
            <v>0</v>
          </cell>
          <cell r="FM30">
            <v>4484.3818850999996</v>
          </cell>
          <cell r="FN30">
            <v>0</v>
          </cell>
          <cell r="FO30">
            <v>54815.929399999994</v>
          </cell>
          <cell r="FP30">
            <v>72646.33356839999</v>
          </cell>
          <cell r="FQ30">
            <v>21.95</v>
          </cell>
          <cell r="FR30">
            <v>27746.896899999996</v>
          </cell>
          <cell r="FS30">
            <v>310914.2890774</v>
          </cell>
          <cell r="FT30">
            <v>81</v>
          </cell>
          <cell r="FX30">
            <v>161.5</v>
          </cell>
          <cell r="GF30">
            <v>0</v>
          </cell>
          <cell r="GH30">
            <v>160</v>
          </cell>
          <cell r="GQ30">
            <v>141.94999999999999</v>
          </cell>
          <cell r="GR30">
            <v>544.45000000000005</v>
          </cell>
          <cell r="GY30">
            <v>484.25</v>
          </cell>
          <cell r="HQ30">
            <v>484.25</v>
          </cell>
          <cell r="HR30">
            <v>54302.776999999995</v>
          </cell>
          <cell r="HS30">
            <v>12629</v>
          </cell>
          <cell r="HT30">
            <v>14648</v>
          </cell>
          <cell r="HU30">
            <v>15301.43</v>
          </cell>
          <cell r="HV30">
            <v>8291</v>
          </cell>
          <cell r="HW30">
            <v>0</v>
          </cell>
          <cell r="HX30">
            <v>10968.090000000002</v>
          </cell>
          <cell r="HY30">
            <v>5351</v>
          </cell>
          <cell r="HZ30">
            <v>0</v>
          </cell>
          <cell r="IA30">
            <v>0</v>
          </cell>
          <cell r="IB30">
            <v>0</v>
          </cell>
          <cell r="IC30">
            <v>27726.42</v>
          </cell>
          <cell r="ID30">
            <v>10821.5</v>
          </cell>
          <cell r="IE30">
            <v>104215.45</v>
          </cell>
          <cell r="IF30">
            <v>13112</v>
          </cell>
          <cell r="IG30">
            <v>43817.700000000004</v>
          </cell>
          <cell r="IH30">
            <v>1386.82</v>
          </cell>
          <cell r="II30">
            <v>18824.39</v>
          </cell>
          <cell r="IJ30">
            <v>465.65</v>
          </cell>
          <cell r="IK30">
            <v>64167.47</v>
          </cell>
          <cell r="IL30">
            <v>36072.68373886343</v>
          </cell>
          <cell r="IM30">
            <v>0</v>
          </cell>
          <cell r="IN30">
            <v>19616.990000000002</v>
          </cell>
          <cell r="IO30">
            <v>262236.94999999995</v>
          </cell>
          <cell r="IP30">
            <v>723955.32073886343</v>
          </cell>
          <cell r="IQ30">
            <v>3135.05</v>
          </cell>
          <cell r="IR30">
            <v>55489.375294799989</v>
          </cell>
          <cell r="IS30">
            <v>0</v>
          </cell>
          <cell r="IT30">
            <v>16191.9953867</v>
          </cell>
          <cell r="IU30">
            <v>0</v>
          </cell>
          <cell r="IV30">
            <v>71681.37068149999</v>
          </cell>
          <cell r="IW30">
            <v>252.14</v>
          </cell>
          <cell r="IY30">
            <v>16444.7</v>
          </cell>
          <cell r="JA30">
            <v>16696.84</v>
          </cell>
          <cell r="JH30">
            <v>2190.6</v>
          </cell>
          <cell r="JI30">
            <v>7388.24</v>
          </cell>
          <cell r="JK30">
            <v>3160.2200000000003</v>
          </cell>
          <cell r="JL30">
            <v>3957.78</v>
          </cell>
          <cell r="JO30">
            <v>16696.84</v>
          </cell>
          <cell r="JP30">
            <v>0</v>
          </cell>
          <cell r="JQ30">
            <v>27101.655026699998</v>
          </cell>
          <cell r="JR30">
            <v>0</v>
          </cell>
          <cell r="JS30">
            <v>26035.611932300002</v>
          </cell>
          <cell r="JT30">
            <v>0</v>
          </cell>
          <cell r="JU30">
            <v>0</v>
          </cell>
          <cell r="JV30">
            <v>53137.266959</v>
          </cell>
          <cell r="JW30">
            <v>14830</v>
          </cell>
          <cell r="JY30">
            <v>7534.3580000000002</v>
          </cell>
        </row>
        <row r="31">
          <cell r="A31">
            <v>41719</v>
          </cell>
          <cell r="D31">
            <v>21909.319999999996</v>
          </cell>
          <cell r="F31">
            <v>21909.319999999996</v>
          </cell>
          <cell r="U31">
            <v>21909.319999999996</v>
          </cell>
          <cell r="X31">
            <v>420.64</v>
          </cell>
          <cell r="Z31">
            <v>420.64</v>
          </cell>
          <cell r="AA31">
            <v>22329.959999999995</v>
          </cell>
          <cell r="AB31">
            <v>157856</v>
          </cell>
          <cell r="AD31">
            <v>17096.774193548386</v>
          </cell>
          <cell r="AE31">
            <v>23230.899999999907</v>
          </cell>
          <cell r="AF31">
            <v>-1321.5799999999108</v>
          </cell>
          <cell r="AG31">
            <v>1482406.5599999996</v>
          </cell>
          <cell r="AH31">
            <v>0</v>
          </cell>
          <cell r="AI31">
            <v>21909.32</v>
          </cell>
          <cell r="AJ31">
            <v>17520.969999999998</v>
          </cell>
          <cell r="AK31">
            <v>17520.969999999998</v>
          </cell>
          <cell r="AL31">
            <v>0</v>
          </cell>
          <cell r="AM31">
            <v>6377.94</v>
          </cell>
          <cell r="AN31">
            <v>789.1</v>
          </cell>
          <cell r="AO31">
            <v>377.7</v>
          </cell>
          <cell r="AP31">
            <v>3637.32</v>
          </cell>
          <cell r="AQ31">
            <v>1300.5</v>
          </cell>
          <cell r="AR31">
            <v>273.32</v>
          </cell>
          <cell r="AT31">
            <v>11143.029999999999</v>
          </cell>
          <cell r="AU31">
            <v>145.16</v>
          </cell>
          <cell r="AZ31">
            <v>591.6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W31">
            <v>0</v>
          </cell>
          <cell r="BY31">
            <v>0</v>
          </cell>
          <cell r="CA31">
            <v>0</v>
          </cell>
          <cell r="CB31">
            <v>0</v>
          </cell>
          <cell r="CC31">
            <v>0</v>
          </cell>
          <cell r="CS31">
            <v>2549.75</v>
          </cell>
          <cell r="CU31">
            <v>3165.98</v>
          </cell>
          <cell r="CX31">
            <v>108.88</v>
          </cell>
          <cell r="DA31">
            <v>545.78</v>
          </cell>
          <cell r="DB31">
            <v>3743.83</v>
          </cell>
          <cell r="DL31">
            <v>263.99</v>
          </cell>
          <cell r="DO31">
            <v>28.06</v>
          </cell>
          <cell r="DP31">
            <v>15531.38</v>
          </cell>
          <cell r="DQ31">
            <v>4201.88</v>
          </cell>
          <cell r="DT31">
            <v>218.44</v>
          </cell>
          <cell r="EK31">
            <v>5911.5599999999995</v>
          </cell>
          <cell r="EL31">
            <v>5199.5</v>
          </cell>
          <cell r="FA31">
            <v>0</v>
          </cell>
          <cell r="FB31">
            <v>0</v>
          </cell>
          <cell r="FC31">
            <v>0</v>
          </cell>
          <cell r="FD31">
            <v>411.63647019999968</v>
          </cell>
          <cell r="FE31">
            <v>168.92000000000002</v>
          </cell>
          <cell r="FF31">
            <v>722.08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K31">
            <v>149846.44085370001</v>
          </cell>
          <cell r="FL31">
            <v>0</v>
          </cell>
          <cell r="FM31">
            <v>4484.3818850999996</v>
          </cell>
          <cell r="FN31">
            <v>0</v>
          </cell>
          <cell r="FO31">
            <v>54728.979399999997</v>
          </cell>
          <cell r="FP31">
            <v>71736.443568399991</v>
          </cell>
          <cell r="FQ31">
            <v>21.95</v>
          </cell>
          <cell r="FR31">
            <v>28038.946899999995</v>
          </cell>
          <cell r="FS31">
            <v>310159.77907739999</v>
          </cell>
          <cell r="GQ31">
            <v>571.20000000000005</v>
          </cell>
          <cell r="GR31">
            <v>571.20000000000005</v>
          </cell>
          <cell r="GY31">
            <v>476.8</v>
          </cell>
          <cell r="HQ31">
            <v>476.8</v>
          </cell>
          <cell r="HR31">
            <v>54302.776999999995</v>
          </cell>
          <cell r="HS31">
            <v>12629</v>
          </cell>
          <cell r="HT31">
            <v>14648</v>
          </cell>
          <cell r="HU31">
            <v>15301.43</v>
          </cell>
          <cell r="HV31">
            <v>8291</v>
          </cell>
          <cell r="HW31">
            <v>0</v>
          </cell>
          <cell r="HX31">
            <v>10491.290000000003</v>
          </cell>
          <cell r="HY31">
            <v>5351</v>
          </cell>
          <cell r="HZ31">
            <v>0</v>
          </cell>
          <cell r="IA31">
            <v>0</v>
          </cell>
          <cell r="IB31">
            <v>0</v>
          </cell>
          <cell r="IC31">
            <v>27726.42</v>
          </cell>
          <cell r="ID31">
            <v>10821.5</v>
          </cell>
          <cell r="IE31">
            <v>104215.45</v>
          </cell>
          <cell r="IF31">
            <v>13112</v>
          </cell>
          <cell r="IG31">
            <v>43817.700000000004</v>
          </cell>
          <cell r="IH31">
            <v>1386.82</v>
          </cell>
          <cell r="II31">
            <v>18824.39</v>
          </cell>
          <cell r="IJ31">
            <v>465.65</v>
          </cell>
          <cell r="IK31">
            <v>64167.47</v>
          </cell>
          <cell r="IL31">
            <v>36072.68373886343</v>
          </cell>
          <cell r="IM31">
            <v>0</v>
          </cell>
          <cell r="IN31">
            <v>19616.990000000002</v>
          </cell>
          <cell r="IO31">
            <v>262808.14999999997</v>
          </cell>
          <cell r="IP31">
            <v>724049.72073886357</v>
          </cell>
          <cell r="IQ31">
            <v>3191.2100000000005</v>
          </cell>
          <cell r="IR31">
            <v>35346.335294799988</v>
          </cell>
          <cell r="IS31">
            <v>0</v>
          </cell>
          <cell r="IT31">
            <v>37213.475386699989</v>
          </cell>
          <cell r="IU31">
            <v>0</v>
          </cell>
          <cell r="IV31">
            <v>72559.810681499977</v>
          </cell>
          <cell r="IW31">
            <v>20143.04</v>
          </cell>
          <cell r="IY31">
            <v>1308.48</v>
          </cell>
          <cell r="JA31">
            <v>21451.52</v>
          </cell>
          <cell r="JH31">
            <v>2396.14</v>
          </cell>
          <cell r="JI31">
            <v>9173.6999999999989</v>
          </cell>
          <cell r="JK31">
            <v>3465.78</v>
          </cell>
          <cell r="JL31">
            <v>6415.9</v>
          </cell>
          <cell r="JO31">
            <v>21451.519999999997</v>
          </cell>
          <cell r="JP31">
            <v>0</v>
          </cell>
          <cell r="JQ31">
            <v>39502.545026699998</v>
          </cell>
          <cell r="JR31">
            <v>0</v>
          </cell>
          <cell r="JS31">
            <v>27344.091932300002</v>
          </cell>
          <cell r="JT31">
            <v>0</v>
          </cell>
          <cell r="JU31">
            <v>0</v>
          </cell>
          <cell r="JV31">
            <v>66846.636958999996</v>
          </cell>
          <cell r="JW31">
            <v>7742.15</v>
          </cell>
        </row>
        <row r="32">
          <cell r="A32">
            <v>41720</v>
          </cell>
          <cell r="B32">
            <v>23721.98</v>
          </cell>
          <cell r="F32">
            <v>23721.98</v>
          </cell>
          <cell r="U32">
            <v>23721.98</v>
          </cell>
          <cell r="V32">
            <v>462.14</v>
          </cell>
          <cell r="Z32">
            <v>462.14</v>
          </cell>
          <cell r="AA32">
            <v>24184.12</v>
          </cell>
          <cell r="AB32">
            <v>242599</v>
          </cell>
          <cell r="AD32">
            <v>17096.774193548386</v>
          </cell>
          <cell r="AE32">
            <v>24775.5</v>
          </cell>
          <cell r="AF32">
            <v>-1053.5200000000004</v>
          </cell>
          <cell r="AG32">
            <v>1507182.0599999996</v>
          </cell>
          <cell r="AH32">
            <v>0</v>
          </cell>
          <cell r="AI32">
            <v>23721.98</v>
          </cell>
          <cell r="AJ32">
            <v>25088.699999999997</v>
          </cell>
          <cell r="AK32">
            <v>25088.699999999997</v>
          </cell>
          <cell r="AL32">
            <v>0</v>
          </cell>
          <cell r="AM32">
            <v>9160.4199999999983</v>
          </cell>
          <cell r="AN32">
            <v>2679.3999999999996</v>
          </cell>
          <cell r="AO32">
            <v>817.6</v>
          </cell>
          <cell r="AP32">
            <v>5116.78</v>
          </cell>
          <cell r="AR32">
            <v>546.64</v>
          </cell>
          <cell r="AT32">
            <v>15928.28</v>
          </cell>
          <cell r="AU32">
            <v>860.75999999999988</v>
          </cell>
          <cell r="AV32">
            <v>145.35999999999999</v>
          </cell>
          <cell r="AX32">
            <v>382.54</v>
          </cell>
          <cell r="AZ32">
            <v>67.039999999999992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W32">
            <v>0</v>
          </cell>
          <cell r="BY32">
            <v>0</v>
          </cell>
          <cell r="CA32">
            <v>0</v>
          </cell>
          <cell r="CB32">
            <v>0</v>
          </cell>
          <cell r="CC32">
            <v>0</v>
          </cell>
          <cell r="CS32">
            <v>5240.18</v>
          </cell>
          <cell r="CT32">
            <v>743.08</v>
          </cell>
          <cell r="CU32">
            <v>3215.06</v>
          </cell>
          <cell r="DA32">
            <v>1891.32</v>
          </cell>
          <cell r="DB32">
            <v>2979.54</v>
          </cell>
          <cell r="DL32">
            <v>403.4</v>
          </cell>
          <cell r="DP32">
            <v>14561.560000000001</v>
          </cell>
          <cell r="DR32">
            <v>878.62</v>
          </cell>
          <cell r="DT32">
            <v>388.91999999999996</v>
          </cell>
          <cell r="DU32">
            <v>254.1</v>
          </cell>
          <cell r="DV32">
            <v>763.4</v>
          </cell>
          <cell r="EK32">
            <v>6818</v>
          </cell>
          <cell r="EL32">
            <v>3734</v>
          </cell>
          <cell r="EO32">
            <v>1724.52</v>
          </cell>
          <cell r="FA32">
            <v>860.75999999999988</v>
          </cell>
          <cell r="FB32">
            <v>0</v>
          </cell>
          <cell r="FC32">
            <v>0</v>
          </cell>
          <cell r="FD32">
            <v>405.25647019999974</v>
          </cell>
          <cell r="FE32">
            <v>0</v>
          </cell>
          <cell r="FF32">
            <v>25.720000000000027</v>
          </cell>
          <cell r="FG32">
            <v>0</v>
          </cell>
          <cell r="FH32">
            <v>0</v>
          </cell>
          <cell r="FI32">
            <v>0</v>
          </cell>
          <cell r="FJ32">
            <v>0</v>
          </cell>
          <cell r="FK32">
            <v>149846.44085370001</v>
          </cell>
          <cell r="FL32">
            <v>0</v>
          </cell>
          <cell r="FM32">
            <v>4484.3818850999996</v>
          </cell>
          <cell r="FN32">
            <v>0</v>
          </cell>
          <cell r="FO32">
            <v>57109.299399999996</v>
          </cell>
          <cell r="FP32">
            <v>72873.303568399991</v>
          </cell>
          <cell r="FQ32">
            <v>21.95</v>
          </cell>
          <cell r="FR32">
            <v>26717.826899999996</v>
          </cell>
          <cell r="FS32">
            <v>312344.93907740002</v>
          </cell>
          <cell r="GQ32">
            <v>333.2</v>
          </cell>
          <cell r="GR32">
            <v>333.2</v>
          </cell>
          <cell r="GY32">
            <v>657.8</v>
          </cell>
          <cell r="HQ32">
            <v>657.8</v>
          </cell>
          <cell r="HR32">
            <v>54302.776999999995</v>
          </cell>
          <cell r="HS32">
            <v>12629</v>
          </cell>
          <cell r="HT32">
            <v>14648</v>
          </cell>
          <cell r="HU32">
            <v>15301.43</v>
          </cell>
          <cell r="HV32">
            <v>8291</v>
          </cell>
          <cell r="HW32">
            <v>0</v>
          </cell>
          <cell r="HX32">
            <v>9833.4900000000034</v>
          </cell>
          <cell r="HY32">
            <v>5351</v>
          </cell>
          <cell r="HZ32">
            <v>0</v>
          </cell>
          <cell r="IA32">
            <v>0</v>
          </cell>
          <cell r="IB32">
            <v>0</v>
          </cell>
          <cell r="IC32">
            <v>27726.42</v>
          </cell>
          <cell r="ID32">
            <v>10821.5</v>
          </cell>
          <cell r="IE32">
            <v>104215.45</v>
          </cell>
          <cell r="IF32">
            <v>13112</v>
          </cell>
          <cell r="IG32">
            <v>43817.700000000004</v>
          </cell>
          <cell r="IH32">
            <v>1386.82</v>
          </cell>
          <cell r="II32">
            <v>18824.39</v>
          </cell>
          <cell r="IJ32">
            <v>465.65</v>
          </cell>
          <cell r="IK32">
            <v>64167.47</v>
          </cell>
          <cell r="IL32">
            <v>36072.68373886343</v>
          </cell>
          <cell r="IM32">
            <v>0</v>
          </cell>
          <cell r="IN32">
            <v>19616.990000000002</v>
          </cell>
          <cell r="IO32">
            <v>263141.34999999998</v>
          </cell>
          <cell r="IP32">
            <v>723725.12073886348</v>
          </cell>
          <cell r="IQ32">
            <v>3386.8700000000003</v>
          </cell>
          <cell r="IR32">
            <v>37543.375294799989</v>
          </cell>
          <cell r="IS32">
            <v>0</v>
          </cell>
          <cell r="IT32">
            <v>37213.475386699989</v>
          </cell>
          <cell r="IU32">
            <v>0</v>
          </cell>
          <cell r="IV32">
            <v>74756.850681499986</v>
          </cell>
          <cell r="IW32">
            <v>21987.08</v>
          </cell>
          <cell r="JA32">
            <v>21987.08</v>
          </cell>
          <cell r="JH32">
            <v>2690.12</v>
          </cell>
          <cell r="JI32">
            <v>9197.7799999999988</v>
          </cell>
          <cell r="JK32">
            <v>3854.38</v>
          </cell>
          <cell r="JL32">
            <v>6244.7999999999993</v>
          </cell>
          <cell r="JO32">
            <v>21987.079999999998</v>
          </cell>
          <cell r="JP32">
            <v>0</v>
          </cell>
          <cell r="JQ32">
            <v>46074.102026699999</v>
          </cell>
          <cell r="JR32">
            <v>0</v>
          </cell>
          <cell r="JS32">
            <v>27344.091932300002</v>
          </cell>
          <cell r="JT32">
            <v>0</v>
          </cell>
          <cell r="JU32">
            <v>0</v>
          </cell>
          <cell r="JV32">
            <v>73418.193958999997</v>
          </cell>
          <cell r="JW32">
            <v>15415.523000000001</v>
          </cell>
        </row>
        <row r="33">
          <cell r="A33">
            <v>41721</v>
          </cell>
          <cell r="B33">
            <v>23184.46</v>
          </cell>
          <cell r="F33">
            <v>23184.46</v>
          </cell>
          <cell r="U33">
            <v>23184.46</v>
          </cell>
          <cell r="V33">
            <v>443.4</v>
          </cell>
          <cell r="Z33">
            <v>443.4</v>
          </cell>
          <cell r="AA33">
            <v>23627.86</v>
          </cell>
          <cell r="AB33">
            <v>236772</v>
          </cell>
          <cell r="AD33">
            <v>17096.774193548386</v>
          </cell>
          <cell r="AE33">
            <v>24165.200000000186</v>
          </cell>
          <cell r="AF33">
            <v>-980.74000000018714</v>
          </cell>
          <cell r="AG33">
            <v>1531347.2599999998</v>
          </cell>
          <cell r="AH33">
            <v>0</v>
          </cell>
          <cell r="AI33">
            <v>23184.46</v>
          </cell>
          <cell r="AJ33">
            <v>22844.75</v>
          </cell>
          <cell r="AK33">
            <v>22844.75</v>
          </cell>
          <cell r="AL33">
            <v>0</v>
          </cell>
          <cell r="AM33">
            <v>8428.5400000000009</v>
          </cell>
          <cell r="AN33">
            <v>1188.9199999999998</v>
          </cell>
          <cell r="AP33">
            <v>3930.96</v>
          </cell>
          <cell r="AQ33">
            <v>998.88</v>
          </cell>
          <cell r="AR33">
            <v>2265.2399999999998</v>
          </cell>
          <cell r="AS33">
            <v>44.54</v>
          </cell>
          <cell r="AT33">
            <v>14416.210000000001</v>
          </cell>
          <cell r="AU33">
            <v>2073.6</v>
          </cell>
          <cell r="AX33">
            <v>43.9</v>
          </cell>
          <cell r="AZ33">
            <v>323.98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W33">
            <v>0</v>
          </cell>
          <cell r="BY33">
            <v>0</v>
          </cell>
          <cell r="CA33">
            <v>0</v>
          </cell>
          <cell r="CB33">
            <v>0</v>
          </cell>
          <cell r="CC33">
            <v>0</v>
          </cell>
          <cell r="CS33">
            <v>3463.7</v>
          </cell>
          <cell r="CT33">
            <v>2288.34</v>
          </cell>
          <cell r="CU33">
            <v>2343.8599999999997</v>
          </cell>
          <cell r="DA33">
            <v>3484.44</v>
          </cell>
          <cell r="DB33">
            <v>109.8</v>
          </cell>
          <cell r="DL33">
            <v>284.58999999999997</v>
          </cell>
          <cell r="DP33">
            <v>14755.919999999998</v>
          </cell>
          <cell r="DQ33">
            <v>774.04</v>
          </cell>
          <cell r="DR33">
            <v>2545.46</v>
          </cell>
          <cell r="EK33">
            <v>7351.2199999999993</v>
          </cell>
          <cell r="EL33">
            <v>1534.8799999999999</v>
          </cell>
          <cell r="EO33">
            <v>2550.3200000000002</v>
          </cell>
          <cell r="FA33">
            <v>2160.3199999999997</v>
          </cell>
          <cell r="FB33">
            <v>0</v>
          </cell>
          <cell r="FC33">
            <v>0</v>
          </cell>
          <cell r="FD33">
            <v>449.15647019999972</v>
          </cell>
          <cell r="FE33">
            <v>0</v>
          </cell>
          <cell r="FF33">
            <v>349.70000000000005</v>
          </cell>
          <cell r="FG33">
            <v>0</v>
          </cell>
          <cell r="FH33">
            <v>0</v>
          </cell>
          <cell r="FI33">
            <v>0</v>
          </cell>
          <cell r="FJ33">
            <v>0</v>
          </cell>
          <cell r="FK33">
            <v>149846.44085370001</v>
          </cell>
          <cell r="FL33">
            <v>0</v>
          </cell>
          <cell r="FM33">
            <v>4484.3818850999996</v>
          </cell>
          <cell r="FN33">
            <v>0</v>
          </cell>
          <cell r="FO33">
            <v>57853.979399999997</v>
          </cell>
          <cell r="FP33">
            <v>74932.663568399992</v>
          </cell>
          <cell r="FQ33">
            <v>21.95</v>
          </cell>
          <cell r="FR33">
            <v>24452.096899999997</v>
          </cell>
          <cell r="FS33">
            <v>314550.68907740008</v>
          </cell>
          <cell r="FT33">
            <v>126</v>
          </cell>
          <cell r="GR33">
            <v>126</v>
          </cell>
          <cell r="HQ33">
            <v>0</v>
          </cell>
          <cell r="HR33">
            <v>54428.776999999995</v>
          </cell>
          <cell r="HS33">
            <v>12629</v>
          </cell>
          <cell r="HT33">
            <v>14648</v>
          </cell>
          <cell r="HU33">
            <v>15301.43</v>
          </cell>
          <cell r="HV33">
            <v>8291</v>
          </cell>
          <cell r="HW33">
            <v>0</v>
          </cell>
          <cell r="HX33">
            <v>9833.4900000000034</v>
          </cell>
          <cell r="HY33">
            <v>5351</v>
          </cell>
          <cell r="HZ33">
            <v>0</v>
          </cell>
          <cell r="IA33">
            <v>0</v>
          </cell>
          <cell r="IB33">
            <v>0</v>
          </cell>
          <cell r="IC33">
            <v>27726.42</v>
          </cell>
          <cell r="ID33">
            <v>10821.5</v>
          </cell>
          <cell r="IE33">
            <v>104215.45</v>
          </cell>
          <cell r="IF33">
            <v>13112</v>
          </cell>
          <cell r="IG33">
            <v>43817.700000000004</v>
          </cell>
          <cell r="IH33">
            <v>1386.82</v>
          </cell>
          <cell r="II33">
            <v>18824.39</v>
          </cell>
          <cell r="IJ33">
            <v>465.65</v>
          </cell>
          <cell r="IK33">
            <v>64167.47</v>
          </cell>
          <cell r="IL33">
            <v>36072.68373886343</v>
          </cell>
          <cell r="IM33">
            <v>0</v>
          </cell>
          <cell r="IN33">
            <v>19616.990000000002</v>
          </cell>
          <cell r="IO33">
            <v>263141.34999999998</v>
          </cell>
          <cell r="IP33">
            <v>723851.12073886348</v>
          </cell>
          <cell r="IQ33">
            <v>2943.4700000000003</v>
          </cell>
          <cell r="IR33">
            <v>39666.555294799989</v>
          </cell>
          <cell r="IS33">
            <v>0</v>
          </cell>
          <cell r="IT33">
            <v>37213.475386699989</v>
          </cell>
          <cell r="IU33">
            <v>0</v>
          </cell>
          <cell r="IV33">
            <v>76880.030681499979</v>
          </cell>
          <cell r="IW33">
            <v>21504.68</v>
          </cell>
          <cell r="JA33">
            <v>21504.68</v>
          </cell>
          <cell r="JH33">
            <v>2730.6800000000003</v>
          </cell>
          <cell r="JI33">
            <v>9803.42</v>
          </cell>
          <cell r="JK33">
            <v>3875.1400000000003</v>
          </cell>
          <cell r="JL33">
            <v>5095.4400000000005</v>
          </cell>
          <cell r="JO33">
            <v>21504.68</v>
          </cell>
          <cell r="JP33">
            <v>0</v>
          </cell>
          <cell r="JQ33">
            <v>67578.782026700006</v>
          </cell>
          <cell r="JR33">
            <v>0</v>
          </cell>
          <cell r="JS33">
            <v>19850.314932300003</v>
          </cell>
          <cell r="JT33">
            <v>0</v>
          </cell>
          <cell r="JU33">
            <v>0</v>
          </cell>
          <cell r="JV33">
            <v>87429.096959000017</v>
          </cell>
          <cell r="JY33">
            <v>7493.777</v>
          </cell>
        </row>
        <row r="34">
          <cell r="A34">
            <v>41722</v>
          </cell>
          <cell r="B34">
            <v>24874.7</v>
          </cell>
          <cell r="F34">
            <v>24874.7</v>
          </cell>
          <cell r="U34">
            <v>24874.7</v>
          </cell>
          <cell r="Z34">
            <v>0</v>
          </cell>
          <cell r="AA34">
            <v>24874.7</v>
          </cell>
          <cell r="AB34">
            <v>214673</v>
          </cell>
          <cell r="AD34">
            <v>17096.774193548386</v>
          </cell>
          <cell r="AE34">
            <v>25595.899999999907</v>
          </cell>
          <cell r="AF34">
            <v>-721.19999999990614</v>
          </cell>
          <cell r="AG34">
            <v>1556943.1599999997</v>
          </cell>
          <cell r="AH34">
            <v>0</v>
          </cell>
          <cell r="AI34">
            <v>24874.699999999997</v>
          </cell>
          <cell r="AJ34">
            <v>23498</v>
          </cell>
          <cell r="AK34">
            <v>23498</v>
          </cell>
          <cell r="AL34">
            <v>0</v>
          </cell>
          <cell r="AM34">
            <v>8533.08</v>
          </cell>
          <cell r="AN34">
            <v>2680.6600000000003</v>
          </cell>
          <cell r="AP34">
            <v>3363.26</v>
          </cell>
          <cell r="AQ34">
            <v>724.82</v>
          </cell>
          <cell r="AR34">
            <v>1764.3399999999997</v>
          </cell>
          <cell r="AT34">
            <v>14964.92</v>
          </cell>
          <cell r="AU34">
            <v>615.04</v>
          </cell>
          <cell r="AX34">
            <v>66.44</v>
          </cell>
          <cell r="AZ34">
            <v>41.260000000000005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W34">
            <v>0</v>
          </cell>
          <cell r="BY34">
            <v>0</v>
          </cell>
          <cell r="CA34">
            <v>0</v>
          </cell>
          <cell r="CB34">
            <v>0</v>
          </cell>
          <cell r="CC34">
            <v>0</v>
          </cell>
          <cell r="CS34">
            <v>4965.5599999999995</v>
          </cell>
          <cell r="CT34">
            <v>3177.92</v>
          </cell>
          <cell r="CU34">
            <v>2377.58</v>
          </cell>
          <cell r="DA34">
            <v>100.6</v>
          </cell>
          <cell r="DB34">
            <v>3620.52</v>
          </cell>
          <cell r="DP34">
            <v>16341.619999999999</v>
          </cell>
          <cell r="DQ34">
            <v>2212.16</v>
          </cell>
          <cell r="DT34">
            <v>156.58000000000001</v>
          </cell>
          <cell r="DV34">
            <v>389.58</v>
          </cell>
          <cell r="EK34">
            <v>7622.58</v>
          </cell>
          <cell r="EL34">
            <v>1191</v>
          </cell>
          <cell r="EO34">
            <v>4769.7199999999993</v>
          </cell>
          <cell r="FA34">
            <v>563.19999999999982</v>
          </cell>
          <cell r="FB34">
            <v>0</v>
          </cell>
          <cell r="FC34">
            <v>0</v>
          </cell>
          <cell r="FD34">
            <v>359.01647019999962</v>
          </cell>
          <cell r="FE34">
            <v>0</v>
          </cell>
          <cell r="FF34">
            <v>1.3800000000000523</v>
          </cell>
          <cell r="FG34">
            <v>0</v>
          </cell>
          <cell r="FH34">
            <v>0</v>
          </cell>
          <cell r="FI34">
            <v>0</v>
          </cell>
          <cell r="FJ34">
            <v>0</v>
          </cell>
          <cell r="FK34">
            <v>149846.44085370001</v>
          </cell>
          <cell r="FL34">
            <v>0</v>
          </cell>
          <cell r="FM34">
            <v>4484.3818850999996</v>
          </cell>
          <cell r="FN34">
            <v>0</v>
          </cell>
          <cell r="FO34">
            <v>60752.459399999992</v>
          </cell>
          <cell r="FP34">
            <v>77462.783568399987</v>
          </cell>
          <cell r="FQ34">
            <v>21.95</v>
          </cell>
          <cell r="FR34">
            <v>19682.376899999996</v>
          </cell>
          <cell r="FS34">
            <v>313173.98907739995</v>
          </cell>
          <cell r="GR34">
            <v>0</v>
          </cell>
          <cell r="HQ34">
            <v>0</v>
          </cell>
          <cell r="HR34">
            <v>54428.776999999995</v>
          </cell>
          <cell r="HS34">
            <v>12629</v>
          </cell>
          <cell r="HT34">
            <v>14648</v>
          </cell>
          <cell r="HU34">
            <v>15301.43</v>
          </cell>
          <cell r="HV34">
            <v>8291</v>
          </cell>
          <cell r="HW34">
            <v>0</v>
          </cell>
          <cell r="HX34">
            <v>9833.4900000000034</v>
          </cell>
          <cell r="HY34">
            <v>5351</v>
          </cell>
          <cell r="HZ34">
            <v>0</v>
          </cell>
          <cell r="IA34">
            <v>0</v>
          </cell>
          <cell r="IB34">
            <v>0</v>
          </cell>
          <cell r="IC34">
            <v>27726.42</v>
          </cell>
          <cell r="ID34">
            <v>10821.5</v>
          </cell>
          <cell r="IE34">
            <v>104215.45</v>
          </cell>
          <cell r="IF34">
            <v>13112</v>
          </cell>
          <cell r="IG34">
            <v>43817.700000000004</v>
          </cell>
          <cell r="IH34">
            <v>1386.82</v>
          </cell>
          <cell r="II34">
            <v>18824.39</v>
          </cell>
          <cell r="IJ34">
            <v>465.65</v>
          </cell>
          <cell r="IK34">
            <v>64167.47</v>
          </cell>
          <cell r="IL34">
            <v>36072.68373886343</v>
          </cell>
          <cell r="IM34">
            <v>0</v>
          </cell>
          <cell r="IN34">
            <v>19616.990000000002</v>
          </cell>
          <cell r="IO34">
            <v>263141.34999999998</v>
          </cell>
          <cell r="IP34">
            <v>723851.12073886348</v>
          </cell>
          <cell r="IQ34">
            <v>2943.4700000000003</v>
          </cell>
          <cell r="IR34">
            <v>64541.255294799994</v>
          </cell>
          <cell r="IS34">
            <v>0</v>
          </cell>
          <cell r="IT34">
            <v>17136.37538669999</v>
          </cell>
          <cell r="IU34">
            <v>0</v>
          </cell>
          <cell r="IV34">
            <v>81677.630681499984</v>
          </cell>
          <cell r="IY34">
            <v>20077.099999999999</v>
          </cell>
          <cell r="JA34">
            <v>20077.099999999999</v>
          </cell>
          <cell r="JH34">
            <v>2327.2799999999997</v>
          </cell>
          <cell r="JI34">
            <v>10343.200000000001</v>
          </cell>
          <cell r="JK34">
            <v>3955.42</v>
          </cell>
          <cell r="JL34">
            <v>3451.2</v>
          </cell>
          <cell r="JO34">
            <v>20077.100000000002</v>
          </cell>
          <cell r="JP34">
            <v>0</v>
          </cell>
          <cell r="JQ34">
            <v>67578.782026700006</v>
          </cell>
          <cell r="JR34">
            <v>0</v>
          </cell>
          <cell r="JS34">
            <v>31864.183932300002</v>
          </cell>
          <cell r="JT34">
            <v>0</v>
          </cell>
          <cell r="JU34">
            <v>0</v>
          </cell>
          <cell r="JV34">
            <v>99442.965959000008</v>
          </cell>
          <cell r="JY34">
            <v>8063.2309999999998</v>
          </cell>
        </row>
      </sheetData>
      <sheetData sheetId="11">
        <row r="3">
          <cell r="B3" t="str">
            <v>DATE</v>
          </cell>
          <cell r="C3" t="str">
            <v>OB</v>
          </cell>
          <cell r="D3" t="str">
            <v>ROM prod</v>
          </cell>
          <cell r="E3" t="str">
            <v>SR</v>
          </cell>
          <cell r="F3" t="str">
            <v>ROM stock</v>
          </cell>
          <cell r="G3" t="str">
            <v>Crushed coal</v>
          </cell>
          <cell r="H3" t="str">
            <v>F/C stock</v>
          </cell>
          <cell r="I3" t="str">
            <v>Barge loading</v>
          </cell>
          <cell r="J3" t="str">
            <v>Uncovered Coal</v>
          </cell>
          <cell r="K3" t="str">
            <v>Rain fall</v>
          </cell>
          <cell r="L3" t="str">
            <v>Slippery time</v>
          </cell>
        </row>
        <row r="4">
          <cell r="C4" t="str">
            <v>BCM</v>
          </cell>
          <cell r="D4" t="str">
            <v>Tons</v>
          </cell>
          <cell r="E4" t="str">
            <v>BCM/Tons</v>
          </cell>
          <cell r="F4" t="str">
            <v>Tons</v>
          </cell>
          <cell r="G4" t="str">
            <v>Tons</v>
          </cell>
          <cell r="H4" t="str">
            <v>Tons</v>
          </cell>
          <cell r="I4" t="str">
            <v>Tons</v>
          </cell>
          <cell r="J4" t="str">
            <v>Tons</v>
          </cell>
          <cell r="K4" t="str">
            <v>mm.</v>
          </cell>
          <cell r="L4" t="str">
            <v>hr.</v>
          </cell>
        </row>
        <row r="5">
          <cell r="B5">
            <v>41699</v>
          </cell>
          <cell r="C5">
            <v>28866</v>
          </cell>
          <cell r="D5">
            <v>3833.38</v>
          </cell>
          <cell r="E5">
            <v>7.5301691979401983</v>
          </cell>
          <cell r="F5">
            <v>71321.918000000005</v>
          </cell>
          <cell r="G5">
            <v>1707.2</v>
          </cell>
          <cell r="H5">
            <v>74444.206999999995</v>
          </cell>
          <cell r="I5">
            <v>18384.264999999999</v>
          </cell>
          <cell r="J5">
            <v>3289</v>
          </cell>
        </row>
        <row r="6">
          <cell r="B6">
            <v>41700</v>
          </cell>
          <cell r="C6">
            <v>7420.5</v>
          </cell>
          <cell r="D6">
            <v>1390.36</v>
          </cell>
          <cell r="E6">
            <v>5.3371069363330363</v>
          </cell>
          <cell r="F6">
            <v>71343.247999999992</v>
          </cell>
          <cell r="G6">
            <v>1369.03</v>
          </cell>
          <cell r="H6">
            <v>75813.236999999994</v>
          </cell>
          <cell r="I6">
            <v>0</v>
          </cell>
          <cell r="J6">
            <v>1733.85897435897</v>
          </cell>
        </row>
        <row r="7">
          <cell r="B7">
            <v>41701</v>
          </cell>
          <cell r="C7">
            <v>29775.5</v>
          </cell>
          <cell r="D7">
            <v>3767.56</v>
          </cell>
          <cell r="E7">
            <v>7.9031256303814672</v>
          </cell>
          <cell r="F7">
            <v>71343.248000000007</v>
          </cell>
          <cell r="G7">
            <v>3767.5599999999995</v>
          </cell>
          <cell r="H7">
            <v>72378.361000000004</v>
          </cell>
          <cell r="I7">
            <v>7202.4359999999997</v>
          </cell>
          <cell r="J7">
            <v>4089</v>
          </cell>
        </row>
        <row r="8">
          <cell r="B8">
            <v>41702</v>
          </cell>
          <cell r="C8">
            <v>29376</v>
          </cell>
          <cell r="D8">
            <v>4759.1500000000005</v>
          </cell>
          <cell r="E8">
            <v>6.1725308090730495</v>
          </cell>
          <cell r="F8">
            <v>71363.668000000005</v>
          </cell>
          <cell r="G8">
            <v>4738.7299999999996</v>
          </cell>
          <cell r="H8">
            <v>64857.314000000013</v>
          </cell>
          <cell r="I8">
            <v>12259.78</v>
          </cell>
          <cell r="J8">
            <v>4994.6843589743603</v>
          </cell>
        </row>
        <row r="9">
          <cell r="B9">
            <v>41703</v>
          </cell>
          <cell r="C9">
            <v>30047.5</v>
          </cell>
          <cell r="D9">
            <v>3456.13</v>
          </cell>
          <cell r="E9">
            <v>8.6939727382939882</v>
          </cell>
          <cell r="F9">
            <v>71363.668000000005</v>
          </cell>
          <cell r="G9">
            <v>3456.13</v>
          </cell>
          <cell r="H9">
            <v>54167.461000000003</v>
          </cell>
          <cell r="I9">
            <v>14145.982999999998</v>
          </cell>
          <cell r="J9">
            <v>3469.8838461538498</v>
          </cell>
        </row>
        <row r="10">
          <cell r="B10">
            <v>41704</v>
          </cell>
          <cell r="C10">
            <v>29529</v>
          </cell>
          <cell r="D10">
            <v>3849.2899999999995</v>
          </cell>
          <cell r="E10">
            <v>7.6712848343460749</v>
          </cell>
          <cell r="F10">
            <v>71361.880999999994</v>
          </cell>
          <cell r="G10">
            <v>3849.2899999999995</v>
          </cell>
          <cell r="H10">
            <v>47108.303000000007</v>
          </cell>
          <cell r="I10">
            <v>11876.645</v>
          </cell>
          <cell r="J10">
            <v>3943.7751282051318</v>
          </cell>
        </row>
        <row r="11">
          <cell r="B11">
            <v>41705</v>
          </cell>
          <cell r="C11">
            <v>20383</v>
          </cell>
          <cell r="D11">
            <v>2644.7599999999998</v>
          </cell>
          <cell r="E11">
            <v>7.7069374914926128</v>
          </cell>
          <cell r="F11">
            <v>71361.880999999994</v>
          </cell>
          <cell r="G11">
            <v>2644.7599999999998</v>
          </cell>
          <cell r="H11">
            <v>36468.489000000001</v>
          </cell>
          <cell r="I11">
            <v>13284.574000000001</v>
          </cell>
          <cell r="J11">
            <v>2803.1769230769273</v>
          </cell>
        </row>
        <row r="12">
          <cell r="B12">
            <v>41706</v>
          </cell>
          <cell r="C12">
            <v>20570</v>
          </cell>
          <cell r="D12">
            <v>3686.89</v>
          </cell>
          <cell r="E12">
            <v>5.579228021448972</v>
          </cell>
          <cell r="F12">
            <v>71382.781000000003</v>
          </cell>
          <cell r="G12">
            <v>3665.99</v>
          </cell>
          <cell r="H12">
            <v>24749.848000000002</v>
          </cell>
          <cell r="I12">
            <v>15432.527000000002</v>
          </cell>
          <cell r="J12">
            <v>3809</v>
          </cell>
        </row>
        <row r="13">
          <cell r="B13">
            <v>41707</v>
          </cell>
          <cell r="C13">
            <v>20366</v>
          </cell>
          <cell r="D13">
            <v>2741.15</v>
          </cell>
          <cell r="E13">
            <v>7.4297283986647935</v>
          </cell>
          <cell r="F13">
            <v>71382.781000000003</v>
          </cell>
          <cell r="G13">
            <v>2741.15</v>
          </cell>
          <cell r="H13">
            <v>27490.997999999992</v>
          </cell>
          <cell r="I13">
            <v>0</v>
          </cell>
          <cell r="J13">
            <v>2702.4279487179524</v>
          </cell>
        </row>
        <row r="14">
          <cell r="B14">
            <v>41708</v>
          </cell>
          <cell r="C14">
            <v>18674.5</v>
          </cell>
          <cell r="D14">
            <v>2833.42</v>
          </cell>
          <cell r="E14">
            <v>6.5907983991077916</v>
          </cell>
          <cell r="F14">
            <v>71382.781000000003</v>
          </cell>
          <cell r="G14">
            <v>2810.84</v>
          </cell>
          <cell r="H14">
            <v>23036.48000000001</v>
          </cell>
          <cell r="I14">
            <v>7265.3580000000002</v>
          </cell>
          <cell r="J14">
            <v>3199.02</v>
          </cell>
        </row>
        <row r="15">
          <cell r="B15">
            <v>41709</v>
          </cell>
          <cell r="C15">
            <v>18394</v>
          </cell>
          <cell r="D15">
            <v>3285.7000000000003</v>
          </cell>
          <cell r="E15">
            <v>5.598198253035882</v>
          </cell>
          <cell r="F15">
            <v>72441.811000000002</v>
          </cell>
          <cell r="G15">
            <v>2226.67</v>
          </cell>
          <cell r="H15">
            <v>18045.472999999998</v>
          </cell>
          <cell r="I15">
            <v>7217.6769999999997</v>
          </cell>
          <cell r="J15">
            <v>3652.23692307693</v>
          </cell>
        </row>
        <row r="16">
          <cell r="B16">
            <v>41710</v>
          </cell>
          <cell r="C16">
            <v>20638</v>
          </cell>
          <cell r="D16">
            <v>4628.32</v>
          </cell>
          <cell r="E16">
            <v>4.4590693815466524</v>
          </cell>
          <cell r="F16">
            <v>72441.811000000002</v>
          </cell>
          <cell r="G16">
            <v>4628.32</v>
          </cell>
          <cell r="H16">
            <v>15420.055000000008</v>
          </cell>
          <cell r="I16">
            <v>7253.7379999999994</v>
          </cell>
          <cell r="J16">
            <v>4885.0015384615399</v>
          </cell>
        </row>
        <row r="17">
          <cell r="B17">
            <v>41711</v>
          </cell>
          <cell r="C17">
            <v>11917</v>
          </cell>
          <cell r="D17">
            <v>1227.1100000000001</v>
          </cell>
          <cell r="E17">
            <v>9.7114358126003371</v>
          </cell>
          <cell r="F17">
            <v>72441.811000000002</v>
          </cell>
          <cell r="G17">
            <v>1227.1100000000001</v>
          </cell>
          <cell r="H17">
            <v>9422.1410000000178</v>
          </cell>
          <cell r="I17">
            <v>7225.0239999999994</v>
          </cell>
          <cell r="J17">
            <v>2050.0576923076951</v>
          </cell>
        </row>
        <row r="18">
          <cell r="B18">
            <v>41712</v>
          </cell>
          <cell r="C18">
            <v>23749</v>
          </cell>
          <cell r="D18">
            <v>3718.68</v>
          </cell>
          <cell r="E18">
            <v>6.3864059289855541</v>
          </cell>
          <cell r="F18">
            <v>71955.210999999996</v>
          </cell>
          <cell r="G18">
            <v>4205.28</v>
          </cell>
          <cell r="H18">
            <v>13631.629000000001</v>
          </cell>
          <cell r="I18">
            <v>0</v>
          </cell>
          <cell r="J18">
            <v>3592.3338461538501</v>
          </cell>
        </row>
        <row r="19">
          <cell r="B19">
            <v>41713</v>
          </cell>
          <cell r="C19">
            <v>15946</v>
          </cell>
          <cell r="D19">
            <v>2320.44</v>
          </cell>
          <cell r="E19">
            <v>6.8719725569288581</v>
          </cell>
          <cell r="F19">
            <v>71259.691000000006</v>
          </cell>
          <cell r="G19">
            <v>3015.96</v>
          </cell>
          <cell r="H19">
            <v>16647.589</v>
          </cell>
          <cell r="I19">
            <v>0</v>
          </cell>
          <cell r="J19">
            <v>1990</v>
          </cell>
        </row>
        <row r="20">
          <cell r="B20">
            <v>41714</v>
          </cell>
          <cell r="C20">
            <v>24956</v>
          </cell>
          <cell r="D20">
            <v>3430.74</v>
          </cell>
          <cell r="E20">
            <v>7.2742323813521299</v>
          </cell>
          <cell r="F20">
            <v>70478.680999999997</v>
          </cell>
          <cell r="G20">
            <v>4211.75</v>
          </cell>
          <cell r="H20">
            <v>20859.339000000007</v>
          </cell>
          <cell r="I20">
            <v>0</v>
          </cell>
          <cell r="J20">
            <v>3189.7610256410303</v>
          </cell>
        </row>
        <row r="21">
          <cell r="B21">
            <v>41715</v>
          </cell>
          <cell r="C21">
            <v>26545.5</v>
          </cell>
          <cell r="D21">
            <v>4207.0200000000004</v>
          </cell>
          <cell r="E21">
            <v>6.3098107448978134</v>
          </cell>
          <cell r="F21">
            <v>69305.781000000003</v>
          </cell>
          <cell r="G21">
            <v>5402.5</v>
          </cell>
          <cell r="H21">
            <v>19018.455000000016</v>
          </cell>
          <cell r="I21">
            <v>7243.384</v>
          </cell>
          <cell r="J21">
            <v>4821.0451282051299</v>
          </cell>
        </row>
        <row r="22">
          <cell r="B22">
            <v>41716</v>
          </cell>
          <cell r="C22">
            <v>25568</v>
          </cell>
          <cell r="D22">
            <v>5326.0700000000006</v>
          </cell>
          <cell r="E22">
            <v>4.8005377323242087</v>
          </cell>
          <cell r="F22">
            <v>69474.581000000006</v>
          </cell>
          <cell r="G22">
            <v>5157.2700000000004</v>
          </cell>
          <cell r="H22">
            <v>24175.725000000006</v>
          </cell>
          <cell r="I22">
            <v>0</v>
          </cell>
          <cell r="J22">
            <v>5451.3541025641098</v>
          </cell>
        </row>
        <row r="23">
          <cell r="B23">
            <v>41717</v>
          </cell>
          <cell r="C23">
            <v>19643.5</v>
          </cell>
          <cell r="D23">
            <v>3706.71</v>
          </cell>
          <cell r="E23">
            <v>5.2994434417583252</v>
          </cell>
          <cell r="F23">
            <v>67670.821000000011</v>
          </cell>
          <cell r="G23">
            <v>5510.47</v>
          </cell>
          <cell r="H23">
            <v>29686.195000000007</v>
          </cell>
          <cell r="I23">
            <v>0</v>
          </cell>
          <cell r="J23">
            <v>3551.61153846154</v>
          </cell>
        </row>
        <row r="24">
          <cell r="B24">
            <v>41718</v>
          </cell>
          <cell r="C24">
            <v>23817</v>
          </cell>
          <cell r="D24">
            <v>4070.5600000000004</v>
          </cell>
          <cell r="E24">
            <v>5.8510376950591567</v>
          </cell>
          <cell r="F24">
            <v>65802.861000000004</v>
          </cell>
          <cell r="G24">
            <v>5938.52</v>
          </cell>
          <cell r="H24">
            <v>35576.818999999989</v>
          </cell>
          <cell r="I24">
            <v>0</v>
          </cell>
          <cell r="J24">
            <v>4257.8897435897497</v>
          </cell>
        </row>
        <row r="25">
          <cell r="B25">
            <v>41719</v>
          </cell>
          <cell r="C25">
            <v>23035</v>
          </cell>
          <cell r="D25">
            <v>3055.19</v>
          </cell>
          <cell r="E25">
            <v>7.5396292865582826</v>
          </cell>
          <cell r="F25">
            <v>64322.180999999997</v>
          </cell>
          <cell r="G25">
            <v>4535.87</v>
          </cell>
          <cell r="H25">
            <v>40112.688999999998</v>
          </cell>
          <cell r="I25">
            <v>0</v>
          </cell>
          <cell r="J25">
            <v>3072.746923076927</v>
          </cell>
        </row>
        <row r="26">
          <cell r="B26">
            <v>41720</v>
          </cell>
          <cell r="C26">
            <v>25126</v>
          </cell>
          <cell r="D26">
            <v>4057.42</v>
          </cell>
          <cell r="E26">
            <v>6.1926051530282793</v>
          </cell>
          <cell r="F26">
            <v>62208.500999999997</v>
          </cell>
          <cell r="G26">
            <v>6171.1</v>
          </cell>
          <cell r="H26">
            <v>46283.788999999997</v>
          </cell>
          <cell r="I26">
            <v>0</v>
          </cell>
          <cell r="J26">
            <v>3607</v>
          </cell>
        </row>
        <row r="27">
          <cell r="B27">
            <v>41721</v>
          </cell>
          <cell r="C27">
            <v>25100.5</v>
          </cell>
          <cell r="D27">
            <v>3629.47</v>
          </cell>
          <cell r="E27">
            <v>6.915748029326596</v>
          </cell>
          <cell r="F27">
            <v>62230.811000000002</v>
          </cell>
          <cell r="G27">
            <v>3607.16</v>
          </cell>
          <cell r="H27">
            <v>49890.949000000001</v>
          </cell>
          <cell r="I27">
            <v>0</v>
          </cell>
          <cell r="J27">
            <v>3028</v>
          </cell>
        </row>
        <row r="28">
          <cell r="B28">
            <v>41722</v>
          </cell>
          <cell r="C28">
            <v>29095.5</v>
          </cell>
          <cell r="D28">
            <v>4017.51</v>
          </cell>
          <cell r="E28">
            <v>7.2421723903611932</v>
          </cell>
          <cell r="F28">
            <v>61224.981</v>
          </cell>
          <cell r="G28">
            <v>5023.34</v>
          </cell>
          <cell r="H28">
            <v>54914.288999999997</v>
          </cell>
          <cell r="I28">
            <v>0</v>
          </cell>
          <cell r="J28">
            <v>3664</v>
          </cell>
        </row>
      </sheetData>
      <sheetData sheetId="12">
        <row r="5">
          <cell r="F5">
            <v>41670</v>
          </cell>
          <cell r="G5">
            <v>41698</v>
          </cell>
          <cell r="H5">
            <v>41729</v>
          </cell>
          <cell r="I5">
            <v>41759</v>
          </cell>
          <cell r="J5">
            <v>41790</v>
          </cell>
          <cell r="K5">
            <v>41820</v>
          </cell>
          <cell r="L5">
            <v>41851</v>
          </cell>
          <cell r="M5">
            <v>41882</v>
          </cell>
          <cell r="N5">
            <v>41912</v>
          </cell>
          <cell r="O5">
            <v>41943</v>
          </cell>
          <cell r="P5">
            <v>41973</v>
          </cell>
          <cell r="Q5">
            <v>42004</v>
          </cell>
          <cell r="R5" t="str">
            <v>Total</v>
          </cell>
          <cell r="U5">
            <v>41670</v>
          </cell>
          <cell r="V5">
            <v>41698</v>
          </cell>
          <cell r="W5">
            <v>41729</v>
          </cell>
          <cell r="X5">
            <v>41759</v>
          </cell>
          <cell r="Y5">
            <v>41790</v>
          </cell>
          <cell r="Z5">
            <v>41820</v>
          </cell>
          <cell r="AA5">
            <v>41851</v>
          </cell>
          <cell r="AB5">
            <v>41882</v>
          </cell>
          <cell r="AC5">
            <v>41912</v>
          </cell>
          <cell r="AD5">
            <v>41943</v>
          </cell>
          <cell r="AE5">
            <v>41973</v>
          </cell>
          <cell r="AF5">
            <v>42004</v>
          </cell>
          <cell r="AG5" t="str">
            <v>Total</v>
          </cell>
        </row>
        <row r="6">
          <cell r="E6" t="str">
            <v>ITMOB (kbcm)</v>
          </cell>
          <cell r="F6">
            <v>24020.022949303791</v>
          </cell>
          <cell r="G6">
            <v>22949.86327780733</v>
          </cell>
          <cell r="H6">
            <v>23910.757445885214</v>
          </cell>
          <cell r="I6">
            <v>22060.295413572901</v>
          </cell>
          <cell r="J6">
            <v>24253.462621696988</v>
          </cell>
          <cell r="K6">
            <v>24107.251072790383</v>
          </cell>
          <cell r="L6">
            <v>23245.71732865525</v>
          </cell>
          <cell r="M6">
            <v>24897.354436317186</v>
          </cell>
          <cell r="N6">
            <v>23858.696823289512</v>
          </cell>
          <cell r="O6">
            <v>24314.209111083419</v>
          </cell>
          <cell r="P6">
            <v>22433.117837326528</v>
          </cell>
          <cell r="Q6">
            <v>20664.714710439996</v>
          </cell>
          <cell r="R6">
            <v>280715.46302816854</v>
          </cell>
          <cell r="T6" t="str">
            <v>ITMOB (kbcm)</v>
          </cell>
          <cell r="U6">
            <v>24737.606413026082</v>
          </cell>
          <cell r="V6">
            <v>22932.142582180444</v>
          </cell>
          <cell r="W6">
            <v>24956.059814412554</v>
          </cell>
          <cell r="X6">
            <v>25080.790392910021</v>
          </cell>
          <cell r="Y6">
            <v>25638.027018122979</v>
          </cell>
          <cell r="Z6">
            <v>25869.656878299906</v>
          </cell>
          <cell r="AA6">
            <v>25636.95352954846</v>
          </cell>
          <cell r="AB6">
            <v>26813.273869700028</v>
          </cell>
          <cell r="AC6">
            <v>26249.465632444288</v>
          </cell>
          <cell r="AD6">
            <v>26165.383433178798</v>
          </cell>
          <cell r="AE6">
            <v>24739.268919701524</v>
          </cell>
          <cell r="AF6">
            <v>23450.034426832193</v>
          </cell>
          <cell r="AG6">
            <v>302268.66291035723</v>
          </cell>
        </row>
        <row r="7">
          <cell r="E7" t="str">
            <v>ITMROM (kton)</v>
          </cell>
          <cell r="F7">
            <v>2397.7947276020741</v>
          </cell>
          <cell r="G7">
            <v>2345.3711904974693</v>
          </cell>
          <cell r="H7">
            <v>2424.9200607480257</v>
          </cell>
          <cell r="I7">
            <v>2319.1801993078348</v>
          </cell>
          <cell r="J7">
            <v>2418.5508150922606</v>
          </cell>
          <cell r="K7">
            <v>2501.903869795045</v>
          </cell>
          <cell r="L7">
            <v>2605.1639212894311</v>
          </cell>
          <cell r="M7">
            <v>2634.4858062043245</v>
          </cell>
          <cell r="N7">
            <v>2606.871783853891</v>
          </cell>
          <cell r="O7">
            <v>2596.4386946542359</v>
          </cell>
          <cell r="P7">
            <v>2487.3186456408944</v>
          </cell>
          <cell r="Q7">
            <v>2455.2960962070929</v>
          </cell>
          <cell r="R7">
            <v>29793.295810892578</v>
          </cell>
          <cell r="T7" t="str">
            <v>ITMROM (kton)</v>
          </cell>
          <cell r="U7">
            <v>2120.4048260978511</v>
          </cell>
          <cell r="V7">
            <v>2318.7405064570403</v>
          </cell>
          <cell r="W7">
            <v>2449.5706672241263</v>
          </cell>
          <cell r="X7">
            <v>2392.2378100681431</v>
          </cell>
          <cell r="Y7">
            <v>2557.0221823427187</v>
          </cell>
          <cell r="Z7">
            <v>2647.4181619681412</v>
          </cell>
          <cell r="AA7">
            <v>2683.2002107593544</v>
          </cell>
          <cell r="AB7">
            <v>2763.7388726576314</v>
          </cell>
          <cell r="AC7">
            <v>2675.6448329452064</v>
          </cell>
          <cell r="AD7">
            <v>2607.7661598271943</v>
          </cell>
          <cell r="AE7">
            <v>2590.6402257646573</v>
          </cell>
          <cell r="AF7">
            <v>2586.7827439509042</v>
          </cell>
          <cell r="AG7">
            <v>30393.167200062973</v>
          </cell>
        </row>
        <row r="8">
          <cell r="E8" t="str">
            <v>ITMFC (kton)</v>
          </cell>
          <cell r="F8">
            <v>2387.0600098340601</v>
          </cell>
          <cell r="G8">
            <v>2346.537384570006</v>
          </cell>
          <cell r="H8">
            <v>2485.0078097846135</v>
          </cell>
          <cell r="I8">
            <v>2428.5378196271081</v>
          </cell>
          <cell r="J8">
            <v>2467.218233664496</v>
          </cell>
          <cell r="K8">
            <v>2460.8057933071441</v>
          </cell>
          <cell r="L8">
            <v>2460.1391470651361</v>
          </cell>
          <cell r="M8">
            <v>2431.1122572430822</v>
          </cell>
          <cell r="N8">
            <v>2433.4862508303163</v>
          </cell>
          <cell r="O8">
            <v>2430.1303565572343</v>
          </cell>
          <cell r="P8">
            <v>2431.3836079997764</v>
          </cell>
          <cell r="Q8">
            <v>2463.313167878548</v>
          </cell>
          <cell r="R8">
            <v>29224.731838361524</v>
          </cell>
          <cell r="T8" t="str">
            <v>ITMFC (kton)</v>
          </cell>
          <cell r="U8">
            <v>2157.9021260000004</v>
          </cell>
          <cell r="V8">
            <v>2273.0652300000002</v>
          </cell>
          <cell r="W8">
            <v>2480.1999999999998</v>
          </cell>
          <cell r="X8">
            <v>2384.7950176025788</v>
          </cell>
          <cell r="Y8">
            <v>2576.4618065631548</v>
          </cell>
          <cell r="Z8">
            <v>2552.955335528432</v>
          </cell>
          <cell r="AA8">
            <v>2576.509515367271</v>
          </cell>
          <cell r="AB8">
            <v>2559.894866270577</v>
          </cell>
          <cell r="AC8">
            <v>2532.2768486290447</v>
          </cell>
          <cell r="AD8">
            <v>2563.4496171014816</v>
          </cell>
          <cell r="AE8">
            <v>2537.2555721158778</v>
          </cell>
          <cell r="AF8">
            <v>2580.7691801393448</v>
          </cell>
          <cell r="AG8">
            <v>29775.535115317762</v>
          </cell>
        </row>
        <row r="10">
          <cell r="E10" t="str">
            <v>IMMOB (kbcm)</v>
          </cell>
          <cell r="F10">
            <v>12872.290848611006</v>
          </cell>
          <cell r="G10">
            <v>12473.781892228992</v>
          </cell>
          <cell r="H10">
            <v>12479.766860515901</v>
          </cell>
          <cell r="I10">
            <v>12462.239052420058</v>
          </cell>
          <cell r="J10">
            <v>13522.073074731303</v>
          </cell>
          <cell r="K10">
            <v>12765.116793897052</v>
          </cell>
          <cell r="L10">
            <v>12003.704434718917</v>
          </cell>
          <cell r="M10">
            <v>13500.102148724054</v>
          </cell>
          <cell r="N10">
            <v>12689.329763605765</v>
          </cell>
          <cell r="O10">
            <v>12948.594273668528</v>
          </cell>
          <cell r="P10">
            <v>11939.554850253757</v>
          </cell>
          <cell r="Q10">
            <v>10942.763214298764</v>
          </cell>
          <cell r="R10">
            <v>150599.31720767409</v>
          </cell>
          <cell r="T10" t="str">
            <v>IMMOB (kbcm)</v>
          </cell>
          <cell r="U10">
            <v>13328.344628000001</v>
          </cell>
          <cell r="V10">
            <v>10760.490553</v>
          </cell>
          <cell r="W10">
            <v>12359.829534609818</v>
          </cell>
          <cell r="X10">
            <v>15398.667763109861</v>
          </cell>
          <cell r="Y10">
            <v>14816.797149622966</v>
          </cell>
          <cell r="Z10">
            <v>14478.265132718247</v>
          </cell>
          <cell r="AA10">
            <v>14162.925581845791</v>
          </cell>
          <cell r="AB10">
            <v>15263.141042986896</v>
          </cell>
          <cell r="AC10">
            <v>15042.01985569098</v>
          </cell>
          <cell r="AD10">
            <v>15385.040012003905</v>
          </cell>
          <cell r="AE10">
            <v>14517.833853228756</v>
          </cell>
          <cell r="AF10">
            <v>13949.449739023761</v>
          </cell>
          <cell r="AG10">
            <v>169462.80484584096</v>
          </cell>
        </row>
        <row r="11">
          <cell r="E11" t="str">
            <v>IMMROM (kton)</v>
          </cell>
          <cell r="F11">
            <v>1293.5325913437493</v>
          </cell>
          <cell r="G11">
            <v>1297.2585336188677</v>
          </cell>
          <cell r="H11">
            <v>1300.3563208582318</v>
          </cell>
          <cell r="I11">
            <v>1283.6137393133281</v>
          </cell>
          <cell r="J11">
            <v>1289.7925547049963</v>
          </cell>
          <cell r="K11">
            <v>1289.8203771880833</v>
          </cell>
          <cell r="L11">
            <v>1299.8780948394933</v>
          </cell>
          <cell r="M11">
            <v>1312.3673988537562</v>
          </cell>
          <cell r="N11">
            <v>1301.9425194556991</v>
          </cell>
          <cell r="O11">
            <v>1294.1125326082631</v>
          </cell>
          <cell r="P11">
            <v>1244.99049490735</v>
          </cell>
          <cell r="Q11">
            <v>1232.3565089748483</v>
          </cell>
          <cell r="R11">
            <v>15440.021666666667</v>
          </cell>
          <cell r="T11" t="str">
            <v>IMMROM (kton)</v>
          </cell>
          <cell r="U11">
            <v>1030.2897140356713</v>
          </cell>
          <cell r="V11">
            <v>1043.5308843010193</v>
          </cell>
          <cell r="W11">
            <v>1283.2161736950404</v>
          </cell>
          <cell r="X11">
            <v>1327.8435259683572</v>
          </cell>
          <cell r="Y11">
            <v>1392.8300905208157</v>
          </cell>
          <cell r="Z11">
            <v>1426.1324745089505</v>
          </cell>
          <cell r="AA11">
            <v>1382.7532547157098</v>
          </cell>
          <cell r="AB11">
            <v>1438.4469491409041</v>
          </cell>
          <cell r="AC11">
            <v>1406.127880174854</v>
          </cell>
          <cell r="AD11">
            <v>1392.8805267628193</v>
          </cell>
          <cell r="AE11">
            <v>1376.1262653005119</v>
          </cell>
          <cell r="AF11">
            <v>1383.8286572171944</v>
          </cell>
          <cell r="AG11">
            <v>15884.006396341849</v>
          </cell>
        </row>
        <row r="12">
          <cell r="E12" t="str">
            <v>IMMFC (kton)</v>
          </cell>
          <cell r="F12">
            <v>1433.2920098340601</v>
          </cell>
          <cell r="G12">
            <v>1450.2573845700058</v>
          </cell>
          <cell r="H12">
            <v>1449.9638097846134</v>
          </cell>
          <cell r="I12">
            <v>1390.7008196271083</v>
          </cell>
          <cell r="J12">
            <v>1400.9884336644959</v>
          </cell>
          <cell r="K12">
            <v>1396.2815933071445</v>
          </cell>
          <cell r="L12">
            <v>1399.4291470651358</v>
          </cell>
          <cell r="M12">
            <v>1372.4822572430821</v>
          </cell>
          <cell r="N12">
            <v>1376.5222508303164</v>
          </cell>
          <cell r="O12">
            <v>1401.1263565572342</v>
          </cell>
          <cell r="P12">
            <v>1398.7226079997761</v>
          </cell>
          <cell r="Q12">
            <v>1399.1711678785482</v>
          </cell>
          <cell r="R12">
            <v>16868.937838361519</v>
          </cell>
          <cell r="T12" t="str">
            <v>IMMFC (kton)</v>
          </cell>
          <cell r="U12">
            <v>1405.038</v>
          </cell>
          <cell r="V12">
            <v>1411.027</v>
          </cell>
          <cell r="W12">
            <v>1510.2</v>
          </cell>
          <cell r="X12">
            <v>1448.9580176025788</v>
          </cell>
          <cell r="Y12">
            <v>1490.2320065631545</v>
          </cell>
          <cell r="Z12">
            <v>1488.4311355284322</v>
          </cell>
          <cell r="AA12">
            <v>1495.7995153672709</v>
          </cell>
          <cell r="AB12">
            <v>1491.2648662705767</v>
          </cell>
          <cell r="AC12">
            <v>1475.3128486290448</v>
          </cell>
          <cell r="AD12">
            <v>1524.4456171014815</v>
          </cell>
          <cell r="AE12">
            <v>1497.5945721158778</v>
          </cell>
          <cell r="AF12">
            <v>1521.373650139345</v>
          </cell>
          <cell r="AG12">
            <v>17759.677229317764</v>
          </cell>
        </row>
        <row r="13">
          <cell r="E13" t="str">
            <v>IMMFC IMM + TDM (kton)</v>
          </cell>
          <cell r="F13">
            <v>1513.0054333559901</v>
          </cell>
          <cell r="G13">
            <v>1546.9361828278816</v>
          </cell>
          <cell r="H13">
            <v>1546.3490332570968</v>
          </cell>
          <cell r="I13">
            <v>1427.8230529420866</v>
          </cell>
          <cell r="J13">
            <v>1448.3982810168618</v>
          </cell>
          <cell r="K13">
            <v>1438.9846003021589</v>
          </cell>
          <cell r="L13">
            <v>1445.2797078181416</v>
          </cell>
          <cell r="M13">
            <v>1391.3859281740342</v>
          </cell>
          <cell r="N13">
            <v>1399.4659153485027</v>
          </cell>
          <cell r="O13">
            <v>1448.6741268023384</v>
          </cell>
          <cell r="P13">
            <v>1443.8666296874221</v>
          </cell>
          <cell r="Q13">
            <v>1444.7637494449664</v>
          </cell>
          <cell r="R13">
            <v>17494.93264097748</v>
          </cell>
          <cell r="T13" t="str">
            <v>IMMFC IMM + TDM (kton)</v>
          </cell>
          <cell r="U13">
            <v>1603.9158299999999</v>
          </cell>
          <cell r="V13">
            <v>1573.4104600000001</v>
          </cell>
          <cell r="W13">
            <v>1696.2</v>
          </cell>
          <cell r="X13">
            <v>1598.9580176025788</v>
          </cell>
          <cell r="Y13">
            <v>1637.6418539155204</v>
          </cell>
          <cell r="Z13">
            <v>1631.1341425234466</v>
          </cell>
          <cell r="AA13">
            <v>1649.1500761202767</v>
          </cell>
          <cell r="AB13">
            <v>1639.8630054813725</v>
          </cell>
          <cell r="AC13">
            <v>1608.5559810301597</v>
          </cell>
          <cell r="AD13">
            <v>1669.7928552295143</v>
          </cell>
          <cell r="AE13">
            <v>1633.0380616864525</v>
          </cell>
          <cell r="AF13">
            <v>1671.9262317057633</v>
          </cell>
          <cell r="AG13">
            <v>19613.586515295083</v>
          </cell>
        </row>
        <row r="14">
          <cell r="T14" t="str">
            <v>IMM East (+WP) TS&lt;1.65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G14">
            <v>0</v>
          </cell>
        </row>
        <row r="15">
          <cell r="T15" t="str">
            <v>IMM East TS&gt;1.65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G15">
            <v>0</v>
          </cell>
        </row>
        <row r="16">
          <cell r="T16" t="str">
            <v>IMM West (TS&gt;0.85)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G16">
            <v>0</v>
          </cell>
        </row>
        <row r="17">
          <cell r="T17" t="str">
            <v>IMM West Lo (TS&lt;0.85)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G17">
            <v>0</v>
          </cell>
        </row>
        <row r="19">
          <cell r="E19" t="str">
            <v>TDM OB (kbcm)</v>
          </cell>
          <cell r="F19">
            <v>2386.9996148030032</v>
          </cell>
          <cell r="G19">
            <v>2480.0616900799387</v>
          </cell>
          <cell r="H19">
            <v>2629.7395326262681</v>
          </cell>
          <cell r="I19">
            <v>1652.1472643488205</v>
          </cell>
          <cell r="J19">
            <v>1821.759009047624</v>
          </cell>
          <cell r="K19">
            <v>1837.2312594670557</v>
          </cell>
          <cell r="L19">
            <v>1849.4995562393381</v>
          </cell>
          <cell r="M19">
            <v>1761.0800200298065</v>
          </cell>
          <cell r="N19">
            <v>1762.3718624237576</v>
          </cell>
          <cell r="O19">
            <v>1886.5521136540951</v>
          </cell>
          <cell r="P19">
            <v>1739.2348881252333</v>
          </cell>
          <cell r="Q19">
            <v>1746.063307003865</v>
          </cell>
          <cell r="R19">
            <v>23552.740117848807</v>
          </cell>
          <cell r="T19" t="str">
            <v>TDM OB (kbcm)</v>
          </cell>
          <cell r="U19">
            <v>2146.6934339999998</v>
          </cell>
          <cell r="V19">
            <v>2264.2196329999997</v>
          </cell>
          <cell r="W19">
            <v>2707.4324357958767</v>
          </cell>
          <cell r="X19">
            <v>1718.9477740271452</v>
          </cell>
          <cell r="Y19">
            <v>1925.6439507259547</v>
          </cell>
          <cell r="Z19">
            <v>1941.1162011453935</v>
          </cell>
          <cell r="AA19">
            <v>1953.3844979176763</v>
          </cell>
          <cell r="AB19">
            <v>1761.0800200298088</v>
          </cell>
          <cell r="AC19">
            <v>1762.3718624237604</v>
          </cell>
          <cell r="AD19">
            <v>1886.5521136541008</v>
          </cell>
          <cell r="AE19">
            <v>1739.2348881252278</v>
          </cell>
          <cell r="AF19">
            <v>1746.0633070038691</v>
          </cell>
          <cell r="AG19">
            <v>23552.740117848807</v>
          </cell>
        </row>
        <row r="20">
          <cell r="E20" t="str">
            <v>TDM ROM (kton)</v>
          </cell>
          <cell r="F20">
            <v>156.82478944541</v>
          </cell>
          <cell r="G20">
            <v>161.32566291901367</v>
          </cell>
          <cell r="H20">
            <v>167.7079154633432</v>
          </cell>
          <cell r="I20">
            <v>135.68161154580321</v>
          </cell>
          <cell r="J20">
            <v>148.12960238175467</v>
          </cell>
          <cell r="K20">
            <v>146.45848127316464</v>
          </cell>
          <cell r="L20">
            <v>159.88327568147963</v>
          </cell>
          <cell r="M20">
            <v>150.73233019207231</v>
          </cell>
          <cell r="N20">
            <v>147.88520937979621</v>
          </cell>
          <cell r="O20">
            <v>168.13020710721304</v>
          </cell>
          <cell r="P20">
            <v>153.46659600259878</v>
          </cell>
          <cell r="Q20">
            <v>151.04812252991644</v>
          </cell>
          <cell r="R20">
            <v>1847.273803921566</v>
          </cell>
          <cell r="T20" t="str">
            <v>TDM ROM (kton)</v>
          </cell>
          <cell r="U20">
            <v>166.52534206217953</v>
          </cell>
          <cell r="V20">
            <v>247.39079315602109</v>
          </cell>
          <cell r="W20">
            <v>140.85449349019152</v>
          </cell>
          <cell r="X20">
            <v>135.68161154580321</v>
          </cell>
          <cell r="Y20">
            <v>148.12960238175469</v>
          </cell>
          <cell r="Z20">
            <v>146.45848127316464</v>
          </cell>
          <cell r="AA20">
            <v>159.88327568147963</v>
          </cell>
          <cell r="AB20">
            <v>150.42679847191596</v>
          </cell>
          <cell r="AC20">
            <v>125.01629965963986</v>
          </cell>
          <cell r="AD20">
            <v>145.26129738705671</v>
          </cell>
          <cell r="AE20">
            <v>130.59768628244242</v>
          </cell>
          <cell r="AF20">
            <v>151.04812252991644</v>
          </cell>
          <cell r="AG20">
            <v>1847.2738039215656</v>
          </cell>
        </row>
        <row r="21">
          <cell r="E21" t="str">
            <v>TDM FC (kton)</v>
          </cell>
          <cell r="F21">
            <v>79.713423521930125</v>
          </cell>
          <cell r="G21">
            <v>96.678798257875698</v>
          </cell>
          <cell r="H21">
            <v>96.385223472483489</v>
          </cell>
          <cell r="I21">
            <v>37.122233314978217</v>
          </cell>
          <cell r="J21">
            <v>47.409847352365979</v>
          </cell>
          <cell r="K21">
            <v>42.703006995014469</v>
          </cell>
          <cell r="L21">
            <v>45.850560753005688</v>
          </cell>
          <cell r="M21">
            <v>18.903670930952053</v>
          </cell>
          <cell r="N21">
            <v>22.943664518186257</v>
          </cell>
          <cell r="O21">
            <v>47.547770245104211</v>
          </cell>
          <cell r="P21">
            <v>45.144021687646074</v>
          </cell>
          <cell r="Q21">
            <v>45.592581566418154</v>
          </cell>
          <cell r="R21">
            <v>625.99480261596045</v>
          </cell>
          <cell r="T21" t="str">
            <v>TDM FC (kton)</v>
          </cell>
          <cell r="U21">
            <v>198.87782999999999</v>
          </cell>
          <cell r="V21">
            <v>162.38346000000001</v>
          </cell>
          <cell r="W21">
            <v>186</v>
          </cell>
          <cell r="X21">
            <v>150</v>
          </cell>
          <cell r="Y21">
            <v>147.40984735236597</v>
          </cell>
          <cell r="Z21">
            <v>142.70300699501445</v>
          </cell>
          <cell r="AA21">
            <v>153.35056075300568</v>
          </cell>
          <cell r="AB21">
            <v>148.59813921079575</v>
          </cell>
          <cell r="AC21">
            <v>133.24313240111491</v>
          </cell>
          <cell r="AD21">
            <v>145.34723812803287</v>
          </cell>
          <cell r="AE21">
            <v>135.44348957057477</v>
          </cell>
          <cell r="AF21">
            <v>150.55258156641818</v>
          </cell>
          <cell r="AG21">
            <v>1853.9092859773227</v>
          </cell>
        </row>
        <row r="22">
          <cell r="T22" t="str">
            <v>TDM direct sales</v>
          </cell>
          <cell r="U22">
            <v>0</v>
          </cell>
          <cell r="V22">
            <v>72.2</v>
          </cell>
          <cell r="W22">
            <v>60.2</v>
          </cell>
          <cell r="X22">
            <v>30</v>
          </cell>
          <cell r="Y22">
            <v>22</v>
          </cell>
          <cell r="Z22">
            <v>23</v>
          </cell>
          <cell r="AA22">
            <v>28</v>
          </cell>
          <cell r="AB22">
            <v>24</v>
          </cell>
          <cell r="AC22">
            <v>10</v>
          </cell>
          <cell r="AD22">
            <v>20</v>
          </cell>
          <cell r="AE22">
            <v>10</v>
          </cell>
          <cell r="AF22">
            <v>13</v>
          </cell>
        </row>
        <row r="23">
          <cell r="E23" t="str">
            <v>TCMOB (kbcm)</v>
          </cell>
          <cell r="F23">
            <v>5232.739406889782</v>
          </cell>
          <cell r="G23">
            <v>4768.0139494383966</v>
          </cell>
          <cell r="H23">
            <v>5267.166352103045</v>
          </cell>
          <cell r="I23">
            <v>4531.4688344040223</v>
          </cell>
          <cell r="J23">
            <v>5335.236860958059</v>
          </cell>
          <cell r="K23">
            <v>5815.8134514262747</v>
          </cell>
          <cell r="L23">
            <v>6031.8018290969949</v>
          </cell>
          <cell r="M23">
            <v>5962.486640883325</v>
          </cell>
          <cell r="N23">
            <v>5599.4629546599917</v>
          </cell>
          <cell r="O23">
            <v>5678.8949782007949</v>
          </cell>
          <cell r="P23">
            <v>5161.2862703475394</v>
          </cell>
          <cell r="Q23">
            <v>4615.6951445373643</v>
          </cell>
          <cell r="R23">
            <v>64000.066672945592</v>
          </cell>
          <cell r="T23" t="str">
            <v>TCMOB (kbcm)</v>
          </cell>
          <cell r="U23">
            <v>5989.0910535384619</v>
          </cell>
          <cell r="V23">
            <v>6380.1788149999993</v>
          </cell>
          <cell r="W23">
            <v>6340</v>
          </cell>
          <cell r="X23">
            <v>4531.4688344040223</v>
          </cell>
          <cell r="Y23">
            <v>5335.236860958059</v>
          </cell>
          <cell r="Z23">
            <v>5815.8134514262747</v>
          </cell>
          <cell r="AA23">
            <v>6031.8018290969958</v>
          </cell>
          <cell r="AB23">
            <v>5962.4866408833241</v>
          </cell>
          <cell r="AC23">
            <v>5599.4629546599917</v>
          </cell>
          <cell r="AD23">
            <v>5178.894978200794</v>
          </cell>
          <cell r="AE23">
            <v>4941.2862703475403</v>
          </cell>
          <cell r="AF23">
            <v>4415.6951445373643</v>
          </cell>
          <cell r="AG23">
            <v>66521.416833052834</v>
          </cell>
        </row>
        <row r="24">
          <cell r="E24" t="str">
            <v>TCMROM (kton)</v>
          </cell>
          <cell r="F24">
            <v>519.61607398995761</v>
          </cell>
          <cell r="G24">
            <v>492.65122068407788</v>
          </cell>
          <cell r="H24">
            <v>539.43216844334324</v>
          </cell>
          <cell r="I24">
            <v>498.7726725212645</v>
          </cell>
          <cell r="J24">
            <v>575.45248940695342</v>
          </cell>
          <cell r="K24">
            <v>624.83720615283187</v>
          </cell>
          <cell r="L24">
            <v>683.84367918570263</v>
          </cell>
          <cell r="M24">
            <v>693.36512501951017</v>
          </cell>
          <cell r="N24">
            <v>665.70065308589176</v>
          </cell>
          <cell r="O24">
            <v>625.82433563415543</v>
          </cell>
          <cell r="P24">
            <v>606.85353415688257</v>
          </cell>
          <cell r="Q24">
            <v>589.65084171942908</v>
          </cell>
          <cell r="R24">
            <v>7116</v>
          </cell>
          <cell r="T24" t="str">
            <v>TCMROM (kton)</v>
          </cell>
          <cell r="U24">
            <v>547.16723000000002</v>
          </cell>
          <cell r="V24">
            <v>595.09120900000005</v>
          </cell>
          <cell r="W24">
            <v>594</v>
          </cell>
          <cell r="X24">
            <v>498.77267252126455</v>
          </cell>
          <cell r="Y24">
            <v>575.45248940695342</v>
          </cell>
          <cell r="Z24">
            <v>624.83720615283187</v>
          </cell>
          <cell r="AA24">
            <v>683.84367918570263</v>
          </cell>
          <cell r="AB24">
            <v>693.36512501951017</v>
          </cell>
          <cell r="AC24">
            <v>665.70065308589176</v>
          </cell>
          <cell r="AD24">
            <v>585.82433563415543</v>
          </cell>
          <cell r="AE24">
            <v>604.85353415688257</v>
          </cell>
          <cell r="AF24">
            <v>569.6508417194292</v>
          </cell>
          <cell r="AG24">
            <v>7238.5589758826209</v>
          </cell>
        </row>
        <row r="25">
          <cell r="E25" t="str">
            <v>TCMFC (kton)</v>
          </cell>
          <cell r="F25">
            <v>500</v>
          </cell>
          <cell r="G25">
            <v>480</v>
          </cell>
          <cell r="H25">
            <v>575</v>
          </cell>
          <cell r="I25">
            <v>575</v>
          </cell>
          <cell r="J25">
            <v>605</v>
          </cell>
          <cell r="K25">
            <v>620</v>
          </cell>
          <cell r="L25">
            <v>625</v>
          </cell>
          <cell r="M25">
            <v>640</v>
          </cell>
          <cell r="N25">
            <v>635</v>
          </cell>
          <cell r="O25">
            <v>570</v>
          </cell>
          <cell r="P25">
            <v>571</v>
          </cell>
          <cell r="Q25">
            <v>604</v>
          </cell>
          <cell r="R25">
            <v>7000</v>
          </cell>
          <cell r="T25" t="str">
            <v>TCMFC (kton)</v>
          </cell>
          <cell r="U25">
            <v>408.76226700000001</v>
          </cell>
          <cell r="V25">
            <v>483.85603100000003</v>
          </cell>
          <cell r="W25">
            <v>585</v>
          </cell>
          <cell r="X25">
            <v>585</v>
          </cell>
          <cell r="Y25">
            <v>615</v>
          </cell>
          <cell r="Z25">
            <v>630</v>
          </cell>
          <cell r="AA25">
            <v>635</v>
          </cell>
          <cell r="AB25">
            <v>650</v>
          </cell>
          <cell r="AC25">
            <v>645</v>
          </cell>
          <cell r="AD25">
            <v>580</v>
          </cell>
          <cell r="AE25">
            <v>578</v>
          </cell>
          <cell r="AF25">
            <v>604</v>
          </cell>
          <cell r="AG25">
            <v>6999.6182980000003</v>
          </cell>
        </row>
        <row r="26"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G26">
            <v>0</v>
          </cell>
        </row>
        <row r="27"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G27">
            <v>0</v>
          </cell>
        </row>
        <row r="28"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G28">
            <v>0</v>
          </cell>
        </row>
        <row r="29"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G29">
            <v>0</v>
          </cell>
        </row>
        <row r="31">
          <cell r="E31" t="str">
            <v>JBGOB (kbcm)</v>
          </cell>
          <cell r="F31">
            <v>658</v>
          </cell>
          <cell r="G31">
            <v>590.5</v>
          </cell>
          <cell r="H31">
            <v>624.5</v>
          </cell>
          <cell r="I31">
            <v>625</v>
          </cell>
          <cell r="J31">
            <v>605</v>
          </cell>
          <cell r="K31">
            <v>620</v>
          </cell>
          <cell r="L31">
            <v>600</v>
          </cell>
          <cell r="M31">
            <v>557</v>
          </cell>
          <cell r="N31">
            <v>670</v>
          </cell>
          <cell r="O31">
            <v>650</v>
          </cell>
          <cell r="P31">
            <v>650</v>
          </cell>
          <cell r="Q31">
            <v>600</v>
          </cell>
          <cell r="R31">
            <v>7450</v>
          </cell>
          <cell r="T31" t="str">
            <v>JBGOB (kbcm)</v>
          </cell>
          <cell r="U31">
            <v>745.14935778101153</v>
          </cell>
          <cell r="V31">
            <v>761.23900018044526</v>
          </cell>
          <cell r="W31">
            <v>690</v>
          </cell>
          <cell r="X31">
            <v>626.94064221898805</v>
          </cell>
          <cell r="Y31">
            <v>585</v>
          </cell>
          <cell r="Z31">
            <v>587</v>
          </cell>
          <cell r="AA31">
            <v>583.41</v>
          </cell>
          <cell r="AB31">
            <v>587</v>
          </cell>
          <cell r="AC31">
            <v>574.26099981955531</v>
          </cell>
          <cell r="AD31">
            <v>580</v>
          </cell>
          <cell r="AE31">
            <v>580</v>
          </cell>
          <cell r="AF31">
            <v>550</v>
          </cell>
          <cell r="AG31">
            <v>7450</v>
          </cell>
        </row>
        <row r="32">
          <cell r="E32" t="str">
            <v>JBGROM (kton)</v>
          </cell>
          <cell r="F32">
            <v>105</v>
          </cell>
          <cell r="G32">
            <v>95</v>
          </cell>
          <cell r="H32">
            <v>109</v>
          </cell>
          <cell r="I32">
            <v>112</v>
          </cell>
          <cell r="J32">
            <v>112</v>
          </cell>
          <cell r="K32">
            <v>110</v>
          </cell>
          <cell r="L32">
            <v>102</v>
          </cell>
          <cell r="M32">
            <v>110</v>
          </cell>
          <cell r="N32">
            <v>117</v>
          </cell>
          <cell r="O32">
            <v>118</v>
          </cell>
          <cell r="P32">
            <v>118</v>
          </cell>
          <cell r="Q32">
            <v>112</v>
          </cell>
          <cell r="R32">
            <v>1320</v>
          </cell>
          <cell r="T32" t="str">
            <v>JBGROM (kton)</v>
          </cell>
          <cell r="U32">
            <v>100.04608999999999</v>
          </cell>
          <cell r="V32">
            <v>103.84117000000001</v>
          </cell>
          <cell r="W32">
            <v>110.5</v>
          </cell>
          <cell r="X32">
            <v>115</v>
          </cell>
          <cell r="Y32">
            <v>115</v>
          </cell>
          <cell r="Z32">
            <v>105</v>
          </cell>
          <cell r="AA32">
            <v>105</v>
          </cell>
          <cell r="AB32">
            <v>115</v>
          </cell>
          <cell r="AC32">
            <v>110</v>
          </cell>
          <cell r="AD32">
            <v>115</v>
          </cell>
          <cell r="AE32">
            <v>110.61273999999999</v>
          </cell>
          <cell r="AF32">
            <v>115</v>
          </cell>
          <cell r="AG32">
            <v>1320</v>
          </cell>
        </row>
        <row r="33">
          <cell r="E33" t="str">
            <v>JBGFC (kton)</v>
          </cell>
          <cell r="F33">
            <v>100</v>
          </cell>
          <cell r="G33">
            <v>100</v>
          </cell>
          <cell r="H33">
            <v>110</v>
          </cell>
          <cell r="I33">
            <v>110</v>
          </cell>
          <cell r="J33">
            <v>110</v>
          </cell>
          <cell r="K33">
            <v>110</v>
          </cell>
          <cell r="L33">
            <v>100</v>
          </cell>
          <cell r="M33">
            <v>110</v>
          </cell>
          <cell r="N33">
            <v>115</v>
          </cell>
          <cell r="O33">
            <v>115</v>
          </cell>
          <cell r="P33">
            <v>110</v>
          </cell>
          <cell r="Q33">
            <v>110</v>
          </cell>
          <cell r="R33">
            <v>1300</v>
          </cell>
          <cell r="T33" t="str">
            <v>JBGFC (kton)</v>
          </cell>
          <cell r="U33">
            <v>93.678900000000013</v>
          </cell>
          <cell r="V33">
            <v>91.067570000000003</v>
          </cell>
          <cell r="W33">
            <v>130</v>
          </cell>
          <cell r="X33">
            <v>110</v>
          </cell>
          <cell r="Y33">
            <v>120</v>
          </cell>
          <cell r="Z33">
            <v>100</v>
          </cell>
          <cell r="AA33">
            <v>110</v>
          </cell>
          <cell r="AB33">
            <v>110</v>
          </cell>
          <cell r="AC33">
            <v>105</v>
          </cell>
          <cell r="AD33">
            <v>115</v>
          </cell>
          <cell r="AE33">
            <v>110</v>
          </cell>
          <cell r="AF33">
            <v>105.25353000000003</v>
          </cell>
          <cell r="AG33">
            <v>1300</v>
          </cell>
        </row>
        <row r="35">
          <cell r="E35" t="str">
            <v>EMBOB (kbcm)</v>
          </cell>
          <cell r="F35">
            <v>976.70890999999995</v>
          </cell>
          <cell r="G35">
            <v>970.19690999999989</v>
          </cell>
          <cell r="H35">
            <v>989.61782999999991</v>
          </cell>
          <cell r="I35">
            <v>967.02992999999992</v>
          </cell>
          <cell r="J35">
            <v>977.4207899999999</v>
          </cell>
          <cell r="K35">
            <v>1002.7878900000001</v>
          </cell>
          <cell r="L35">
            <v>797.7002500000001</v>
          </cell>
          <cell r="M35">
            <v>1051.4079699999998</v>
          </cell>
          <cell r="N35">
            <v>1000.20326</v>
          </cell>
          <cell r="O35">
            <v>976.81309999999996</v>
          </cell>
          <cell r="P35">
            <v>980.0305699999999</v>
          </cell>
          <cell r="Q35">
            <v>971.49950999999987</v>
          </cell>
          <cell r="R35">
            <v>11661.416919999998</v>
          </cell>
          <cell r="T35" t="str">
            <v>EMBOB (kbcm)</v>
          </cell>
          <cell r="U35">
            <v>907.44746200000009</v>
          </cell>
          <cell r="V35">
            <v>937.19909499999994</v>
          </cell>
          <cell r="W35">
            <v>970.6118300000004</v>
          </cell>
          <cell r="X35">
            <v>994.77993000000026</v>
          </cell>
          <cell r="Y35">
            <v>997.38079000000027</v>
          </cell>
          <cell r="Z35">
            <v>995.28788999999324</v>
          </cell>
          <cell r="AA35">
            <v>956.70024999999987</v>
          </cell>
          <cell r="AB35">
            <v>1189.4079700000004</v>
          </cell>
          <cell r="AC35">
            <v>1150.2032600000002</v>
          </cell>
          <cell r="AD35">
            <v>976.81309999999996</v>
          </cell>
          <cell r="AE35">
            <v>980.0305699999999</v>
          </cell>
          <cell r="AF35">
            <v>971.4995100000001</v>
          </cell>
          <cell r="AG35">
            <v>12027.361656999992</v>
          </cell>
        </row>
        <row r="36">
          <cell r="E36" t="str">
            <v>EMBROM (kton)</v>
          </cell>
          <cell r="F36">
            <v>86.3</v>
          </cell>
          <cell r="G36">
            <v>86</v>
          </cell>
          <cell r="H36">
            <v>87.8</v>
          </cell>
          <cell r="I36">
            <v>90.65</v>
          </cell>
          <cell r="J36">
            <v>89.009999999999991</v>
          </cell>
          <cell r="K36">
            <v>88.289999999999992</v>
          </cell>
          <cell r="L36">
            <v>89.5</v>
          </cell>
          <cell r="M36">
            <v>93.5</v>
          </cell>
          <cell r="N36">
            <v>91.8</v>
          </cell>
          <cell r="O36">
            <v>89.8</v>
          </cell>
          <cell r="P36">
            <v>89.45</v>
          </cell>
          <cell r="Q36">
            <v>87.9</v>
          </cell>
          <cell r="R36">
            <v>1070</v>
          </cell>
          <cell r="T36" t="str">
            <v>EMBROM (kton)</v>
          </cell>
          <cell r="U36">
            <v>93.177310000000006</v>
          </cell>
          <cell r="V36">
            <v>100.29766000000001</v>
          </cell>
          <cell r="W36">
            <v>100.00000003889406</v>
          </cell>
          <cell r="X36">
            <v>94.94000003271826</v>
          </cell>
          <cell r="Y36">
            <v>86.610000033194694</v>
          </cell>
          <cell r="Z36">
            <v>85.99000003319469</v>
          </cell>
          <cell r="AA36">
            <v>89.500001176462845</v>
          </cell>
          <cell r="AB36">
            <v>93.500000025301105</v>
          </cell>
          <cell r="AC36">
            <v>91.800000024820591</v>
          </cell>
          <cell r="AD36">
            <v>89.800000043162839</v>
          </cell>
          <cell r="AE36">
            <v>89.450000024820582</v>
          </cell>
          <cell r="AF36">
            <v>87.900000025301111</v>
          </cell>
          <cell r="AG36">
            <v>1102.9649714578709</v>
          </cell>
        </row>
        <row r="37">
          <cell r="E37" t="str">
            <v>EMBFC (kton)</v>
          </cell>
          <cell r="F37">
            <v>89.768000000000001</v>
          </cell>
          <cell r="G37">
            <v>84.28</v>
          </cell>
          <cell r="H37">
            <v>86.043999999999997</v>
          </cell>
          <cell r="I37">
            <v>88.837000000000003</v>
          </cell>
          <cell r="J37">
            <v>87.229799999999997</v>
          </cell>
          <cell r="K37">
            <v>86.524199999999993</v>
          </cell>
          <cell r="L37">
            <v>87.71</v>
          </cell>
          <cell r="M37">
            <v>91.63</v>
          </cell>
          <cell r="N37">
            <v>89.963999999999999</v>
          </cell>
          <cell r="O37">
            <v>88.004000000000005</v>
          </cell>
          <cell r="P37">
            <v>87.661000000000001</v>
          </cell>
          <cell r="Q37">
            <v>86.141999999999996</v>
          </cell>
          <cell r="R37">
            <v>1053.7940000000001</v>
          </cell>
          <cell r="T37" t="str">
            <v>EMBFC (kton)</v>
          </cell>
          <cell r="U37">
            <v>89.38172999999999</v>
          </cell>
          <cell r="V37">
            <v>95.002210000000019</v>
          </cell>
          <cell r="W37">
            <v>95</v>
          </cell>
          <cell r="X37">
            <v>88.837000000000003</v>
          </cell>
          <cell r="Y37">
            <v>87.229799999999997</v>
          </cell>
          <cell r="Z37">
            <v>86.524199999999993</v>
          </cell>
          <cell r="AA37">
            <v>87.71</v>
          </cell>
          <cell r="AB37">
            <v>91.63</v>
          </cell>
          <cell r="AC37">
            <v>89.963999999999999</v>
          </cell>
          <cell r="AD37">
            <v>88.004000000000005</v>
          </cell>
          <cell r="AE37">
            <v>87.661000000000001</v>
          </cell>
          <cell r="AF37">
            <v>86.141999999999996</v>
          </cell>
          <cell r="AG37">
            <v>1073.0859399999999</v>
          </cell>
        </row>
        <row r="39">
          <cell r="E39" t="str">
            <v>BEKOB (kbcm)</v>
          </cell>
          <cell r="F39">
            <v>1893.284169</v>
          </cell>
          <cell r="G39">
            <v>1667.30883606</v>
          </cell>
          <cell r="H39">
            <v>1919.9668706399996</v>
          </cell>
          <cell r="I39">
            <v>1822.4103324</v>
          </cell>
          <cell r="J39">
            <v>1991.9728869599994</v>
          </cell>
          <cell r="K39">
            <v>2066.3016779999998</v>
          </cell>
          <cell r="L39">
            <v>1963.0112586</v>
          </cell>
          <cell r="M39">
            <v>2065.2776566799998</v>
          </cell>
          <cell r="N39">
            <v>2137.3289826</v>
          </cell>
          <cell r="O39">
            <v>2173.3546455599994</v>
          </cell>
          <cell r="P39">
            <v>1963.0112586</v>
          </cell>
          <cell r="Q39">
            <v>1788.6935345999998</v>
          </cell>
          <cell r="R39">
            <v>23451.922109699997</v>
          </cell>
          <cell r="T39" t="str">
            <v>BEKOB (kbcm)</v>
          </cell>
          <cell r="U39">
            <v>1620.8804777066116</v>
          </cell>
          <cell r="V39">
            <v>1828.815486</v>
          </cell>
          <cell r="W39">
            <v>1888.1860140068572</v>
          </cell>
          <cell r="X39">
            <v>1809.98544915</v>
          </cell>
          <cell r="Y39">
            <v>1977.9682668159999</v>
          </cell>
          <cell r="Z39">
            <v>2052.1742030100004</v>
          </cell>
          <cell r="AA39">
            <v>1948.731370688</v>
          </cell>
          <cell r="AB39">
            <v>2050.1581957999997</v>
          </cell>
          <cell r="AC39">
            <v>2121.1466998499995</v>
          </cell>
          <cell r="AD39">
            <v>2158.0832293200001</v>
          </cell>
          <cell r="AE39">
            <v>1980.8833379999996</v>
          </cell>
          <cell r="AF39">
            <v>1817.3267262671995</v>
          </cell>
          <cell r="AG39">
            <v>23254.339456614667</v>
          </cell>
        </row>
        <row r="40">
          <cell r="E40" t="str">
            <v>BEKROM (kton)</v>
          </cell>
          <cell r="F40">
            <v>236.52127282295712</v>
          </cell>
          <cell r="G40">
            <v>213.13577327551016</v>
          </cell>
          <cell r="H40">
            <v>220.62365598310717</v>
          </cell>
          <cell r="I40">
            <v>198.46217592743926</v>
          </cell>
          <cell r="J40">
            <v>204.16616859855634</v>
          </cell>
          <cell r="K40">
            <v>242.4978051809652</v>
          </cell>
          <cell r="L40">
            <v>270.05887158275584</v>
          </cell>
          <cell r="M40">
            <v>274.52095213898576</v>
          </cell>
          <cell r="N40">
            <v>282.54340193250391</v>
          </cell>
          <cell r="O40">
            <v>300.57161930460427</v>
          </cell>
          <cell r="P40">
            <v>274.55802057406305</v>
          </cell>
          <cell r="Q40">
            <v>282.34062298289876</v>
          </cell>
          <cell r="R40">
            <v>3000.0003403043465</v>
          </cell>
          <cell r="T40" t="str">
            <v>BEKROM (kton)</v>
          </cell>
          <cell r="U40">
            <v>183.19914000000003</v>
          </cell>
          <cell r="V40">
            <v>228.58879000000002</v>
          </cell>
          <cell r="W40">
            <v>221.00000000000003</v>
          </cell>
          <cell r="X40">
            <v>220</v>
          </cell>
          <cell r="Y40">
            <v>239</v>
          </cell>
          <cell r="Z40">
            <v>259</v>
          </cell>
          <cell r="AA40">
            <v>262.22000000000003</v>
          </cell>
          <cell r="AB40">
            <v>273</v>
          </cell>
          <cell r="AC40">
            <v>277</v>
          </cell>
          <cell r="AD40">
            <v>278.99999999999994</v>
          </cell>
          <cell r="AE40">
            <v>279</v>
          </cell>
          <cell r="AF40">
            <v>279.35512245906284</v>
          </cell>
          <cell r="AG40">
            <v>3000.3630524590626</v>
          </cell>
        </row>
        <row r="41">
          <cell r="E41" t="str">
            <v>BEKFC (kton)</v>
          </cell>
          <cell r="F41">
            <v>264</v>
          </cell>
          <cell r="G41">
            <v>232</v>
          </cell>
          <cell r="H41">
            <v>264</v>
          </cell>
          <cell r="I41">
            <v>264</v>
          </cell>
          <cell r="J41">
            <v>264</v>
          </cell>
          <cell r="K41">
            <v>248</v>
          </cell>
          <cell r="L41">
            <v>248</v>
          </cell>
          <cell r="M41">
            <v>217</v>
          </cell>
          <cell r="N41">
            <v>217</v>
          </cell>
          <cell r="O41">
            <v>256</v>
          </cell>
          <cell r="P41">
            <v>264</v>
          </cell>
          <cell r="Q41">
            <v>264</v>
          </cell>
          <cell r="R41">
            <v>3002</v>
          </cell>
          <cell r="T41" t="str">
            <v>BEKFC (kton)</v>
          </cell>
          <cell r="U41">
            <v>161.04122899999999</v>
          </cell>
          <cell r="V41">
            <v>192.11241899999999</v>
          </cell>
          <cell r="W41">
            <v>160</v>
          </cell>
          <cell r="X41">
            <v>152</v>
          </cell>
          <cell r="Y41">
            <v>264</v>
          </cell>
          <cell r="Z41">
            <v>248</v>
          </cell>
          <cell r="AA41">
            <v>248</v>
          </cell>
          <cell r="AB41">
            <v>217</v>
          </cell>
          <cell r="AC41">
            <v>217</v>
          </cell>
          <cell r="AD41">
            <v>256</v>
          </cell>
          <cell r="AE41">
            <v>264</v>
          </cell>
          <cell r="AF41">
            <v>264</v>
          </cell>
          <cell r="AG41">
            <v>2643.153648</v>
          </cell>
        </row>
      </sheetData>
      <sheetData sheetId="13">
        <row r="38">
          <cell r="O38">
            <v>91.074468277466877</v>
          </cell>
        </row>
      </sheetData>
      <sheetData sheetId="14" refreshError="1"/>
      <sheetData sheetId="1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ER"/>
      <sheetName val="DCER (2)"/>
      <sheetName val="MCER"/>
      <sheetName val="Database"/>
      <sheetName val="tabel_2006_Total_R1"/>
      <sheetName val="tabel_2007_Total_plan 93jt"/>
      <sheetName val="KODE"/>
      <sheetName val=" 2017"/>
      <sheetName val="2018"/>
      <sheetName val="BEK"/>
      <sheetName val="Budget &amp; Outlook"/>
      <sheetName val="IMM"/>
      <sheetName val="JBG"/>
      <sheetName val="EMB"/>
      <sheetName val="TCM"/>
      <sheetName val="TDM"/>
      <sheetName val="WS-Daily"/>
      <sheetName val="Summary"/>
      <sheetName val="COST"/>
      <sheetName val="ACT HAUL"/>
      <sheetName val="Truck"/>
    </sheetNames>
    <sheetDataSet>
      <sheetData sheetId="0"/>
      <sheetData sheetId="1"/>
      <sheetData sheetId="2"/>
      <sheetData sheetId="3" refreshError="1">
        <row r="1">
          <cell r="AQ1" t="str">
            <v>machine_id</v>
          </cell>
          <cell r="AR1" t="str">
            <v>machine_type</v>
          </cell>
          <cell r="AS1" t="str">
            <v>category_id</v>
          </cell>
          <cell r="AT1" t="str">
            <v>SumOfSumOfsum_trip</v>
          </cell>
          <cell r="AU1" t="str">
            <v>SumOfSumOfsum_volume</v>
          </cell>
          <cell r="AV1" t="str">
            <v>SumOfSumOfnon_operate</v>
          </cell>
          <cell r="AW1" t="str">
            <v>SumOfSumOfmeter_run</v>
          </cell>
          <cell r="AX1" t="str">
            <v>SumOfdurasi</v>
          </cell>
          <cell r="AY1" t="str">
            <v>SumOfPM-1</v>
          </cell>
          <cell r="AZ1" t="str">
            <v>SumOfPM-2</v>
          </cell>
          <cell r="BA1" t="str">
            <v>SumOfPM-3</v>
          </cell>
          <cell r="BB1" t="str">
            <v>SumOfPM-4</v>
          </cell>
          <cell r="BC1" t="str">
            <v>SumOf2CM-1</v>
          </cell>
          <cell r="BD1" t="str">
            <v>SumOf2CM-2</v>
          </cell>
          <cell r="BE1" t="str">
            <v>SumOf2CM-3</v>
          </cell>
          <cell r="BF1" t="str">
            <v>SumOf2CM-4</v>
          </cell>
          <cell r="BG1" t="str">
            <v>SumOf2CM-5</v>
          </cell>
          <cell r="BH1" t="str">
            <v>SumOf3ID-1</v>
          </cell>
          <cell r="BI1" t="str">
            <v>SumOf3ID-2</v>
          </cell>
          <cell r="BJ1" t="str">
            <v>SumOf3ID-3</v>
          </cell>
          <cell r="BK1" t="str">
            <v>SumOf3ID-4</v>
          </cell>
          <cell r="BL1" t="str">
            <v>SumOf3ID-5</v>
          </cell>
          <cell r="BM1" t="str">
            <v>SumOf3ID-6</v>
          </cell>
          <cell r="BN1" t="str">
            <v>SumOf3ID-7</v>
          </cell>
          <cell r="BO1" t="str">
            <v>SumOf3ID-8</v>
          </cell>
          <cell r="BP1" t="str">
            <v>SumOf3ID-9</v>
          </cell>
          <cell r="BQ1" t="str">
            <v>SumOf4DL-1</v>
          </cell>
          <cell r="BR1" t="str">
            <v>SumOf4DL-2</v>
          </cell>
          <cell r="BS1" t="str">
            <v>SumOf4DL-3</v>
          </cell>
          <cell r="BT1" t="str">
            <v>SumOf4DL-4</v>
          </cell>
          <cell r="BU1" t="str">
            <v>SumOf4DL-5</v>
          </cell>
          <cell r="BV1" t="str">
            <v>SumOf4DL-6</v>
          </cell>
          <cell r="BW1" t="str">
            <v>SumOf4DL-7</v>
          </cell>
          <cell r="BX1" t="str">
            <v>SumOf4DL-8</v>
          </cell>
          <cell r="BY1" t="str">
            <v>SumOf4DL-9</v>
          </cell>
        </row>
        <row r="2">
          <cell r="AN2" t="str">
            <v>JCM-DH-500-10NON</v>
          </cell>
          <cell r="AQ2" t="str">
            <v>JCM-DH-500-10</v>
          </cell>
          <cell r="AR2" t="str">
            <v>Excavator</v>
          </cell>
          <cell r="AS2" t="str">
            <v>NON</v>
          </cell>
          <cell r="AV2">
            <v>0</v>
          </cell>
          <cell r="AW2">
            <v>0</v>
          </cell>
          <cell r="AX2">
            <v>664</v>
          </cell>
          <cell r="AY2">
            <v>0</v>
          </cell>
          <cell r="BE2">
            <v>664.000000000466</v>
          </cell>
        </row>
        <row r="3">
          <cell r="AN3" t="str">
            <v>JCM-DH-500-11NON</v>
          </cell>
          <cell r="AQ3" t="str">
            <v>JCM-DH-500-11</v>
          </cell>
          <cell r="AR3" t="str">
            <v>Excavator</v>
          </cell>
          <cell r="AS3" t="str">
            <v>NON</v>
          </cell>
          <cell r="AV3">
            <v>0</v>
          </cell>
          <cell r="AW3">
            <v>31.900390625</v>
          </cell>
          <cell r="AX3">
            <v>518</v>
          </cell>
          <cell r="AY3">
            <v>0</v>
          </cell>
          <cell r="BE3">
            <v>425.16666666726798</v>
          </cell>
          <cell r="BH3">
            <v>1.38333333295304</v>
          </cell>
          <cell r="BI3">
            <v>2.4166666665114498</v>
          </cell>
          <cell r="BJ3">
            <v>43.400000000023297</v>
          </cell>
          <cell r="BK3">
            <v>0.31666666665114501</v>
          </cell>
          <cell r="BL3">
            <v>12</v>
          </cell>
          <cell r="BM3">
            <v>0.166666666686069</v>
          </cell>
          <cell r="BO3">
            <v>0.25000000011641499</v>
          </cell>
          <cell r="BP3">
            <v>0.99999999994179201</v>
          </cell>
          <cell r="BQ3">
            <v>0.91666666720993795</v>
          </cell>
          <cell r="BR3">
            <v>9.9999999976716894E-2</v>
          </cell>
          <cell r="BW3">
            <v>0.333333333372138</v>
          </cell>
          <cell r="BY3">
            <v>3.4166666666278598</v>
          </cell>
        </row>
        <row r="4">
          <cell r="AN4" t="str">
            <v>JCM-DH-500-11OB</v>
          </cell>
          <cell r="AQ4" t="str">
            <v>JCM-DH-500-11</v>
          </cell>
          <cell r="AR4" t="str">
            <v>Excavator</v>
          </cell>
          <cell r="AS4" t="str">
            <v>OB</v>
          </cell>
          <cell r="AT4">
            <v>0</v>
          </cell>
          <cell r="AU4">
            <v>12842</v>
          </cell>
          <cell r="AV4">
            <v>0</v>
          </cell>
          <cell r="AW4">
            <v>79.99951171875</v>
          </cell>
          <cell r="AX4">
            <v>146</v>
          </cell>
          <cell r="AY4">
            <v>0</v>
          </cell>
          <cell r="BB4">
            <v>0.20000000012805699</v>
          </cell>
          <cell r="BF4">
            <v>10.466666666907299</v>
          </cell>
          <cell r="BH4">
            <v>0.916666666686069</v>
          </cell>
          <cell r="BI4">
            <v>4.7666666666627897</v>
          </cell>
          <cell r="BJ4">
            <v>39.116666666523102</v>
          </cell>
          <cell r="BK4">
            <v>8.3999999999650807</v>
          </cell>
          <cell r="BM4">
            <v>0.88333333341870501</v>
          </cell>
          <cell r="BO4">
            <v>1.25000000023283</v>
          </cell>
          <cell r="BQ4">
            <v>1.5666666670586</v>
          </cell>
          <cell r="BR4">
            <v>1.93333333282499</v>
          </cell>
          <cell r="BU4">
            <v>0.333333333372138</v>
          </cell>
          <cell r="BV4">
            <v>0.50000000005820799</v>
          </cell>
          <cell r="BW4">
            <v>0.33333333319751501</v>
          </cell>
        </row>
        <row r="5">
          <cell r="AN5" t="str">
            <v>KTD-777-01OB</v>
          </cell>
          <cell r="AQ5" t="str">
            <v>KTD-777-01</v>
          </cell>
          <cell r="AR5" t="str">
            <v>Truck</v>
          </cell>
          <cell r="AS5" t="str">
            <v>OB</v>
          </cell>
          <cell r="AT5">
            <v>858</v>
          </cell>
          <cell r="AU5">
            <v>30030</v>
          </cell>
          <cell r="AV5">
            <v>0</v>
          </cell>
          <cell r="AW5">
            <v>236.5</v>
          </cell>
          <cell r="AX5">
            <v>664</v>
          </cell>
          <cell r="AY5">
            <v>0</v>
          </cell>
          <cell r="BC5">
            <v>3.08333333360497</v>
          </cell>
          <cell r="BD5">
            <v>0.74999999982537702</v>
          </cell>
          <cell r="BE5">
            <v>168</v>
          </cell>
          <cell r="BG5">
            <v>2.04999999987194</v>
          </cell>
          <cell r="BH5">
            <v>4.6333333328948401</v>
          </cell>
          <cell r="BI5">
            <v>20.099999999860302</v>
          </cell>
          <cell r="BJ5">
            <v>175.65000000031401</v>
          </cell>
          <cell r="BK5">
            <v>38.900000000197899</v>
          </cell>
          <cell r="BL5">
            <v>0.46666666661622003</v>
          </cell>
          <cell r="BN5">
            <v>2.6166666666395</v>
          </cell>
          <cell r="BO5">
            <v>8.2500000010477397</v>
          </cell>
          <cell r="BP5">
            <v>2.99999999965075</v>
          </cell>
          <cell r="BQ5">
            <v>6.9166666682576796</v>
          </cell>
          <cell r="BS5">
            <v>3.1000000005005899</v>
          </cell>
          <cell r="BU5">
            <v>1.41666666726815</v>
          </cell>
          <cell r="BW5">
            <v>0.51666666677920103</v>
          </cell>
          <cell r="BY5">
            <v>2.5833333335467601</v>
          </cell>
        </row>
        <row r="6">
          <cell r="AN6" t="str">
            <v>KTD-777-02Coal</v>
          </cell>
          <cell r="AQ6" t="str">
            <v>KTD-777-02</v>
          </cell>
          <cell r="AR6" t="str">
            <v>Truck</v>
          </cell>
          <cell r="AS6" t="str">
            <v>Coal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</row>
        <row r="7">
          <cell r="AN7" t="str">
            <v>KTD-777-02OB</v>
          </cell>
          <cell r="AQ7" t="str">
            <v>KTD-777-02</v>
          </cell>
          <cell r="AR7" t="str">
            <v>Truck</v>
          </cell>
          <cell r="AS7" t="str">
            <v>OB</v>
          </cell>
          <cell r="AV7">
            <v>0</v>
          </cell>
          <cell r="AW7">
            <v>0</v>
          </cell>
          <cell r="AX7">
            <v>664</v>
          </cell>
          <cell r="AY7">
            <v>0</v>
          </cell>
          <cell r="BE7">
            <v>652.000000000466</v>
          </cell>
          <cell r="BG7">
            <v>12</v>
          </cell>
        </row>
        <row r="8">
          <cell r="AN8" t="str">
            <v>KTD-777-03OB</v>
          </cell>
          <cell r="AQ8" t="str">
            <v>KTD-777-03</v>
          </cell>
          <cell r="AR8" t="str">
            <v>Truck</v>
          </cell>
          <cell r="AS8" t="str">
            <v>OB</v>
          </cell>
          <cell r="AT8">
            <v>1304</v>
          </cell>
          <cell r="AU8">
            <v>45640</v>
          </cell>
          <cell r="AV8">
            <v>0</v>
          </cell>
          <cell r="AW8">
            <v>357.69921875</v>
          </cell>
          <cell r="AX8">
            <v>664</v>
          </cell>
          <cell r="AY8">
            <v>0.28333333338377997</v>
          </cell>
          <cell r="AZ8">
            <v>11.25</v>
          </cell>
          <cell r="BC8">
            <v>0.83333333325572301</v>
          </cell>
          <cell r="BD8">
            <v>2.6833333333488598</v>
          </cell>
          <cell r="BE8">
            <v>24</v>
          </cell>
          <cell r="BF8">
            <v>3.5833333333139299</v>
          </cell>
          <cell r="BG8">
            <v>0.166666666686069</v>
          </cell>
          <cell r="BH8">
            <v>6.2500000001164198</v>
          </cell>
          <cell r="BI8">
            <v>32.916666666220401</v>
          </cell>
          <cell r="BJ8">
            <v>146.38333333341899</v>
          </cell>
          <cell r="BK8">
            <v>57.299999999406303</v>
          </cell>
          <cell r="BL8">
            <v>0.75</v>
          </cell>
          <cell r="BN8">
            <v>2.45000000012806</v>
          </cell>
          <cell r="BO8">
            <v>11.2166666676058</v>
          </cell>
          <cell r="BP8">
            <v>6.23333333304618</v>
          </cell>
          <cell r="BQ8">
            <v>9.3333333345944993</v>
          </cell>
          <cell r="BS8">
            <v>3.35000000044238</v>
          </cell>
          <cell r="BU8">
            <v>2.28333333379123</v>
          </cell>
          <cell r="BW8">
            <v>0.93333333323244005</v>
          </cell>
          <cell r="BY8">
            <v>0.86666666704695705</v>
          </cell>
        </row>
        <row r="9">
          <cell r="AN9" t="str">
            <v>KTD-777-04OB</v>
          </cell>
          <cell r="AQ9" t="str">
            <v>KTD-777-04</v>
          </cell>
          <cell r="AR9" t="str">
            <v>Truck</v>
          </cell>
          <cell r="AS9" t="str">
            <v>OB</v>
          </cell>
          <cell r="AT9">
            <v>1346</v>
          </cell>
          <cell r="AU9">
            <v>47110</v>
          </cell>
          <cell r="AV9">
            <v>0</v>
          </cell>
          <cell r="AW9">
            <v>363.98876953125</v>
          </cell>
          <cell r="AX9">
            <v>664</v>
          </cell>
          <cell r="AY9">
            <v>4.7333333332208003</v>
          </cell>
          <cell r="BB9">
            <v>0.166666666686069</v>
          </cell>
          <cell r="BC9">
            <v>0.26666666666278599</v>
          </cell>
          <cell r="BD9">
            <v>5.0666666665929396</v>
          </cell>
          <cell r="BG9">
            <v>35.166666666744298</v>
          </cell>
          <cell r="BH9">
            <v>4.4833333324058904</v>
          </cell>
          <cell r="BI9">
            <v>33.699999999138498</v>
          </cell>
          <cell r="BJ9">
            <v>127.26666666643</v>
          </cell>
          <cell r="BK9">
            <v>56.966666666208802</v>
          </cell>
          <cell r="BN9">
            <v>3.2666666666627902</v>
          </cell>
          <cell r="BO9">
            <v>11.0500000017928</v>
          </cell>
          <cell r="BP9">
            <v>17.866666666232</v>
          </cell>
          <cell r="BQ9">
            <v>9.5833333368063904</v>
          </cell>
          <cell r="BS9">
            <v>5.0333333335001997</v>
          </cell>
          <cell r="BU9">
            <v>2.2333333332790102</v>
          </cell>
          <cell r="BW9">
            <v>1.30000000022119</v>
          </cell>
          <cell r="BY9">
            <v>1.8666666664648801</v>
          </cell>
        </row>
        <row r="10">
          <cell r="AN10" t="str">
            <v>KTD-777-05OB</v>
          </cell>
          <cell r="AQ10" t="str">
            <v>KTD-777-05</v>
          </cell>
          <cell r="AR10" t="str">
            <v>Truck</v>
          </cell>
          <cell r="AS10" t="str">
            <v>OB</v>
          </cell>
          <cell r="AT10">
            <v>1340</v>
          </cell>
          <cell r="AU10">
            <v>46900</v>
          </cell>
          <cell r="AV10">
            <v>0</v>
          </cell>
          <cell r="AW10">
            <v>375.90625</v>
          </cell>
          <cell r="AX10">
            <v>664</v>
          </cell>
          <cell r="AY10">
            <v>0.31666666647652197</v>
          </cell>
          <cell r="BC10">
            <v>2.0000000000582099</v>
          </cell>
          <cell r="BD10">
            <v>0.166666666686069</v>
          </cell>
          <cell r="BE10">
            <v>1.2666666667791999</v>
          </cell>
          <cell r="BG10">
            <v>3.6166666667559202</v>
          </cell>
          <cell r="BH10">
            <v>4.9833333321148503</v>
          </cell>
          <cell r="BI10">
            <v>34.199999999546002</v>
          </cell>
          <cell r="BJ10">
            <v>163.483333333628</v>
          </cell>
          <cell r="BK10">
            <v>50.649999999906903</v>
          </cell>
          <cell r="BL10">
            <v>1.08333333337214</v>
          </cell>
          <cell r="BN10">
            <v>3.0499999999883598</v>
          </cell>
          <cell r="BO10">
            <v>11.250000001920901</v>
          </cell>
          <cell r="BP10">
            <v>12.033333333092701</v>
          </cell>
          <cell r="BQ10">
            <v>10.366666667803701</v>
          </cell>
          <cell r="BS10">
            <v>2.18333333416376</v>
          </cell>
          <cell r="BU10">
            <v>1.8833333335351199</v>
          </cell>
          <cell r="BW10">
            <v>0.83333333325572301</v>
          </cell>
          <cell r="BY10">
            <v>1.31666666694218</v>
          </cell>
        </row>
        <row r="11">
          <cell r="AN11" t="str">
            <v>KTD-777-06OB</v>
          </cell>
          <cell r="AQ11" t="str">
            <v>KTD-777-06</v>
          </cell>
          <cell r="AR11" t="str">
            <v>Truck</v>
          </cell>
          <cell r="AS11" t="str">
            <v>OB</v>
          </cell>
          <cell r="AT11">
            <v>1284</v>
          </cell>
          <cell r="AU11">
            <v>44940</v>
          </cell>
          <cell r="AV11">
            <v>0</v>
          </cell>
          <cell r="AW11">
            <v>371.2001953125</v>
          </cell>
          <cell r="AX11">
            <v>664</v>
          </cell>
          <cell r="AY11">
            <v>0.166666666686069</v>
          </cell>
          <cell r="AZ11">
            <v>14.25</v>
          </cell>
          <cell r="BC11">
            <v>2.3166666667093501</v>
          </cell>
          <cell r="BD11">
            <v>1.1333333333605</v>
          </cell>
          <cell r="BE11">
            <v>36</v>
          </cell>
          <cell r="BG11">
            <v>18.016666666721001</v>
          </cell>
          <cell r="BH11">
            <v>5.9666666653356497</v>
          </cell>
          <cell r="BI11">
            <v>32.283333332918097</v>
          </cell>
          <cell r="BJ11">
            <v>91.983333333511794</v>
          </cell>
          <cell r="BK11">
            <v>70.750000000290996</v>
          </cell>
          <cell r="BN11">
            <v>3.0666666672332199</v>
          </cell>
          <cell r="BO11">
            <v>12.9500000011758</v>
          </cell>
          <cell r="BP11">
            <v>3.9166666663368201</v>
          </cell>
          <cell r="BQ11">
            <v>10.966666668537099</v>
          </cell>
          <cell r="BS11">
            <v>6.2666666682343903</v>
          </cell>
          <cell r="BU11">
            <v>2.1833333332906499</v>
          </cell>
          <cell r="BW11">
            <v>0.916666666686069</v>
          </cell>
          <cell r="BY11">
            <v>1.5</v>
          </cell>
        </row>
        <row r="12">
          <cell r="AN12" t="str">
            <v>KTD-777-07OB</v>
          </cell>
          <cell r="AQ12" t="str">
            <v>KTD-777-07</v>
          </cell>
          <cell r="AR12" t="str">
            <v>Truck</v>
          </cell>
          <cell r="AS12" t="str">
            <v>OB</v>
          </cell>
          <cell r="AT12">
            <v>1561</v>
          </cell>
          <cell r="AU12">
            <v>54635</v>
          </cell>
          <cell r="AV12">
            <v>0</v>
          </cell>
          <cell r="AW12">
            <v>430.80859375</v>
          </cell>
          <cell r="AX12">
            <v>664</v>
          </cell>
          <cell r="AY12">
            <v>0.166666666686069</v>
          </cell>
          <cell r="AZ12">
            <v>1.5</v>
          </cell>
          <cell r="BB12">
            <v>2.15000000002328</v>
          </cell>
          <cell r="BC12">
            <v>2.3833333334187001</v>
          </cell>
          <cell r="BD12">
            <v>0.56666666659293696</v>
          </cell>
          <cell r="BE12">
            <v>7.9999999998835802</v>
          </cell>
          <cell r="BG12">
            <v>0.96666666667442802</v>
          </cell>
          <cell r="BH12">
            <v>5.5166666654404297</v>
          </cell>
          <cell r="BI12">
            <v>34.683333332184702</v>
          </cell>
          <cell r="BJ12">
            <v>94.450000000186293</v>
          </cell>
          <cell r="BK12">
            <v>54.383333333535099</v>
          </cell>
          <cell r="BL12">
            <v>0.25000000011641499</v>
          </cell>
          <cell r="BN12">
            <v>3.4666666671400899</v>
          </cell>
          <cell r="BO12">
            <v>12.916666668606901</v>
          </cell>
          <cell r="BP12">
            <v>11.799999999522701</v>
          </cell>
          <cell r="BQ12">
            <v>11.583333335293</v>
          </cell>
          <cell r="BS12">
            <v>9.2666666677105205</v>
          </cell>
          <cell r="BU12">
            <v>2.5666666664765199</v>
          </cell>
          <cell r="BW12">
            <v>1.81666666665114</v>
          </cell>
          <cell r="BY12">
            <v>3.68333333416376</v>
          </cell>
        </row>
        <row r="13">
          <cell r="AN13" t="str">
            <v>KTD-777-08OB</v>
          </cell>
          <cell r="AQ13" t="str">
            <v>KTD-777-08</v>
          </cell>
          <cell r="AR13" t="str">
            <v>Truck</v>
          </cell>
          <cell r="AS13" t="str">
            <v>OB</v>
          </cell>
          <cell r="AT13">
            <v>1337</v>
          </cell>
          <cell r="AU13">
            <v>46795</v>
          </cell>
          <cell r="AV13">
            <v>0</v>
          </cell>
          <cell r="AW13">
            <v>377.3984375</v>
          </cell>
          <cell r="AX13">
            <v>664</v>
          </cell>
          <cell r="AY13">
            <v>1.0999999997438901</v>
          </cell>
          <cell r="AZ13">
            <v>9.5666666665929405</v>
          </cell>
          <cell r="BB13">
            <v>0.13333333341870501</v>
          </cell>
          <cell r="BD13">
            <v>0.36666666663950298</v>
          </cell>
          <cell r="BE13">
            <v>89.616666666639503</v>
          </cell>
          <cell r="BG13">
            <v>0.48333333333721401</v>
          </cell>
          <cell r="BH13">
            <v>4.4833333320566497</v>
          </cell>
          <cell r="BI13">
            <v>33.516666666429998</v>
          </cell>
          <cell r="BJ13">
            <v>54.483333333686502</v>
          </cell>
          <cell r="BK13">
            <v>72.866666666872305</v>
          </cell>
          <cell r="BN13">
            <v>2.4499999999534299</v>
          </cell>
          <cell r="BO13">
            <v>11.216666667955</v>
          </cell>
          <cell r="BP13">
            <v>6.3166666666511402</v>
          </cell>
          <cell r="BQ13">
            <v>10.3333333352348</v>
          </cell>
          <cell r="BS13">
            <v>5.1999999993131496</v>
          </cell>
          <cell r="BU13">
            <v>2.4833333332207999</v>
          </cell>
          <cell r="BW13">
            <v>0.54999999987194303</v>
          </cell>
          <cell r="BY13">
            <v>3.26666666683741</v>
          </cell>
        </row>
        <row r="14">
          <cell r="AN14" t="str">
            <v>KTD-777-09OB</v>
          </cell>
          <cell r="AQ14" t="str">
            <v>KTD-777-09</v>
          </cell>
          <cell r="AR14" t="str">
            <v>Truck</v>
          </cell>
          <cell r="AS14" t="str">
            <v>OB</v>
          </cell>
          <cell r="AT14">
            <v>959</v>
          </cell>
          <cell r="AU14">
            <v>33565</v>
          </cell>
          <cell r="AV14">
            <v>0</v>
          </cell>
          <cell r="AW14">
            <v>269.296875</v>
          </cell>
          <cell r="AX14">
            <v>664</v>
          </cell>
          <cell r="AY14">
            <v>0.25000000011641499</v>
          </cell>
          <cell r="AZ14">
            <v>0.25000000011641499</v>
          </cell>
          <cell r="BC14">
            <v>1.58333333325572</v>
          </cell>
          <cell r="BD14">
            <v>5.5833333331975199</v>
          </cell>
          <cell r="BE14">
            <v>47.666666666802499</v>
          </cell>
          <cell r="BF14">
            <v>75.666666666569697</v>
          </cell>
          <cell r="BG14">
            <v>3</v>
          </cell>
          <cell r="BH14">
            <v>4.8499999995692598</v>
          </cell>
          <cell r="BI14">
            <v>25.049999999755499</v>
          </cell>
          <cell r="BJ14">
            <v>161.183333332941</v>
          </cell>
          <cell r="BK14">
            <v>49.666666666686098</v>
          </cell>
          <cell r="BN14">
            <v>2.6166666666395</v>
          </cell>
          <cell r="BO14">
            <v>7.5666666679317096</v>
          </cell>
          <cell r="BP14">
            <v>9.7666666665463708</v>
          </cell>
          <cell r="BQ14">
            <v>8.7166666671400908</v>
          </cell>
          <cell r="BS14">
            <v>4.3500000007334201</v>
          </cell>
          <cell r="BU14">
            <v>1.5166666672448601</v>
          </cell>
          <cell r="BW14">
            <v>0.94999999960418802</v>
          </cell>
          <cell r="BY14">
            <v>3.0666666670586</v>
          </cell>
        </row>
        <row r="15">
          <cell r="AN15" t="str">
            <v>KTD-777-10NON</v>
          </cell>
          <cell r="AQ15" t="str">
            <v>KTD-777-10</v>
          </cell>
          <cell r="AR15" t="str">
            <v>Truck</v>
          </cell>
          <cell r="AS15" t="str">
            <v>NON</v>
          </cell>
          <cell r="AV15">
            <v>0</v>
          </cell>
          <cell r="AW15">
            <v>4</v>
          </cell>
          <cell r="AX15">
            <v>6</v>
          </cell>
          <cell r="AY15">
            <v>0</v>
          </cell>
          <cell r="BI15">
            <v>0.50000000005820799</v>
          </cell>
          <cell r="BK15">
            <v>1.2500000000582101</v>
          </cell>
          <cell r="BO15">
            <v>0.24999999994179201</v>
          </cell>
          <cell r="BQ15">
            <v>8.3333333255723105E-2</v>
          </cell>
          <cell r="BY15">
            <v>4.9999999988358503E-2</v>
          </cell>
        </row>
        <row r="16">
          <cell r="AN16" t="str">
            <v>KTD-777-10OB</v>
          </cell>
          <cell r="AQ16" t="str">
            <v>KTD-777-10</v>
          </cell>
          <cell r="AR16" t="str">
            <v>Truck</v>
          </cell>
          <cell r="AS16" t="str">
            <v>OB</v>
          </cell>
          <cell r="AT16">
            <v>1356</v>
          </cell>
          <cell r="AU16">
            <v>47460</v>
          </cell>
          <cell r="AV16">
            <v>0</v>
          </cell>
          <cell r="AW16">
            <v>371.7109375</v>
          </cell>
          <cell r="AX16">
            <v>658</v>
          </cell>
          <cell r="AY16">
            <v>2.4499999999534299</v>
          </cell>
          <cell r="AZ16">
            <v>0.50000000005820799</v>
          </cell>
          <cell r="BB16">
            <v>0.76666666654637095</v>
          </cell>
          <cell r="BC16">
            <v>3.0000000001746199</v>
          </cell>
          <cell r="BD16">
            <v>2.5666666666511402</v>
          </cell>
          <cell r="BF16">
            <v>11.1666666667443</v>
          </cell>
          <cell r="BH16">
            <v>6.16666666598758</v>
          </cell>
          <cell r="BI16">
            <v>32.833333331916897</v>
          </cell>
          <cell r="BJ16">
            <v>141.93333333323201</v>
          </cell>
          <cell r="BK16">
            <v>60.383333333011301</v>
          </cell>
          <cell r="BN16">
            <v>2.4666666668490498</v>
          </cell>
          <cell r="BO16">
            <v>10.2500000016298</v>
          </cell>
          <cell r="BP16">
            <v>11.8166666665929</v>
          </cell>
          <cell r="BQ16">
            <v>10.5000000026193</v>
          </cell>
          <cell r="BS16">
            <v>5.60000000044238</v>
          </cell>
          <cell r="BU16">
            <v>2.3833333328948401</v>
          </cell>
          <cell r="BW16">
            <v>0.80000000033760399</v>
          </cell>
          <cell r="BY16">
            <v>5.0333333343733102</v>
          </cell>
        </row>
        <row r="17">
          <cell r="AN17" t="str">
            <v>KTD-777-11NON</v>
          </cell>
          <cell r="AQ17" t="str">
            <v>KTD-777-11</v>
          </cell>
          <cell r="AR17" t="str">
            <v>Truck</v>
          </cell>
          <cell r="AS17" t="str">
            <v>NON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</row>
        <row r="18">
          <cell r="AN18" t="str">
            <v>KTD-777-11OB</v>
          </cell>
          <cell r="AQ18" t="str">
            <v>KTD-777-11</v>
          </cell>
          <cell r="AR18" t="str">
            <v>Truck</v>
          </cell>
          <cell r="AS18" t="str">
            <v>OB</v>
          </cell>
          <cell r="AT18">
            <v>1186</v>
          </cell>
          <cell r="AU18">
            <v>41510</v>
          </cell>
          <cell r="AV18">
            <v>0</v>
          </cell>
          <cell r="AW18">
            <v>338.50048828125</v>
          </cell>
          <cell r="AX18">
            <v>664</v>
          </cell>
          <cell r="AY18">
            <v>0</v>
          </cell>
          <cell r="AZ18">
            <v>15.999999999941799</v>
          </cell>
          <cell r="BC18">
            <v>1.4166666665696499</v>
          </cell>
          <cell r="BD18">
            <v>4.3833333336515397</v>
          </cell>
          <cell r="BF18">
            <v>4.2500000000582103</v>
          </cell>
          <cell r="BG18">
            <v>46.033333333558403</v>
          </cell>
          <cell r="BH18">
            <v>5.44999999977881</v>
          </cell>
          <cell r="BI18">
            <v>29.399999999441199</v>
          </cell>
          <cell r="BJ18">
            <v>141.20000000030299</v>
          </cell>
          <cell r="BK18">
            <v>43.783333333558403</v>
          </cell>
          <cell r="BL18">
            <v>4.9166666668024801</v>
          </cell>
          <cell r="BN18">
            <v>3.7166666669072601</v>
          </cell>
          <cell r="BO18">
            <v>9.8333333346527105</v>
          </cell>
          <cell r="BP18">
            <v>15.1166666665231</v>
          </cell>
          <cell r="BQ18">
            <v>9.7666666654986294</v>
          </cell>
          <cell r="BS18">
            <v>9.9499999999534303</v>
          </cell>
          <cell r="BU18">
            <v>2.0166666667792001</v>
          </cell>
          <cell r="BW18">
            <v>2.1166666665812999</v>
          </cell>
          <cell r="BY18">
            <v>3.03333333414048</v>
          </cell>
        </row>
        <row r="19">
          <cell r="AN19" t="str">
            <v>KTD-777-12OB</v>
          </cell>
          <cell r="AQ19" t="str">
            <v>KTD-777-12</v>
          </cell>
          <cell r="AR19" t="str">
            <v>Truck</v>
          </cell>
          <cell r="AS19" t="str">
            <v>OB</v>
          </cell>
          <cell r="AT19">
            <v>1276</v>
          </cell>
          <cell r="AU19">
            <v>44660</v>
          </cell>
          <cell r="AV19">
            <v>0</v>
          </cell>
          <cell r="AW19">
            <v>347.6875</v>
          </cell>
          <cell r="AX19">
            <v>664</v>
          </cell>
          <cell r="AY19">
            <v>0.233333333395422</v>
          </cell>
          <cell r="AZ19">
            <v>5.6999999998952298</v>
          </cell>
          <cell r="BB19">
            <v>0.53333333332557198</v>
          </cell>
          <cell r="BC19">
            <v>1.8499999999185099</v>
          </cell>
          <cell r="BD19">
            <v>2.2499999998253801</v>
          </cell>
          <cell r="BG19">
            <v>5.0500000000465697</v>
          </cell>
          <cell r="BH19">
            <v>5.7666666660807104</v>
          </cell>
          <cell r="BI19">
            <v>34.216666665568503</v>
          </cell>
          <cell r="BJ19">
            <v>166.30000000039601</v>
          </cell>
          <cell r="BK19">
            <v>61.716666666325203</v>
          </cell>
          <cell r="BL19">
            <v>8.0000000000582094</v>
          </cell>
          <cell r="BN19">
            <v>2.8166666669421798</v>
          </cell>
          <cell r="BO19">
            <v>10.2166666680132</v>
          </cell>
          <cell r="BP19">
            <v>11.6500000000815</v>
          </cell>
          <cell r="BQ19">
            <v>9.7500000019208493</v>
          </cell>
          <cell r="BS19">
            <v>4.2666666667791997</v>
          </cell>
          <cell r="BU19">
            <v>1.91666666697711</v>
          </cell>
          <cell r="BW19">
            <v>1.05000000010477</v>
          </cell>
          <cell r="BY19">
            <v>3.9500000008265501</v>
          </cell>
        </row>
        <row r="20">
          <cell r="AN20" t="str">
            <v>KTD-777-13OB</v>
          </cell>
          <cell r="AQ20" t="str">
            <v>KTD-777-13</v>
          </cell>
          <cell r="AR20" t="str">
            <v>Truck</v>
          </cell>
          <cell r="AS20" t="str">
            <v>OB</v>
          </cell>
          <cell r="AT20">
            <v>1118</v>
          </cell>
          <cell r="AU20">
            <v>39130</v>
          </cell>
          <cell r="AV20">
            <v>0</v>
          </cell>
          <cell r="AW20">
            <v>292.09765625</v>
          </cell>
          <cell r="AX20">
            <v>664</v>
          </cell>
          <cell r="AY20">
            <v>1.0499999999301499</v>
          </cell>
          <cell r="AZ20">
            <v>0.166666666686069</v>
          </cell>
          <cell r="BC20">
            <v>3.0000000001746199</v>
          </cell>
          <cell r="BD20">
            <v>3.1000000001513399</v>
          </cell>
          <cell r="BE20">
            <v>42.7000000001863</v>
          </cell>
          <cell r="BF20">
            <v>10.333333333313901</v>
          </cell>
          <cell r="BG20">
            <v>2.0333333333255701</v>
          </cell>
          <cell r="BH20">
            <v>4.4166666662204097</v>
          </cell>
          <cell r="BI20">
            <v>25.0166666657897</v>
          </cell>
          <cell r="BJ20">
            <v>195.11666666599899</v>
          </cell>
          <cell r="BK20">
            <v>40.699999999953398</v>
          </cell>
          <cell r="BN20">
            <v>3.4000000002561102</v>
          </cell>
          <cell r="BO20">
            <v>9.1166666682693194</v>
          </cell>
          <cell r="BP20">
            <v>31.7499999995925</v>
          </cell>
          <cell r="BQ20">
            <v>8.6666666683740896</v>
          </cell>
          <cell r="BS20">
            <v>5.2666666660225001</v>
          </cell>
          <cell r="BU20">
            <v>1.4500000001862601</v>
          </cell>
          <cell r="BW20">
            <v>0.49999999988358501</v>
          </cell>
          <cell r="BY20">
            <v>1.9833333326387199</v>
          </cell>
        </row>
        <row r="21">
          <cell r="AN21" t="str">
            <v>KTD-777-14OB</v>
          </cell>
          <cell r="AQ21" t="str">
            <v>KTD-777-14</v>
          </cell>
          <cell r="AR21" t="str">
            <v>Truck</v>
          </cell>
          <cell r="AS21" t="str">
            <v>OB</v>
          </cell>
          <cell r="AT21">
            <v>1104</v>
          </cell>
          <cell r="AU21">
            <v>38640</v>
          </cell>
          <cell r="AV21">
            <v>0</v>
          </cell>
          <cell r="AW21">
            <v>335.296875</v>
          </cell>
          <cell r="AX21">
            <v>664</v>
          </cell>
          <cell r="AY21">
            <v>0.349999999918509</v>
          </cell>
          <cell r="BB21">
            <v>0.333333333372138</v>
          </cell>
          <cell r="BC21">
            <v>2.83333333313931</v>
          </cell>
          <cell r="BD21">
            <v>3.6166666667559202</v>
          </cell>
          <cell r="BE21">
            <v>12</v>
          </cell>
          <cell r="BF21">
            <v>15.9999999997672</v>
          </cell>
          <cell r="BG21">
            <v>76.916666666802499</v>
          </cell>
          <cell r="BH21">
            <v>4.9166666661039899</v>
          </cell>
          <cell r="BI21">
            <v>28.749999999417899</v>
          </cell>
          <cell r="BJ21">
            <v>115.04999999992999</v>
          </cell>
          <cell r="BK21">
            <v>40.6833333327086</v>
          </cell>
          <cell r="BN21">
            <v>5.05000000022119</v>
          </cell>
          <cell r="BO21">
            <v>9.3166666682227497</v>
          </cell>
          <cell r="BP21">
            <v>12.883333333069499</v>
          </cell>
          <cell r="BQ21">
            <v>10.450000001059401</v>
          </cell>
          <cell r="BS21">
            <v>5.7833333331509502</v>
          </cell>
          <cell r="BU21">
            <v>1.7999999999301499</v>
          </cell>
          <cell r="BW21">
            <v>0.81666666636010599</v>
          </cell>
          <cell r="BY21">
            <v>1.5000000001746201</v>
          </cell>
        </row>
        <row r="22">
          <cell r="AN22" t="str">
            <v>KTD-777-15OB</v>
          </cell>
          <cell r="AQ22" t="str">
            <v>KTD-777-15</v>
          </cell>
          <cell r="AR22" t="str">
            <v>Truck</v>
          </cell>
          <cell r="AS22" t="str">
            <v>OB</v>
          </cell>
          <cell r="AT22">
            <v>455</v>
          </cell>
          <cell r="AU22">
            <v>15925</v>
          </cell>
          <cell r="AV22">
            <v>0</v>
          </cell>
          <cell r="AW22">
            <v>123.796875</v>
          </cell>
          <cell r="AX22">
            <v>664</v>
          </cell>
          <cell r="AY22">
            <v>8.3333333430346102E-2</v>
          </cell>
          <cell r="AZ22">
            <v>12</v>
          </cell>
          <cell r="BA22">
            <v>380.000000000233</v>
          </cell>
          <cell r="BC22">
            <v>1.06666666665114</v>
          </cell>
          <cell r="BD22">
            <v>2.13333333347691</v>
          </cell>
          <cell r="BE22">
            <v>1.1666666668024801</v>
          </cell>
          <cell r="BF22">
            <v>19.416666666744302</v>
          </cell>
          <cell r="BG22">
            <v>0.99999999994179201</v>
          </cell>
          <cell r="BH22">
            <v>2.15000000019791</v>
          </cell>
          <cell r="BI22">
            <v>12.4833333331626</v>
          </cell>
          <cell r="BJ22">
            <v>71.799999999697306</v>
          </cell>
          <cell r="BK22">
            <v>25.483333333104401</v>
          </cell>
          <cell r="BN22">
            <v>1.21666666661622</v>
          </cell>
          <cell r="BO22">
            <v>4.1666666669771102</v>
          </cell>
          <cell r="BP22">
            <v>6.0333333332673602</v>
          </cell>
          <cell r="BQ22">
            <v>3.8833333332440798</v>
          </cell>
          <cell r="BS22">
            <v>1.6500000001396999</v>
          </cell>
          <cell r="BU22">
            <v>0.64999999949941401</v>
          </cell>
          <cell r="BW22">
            <v>0.433333333174232</v>
          </cell>
          <cell r="BY22">
            <v>2.5166666664881601</v>
          </cell>
        </row>
        <row r="23">
          <cell r="AN23" t="str">
            <v>KTD-777-16OB</v>
          </cell>
          <cell r="AQ23" t="str">
            <v>KTD-777-16</v>
          </cell>
          <cell r="AR23" t="str">
            <v>Truck</v>
          </cell>
          <cell r="AS23" t="str">
            <v>OB</v>
          </cell>
          <cell r="AT23">
            <v>1326</v>
          </cell>
          <cell r="AU23">
            <v>46410</v>
          </cell>
          <cell r="AV23">
            <v>0</v>
          </cell>
          <cell r="AW23">
            <v>391.203125</v>
          </cell>
          <cell r="AX23">
            <v>664</v>
          </cell>
          <cell r="AY23">
            <v>0.38333333336049702</v>
          </cell>
          <cell r="AZ23">
            <v>1.5666666667093501</v>
          </cell>
          <cell r="BB23">
            <v>0.31666666665114501</v>
          </cell>
          <cell r="BC23">
            <v>1.9166666668024801</v>
          </cell>
          <cell r="BD23">
            <v>2.3666666666977099</v>
          </cell>
          <cell r="BE23">
            <v>3.9166666666860701</v>
          </cell>
          <cell r="BF23">
            <v>34.500000000174602</v>
          </cell>
          <cell r="BG23">
            <v>2.2333333334536301</v>
          </cell>
          <cell r="BH23">
            <v>6.2999999987077899</v>
          </cell>
          <cell r="BI23">
            <v>32.716666666092401</v>
          </cell>
          <cell r="BJ23">
            <v>91.149999999382999</v>
          </cell>
          <cell r="BK23">
            <v>62.850000000558801</v>
          </cell>
          <cell r="BN23">
            <v>5.8833333334769096</v>
          </cell>
          <cell r="BO23">
            <v>12.116666667745401</v>
          </cell>
          <cell r="BP23">
            <v>14.499999999941799</v>
          </cell>
          <cell r="BQ23">
            <v>11.4500000025728</v>
          </cell>
          <cell r="BS23">
            <v>13.0666666663019</v>
          </cell>
          <cell r="BU23">
            <v>2.5666666666511402</v>
          </cell>
          <cell r="BW23">
            <v>0.81666666688397505</v>
          </cell>
          <cell r="BY23">
            <v>3.1500000017113101</v>
          </cell>
        </row>
        <row r="24">
          <cell r="AN24" t="str">
            <v>KTD-777-17OB</v>
          </cell>
          <cell r="AQ24" t="str">
            <v>KTD-777-17</v>
          </cell>
          <cell r="AR24" t="str">
            <v>Truck</v>
          </cell>
          <cell r="AS24" t="str">
            <v>OB</v>
          </cell>
          <cell r="AV24">
            <v>0</v>
          </cell>
          <cell r="AW24">
            <v>0</v>
          </cell>
          <cell r="AX24">
            <v>664</v>
          </cell>
          <cell r="AY24">
            <v>0</v>
          </cell>
          <cell r="BA24">
            <v>664.000000000466</v>
          </cell>
        </row>
        <row r="25">
          <cell r="AN25" t="str">
            <v>KTD-777-18OB</v>
          </cell>
          <cell r="AQ25" t="str">
            <v>KTD-777-18</v>
          </cell>
          <cell r="AR25" t="str">
            <v>Truck</v>
          </cell>
          <cell r="AS25" t="str">
            <v>OB</v>
          </cell>
          <cell r="AT25">
            <v>1162</v>
          </cell>
          <cell r="AU25">
            <v>40670</v>
          </cell>
          <cell r="AV25">
            <v>0</v>
          </cell>
          <cell r="AW25">
            <v>334.8984375</v>
          </cell>
          <cell r="AX25">
            <v>664</v>
          </cell>
          <cell r="AY25">
            <v>0.25000000011641499</v>
          </cell>
          <cell r="AZ25">
            <v>8.3333333332557196</v>
          </cell>
          <cell r="BB25">
            <v>1.9500000000698501</v>
          </cell>
          <cell r="BC25">
            <v>2.8999999998486601</v>
          </cell>
          <cell r="BD25">
            <v>4.7666666670120303</v>
          </cell>
          <cell r="BE25">
            <v>7.9999999998835802</v>
          </cell>
          <cell r="BG25">
            <v>45.250000000116401</v>
          </cell>
          <cell r="BH25">
            <v>5.8999999989755496</v>
          </cell>
          <cell r="BI25">
            <v>26.516666666488199</v>
          </cell>
          <cell r="BJ25">
            <v>133.183333332476</v>
          </cell>
          <cell r="BK25">
            <v>69.733333333802904</v>
          </cell>
          <cell r="BN25">
            <v>2.1333333336515401</v>
          </cell>
          <cell r="BO25">
            <v>9.0666666675824708</v>
          </cell>
          <cell r="BP25">
            <v>11.116666666755901</v>
          </cell>
          <cell r="BQ25">
            <v>10.1166666690842</v>
          </cell>
          <cell r="BS25">
            <v>2.01666666695382</v>
          </cell>
          <cell r="BU25">
            <v>1.8500000009662501</v>
          </cell>
          <cell r="BW25">
            <v>0.316666666825768</v>
          </cell>
          <cell r="BY25">
            <v>1.1666666664532399</v>
          </cell>
        </row>
        <row r="26">
          <cell r="AN26" t="str">
            <v>KTD-777-19OB</v>
          </cell>
          <cell r="AQ26" t="str">
            <v>KTD-777-19</v>
          </cell>
          <cell r="AR26" t="str">
            <v>Truck</v>
          </cell>
          <cell r="AS26" t="str">
            <v>OB</v>
          </cell>
          <cell r="AT26">
            <v>1280</v>
          </cell>
          <cell r="AU26">
            <v>44800</v>
          </cell>
          <cell r="AV26">
            <v>0</v>
          </cell>
          <cell r="AW26">
            <v>346.19921875</v>
          </cell>
          <cell r="AX26">
            <v>664</v>
          </cell>
          <cell r="AY26">
            <v>0.21666666667442799</v>
          </cell>
          <cell r="AZ26">
            <v>10.7333333333954</v>
          </cell>
          <cell r="BB26">
            <v>0.55000000004656602</v>
          </cell>
          <cell r="BC26">
            <v>2.1499999998486601</v>
          </cell>
          <cell r="BD26">
            <v>3.28333333338378</v>
          </cell>
          <cell r="BE26">
            <v>8.0000000000582094</v>
          </cell>
          <cell r="BF26">
            <v>3.09999999997672</v>
          </cell>
          <cell r="BG26">
            <v>1.23333333316259</v>
          </cell>
          <cell r="BH26">
            <v>4.9999999993597202</v>
          </cell>
          <cell r="BI26">
            <v>29.6333333328366</v>
          </cell>
          <cell r="BJ26">
            <v>181.483333333454</v>
          </cell>
          <cell r="BK26">
            <v>53.166666666220401</v>
          </cell>
          <cell r="BN26">
            <v>3.65000000002328</v>
          </cell>
          <cell r="BO26">
            <v>8.6166666671633703</v>
          </cell>
          <cell r="BP26">
            <v>6.9833333333954197</v>
          </cell>
          <cell r="BQ26">
            <v>10.4833333357237</v>
          </cell>
          <cell r="BS26">
            <v>4.3666666669305396</v>
          </cell>
          <cell r="BU26">
            <v>2.1666666662204102</v>
          </cell>
          <cell r="BW26">
            <v>0.84999999997671705</v>
          </cell>
          <cell r="BY26">
            <v>4.5000000005238698</v>
          </cell>
        </row>
        <row r="27">
          <cell r="AN27" t="str">
            <v>KTD-777-20OB</v>
          </cell>
          <cell r="AQ27" t="str">
            <v>KTD-777-20</v>
          </cell>
          <cell r="AR27" t="str">
            <v>Truck</v>
          </cell>
          <cell r="AS27" t="str">
            <v>OB</v>
          </cell>
          <cell r="AT27">
            <v>1512</v>
          </cell>
          <cell r="AU27">
            <v>52920</v>
          </cell>
          <cell r="AV27">
            <v>0</v>
          </cell>
          <cell r="AW27">
            <v>385.09765625</v>
          </cell>
          <cell r="AX27">
            <v>664</v>
          </cell>
          <cell r="AY27">
            <v>0.60000000020954802</v>
          </cell>
          <cell r="AZ27">
            <v>3.5000000000582099</v>
          </cell>
          <cell r="BB27">
            <v>0.26666666666278599</v>
          </cell>
          <cell r="BC27">
            <v>0.99999999994179201</v>
          </cell>
          <cell r="BD27">
            <v>2.9333333336398901</v>
          </cell>
          <cell r="BE27">
            <v>31.666666666686101</v>
          </cell>
          <cell r="BG27">
            <v>1.80000000010477</v>
          </cell>
          <cell r="BH27">
            <v>6.4833333333372103</v>
          </cell>
          <cell r="BI27">
            <v>31.299999999522701</v>
          </cell>
          <cell r="BJ27">
            <v>116.266666666023</v>
          </cell>
          <cell r="BK27">
            <v>56.799999999697299</v>
          </cell>
          <cell r="BN27">
            <v>3.83333333325572</v>
          </cell>
          <cell r="BO27">
            <v>11.2666666688165</v>
          </cell>
          <cell r="BP27">
            <v>11.183333333116</v>
          </cell>
          <cell r="BQ27">
            <v>11.2833333332674</v>
          </cell>
          <cell r="BS27">
            <v>11.7000000005937</v>
          </cell>
          <cell r="BU27">
            <v>2.44999999977881</v>
          </cell>
          <cell r="BW27">
            <v>0.41666666680248499</v>
          </cell>
          <cell r="BY27">
            <v>3.9500000008265501</v>
          </cell>
        </row>
        <row r="28">
          <cell r="AN28" t="str">
            <v>KTD-785-21OB</v>
          </cell>
          <cell r="AQ28" t="str">
            <v>KTD-785-21</v>
          </cell>
          <cell r="AR28" t="str">
            <v>Truck</v>
          </cell>
          <cell r="AS28" t="str">
            <v>OB</v>
          </cell>
          <cell r="AT28">
            <v>1499</v>
          </cell>
          <cell r="AU28">
            <v>56512.3003425598</v>
          </cell>
          <cell r="AV28">
            <v>0</v>
          </cell>
          <cell r="AW28">
            <v>416</v>
          </cell>
          <cell r="AX28">
            <v>664</v>
          </cell>
          <cell r="AY28">
            <v>0.41666666680248499</v>
          </cell>
          <cell r="AZ28">
            <v>0.75</v>
          </cell>
          <cell r="BB28">
            <v>3.5833333333139299</v>
          </cell>
          <cell r="BC28">
            <v>3.1666666666860701</v>
          </cell>
          <cell r="BD28">
            <v>8.5833333333721402</v>
          </cell>
          <cell r="BE28">
            <v>38.000000000058201</v>
          </cell>
          <cell r="BF28">
            <v>13.333333333313901</v>
          </cell>
          <cell r="BG28">
            <v>48.916666666511396</v>
          </cell>
          <cell r="BH28">
            <v>6.5333333321032097</v>
          </cell>
          <cell r="BI28">
            <v>30.883333332720198</v>
          </cell>
          <cell r="BJ28">
            <v>11.8333333336632</v>
          </cell>
          <cell r="BK28">
            <v>56.000000000582098</v>
          </cell>
          <cell r="BN28">
            <v>3.3666666666395</v>
          </cell>
          <cell r="BO28">
            <v>12.2166666687699</v>
          </cell>
          <cell r="BP28">
            <v>10.4999999996508</v>
          </cell>
          <cell r="BQ28">
            <v>10.166666669072599</v>
          </cell>
          <cell r="BS28">
            <v>4.1333333333604996</v>
          </cell>
          <cell r="BU28">
            <v>1.9166666668024801</v>
          </cell>
          <cell r="BW28">
            <v>0.116666666697711</v>
          </cell>
          <cell r="BY28">
            <v>8.0000000002328306</v>
          </cell>
        </row>
        <row r="29">
          <cell r="AN29" t="str">
            <v>KTD-785-22OB</v>
          </cell>
          <cell r="AQ29" t="str">
            <v>KTD-785-22</v>
          </cell>
          <cell r="AR29" t="str">
            <v>Truck</v>
          </cell>
          <cell r="AS29" t="str">
            <v>OB</v>
          </cell>
          <cell r="AT29">
            <v>1607</v>
          </cell>
          <cell r="AU29">
            <v>60583.900371551499</v>
          </cell>
          <cell r="AV29">
            <v>0</v>
          </cell>
          <cell r="AW29">
            <v>437</v>
          </cell>
          <cell r="AX29">
            <v>664</v>
          </cell>
          <cell r="AY29">
            <v>3.48333333316259</v>
          </cell>
          <cell r="BB29">
            <v>0.333333333372138</v>
          </cell>
          <cell r="BC29">
            <v>2.3666666666977099</v>
          </cell>
          <cell r="BD29">
            <v>2.1666666665696499</v>
          </cell>
          <cell r="BE29">
            <v>86.833333333488596</v>
          </cell>
          <cell r="BG29">
            <v>0.31666666665114501</v>
          </cell>
          <cell r="BH29">
            <v>6.6999999987892798</v>
          </cell>
          <cell r="BI29">
            <v>33.066666666709402</v>
          </cell>
          <cell r="BJ29">
            <v>12.2666666668374</v>
          </cell>
          <cell r="BK29">
            <v>57.250000000291003</v>
          </cell>
          <cell r="BN29">
            <v>5.0000000000582103</v>
          </cell>
          <cell r="BO29">
            <v>13.216666668537099</v>
          </cell>
          <cell r="BP29">
            <v>3.9999999995925499</v>
          </cell>
          <cell r="BQ29">
            <v>11.6666666685487</v>
          </cell>
          <cell r="BS29">
            <v>7.4833333332790097</v>
          </cell>
          <cell r="BU29">
            <v>2.5833333330228898</v>
          </cell>
          <cell r="BW29">
            <v>4.9999999988358503E-2</v>
          </cell>
          <cell r="BY29">
            <v>4.8833333335351199</v>
          </cell>
        </row>
        <row r="30">
          <cell r="AN30" t="str">
            <v>KTD-785-23OB</v>
          </cell>
          <cell r="AQ30" t="str">
            <v>KTD-785-23</v>
          </cell>
          <cell r="AR30" t="str">
            <v>Truck</v>
          </cell>
          <cell r="AS30" t="str">
            <v>OB</v>
          </cell>
          <cell r="AT30">
            <v>1701</v>
          </cell>
          <cell r="AU30">
            <v>64127.700290679903</v>
          </cell>
          <cell r="AV30">
            <v>0</v>
          </cell>
          <cell r="AW30">
            <v>448</v>
          </cell>
          <cell r="AX30">
            <v>664</v>
          </cell>
          <cell r="AY30">
            <v>4.8500000000931296</v>
          </cell>
          <cell r="AZ30">
            <v>19.083333333372099</v>
          </cell>
          <cell r="BB30">
            <v>0.333333333372138</v>
          </cell>
          <cell r="BC30">
            <v>0.61666666675591797</v>
          </cell>
          <cell r="BD30">
            <v>0.60000000003492504</v>
          </cell>
          <cell r="BG30">
            <v>49.583333333255702</v>
          </cell>
          <cell r="BH30">
            <v>5.8833333320799301</v>
          </cell>
          <cell r="BI30">
            <v>33.916666666860699</v>
          </cell>
          <cell r="BJ30">
            <v>12.100000000151301</v>
          </cell>
          <cell r="BK30">
            <v>58.650000000488902</v>
          </cell>
          <cell r="BL30">
            <v>0.416666666627862</v>
          </cell>
          <cell r="BN30">
            <v>4.5999999999767196</v>
          </cell>
          <cell r="BO30">
            <v>14.3000000024331</v>
          </cell>
          <cell r="BP30">
            <v>11.0666666665929</v>
          </cell>
          <cell r="BQ30">
            <v>11.3333333343035</v>
          </cell>
          <cell r="BS30">
            <v>6.6166666678036599</v>
          </cell>
          <cell r="BU30">
            <v>2.3833333334187001</v>
          </cell>
          <cell r="BW30">
            <v>0.93333333305781696</v>
          </cell>
          <cell r="BY30">
            <v>4.0333333339076498</v>
          </cell>
        </row>
        <row r="31">
          <cell r="AN31" t="str">
            <v>KTD-785-24OB</v>
          </cell>
          <cell r="AQ31" t="str">
            <v>KTD-785-24</v>
          </cell>
          <cell r="AR31" t="str">
            <v>Truck</v>
          </cell>
          <cell r="AS31" t="str">
            <v>OB</v>
          </cell>
          <cell r="AT31">
            <v>1785</v>
          </cell>
          <cell r="AU31">
            <v>67294.500003814697</v>
          </cell>
          <cell r="AV31">
            <v>0</v>
          </cell>
          <cell r="AW31">
            <v>495</v>
          </cell>
          <cell r="AX31">
            <v>664</v>
          </cell>
          <cell r="AY31">
            <v>2.25</v>
          </cell>
          <cell r="BB31">
            <v>0.66666666656965401</v>
          </cell>
          <cell r="BC31">
            <v>8.3333333255723105E-2</v>
          </cell>
          <cell r="BF31">
            <v>3.9999999999417901</v>
          </cell>
          <cell r="BG31">
            <v>3.08333333325572</v>
          </cell>
          <cell r="BH31">
            <v>7.0499999985331696</v>
          </cell>
          <cell r="BI31">
            <v>38.833333332964699</v>
          </cell>
          <cell r="BJ31">
            <v>10.200000000069799</v>
          </cell>
          <cell r="BK31">
            <v>69.849999999802094</v>
          </cell>
          <cell r="BN31">
            <v>5.7500000002328298</v>
          </cell>
          <cell r="BO31">
            <v>15.3166666692705</v>
          </cell>
          <cell r="BP31">
            <v>11.9166666665697</v>
          </cell>
          <cell r="BQ31">
            <v>13.416666670062099</v>
          </cell>
          <cell r="BS31">
            <v>9.4666666671400908</v>
          </cell>
          <cell r="BU31">
            <v>2.45000000012806</v>
          </cell>
          <cell r="BW31">
            <v>8.3333333255723105E-2</v>
          </cell>
          <cell r="BY31">
            <v>1.5000000001746201</v>
          </cell>
        </row>
        <row r="32">
          <cell r="AN32" t="str">
            <v>KTD-785-25OB</v>
          </cell>
          <cell r="AQ32" t="str">
            <v>KTD-785-25</v>
          </cell>
          <cell r="AR32" t="str">
            <v>Truck</v>
          </cell>
          <cell r="AS32" t="str">
            <v>OB</v>
          </cell>
          <cell r="AT32">
            <v>1386</v>
          </cell>
          <cell r="AU32">
            <v>52252.200069427498</v>
          </cell>
          <cell r="AV32">
            <v>0</v>
          </cell>
          <cell r="AW32">
            <v>438</v>
          </cell>
          <cell r="AX32">
            <v>664</v>
          </cell>
          <cell r="AY32">
            <v>0.91666666686069198</v>
          </cell>
          <cell r="AZ32">
            <v>0.24999999994179201</v>
          </cell>
          <cell r="BB32">
            <v>1.00000000011642</v>
          </cell>
          <cell r="BE32">
            <v>12</v>
          </cell>
          <cell r="BF32">
            <v>1.16666666662786</v>
          </cell>
          <cell r="BG32">
            <v>67.433333333465299</v>
          </cell>
          <cell r="BH32">
            <v>6.4999999990104698</v>
          </cell>
          <cell r="BI32">
            <v>34.716666666150601</v>
          </cell>
          <cell r="BJ32">
            <v>14.5166666664882</v>
          </cell>
          <cell r="BK32">
            <v>62.083333333488604</v>
          </cell>
          <cell r="BN32">
            <v>4.7500000002910401</v>
          </cell>
          <cell r="BO32">
            <v>12.250000001513399</v>
          </cell>
          <cell r="BP32">
            <v>8.4166666665114498</v>
          </cell>
          <cell r="BQ32">
            <v>11.0000000018044</v>
          </cell>
          <cell r="BS32">
            <v>7.9333333336980996</v>
          </cell>
          <cell r="BU32">
            <v>3.03333333379123</v>
          </cell>
          <cell r="BW32">
            <v>9.9999999976716894E-2</v>
          </cell>
          <cell r="BY32">
            <v>7.1500000013038498</v>
          </cell>
        </row>
        <row r="33">
          <cell r="AN33" t="str">
            <v>KTD-785-26OB</v>
          </cell>
          <cell r="AQ33" t="str">
            <v>KTD-785-26</v>
          </cell>
          <cell r="AR33" t="str">
            <v>Truck</v>
          </cell>
          <cell r="AS33" t="str">
            <v>OB</v>
          </cell>
          <cell r="AT33">
            <v>1633</v>
          </cell>
          <cell r="AU33">
            <v>61564.100196838401</v>
          </cell>
          <cell r="AV33">
            <v>0</v>
          </cell>
          <cell r="AW33">
            <v>448</v>
          </cell>
          <cell r="AX33">
            <v>664</v>
          </cell>
          <cell r="AY33">
            <v>0.38333333318587398</v>
          </cell>
          <cell r="BB33">
            <v>2.5833333333721402</v>
          </cell>
          <cell r="BC33">
            <v>1.58333333325572</v>
          </cell>
          <cell r="BD33">
            <v>1.1166666668141301</v>
          </cell>
          <cell r="BE33">
            <v>3</v>
          </cell>
          <cell r="BG33">
            <v>49.666666666686098</v>
          </cell>
          <cell r="BH33">
            <v>7.58333333238261</v>
          </cell>
          <cell r="BI33">
            <v>36.416666666278601</v>
          </cell>
          <cell r="BJ33">
            <v>23.783333333674801</v>
          </cell>
          <cell r="BK33">
            <v>60.6666666669189</v>
          </cell>
          <cell r="BN33">
            <v>4.2999999998719396</v>
          </cell>
          <cell r="BO33">
            <v>12.7000000021071</v>
          </cell>
          <cell r="BP33">
            <v>12.216666666325199</v>
          </cell>
          <cell r="BQ33">
            <v>12.716666667431101</v>
          </cell>
          <cell r="BS33">
            <v>4.5833333325572303</v>
          </cell>
          <cell r="BU33">
            <v>3.0333333332673602</v>
          </cell>
          <cell r="BW33">
            <v>0.28333333338377997</v>
          </cell>
          <cell r="BY33">
            <v>3.1833333341055599</v>
          </cell>
        </row>
        <row r="34">
          <cell r="AN34" t="str">
            <v>KTD-785-27OB</v>
          </cell>
          <cell r="AQ34" t="str">
            <v>KTD-785-27</v>
          </cell>
          <cell r="AR34" t="str">
            <v>Truck</v>
          </cell>
          <cell r="AS34" t="str">
            <v>OB</v>
          </cell>
          <cell r="AT34">
            <v>1609</v>
          </cell>
          <cell r="AU34">
            <v>60659.300098419197</v>
          </cell>
          <cell r="AV34">
            <v>0</v>
          </cell>
          <cell r="AW34">
            <v>427</v>
          </cell>
          <cell r="AX34">
            <v>664</v>
          </cell>
          <cell r="AY34">
            <v>0.949999999778811</v>
          </cell>
          <cell r="BB34">
            <v>3.6666666665696499</v>
          </cell>
          <cell r="BC34">
            <v>6.3833333333604996</v>
          </cell>
          <cell r="BD34">
            <v>3.28333333338378</v>
          </cell>
          <cell r="BE34">
            <v>43.999999999883599</v>
          </cell>
          <cell r="BG34">
            <v>58.000000000116401</v>
          </cell>
          <cell r="BH34">
            <v>6.1499999985680898</v>
          </cell>
          <cell r="BI34">
            <v>31.833333332848301</v>
          </cell>
          <cell r="BJ34">
            <v>10.0500000002794</v>
          </cell>
          <cell r="BK34">
            <v>44.666666667500998</v>
          </cell>
          <cell r="BN34">
            <v>6.7166666670818804</v>
          </cell>
          <cell r="BO34">
            <v>12.383333335630599</v>
          </cell>
          <cell r="BP34">
            <v>8.9166666665696503</v>
          </cell>
          <cell r="BQ34">
            <v>11.0000000007567</v>
          </cell>
          <cell r="BS34">
            <v>8.3666666679200699</v>
          </cell>
          <cell r="BU34">
            <v>2.4833333337446701</v>
          </cell>
          <cell r="BW34">
            <v>0.66666666674427699</v>
          </cell>
          <cell r="BY34">
            <v>0.74999999982537702</v>
          </cell>
        </row>
        <row r="35">
          <cell r="AN35" t="str">
            <v>KTD-785-28OB</v>
          </cell>
          <cell r="AQ35" t="str">
            <v>KTD-785-28</v>
          </cell>
          <cell r="AR35" t="str">
            <v>Truck</v>
          </cell>
          <cell r="AS35" t="str">
            <v>OB</v>
          </cell>
          <cell r="AT35">
            <v>1714</v>
          </cell>
          <cell r="AU35">
            <v>64617.799938201897</v>
          </cell>
          <cell r="AV35">
            <v>0</v>
          </cell>
          <cell r="AW35">
            <v>467</v>
          </cell>
          <cell r="AX35">
            <v>664</v>
          </cell>
          <cell r="AY35">
            <v>0.26666666683740903</v>
          </cell>
          <cell r="BB35">
            <v>0.66666666674427699</v>
          </cell>
          <cell r="BD35">
            <v>4.9166666666278598</v>
          </cell>
          <cell r="BG35">
            <v>35.0166666666046</v>
          </cell>
          <cell r="BH35">
            <v>7.0666666649049104</v>
          </cell>
          <cell r="BI35">
            <v>38.416666666686098</v>
          </cell>
          <cell r="BJ35">
            <v>21.133333333418701</v>
          </cell>
          <cell r="BK35">
            <v>47.583333333546797</v>
          </cell>
          <cell r="BN35">
            <v>5.8000000000465697</v>
          </cell>
          <cell r="BO35">
            <v>18.883333336038</v>
          </cell>
          <cell r="BP35">
            <v>17.2499999996508</v>
          </cell>
          <cell r="BQ35">
            <v>11.9666666681296</v>
          </cell>
          <cell r="BS35">
            <v>5.7500000004074501</v>
          </cell>
          <cell r="BU35">
            <v>2.66666666627862</v>
          </cell>
          <cell r="BW35">
            <v>0.21666666667442799</v>
          </cell>
          <cell r="BY35">
            <v>5.5500000008032702</v>
          </cell>
        </row>
        <row r="36">
          <cell r="AN36" t="str">
            <v>KTD-785-29OB</v>
          </cell>
          <cell r="AQ36" t="str">
            <v>KTD-785-29</v>
          </cell>
          <cell r="AR36" t="str">
            <v>Truck</v>
          </cell>
          <cell r="AS36" t="str">
            <v>OB</v>
          </cell>
          <cell r="AT36">
            <v>1686</v>
          </cell>
          <cell r="AU36">
            <v>63562.200046539299</v>
          </cell>
          <cell r="AV36">
            <v>0</v>
          </cell>
          <cell r="AW36">
            <v>483</v>
          </cell>
          <cell r="AX36">
            <v>664</v>
          </cell>
          <cell r="AY36">
            <v>2.4499999999534299</v>
          </cell>
          <cell r="AZ36">
            <v>6.9166666666860701</v>
          </cell>
          <cell r="BB36">
            <v>1.1666666668024801</v>
          </cell>
          <cell r="BD36">
            <v>1.3333333333139299</v>
          </cell>
          <cell r="BG36">
            <v>4.1999999998952298</v>
          </cell>
          <cell r="BH36">
            <v>6.81666666461388</v>
          </cell>
          <cell r="BI36">
            <v>36.099999999802101</v>
          </cell>
          <cell r="BJ36">
            <v>14.316666666884</v>
          </cell>
          <cell r="BK36">
            <v>73.066666666825796</v>
          </cell>
          <cell r="BL36">
            <v>7.9999999998835802</v>
          </cell>
          <cell r="BM36">
            <v>8.3333333430346102E-2</v>
          </cell>
          <cell r="BN36">
            <v>4.7833333332091597</v>
          </cell>
          <cell r="BO36">
            <v>14.7666666692239</v>
          </cell>
          <cell r="BP36">
            <v>6.9999999997671702</v>
          </cell>
          <cell r="BQ36">
            <v>12.333333335991499</v>
          </cell>
          <cell r="BS36">
            <v>8.1500000015948899</v>
          </cell>
          <cell r="BU36">
            <v>2.7333333335118399</v>
          </cell>
          <cell r="BW36">
            <v>0.73333333310438298</v>
          </cell>
          <cell r="BY36">
            <v>1.3666666669305401</v>
          </cell>
        </row>
        <row r="37">
          <cell r="AN37" t="str">
            <v>KTD-785-30OB</v>
          </cell>
          <cell r="AQ37" t="str">
            <v>KTD-785-30</v>
          </cell>
          <cell r="AR37" t="str">
            <v>Truck</v>
          </cell>
          <cell r="AS37" t="str">
            <v>OB</v>
          </cell>
          <cell r="AT37">
            <v>1565</v>
          </cell>
          <cell r="AU37">
            <v>59000.499916076697</v>
          </cell>
          <cell r="AV37">
            <v>0</v>
          </cell>
          <cell r="AW37">
            <v>475</v>
          </cell>
          <cell r="AX37">
            <v>664</v>
          </cell>
          <cell r="AY37">
            <v>0.56666666659293696</v>
          </cell>
          <cell r="AZ37">
            <v>7.9166666666278598</v>
          </cell>
          <cell r="BB37">
            <v>1.1666666668024801</v>
          </cell>
          <cell r="BD37">
            <v>2.16666666674428</v>
          </cell>
          <cell r="BE37">
            <v>8.6666666666278598</v>
          </cell>
          <cell r="BG37">
            <v>0.58333333348855398</v>
          </cell>
          <cell r="BH37">
            <v>7.7499999985448103</v>
          </cell>
          <cell r="BI37">
            <v>42.483333332638701</v>
          </cell>
          <cell r="BJ37">
            <v>13.3166666665929</v>
          </cell>
          <cell r="BK37">
            <v>73.800000000454006</v>
          </cell>
          <cell r="BM37">
            <v>0.333333333372138</v>
          </cell>
          <cell r="BN37">
            <v>4.6500000001397002</v>
          </cell>
          <cell r="BO37">
            <v>16.766666669107501</v>
          </cell>
          <cell r="BP37">
            <v>8.8333333333139308</v>
          </cell>
          <cell r="BQ37">
            <v>13.0000000020373</v>
          </cell>
          <cell r="BS37">
            <v>4.1000000007916197</v>
          </cell>
          <cell r="BU37">
            <v>2.8499999998602998</v>
          </cell>
          <cell r="BW37">
            <v>0.21666666667442799</v>
          </cell>
          <cell r="BY37">
            <v>2.5000000001164202</v>
          </cell>
        </row>
        <row r="38">
          <cell r="AN38" t="str">
            <v>KTD-785-31OB</v>
          </cell>
          <cell r="AQ38" t="str">
            <v>KTD-785-31</v>
          </cell>
          <cell r="AR38" t="str">
            <v>Truck</v>
          </cell>
          <cell r="AS38" t="str">
            <v>OB</v>
          </cell>
          <cell r="AT38">
            <v>1560</v>
          </cell>
          <cell r="AU38">
            <v>58812.000267028801</v>
          </cell>
          <cell r="AV38">
            <v>0</v>
          </cell>
          <cell r="AW38">
            <v>451</v>
          </cell>
          <cell r="AX38">
            <v>664</v>
          </cell>
          <cell r="AY38">
            <v>0.31666666665114501</v>
          </cell>
          <cell r="AZ38">
            <v>6.9166666666860701</v>
          </cell>
          <cell r="BB38">
            <v>0.333333333372138</v>
          </cell>
          <cell r="BC38">
            <v>1.3333333333139299</v>
          </cell>
          <cell r="BD38">
            <v>1.99999999988358</v>
          </cell>
          <cell r="BE38">
            <v>4.5</v>
          </cell>
          <cell r="BF38">
            <v>15.999999999941799</v>
          </cell>
          <cell r="BH38">
            <v>7.7666666650911802</v>
          </cell>
          <cell r="BI38">
            <v>33.383333333535099</v>
          </cell>
          <cell r="BJ38">
            <v>37.166666666453203</v>
          </cell>
          <cell r="BK38">
            <v>66.950000000477303</v>
          </cell>
          <cell r="BN38">
            <v>6.8333333332557196</v>
          </cell>
          <cell r="BO38">
            <v>14.100000002305</v>
          </cell>
          <cell r="BP38">
            <v>15.3999999997322</v>
          </cell>
          <cell r="BQ38">
            <v>12.1500000015367</v>
          </cell>
          <cell r="BS38">
            <v>4.5833333343034601</v>
          </cell>
          <cell r="BU38">
            <v>2.3000000001629801</v>
          </cell>
          <cell r="BW38">
            <v>0.416666666627862</v>
          </cell>
          <cell r="BY38">
            <v>5.7666666671284501</v>
          </cell>
        </row>
        <row r="39">
          <cell r="AN39" t="str">
            <v>KTD-785-32OB</v>
          </cell>
          <cell r="AQ39" t="str">
            <v>KTD-785-32</v>
          </cell>
          <cell r="AR39" t="str">
            <v>Truck</v>
          </cell>
          <cell r="AS39" t="str">
            <v>OB</v>
          </cell>
          <cell r="AT39">
            <v>1618</v>
          </cell>
          <cell r="AU39">
            <v>60998.600227356001</v>
          </cell>
          <cell r="AV39">
            <v>0</v>
          </cell>
          <cell r="AW39">
            <v>443</v>
          </cell>
          <cell r="AX39">
            <v>664</v>
          </cell>
          <cell r="AY39">
            <v>2.2333333334536301</v>
          </cell>
          <cell r="AZ39">
            <v>4.9166666664532404</v>
          </cell>
          <cell r="BB39">
            <v>7.3166666665929396</v>
          </cell>
          <cell r="BD39">
            <v>0.93333333323244005</v>
          </cell>
          <cell r="BG39">
            <v>64.000000000116401</v>
          </cell>
          <cell r="BH39">
            <v>6.7499999980791499</v>
          </cell>
          <cell r="BI39">
            <v>33.000000000698499</v>
          </cell>
          <cell r="BJ39">
            <v>10.449999999837001</v>
          </cell>
          <cell r="BK39">
            <v>59.666666667151702</v>
          </cell>
          <cell r="BN39">
            <v>4.2500000000582103</v>
          </cell>
          <cell r="BO39">
            <v>14.5666666690959</v>
          </cell>
          <cell r="BP39">
            <v>12.9166666661622</v>
          </cell>
          <cell r="BQ39">
            <v>11.166666668839801</v>
          </cell>
          <cell r="BS39">
            <v>7.08333333372138</v>
          </cell>
          <cell r="BU39">
            <v>2.8999999998486601</v>
          </cell>
          <cell r="BW39">
            <v>0.65000000002328295</v>
          </cell>
          <cell r="BY39">
            <v>3.46666666696547</v>
          </cell>
        </row>
        <row r="40">
          <cell r="AN40" t="str">
            <v>KTD-785-33OB</v>
          </cell>
          <cell r="AQ40" t="str">
            <v>KTD-785-33</v>
          </cell>
          <cell r="AR40" t="str">
            <v>Truck</v>
          </cell>
          <cell r="AS40" t="str">
            <v>OB</v>
          </cell>
          <cell r="AV40">
            <v>0</v>
          </cell>
          <cell r="AW40">
            <v>0</v>
          </cell>
          <cell r="AX40">
            <v>664</v>
          </cell>
          <cell r="AY40">
            <v>0</v>
          </cell>
          <cell r="BE40">
            <v>664.000000000466</v>
          </cell>
        </row>
        <row r="41">
          <cell r="AN41" t="str">
            <v>KTD-785-34OB</v>
          </cell>
          <cell r="AQ41" t="str">
            <v>KTD-785-34</v>
          </cell>
          <cell r="AR41" t="str">
            <v>Truck</v>
          </cell>
          <cell r="AS41" t="str">
            <v>OB</v>
          </cell>
          <cell r="AT41">
            <v>1654</v>
          </cell>
          <cell r="AU41">
            <v>62355.800167083697</v>
          </cell>
          <cell r="AV41">
            <v>0</v>
          </cell>
          <cell r="AW41">
            <v>452</v>
          </cell>
          <cell r="AX41">
            <v>664</v>
          </cell>
          <cell r="AY41">
            <v>1.0333333332091601</v>
          </cell>
          <cell r="AZ41">
            <v>3.75</v>
          </cell>
          <cell r="BB41">
            <v>0.41666666680248499</v>
          </cell>
          <cell r="BC41">
            <v>6.6666666709352299E-2</v>
          </cell>
          <cell r="BD41">
            <v>0.416666666627862</v>
          </cell>
          <cell r="BG41">
            <v>68.749999999709004</v>
          </cell>
          <cell r="BH41">
            <v>6.48333333194023</v>
          </cell>
          <cell r="BI41">
            <v>33.083333333779599</v>
          </cell>
          <cell r="BJ41">
            <v>1.24999999988358</v>
          </cell>
          <cell r="BK41">
            <v>59.183333334163798</v>
          </cell>
          <cell r="BN41">
            <v>5.1166666669305396</v>
          </cell>
          <cell r="BO41">
            <v>13.5333333351882</v>
          </cell>
          <cell r="BP41">
            <v>18.9166666661622</v>
          </cell>
          <cell r="BQ41">
            <v>11.666666667501</v>
          </cell>
          <cell r="BS41">
            <v>11.5166666680598</v>
          </cell>
          <cell r="BU41">
            <v>2.68333333282499</v>
          </cell>
          <cell r="BW41">
            <v>0.400000000081491</v>
          </cell>
          <cell r="BY41">
            <v>2.96666666585952</v>
          </cell>
        </row>
        <row r="42">
          <cell r="AN42" t="str">
            <v>KTD-785-35OB</v>
          </cell>
          <cell r="AQ42" t="str">
            <v>KTD-785-35</v>
          </cell>
          <cell r="AR42" t="str">
            <v>Truck</v>
          </cell>
          <cell r="AS42" t="str">
            <v>OB</v>
          </cell>
          <cell r="AT42">
            <v>1684</v>
          </cell>
          <cell r="AU42">
            <v>63486.799983978301</v>
          </cell>
          <cell r="AV42">
            <v>0</v>
          </cell>
          <cell r="AW42">
            <v>486</v>
          </cell>
          <cell r="AX42">
            <v>664</v>
          </cell>
          <cell r="AY42">
            <v>1.51666666672099</v>
          </cell>
          <cell r="AZ42">
            <v>1.24999999988358</v>
          </cell>
          <cell r="BB42">
            <v>5.3333333334303497</v>
          </cell>
          <cell r="BD42">
            <v>0.416666666627862</v>
          </cell>
          <cell r="BG42">
            <v>13.833333333372099</v>
          </cell>
          <cell r="BH42">
            <v>7.3166666648467098</v>
          </cell>
          <cell r="BI42">
            <v>36.366666666639503</v>
          </cell>
          <cell r="BJ42">
            <v>11.583333333546801</v>
          </cell>
          <cell r="BK42">
            <v>69</v>
          </cell>
          <cell r="BN42">
            <v>6.2500000002910401</v>
          </cell>
          <cell r="BO42">
            <v>14.633333335979801</v>
          </cell>
          <cell r="BP42">
            <v>10.4999999998254</v>
          </cell>
          <cell r="BQ42">
            <v>13.0833333365154</v>
          </cell>
          <cell r="BS42">
            <v>9.9000000008381903</v>
          </cell>
          <cell r="BU42">
            <v>3.39999999990687</v>
          </cell>
          <cell r="BW42">
            <v>1.16666666662786</v>
          </cell>
          <cell r="BY42">
            <v>4.9833333338610801</v>
          </cell>
        </row>
        <row r="43">
          <cell r="AN43" t="str">
            <v>KTD-785-36OB</v>
          </cell>
          <cell r="AQ43" t="str">
            <v>KTD-785-36</v>
          </cell>
          <cell r="AR43" t="str">
            <v>Truck</v>
          </cell>
          <cell r="AS43" t="str">
            <v>OB</v>
          </cell>
          <cell r="AT43">
            <v>1542</v>
          </cell>
          <cell r="AU43">
            <v>58133.399974822998</v>
          </cell>
          <cell r="AV43">
            <v>0</v>
          </cell>
          <cell r="AW43">
            <v>435</v>
          </cell>
          <cell r="AX43">
            <v>664</v>
          </cell>
          <cell r="AY43">
            <v>0.400000000081491</v>
          </cell>
          <cell r="AZ43">
            <v>21</v>
          </cell>
          <cell r="BB43">
            <v>0.75000000017462298</v>
          </cell>
          <cell r="BC43">
            <v>2.1166666665812999</v>
          </cell>
          <cell r="BD43">
            <v>1.05000000010477</v>
          </cell>
          <cell r="BG43">
            <v>48.4833333333372</v>
          </cell>
          <cell r="BH43">
            <v>6.1166666647768597</v>
          </cell>
          <cell r="BI43">
            <v>33.249999999592497</v>
          </cell>
          <cell r="BJ43">
            <v>18.849999999976699</v>
          </cell>
          <cell r="BK43">
            <v>65.833333334187003</v>
          </cell>
          <cell r="BN43">
            <v>4.3333333336631803</v>
          </cell>
          <cell r="BO43">
            <v>14.3500000024214</v>
          </cell>
          <cell r="BP43">
            <v>12.466666666267001</v>
          </cell>
          <cell r="BQ43">
            <v>11.683333335619</v>
          </cell>
          <cell r="BS43">
            <v>5.1666666662204097</v>
          </cell>
          <cell r="BU43">
            <v>2.4333333337563099</v>
          </cell>
          <cell r="BW43">
            <v>0.38333333336049702</v>
          </cell>
          <cell r="BY43">
            <v>5.2000000010593803</v>
          </cell>
        </row>
        <row r="44">
          <cell r="AN44" t="str">
            <v>KTD-785-37OB</v>
          </cell>
          <cell r="AQ44" t="str">
            <v>KTD-785-37</v>
          </cell>
          <cell r="AR44" t="str">
            <v>Truck</v>
          </cell>
          <cell r="AS44" t="str">
            <v>OB</v>
          </cell>
          <cell r="AT44">
            <v>1845</v>
          </cell>
          <cell r="AU44">
            <v>69556.500522613496</v>
          </cell>
          <cell r="AV44">
            <v>0</v>
          </cell>
          <cell r="AW44">
            <v>484</v>
          </cell>
          <cell r="AX44">
            <v>664</v>
          </cell>
          <cell r="AY44">
            <v>9.8166666667093505</v>
          </cell>
          <cell r="BC44">
            <v>1.16666666662786</v>
          </cell>
          <cell r="BD44">
            <v>0.533333333150949</v>
          </cell>
          <cell r="BG44">
            <v>4.1000000000931296</v>
          </cell>
          <cell r="BH44">
            <v>7.2333333317656097</v>
          </cell>
          <cell r="BI44">
            <v>37.450000000011599</v>
          </cell>
          <cell r="BJ44">
            <v>16.666666666686101</v>
          </cell>
          <cell r="BK44">
            <v>63.9833333333954</v>
          </cell>
          <cell r="BN44">
            <v>5.7500000002328298</v>
          </cell>
          <cell r="BO44">
            <v>15.133333336038</v>
          </cell>
          <cell r="BP44">
            <v>18.166666666686101</v>
          </cell>
          <cell r="BQ44">
            <v>12.750000001397</v>
          </cell>
          <cell r="BS44">
            <v>3.84999999980209</v>
          </cell>
          <cell r="BU44">
            <v>3.2833333337330299</v>
          </cell>
          <cell r="BW44">
            <v>0.349999999918509</v>
          </cell>
          <cell r="BY44">
            <v>4.5000000005238698</v>
          </cell>
        </row>
        <row r="45">
          <cell r="AN45" t="str">
            <v>KTD-785-38OB</v>
          </cell>
          <cell r="AQ45" t="str">
            <v>KTD-785-38</v>
          </cell>
          <cell r="AR45" t="str">
            <v>Truck</v>
          </cell>
          <cell r="AS45" t="str">
            <v>OB</v>
          </cell>
          <cell r="AT45">
            <v>1685</v>
          </cell>
          <cell r="AU45">
            <v>63524.500221252398</v>
          </cell>
          <cell r="AV45">
            <v>0</v>
          </cell>
          <cell r="AW45">
            <v>495</v>
          </cell>
          <cell r="AX45">
            <v>664</v>
          </cell>
          <cell r="AY45">
            <v>2.1833333332906499</v>
          </cell>
          <cell r="BC45">
            <v>0.166666666686069</v>
          </cell>
          <cell r="BD45">
            <v>3.3333333441987599E-2</v>
          </cell>
          <cell r="BG45">
            <v>4.3333333333139299</v>
          </cell>
          <cell r="BH45">
            <v>7.6333333318471004</v>
          </cell>
          <cell r="BI45">
            <v>39.216666666499798</v>
          </cell>
          <cell r="BJ45">
            <v>13.666666666686099</v>
          </cell>
          <cell r="BK45">
            <v>67.566666666884004</v>
          </cell>
          <cell r="BN45">
            <v>4.9166666666278598</v>
          </cell>
          <cell r="BO45">
            <v>16.033333335479298</v>
          </cell>
          <cell r="BP45">
            <v>13.250000000058201</v>
          </cell>
          <cell r="BQ45">
            <v>13.0833333356422</v>
          </cell>
          <cell r="BS45">
            <v>9.9000000008381903</v>
          </cell>
          <cell r="BU45">
            <v>2.7666666662553299</v>
          </cell>
          <cell r="BW45">
            <v>0.23333333322079899</v>
          </cell>
          <cell r="BY45">
            <v>4.7333333332208003</v>
          </cell>
        </row>
        <row r="46">
          <cell r="AN46" t="str">
            <v>KTD-785-39OB</v>
          </cell>
          <cell r="AQ46" t="str">
            <v>KTD-785-39</v>
          </cell>
          <cell r="AR46" t="str">
            <v>Truck</v>
          </cell>
          <cell r="AS46" t="str">
            <v>OB</v>
          </cell>
          <cell r="AT46">
            <v>1627</v>
          </cell>
          <cell r="AU46">
            <v>61337.899948120103</v>
          </cell>
          <cell r="AV46">
            <v>0</v>
          </cell>
          <cell r="AW46">
            <v>467</v>
          </cell>
          <cell r="AX46">
            <v>664</v>
          </cell>
          <cell r="AY46">
            <v>1.2333333333372101</v>
          </cell>
          <cell r="BC46">
            <v>1.45000000001164</v>
          </cell>
          <cell r="BD46">
            <v>2.25</v>
          </cell>
          <cell r="BG46">
            <v>51.900000000139698</v>
          </cell>
          <cell r="BH46">
            <v>7.0999999986961502</v>
          </cell>
          <cell r="BI46">
            <v>34.9166666669771</v>
          </cell>
          <cell r="BJ46">
            <v>12.3499999999185</v>
          </cell>
          <cell r="BK46">
            <v>58.833333333721399</v>
          </cell>
          <cell r="BM46">
            <v>0.50000000005820799</v>
          </cell>
          <cell r="BN46">
            <v>3.5166666667792001</v>
          </cell>
          <cell r="BO46">
            <v>14.483333335141699</v>
          </cell>
          <cell r="BP46">
            <v>8.1333333329530397</v>
          </cell>
          <cell r="BQ46">
            <v>12.4000000009546</v>
          </cell>
          <cell r="BS46">
            <v>11.350000001199099</v>
          </cell>
          <cell r="BU46">
            <v>1.7666666661389201</v>
          </cell>
          <cell r="BX46">
            <v>8.3333333430346102E-2</v>
          </cell>
          <cell r="BY46">
            <v>6.0333333336166097</v>
          </cell>
        </row>
        <row r="47">
          <cell r="AN47" t="str">
            <v>KTD-785-40OB</v>
          </cell>
          <cell r="AQ47" t="str">
            <v>KTD-785-40</v>
          </cell>
          <cell r="AR47" t="str">
            <v>Truck</v>
          </cell>
          <cell r="AS47" t="str">
            <v>OB</v>
          </cell>
          <cell r="AT47">
            <v>1446</v>
          </cell>
          <cell r="AU47">
            <v>54514.199970245398</v>
          </cell>
          <cell r="AV47">
            <v>0</v>
          </cell>
          <cell r="AW47">
            <v>421</v>
          </cell>
          <cell r="AX47">
            <v>664</v>
          </cell>
          <cell r="AY47">
            <v>0.61666666658129499</v>
          </cell>
          <cell r="AZ47">
            <v>12.916666666686099</v>
          </cell>
          <cell r="BB47">
            <v>0.416666666627862</v>
          </cell>
          <cell r="BC47">
            <v>0.916666666686069</v>
          </cell>
          <cell r="BD47">
            <v>1.18333333334886</v>
          </cell>
          <cell r="BE47">
            <v>62.000000000058201</v>
          </cell>
          <cell r="BH47">
            <v>5.6833333317772503</v>
          </cell>
          <cell r="BI47">
            <v>32.866666666581303</v>
          </cell>
          <cell r="BJ47">
            <v>26.5166666666628</v>
          </cell>
          <cell r="BK47">
            <v>67.400000000721803</v>
          </cell>
          <cell r="BM47">
            <v>0.333333333372138</v>
          </cell>
          <cell r="BN47">
            <v>3.0000000001746199</v>
          </cell>
          <cell r="BO47">
            <v>14.6333333352813</v>
          </cell>
          <cell r="BP47">
            <v>15.5166666666046</v>
          </cell>
          <cell r="BQ47">
            <v>12.233333334967</v>
          </cell>
          <cell r="BS47">
            <v>11.1333333333023</v>
          </cell>
          <cell r="BU47">
            <v>2.6833333338727199</v>
          </cell>
          <cell r="BW47">
            <v>0.166666666686069</v>
          </cell>
          <cell r="BY47">
            <v>5.2333333325805098</v>
          </cell>
        </row>
        <row r="48">
          <cell r="AN48" t="str">
            <v>KTD-EX2500-01NON</v>
          </cell>
          <cell r="AQ48" t="str">
            <v>KTD-EX2500-01</v>
          </cell>
          <cell r="AR48" t="str">
            <v>Excavator</v>
          </cell>
          <cell r="AS48" t="str">
            <v>NON</v>
          </cell>
          <cell r="AV48">
            <v>0</v>
          </cell>
          <cell r="AW48">
            <v>0</v>
          </cell>
          <cell r="AX48">
            <v>48</v>
          </cell>
          <cell r="AY48">
            <v>0</v>
          </cell>
          <cell r="BA48">
            <v>31.999999999709001</v>
          </cell>
          <cell r="BG48">
            <v>16.000000000116401</v>
          </cell>
        </row>
        <row r="49">
          <cell r="AN49" t="str">
            <v>KTD-EX2500-01OB</v>
          </cell>
          <cell r="AQ49" t="str">
            <v>KTD-EX2500-01</v>
          </cell>
          <cell r="AR49" t="str">
            <v>Excavator</v>
          </cell>
          <cell r="AS49" t="str">
            <v>OB</v>
          </cell>
          <cell r="AT49">
            <v>0</v>
          </cell>
          <cell r="AU49">
            <v>407222.00075912499</v>
          </cell>
          <cell r="AV49">
            <v>0</v>
          </cell>
          <cell r="AW49">
            <v>462.1962890625</v>
          </cell>
          <cell r="AX49">
            <v>616</v>
          </cell>
          <cell r="AY49">
            <v>2.1166666667559202</v>
          </cell>
          <cell r="AZ49">
            <v>5.0000000000582103</v>
          </cell>
          <cell r="BA49">
            <v>24.000000000174602</v>
          </cell>
          <cell r="BB49">
            <v>1.19999999989523</v>
          </cell>
          <cell r="BC49">
            <v>2.53333333338378</v>
          </cell>
          <cell r="BD49">
            <v>2.7499999998835798</v>
          </cell>
          <cell r="BE49">
            <v>5.2666666667209903</v>
          </cell>
          <cell r="BF49">
            <v>4.0833333331975199</v>
          </cell>
          <cell r="BG49">
            <v>5.3833333332440798</v>
          </cell>
          <cell r="BH49">
            <v>5.0166666655568397</v>
          </cell>
          <cell r="BI49">
            <v>27.183333333232401</v>
          </cell>
          <cell r="BJ49">
            <v>1.81666666682577</v>
          </cell>
          <cell r="BK49">
            <v>49.749999999767198</v>
          </cell>
          <cell r="BM49">
            <v>3.0166666658478798</v>
          </cell>
          <cell r="BN49">
            <v>0.26666666666278599</v>
          </cell>
          <cell r="BO49">
            <v>11.7833333350718</v>
          </cell>
          <cell r="BP49">
            <v>2.6333333330112501</v>
          </cell>
          <cell r="BQ49">
            <v>10.483333334676001</v>
          </cell>
          <cell r="BR49">
            <v>26.0166666666046</v>
          </cell>
          <cell r="BU49">
            <v>0.54999999987194303</v>
          </cell>
          <cell r="BV49">
            <v>4.01666666683741</v>
          </cell>
          <cell r="BW49">
            <v>4.5499999998137399</v>
          </cell>
          <cell r="BY49">
            <v>6.8333333330811001</v>
          </cell>
        </row>
        <row r="50">
          <cell r="AN50" t="str">
            <v>KTD-EX2500-02OB</v>
          </cell>
          <cell r="AQ50" t="str">
            <v>KTD-EX2500-02</v>
          </cell>
          <cell r="AR50" t="str">
            <v>Excavator</v>
          </cell>
          <cell r="AS50" t="str">
            <v>OB</v>
          </cell>
          <cell r="AT50">
            <v>0</v>
          </cell>
          <cell r="AU50">
            <v>420380.30131530802</v>
          </cell>
          <cell r="AV50">
            <v>0</v>
          </cell>
          <cell r="AW50">
            <v>499.4970703125</v>
          </cell>
          <cell r="AX50">
            <v>664</v>
          </cell>
          <cell r="AY50">
            <v>2.33333333325572</v>
          </cell>
          <cell r="AZ50">
            <v>16.666666666686101</v>
          </cell>
          <cell r="BB50">
            <v>0.233333333395422</v>
          </cell>
          <cell r="BC50">
            <v>3.4499999998952302</v>
          </cell>
          <cell r="BD50">
            <v>0.51666666677920103</v>
          </cell>
          <cell r="BE50">
            <v>16.666666666686101</v>
          </cell>
          <cell r="BH50">
            <v>5.4666666649281996</v>
          </cell>
          <cell r="BI50">
            <v>30.300000000104799</v>
          </cell>
          <cell r="BJ50">
            <v>1.0833333331975199</v>
          </cell>
          <cell r="BK50">
            <v>68.833333332615396</v>
          </cell>
          <cell r="BL50">
            <v>8.3333333255723105E-2</v>
          </cell>
          <cell r="BM50">
            <v>2.4500000003026798</v>
          </cell>
          <cell r="BN50">
            <v>0.416666666627862</v>
          </cell>
          <cell r="BO50">
            <v>14.0833333359333</v>
          </cell>
          <cell r="BP50">
            <v>1.9166666664532399</v>
          </cell>
          <cell r="BQ50">
            <v>11.7833333352464</v>
          </cell>
          <cell r="BR50">
            <v>14.4166666679084</v>
          </cell>
          <cell r="BU50">
            <v>0.166666666686069</v>
          </cell>
          <cell r="BV50">
            <v>4.7499999995925499</v>
          </cell>
          <cell r="BW50">
            <v>7.7166666664998003</v>
          </cell>
          <cell r="BY50">
            <v>4.1499999999068704</v>
          </cell>
        </row>
        <row r="51">
          <cell r="AN51" t="str">
            <v>KTD-EX2500-03NON</v>
          </cell>
          <cell r="AQ51" t="str">
            <v>KTD-EX2500-03</v>
          </cell>
          <cell r="AR51" t="str">
            <v>Excavator</v>
          </cell>
          <cell r="AS51" t="str">
            <v>NON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</row>
        <row r="52">
          <cell r="AN52" t="str">
            <v>KTD-EX2500-03OB</v>
          </cell>
          <cell r="AQ52" t="str">
            <v>KTD-EX2500-03</v>
          </cell>
          <cell r="AR52" t="str">
            <v>Excavator</v>
          </cell>
          <cell r="AS52" t="str">
            <v>OB</v>
          </cell>
          <cell r="AT52">
            <v>0</v>
          </cell>
          <cell r="AU52">
            <v>455297.00011062599</v>
          </cell>
          <cell r="AV52">
            <v>0</v>
          </cell>
          <cell r="AW52">
            <v>515.6005859375</v>
          </cell>
          <cell r="AX52">
            <v>664</v>
          </cell>
          <cell r="AY52">
            <v>0.83333333308110003</v>
          </cell>
          <cell r="AZ52">
            <v>9.8333333332557196</v>
          </cell>
          <cell r="BC52">
            <v>0.10000000015134</v>
          </cell>
          <cell r="BD52">
            <v>0.16666666686069201</v>
          </cell>
          <cell r="BG52">
            <v>2.0333333333255701</v>
          </cell>
          <cell r="BH52">
            <v>5.6833333323011201</v>
          </cell>
          <cell r="BI52">
            <v>31.883333333011301</v>
          </cell>
          <cell r="BK52">
            <v>77.266666666197096</v>
          </cell>
          <cell r="BM52">
            <v>3.7999999996391098</v>
          </cell>
          <cell r="BN52">
            <v>0.583333333313931</v>
          </cell>
          <cell r="BO52">
            <v>13.8000000020256</v>
          </cell>
          <cell r="BP52">
            <v>2.4166666661621998</v>
          </cell>
          <cell r="BQ52">
            <v>11.450000002048901</v>
          </cell>
          <cell r="BR52">
            <v>24.783333335712101</v>
          </cell>
          <cell r="BU52">
            <v>0.41666666680248499</v>
          </cell>
          <cell r="BV52">
            <v>4.7166666668490498</v>
          </cell>
          <cell r="BW52">
            <v>8.9666666667326407</v>
          </cell>
          <cell r="BY52">
            <v>4.9500000002444704</v>
          </cell>
        </row>
        <row r="53">
          <cell r="AN53" t="str">
            <v>KTD-H185S#1NON</v>
          </cell>
          <cell r="AQ53" t="str">
            <v>KTD-H185S#1</v>
          </cell>
          <cell r="AR53" t="str">
            <v>Excavator</v>
          </cell>
          <cell r="AS53" t="str">
            <v>NON</v>
          </cell>
          <cell r="AV53">
            <v>0</v>
          </cell>
          <cell r="AW53">
            <v>0</v>
          </cell>
          <cell r="AX53">
            <v>20</v>
          </cell>
          <cell r="AY53">
            <v>0</v>
          </cell>
          <cell r="AZ53">
            <v>19.999999999883599</v>
          </cell>
        </row>
        <row r="54">
          <cell r="AN54" t="str">
            <v>KTD-H185S#1OB</v>
          </cell>
          <cell r="AQ54" t="str">
            <v>KTD-H185S#1</v>
          </cell>
          <cell r="AR54" t="str">
            <v>Excavator</v>
          </cell>
          <cell r="AS54" t="str">
            <v>OB</v>
          </cell>
          <cell r="AT54">
            <v>0</v>
          </cell>
          <cell r="AU54">
            <v>360202.90024948103</v>
          </cell>
          <cell r="AV54">
            <v>0</v>
          </cell>
          <cell r="AW54">
            <v>482.5</v>
          </cell>
          <cell r="AX54">
            <v>644</v>
          </cell>
          <cell r="AY54">
            <v>3.2666666664881601</v>
          </cell>
          <cell r="AZ54">
            <v>4.4500000000116398</v>
          </cell>
          <cell r="BB54">
            <v>2.1000000000349202</v>
          </cell>
          <cell r="BC54">
            <v>7.2333333335118404</v>
          </cell>
          <cell r="BD54">
            <v>11.616666666988699</v>
          </cell>
          <cell r="BE54">
            <v>5.9833333334536301</v>
          </cell>
          <cell r="BG54">
            <v>6.2666666664881596</v>
          </cell>
          <cell r="BH54">
            <v>6.3333333318005298</v>
          </cell>
          <cell r="BI54">
            <v>30.3833333333605</v>
          </cell>
          <cell r="BJ54">
            <v>1.48333333327901</v>
          </cell>
          <cell r="BK54">
            <v>63.016666667070197</v>
          </cell>
          <cell r="BM54">
            <v>2.1499999993247898</v>
          </cell>
          <cell r="BN54">
            <v>0.50000000005820799</v>
          </cell>
          <cell r="BO54">
            <v>14.000000002328299</v>
          </cell>
          <cell r="BP54">
            <v>2.7166666664416002</v>
          </cell>
          <cell r="BQ54">
            <v>11.9166666672681</v>
          </cell>
          <cell r="BR54">
            <v>12.7999999996391</v>
          </cell>
          <cell r="BV54">
            <v>5.8500000000349202</v>
          </cell>
          <cell r="BW54">
            <v>3.3166666663019</v>
          </cell>
          <cell r="BY54">
            <v>5.8666666674544103</v>
          </cell>
        </row>
        <row r="55">
          <cell r="AN55" t="str">
            <v>KTD-PC-300-01NON</v>
          </cell>
          <cell r="AQ55" t="str">
            <v>KTD-PC-300-01</v>
          </cell>
          <cell r="AR55" t="str">
            <v>Excavator</v>
          </cell>
          <cell r="AS55" t="str">
            <v>NON</v>
          </cell>
          <cell r="AV55">
            <v>0</v>
          </cell>
          <cell r="AW55">
            <v>484.8994140625</v>
          </cell>
          <cell r="AX55">
            <v>620</v>
          </cell>
          <cell r="AY55">
            <v>4.7166666664998003</v>
          </cell>
          <cell r="AZ55">
            <v>20.083333333313899</v>
          </cell>
          <cell r="BB55">
            <v>2.8000000000465701</v>
          </cell>
          <cell r="BC55">
            <v>6.5333333333255696</v>
          </cell>
          <cell r="BD55">
            <v>5.4833333332208003</v>
          </cell>
          <cell r="BF55">
            <v>11.6166666664649</v>
          </cell>
          <cell r="BH55">
            <v>6.1499999985680898</v>
          </cell>
          <cell r="BI55">
            <v>30.5500000002212</v>
          </cell>
          <cell r="BJ55">
            <v>9.4833333335118404</v>
          </cell>
          <cell r="BK55">
            <v>16.283333333500199</v>
          </cell>
          <cell r="BM55">
            <v>2.39999999944121</v>
          </cell>
          <cell r="BO55">
            <v>13.9666666694102</v>
          </cell>
          <cell r="BP55">
            <v>5.0333333329763299</v>
          </cell>
          <cell r="BQ55">
            <v>10.5666666684556</v>
          </cell>
          <cell r="BU55">
            <v>1.34999999933643</v>
          </cell>
          <cell r="BW55">
            <v>1.7666666666627899</v>
          </cell>
          <cell r="BY55">
            <v>35.833333332964699</v>
          </cell>
        </row>
        <row r="56">
          <cell r="AN56" t="str">
            <v>KTD-PC-300-01OB</v>
          </cell>
          <cell r="AQ56" t="str">
            <v>KTD-PC-300-01</v>
          </cell>
          <cell r="AR56" t="str">
            <v>Excavator</v>
          </cell>
          <cell r="AS56" t="str">
            <v>OB</v>
          </cell>
          <cell r="AT56">
            <v>0</v>
          </cell>
          <cell r="AU56">
            <v>2969</v>
          </cell>
          <cell r="AV56">
            <v>0</v>
          </cell>
          <cell r="AW56">
            <v>39.5</v>
          </cell>
          <cell r="AX56">
            <v>44</v>
          </cell>
          <cell r="AY56">
            <v>0</v>
          </cell>
          <cell r="BH56">
            <v>0.316666666825768</v>
          </cell>
          <cell r="BI56">
            <v>1.70000000012806</v>
          </cell>
          <cell r="BJ56">
            <v>0.75</v>
          </cell>
          <cell r="BK56">
            <v>0.53333333332557198</v>
          </cell>
          <cell r="BO56">
            <v>0.86666666687233396</v>
          </cell>
          <cell r="BP56">
            <v>0.33333333319751501</v>
          </cell>
          <cell r="BQ56">
            <v>0.64999999984865997</v>
          </cell>
          <cell r="BR56">
            <v>0.35000000026775502</v>
          </cell>
          <cell r="BU56">
            <v>0.18333333340706301</v>
          </cell>
        </row>
        <row r="57">
          <cell r="AN57" t="str">
            <v>KTD-PC-400-6-01NON</v>
          </cell>
          <cell r="AQ57" t="str">
            <v>KTD-PC-400-6-01</v>
          </cell>
          <cell r="AR57" t="str">
            <v>Excavator</v>
          </cell>
          <cell r="AS57" t="str">
            <v>NON</v>
          </cell>
          <cell r="AV57">
            <v>0</v>
          </cell>
          <cell r="AW57">
            <v>421.09375</v>
          </cell>
          <cell r="AX57">
            <v>656</v>
          </cell>
          <cell r="AY57">
            <v>5.7000000000698501</v>
          </cell>
          <cell r="AZ57">
            <v>3.4999999998835798</v>
          </cell>
          <cell r="BB57">
            <v>1.56666666653473</v>
          </cell>
          <cell r="BC57">
            <v>0.71666666673263502</v>
          </cell>
          <cell r="BD57">
            <v>9.9333333335816896</v>
          </cell>
          <cell r="BE57">
            <v>16.3833333333023</v>
          </cell>
          <cell r="BF57">
            <v>23.700000000069799</v>
          </cell>
          <cell r="BG57">
            <v>6.9666666666744304</v>
          </cell>
          <cell r="BH57">
            <v>6.1333333323709702</v>
          </cell>
          <cell r="BI57">
            <v>40.083333332324401</v>
          </cell>
          <cell r="BJ57">
            <v>33.9666666668491</v>
          </cell>
          <cell r="BK57">
            <v>18.5833333334886</v>
          </cell>
          <cell r="BL57">
            <v>48.083333333779599</v>
          </cell>
          <cell r="BM57">
            <v>0.81666666688397505</v>
          </cell>
          <cell r="BN57">
            <v>0.81666666653472897</v>
          </cell>
          <cell r="BO57">
            <v>13.083333334943701</v>
          </cell>
          <cell r="BP57">
            <v>4.8666666662902598</v>
          </cell>
          <cell r="BQ57">
            <v>10.750000001513399</v>
          </cell>
          <cell r="BU57">
            <v>2.44999999977881</v>
          </cell>
          <cell r="BV57">
            <v>6.6666666534729302E-2</v>
          </cell>
          <cell r="BW57">
            <v>4.3333333334885502</v>
          </cell>
          <cell r="BY57">
            <v>47.949999999662403</v>
          </cell>
        </row>
        <row r="58">
          <cell r="AN58" t="str">
            <v>KTD-PC-400-6-01OB</v>
          </cell>
          <cell r="AQ58" t="str">
            <v>KTD-PC-400-6-01</v>
          </cell>
          <cell r="AR58" t="str">
            <v>Excavator</v>
          </cell>
          <cell r="AS58" t="str">
            <v>OB</v>
          </cell>
          <cell r="AT58">
            <v>0</v>
          </cell>
          <cell r="AU58">
            <v>374</v>
          </cell>
          <cell r="AV58">
            <v>0</v>
          </cell>
          <cell r="AW58">
            <v>6.798828125</v>
          </cell>
          <cell r="AX58">
            <v>8</v>
          </cell>
          <cell r="AY58">
            <v>0</v>
          </cell>
          <cell r="BH58">
            <v>8.3333333255723105E-2</v>
          </cell>
          <cell r="BI58">
            <v>0.66666666674427699</v>
          </cell>
          <cell r="BM58">
            <v>0.133333333244082</v>
          </cell>
          <cell r="BO58">
            <v>0.31666666665114501</v>
          </cell>
          <cell r="BQ58">
            <v>0.150000000139698</v>
          </cell>
          <cell r="BR58">
            <v>0.116666666872334</v>
          </cell>
          <cell r="BW58">
            <v>0.99999999994179201</v>
          </cell>
        </row>
        <row r="59">
          <cell r="AN59" t="str">
            <v>KWB-EX 330-76Coal</v>
          </cell>
          <cell r="AQ59" t="str">
            <v>KWB-EX 330-76</v>
          </cell>
          <cell r="AR59" t="str">
            <v>Excavator</v>
          </cell>
          <cell r="AS59" t="str">
            <v>Coal</v>
          </cell>
          <cell r="AT59">
            <v>0</v>
          </cell>
          <cell r="AU59">
            <v>37918.610055923498</v>
          </cell>
          <cell r="AV59">
            <v>0</v>
          </cell>
          <cell r="AW59">
            <v>277.999755859375</v>
          </cell>
          <cell r="AX59">
            <v>398</v>
          </cell>
          <cell r="AY59">
            <v>0</v>
          </cell>
          <cell r="BB59">
            <v>1.2666666667791999</v>
          </cell>
          <cell r="BH59">
            <v>3.16666666598758</v>
          </cell>
          <cell r="BI59">
            <v>19.9999999995343</v>
          </cell>
          <cell r="BJ59">
            <v>42.5833333338378</v>
          </cell>
          <cell r="BK59">
            <v>38.599999999918502</v>
          </cell>
          <cell r="BM59">
            <v>1.23333333316259</v>
          </cell>
          <cell r="BN59">
            <v>1.3333333333139299</v>
          </cell>
          <cell r="BO59">
            <v>7.23333333438495</v>
          </cell>
          <cell r="BQ59">
            <v>5.2666666675941096</v>
          </cell>
          <cell r="BR59">
            <v>6.0333333334419903</v>
          </cell>
          <cell r="BU59">
            <v>0.966666666849051</v>
          </cell>
          <cell r="BV59">
            <v>0.50000000005820799</v>
          </cell>
          <cell r="BW59">
            <v>0.89999999996507496</v>
          </cell>
        </row>
        <row r="60">
          <cell r="AN60" t="str">
            <v>KWB-EX 330-76NON</v>
          </cell>
          <cell r="AQ60" t="str">
            <v>KWB-EX 330-76</v>
          </cell>
          <cell r="AR60" t="str">
            <v>Excavator</v>
          </cell>
          <cell r="AS60" t="str">
            <v>NON</v>
          </cell>
          <cell r="AV60">
            <v>0</v>
          </cell>
          <cell r="AW60">
            <v>26.7001953125</v>
          </cell>
          <cell r="AX60">
            <v>164</v>
          </cell>
          <cell r="AY60">
            <v>0</v>
          </cell>
          <cell r="BH60">
            <v>0.18333333323244</v>
          </cell>
          <cell r="BI60">
            <v>0.50000000005820799</v>
          </cell>
          <cell r="BJ60">
            <v>135.60000000055899</v>
          </cell>
          <cell r="BM60">
            <v>6.6666666534729302E-2</v>
          </cell>
          <cell r="BO60">
            <v>0.94999999995343398</v>
          </cell>
          <cell r="BQ60">
            <v>0.333333333372138</v>
          </cell>
          <cell r="BW60">
            <v>0.91666666651144602</v>
          </cell>
          <cell r="BY60">
            <v>2.3333333334303501</v>
          </cell>
        </row>
        <row r="61">
          <cell r="AN61" t="str">
            <v>KWB-EX 330-76OB</v>
          </cell>
          <cell r="AQ61" t="str">
            <v>KWB-EX 330-76</v>
          </cell>
          <cell r="AR61" t="str">
            <v>Excavator</v>
          </cell>
          <cell r="AS61" t="str">
            <v>OB</v>
          </cell>
          <cell r="AT61">
            <v>0</v>
          </cell>
          <cell r="AU61">
            <v>15810</v>
          </cell>
          <cell r="AV61">
            <v>0</v>
          </cell>
          <cell r="AW61">
            <v>93.400390625</v>
          </cell>
          <cell r="AX61">
            <v>102</v>
          </cell>
          <cell r="AY61">
            <v>0</v>
          </cell>
          <cell r="BH61">
            <v>0.73333333345362905</v>
          </cell>
          <cell r="BI61">
            <v>1.91666666662786</v>
          </cell>
          <cell r="BJ61">
            <v>2.6666666668024801</v>
          </cell>
          <cell r="BK61">
            <v>1.91666666662786</v>
          </cell>
          <cell r="BM61">
            <v>0.28333333320915699</v>
          </cell>
          <cell r="BO61">
            <v>1.08333333337214</v>
          </cell>
          <cell r="BQ61">
            <v>1.13333333370974</v>
          </cell>
          <cell r="BR61">
            <v>1.5833333330810999</v>
          </cell>
          <cell r="BU61">
            <v>0.316666666825768</v>
          </cell>
        </row>
        <row r="62">
          <cell r="AN62" t="str">
            <v>KWB-EX-200-20NON</v>
          </cell>
          <cell r="AQ62" t="str">
            <v>KWB-EX-200-20</v>
          </cell>
          <cell r="AR62" t="str">
            <v>Excavator</v>
          </cell>
          <cell r="AS62" t="str">
            <v>NON</v>
          </cell>
          <cell r="AV62">
            <v>0</v>
          </cell>
          <cell r="AW62">
            <v>78.2001953125</v>
          </cell>
          <cell r="AX62">
            <v>664</v>
          </cell>
          <cell r="AY62">
            <v>0</v>
          </cell>
          <cell r="BH62">
            <v>1.6833333334070599</v>
          </cell>
          <cell r="BI62">
            <v>2.1000000002095498</v>
          </cell>
          <cell r="BJ62">
            <v>578.78333333402395</v>
          </cell>
          <cell r="BK62">
            <v>1.7499999999417899</v>
          </cell>
          <cell r="BM62">
            <v>0.33333333319751501</v>
          </cell>
          <cell r="BO62">
            <v>1.1500000000814901</v>
          </cell>
          <cell r="BQ62">
            <v>4.1833333331742297</v>
          </cell>
          <cell r="BU62">
            <v>0.133333333244082</v>
          </cell>
          <cell r="BW62">
            <v>0.75000000017462298</v>
          </cell>
          <cell r="BY62">
            <v>2.25</v>
          </cell>
        </row>
        <row r="63">
          <cell r="AN63" t="str">
            <v>KWB-EX-200-21Coal</v>
          </cell>
          <cell r="AQ63" t="str">
            <v>KWB-EX-200-21</v>
          </cell>
          <cell r="AR63" t="str">
            <v>Excavator</v>
          </cell>
          <cell r="AS63" t="str">
            <v>Coal</v>
          </cell>
          <cell r="AT63">
            <v>0</v>
          </cell>
          <cell r="AU63">
            <v>691.83999252319302</v>
          </cell>
          <cell r="AV63">
            <v>0</v>
          </cell>
          <cell r="AW63">
            <v>3</v>
          </cell>
          <cell r="AX63">
            <v>20</v>
          </cell>
          <cell r="AY63">
            <v>0</v>
          </cell>
          <cell r="BE63">
            <v>5.9166666667442804</v>
          </cell>
          <cell r="BH63">
            <v>0.16666666651144599</v>
          </cell>
          <cell r="BJ63">
            <v>10.916666666802501</v>
          </cell>
          <cell r="BQ63">
            <v>0.150000000139698</v>
          </cell>
          <cell r="BR63">
            <v>4.9999999988358503E-2</v>
          </cell>
        </row>
        <row r="64">
          <cell r="AN64" t="str">
            <v>KWB-EX-200-21NON</v>
          </cell>
          <cell r="AQ64" t="str">
            <v>KWB-EX-200-21</v>
          </cell>
          <cell r="AR64" t="str">
            <v>Excavator</v>
          </cell>
          <cell r="AS64" t="str">
            <v>NON</v>
          </cell>
          <cell r="AV64">
            <v>0</v>
          </cell>
          <cell r="AW64">
            <v>370.29931640625</v>
          </cell>
          <cell r="AX64">
            <v>644</v>
          </cell>
          <cell r="AY64">
            <v>0</v>
          </cell>
          <cell r="BE64">
            <v>20.000000000058201</v>
          </cell>
          <cell r="BH64">
            <v>4.3499999988125602</v>
          </cell>
          <cell r="BI64">
            <v>22.166666666453199</v>
          </cell>
          <cell r="BJ64">
            <v>196.23333333368601</v>
          </cell>
          <cell r="BK64">
            <v>16.583333333255698</v>
          </cell>
          <cell r="BM64">
            <v>2.68333333247574</v>
          </cell>
          <cell r="BN64">
            <v>1.75000000011642</v>
          </cell>
          <cell r="BO64">
            <v>8.6833333347458392</v>
          </cell>
          <cell r="BP64">
            <v>1.24999999988358</v>
          </cell>
          <cell r="BQ64">
            <v>6.7333333351998599</v>
          </cell>
          <cell r="BR64">
            <v>0.249999999767169</v>
          </cell>
          <cell r="BU64">
            <v>0.98333333374466703</v>
          </cell>
          <cell r="BW64">
            <v>2.1833333332906499</v>
          </cell>
          <cell r="BY64">
            <v>76.900000000081505</v>
          </cell>
        </row>
        <row r="65">
          <cell r="AN65" t="str">
            <v>KWB-EX330-77Coal</v>
          </cell>
          <cell r="AQ65" t="str">
            <v>KWB-EX330-77</v>
          </cell>
          <cell r="AR65" t="str">
            <v>Excavator</v>
          </cell>
          <cell r="AS65" t="str">
            <v>Coal</v>
          </cell>
          <cell r="AT65">
            <v>0</v>
          </cell>
          <cell r="AU65">
            <v>63034.920034408598</v>
          </cell>
          <cell r="AV65">
            <v>0</v>
          </cell>
          <cell r="AW65">
            <v>419.99985361099198</v>
          </cell>
          <cell r="AX65">
            <v>581.5</v>
          </cell>
          <cell r="AY65">
            <v>0</v>
          </cell>
          <cell r="BB65">
            <v>1.0666666664765201</v>
          </cell>
          <cell r="BE65">
            <v>4.2999999998719396</v>
          </cell>
          <cell r="BH65">
            <v>4.4666666651610303</v>
          </cell>
          <cell r="BI65">
            <v>26.999999999825398</v>
          </cell>
          <cell r="BJ65">
            <v>63.916666666686098</v>
          </cell>
          <cell r="BK65">
            <v>44.7333333333372</v>
          </cell>
          <cell r="BM65">
            <v>2.3499999994528502</v>
          </cell>
          <cell r="BN65">
            <v>2.16666666674428</v>
          </cell>
          <cell r="BO65">
            <v>10.2500000018044</v>
          </cell>
          <cell r="BP65">
            <v>1.24999999988358</v>
          </cell>
          <cell r="BQ65">
            <v>8.6666666678502207</v>
          </cell>
          <cell r="BR65">
            <v>10.016666668758299</v>
          </cell>
          <cell r="BU65">
            <v>1.08333333372138</v>
          </cell>
          <cell r="BV65">
            <v>0.83333333343034599</v>
          </cell>
          <cell r="BW65">
            <v>2.5999999999185102</v>
          </cell>
        </row>
        <row r="66">
          <cell r="AN66" t="str">
            <v>KWB-EX330-77NON</v>
          </cell>
          <cell r="AQ66" t="str">
            <v>KWB-EX330-77</v>
          </cell>
          <cell r="AR66" t="str">
            <v>Excavator</v>
          </cell>
          <cell r="AS66" t="str">
            <v>NON</v>
          </cell>
          <cell r="AV66">
            <v>0</v>
          </cell>
          <cell r="AW66">
            <v>31.4002928733826</v>
          </cell>
          <cell r="AX66">
            <v>70.5</v>
          </cell>
          <cell r="AY66">
            <v>0</v>
          </cell>
          <cell r="BH66">
            <v>0.31666666665114501</v>
          </cell>
          <cell r="BJ66">
            <v>32.150000000372501</v>
          </cell>
          <cell r="BK66">
            <v>6.0833333334303497</v>
          </cell>
          <cell r="BO66">
            <v>0.55000000004656602</v>
          </cell>
          <cell r="BQ66">
            <v>0.166666666686069</v>
          </cell>
          <cell r="BW66">
            <v>1.1333333330112501</v>
          </cell>
        </row>
        <row r="67">
          <cell r="AN67" t="str">
            <v>KWB-EX330-77OB</v>
          </cell>
          <cell r="AQ67" t="str">
            <v>KWB-EX330-77</v>
          </cell>
          <cell r="AR67" t="str">
            <v>Excavator</v>
          </cell>
          <cell r="AS67" t="str">
            <v>OB</v>
          </cell>
          <cell r="AT67">
            <v>0</v>
          </cell>
          <cell r="AU67">
            <v>900</v>
          </cell>
          <cell r="AV67">
            <v>0</v>
          </cell>
          <cell r="AW67">
            <v>7.199951171875</v>
          </cell>
          <cell r="AX67">
            <v>12</v>
          </cell>
          <cell r="AY67">
            <v>0</v>
          </cell>
          <cell r="BH67">
            <v>8.3333333255723105E-2</v>
          </cell>
          <cell r="BI67">
            <v>0.99999999994179201</v>
          </cell>
          <cell r="BK67">
            <v>3.3833333333605</v>
          </cell>
          <cell r="BM67">
            <v>8.3333333255723105E-2</v>
          </cell>
          <cell r="BO67">
            <v>0.25000000011641499</v>
          </cell>
          <cell r="BQ67">
            <v>0.16666666686069201</v>
          </cell>
          <cell r="BR67">
            <v>0.150000000139698</v>
          </cell>
        </row>
        <row r="68">
          <cell r="AN68" t="str">
            <v>KWB-KW38Coal</v>
          </cell>
          <cell r="AQ68" t="str">
            <v>KWB-KW38</v>
          </cell>
          <cell r="AR68" t="str">
            <v>Truck</v>
          </cell>
          <cell r="AS68" t="str">
            <v>Coal</v>
          </cell>
          <cell r="AT68">
            <v>243</v>
          </cell>
          <cell r="AU68">
            <v>5215.5299930572501</v>
          </cell>
          <cell r="AV68">
            <v>0</v>
          </cell>
          <cell r="AW68">
            <v>0</v>
          </cell>
          <cell r="AX68">
            <v>486</v>
          </cell>
          <cell r="AY68">
            <v>0</v>
          </cell>
        </row>
        <row r="69">
          <cell r="AN69" t="str">
            <v>KWB-KW39Coal</v>
          </cell>
          <cell r="AQ69" t="str">
            <v>KWB-KW39</v>
          </cell>
          <cell r="AR69" t="str">
            <v>Truck</v>
          </cell>
          <cell r="AS69" t="str">
            <v>Coal</v>
          </cell>
          <cell r="AT69">
            <v>190</v>
          </cell>
          <cell r="AU69">
            <v>4069.23997879028</v>
          </cell>
          <cell r="AV69">
            <v>0</v>
          </cell>
          <cell r="AW69">
            <v>0</v>
          </cell>
          <cell r="AX69">
            <v>426</v>
          </cell>
          <cell r="AY69">
            <v>0</v>
          </cell>
        </row>
        <row r="70">
          <cell r="AN70" t="str">
            <v>KWB-KW40Coal</v>
          </cell>
          <cell r="AQ70" t="str">
            <v>KWB-KW40</v>
          </cell>
          <cell r="AR70" t="str">
            <v>Truck</v>
          </cell>
          <cell r="AS70" t="str">
            <v>Coal</v>
          </cell>
          <cell r="AT70">
            <v>211</v>
          </cell>
          <cell r="AU70">
            <v>4270.1000041961697</v>
          </cell>
          <cell r="AV70">
            <v>0</v>
          </cell>
          <cell r="AW70">
            <v>0</v>
          </cell>
          <cell r="AX70">
            <v>482</v>
          </cell>
          <cell r="AY70">
            <v>0</v>
          </cell>
        </row>
        <row r="71">
          <cell r="AN71" t="str">
            <v>KWB-KW41Coal</v>
          </cell>
          <cell r="AQ71" t="str">
            <v>KWB-KW41</v>
          </cell>
          <cell r="AR71" t="str">
            <v>Truck</v>
          </cell>
          <cell r="AS71" t="str">
            <v>Coal</v>
          </cell>
          <cell r="AT71">
            <v>193</v>
          </cell>
          <cell r="AU71">
            <v>4119.05003547668</v>
          </cell>
          <cell r="AV71">
            <v>0</v>
          </cell>
          <cell r="AW71">
            <v>0</v>
          </cell>
          <cell r="AX71">
            <v>420</v>
          </cell>
          <cell r="AY71">
            <v>0</v>
          </cell>
        </row>
        <row r="72">
          <cell r="AN72" t="str">
            <v>KWB-KW42Coal</v>
          </cell>
          <cell r="AQ72" t="str">
            <v>KWB-KW42</v>
          </cell>
          <cell r="AR72" t="str">
            <v>Truck</v>
          </cell>
          <cell r="AS72" t="str">
            <v>Coal</v>
          </cell>
          <cell r="AT72">
            <v>210</v>
          </cell>
          <cell r="AU72">
            <v>4264.3800067901602</v>
          </cell>
          <cell r="AV72">
            <v>0</v>
          </cell>
          <cell r="AW72">
            <v>0</v>
          </cell>
          <cell r="AX72">
            <v>450</v>
          </cell>
          <cell r="AY72">
            <v>0</v>
          </cell>
        </row>
        <row r="73">
          <cell r="AN73" t="str">
            <v>KWB-KW43Coal</v>
          </cell>
          <cell r="AQ73" t="str">
            <v>KWB-KW43</v>
          </cell>
          <cell r="AR73" t="str">
            <v>Truck</v>
          </cell>
          <cell r="AS73" t="str">
            <v>Coal</v>
          </cell>
          <cell r="AT73">
            <v>173</v>
          </cell>
          <cell r="AU73">
            <v>3677.8099994659401</v>
          </cell>
          <cell r="AV73">
            <v>0</v>
          </cell>
          <cell r="AW73">
            <v>0</v>
          </cell>
          <cell r="AX73">
            <v>444</v>
          </cell>
          <cell r="AY73">
            <v>0</v>
          </cell>
        </row>
        <row r="74">
          <cell r="AN74" t="str">
            <v>KWB-KW44Coal</v>
          </cell>
          <cell r="AQ74" t="str">
            <v>KWB-KW44</v>
          </cell>
          <cell r="AR74" t="str">
            <v>Truck</v>
          </cell>
          <cell r="AS74" t="str">
            <v>Coal</v>
          </cell>
          <cell r="AT74">
            <v>202</v>
          </cell>
          <cell r="AU74">
            <v>4259.5299911498996</v>
          </cell>
          <cell r="AV74">
            <v>0</v>
          </cell>
          <cell r="AW74">
            <v>0</v>
          </cell>
          <cell r="AX74">
            <v>434</v>
          </cell>
          <cell r="AY74">
            <v>0</v>
          </cell>
        </row>
        <row r="75">
          <cell r="AN75" t="str">
            <v>KWB-KW45Coal</v>
          </cell>
          <cell r="AQ75" t="str">
            <v>KWB-KW45</v>
          </cell>
          <cell r="AR75" t="str">
            <v>Truck</v>
          </cell>
          <cell r="AS75" t="str">
            <v>Coal</v>
          </cell>
          <cell r="AT75">
            <v>199</v>
          </cell>
          <cell r="AU75">
            <v>4285.6299953460702</v>
          </cell>
          <cell r="AV75">
            <v>0</v>
          </cell>
          <cell r="AW75">
            <v>0</v>
          </cell>
          <cell r="AX75">
            <v>444</v>
          </cell>
          <cell r="AY75">
            <v>0</v>
          </cell>
        </row>
        <row r="76">
          <cell r="AN76" t="str">
            <v>KWB-KW47Coal</v>
          </cell>
          <cell r="AQ76" t="str">
            <v>KWB-KW47</v>
          </cell>
          <cell r="AR76" t="str">
            <v>Truck</v>
          </cell>
          <cell r="AS76" t="str">
            <v>Coal</v>
          </cell>
          <cell r="AT76">
            <v>214</v>
          </cell>
          <cell r="AU76">
            <v>4587.8500041961697</v>
          </cell>
          <cell r="AV76">
            <v>0</v>
          </cell>
          <cell r="AW76">
            <v>0</v>
          </cell>
          <cell r="AX76">
            <v>528</v>
          </cell>
          <cell r="AY76">
            <v>0</v>
          </cell>
        </row>
        <row r="77">
          <cell r="AN77" t="str">
            <v>KWB-KW48Coal</v>
          </cell>
          <cell r="AQ77" t="str">
            <v>KWB-KW48</v>
          </cell>
          <cell r="AR77" t="str">
            <v>Truck</v>
          </cell>
          <cell r="AS77" t="str">
            <v>Coal</v>
          </cell>
          <cell r="AT77">
            <v>205</v>
          </cell>
          <cell r="AU77">
            <v>4482.5699844360397</v>
          </cell>
          <cell r="AV77">
            <v>0</v>
          </cell>
          <cell r="AW77">
            <v>0</v>
          </cell>
          <cell r="AX77">
            <v>436</v>
          </cell>
          <cell r="AY77">
            <v>0</v>
          </cell>
        </row>
        <row r="78">
          <cell r="AN78" t="str">
            <v>KWB-KW49Coal</v>
          </cell>
          <cell r="AQ78" t="str">
            <v>KWB-KW49</v>
          </cell>
          <cell r="AR78" t="str">
            <v>Truck</v>
          </cell>
          <cell r="AS78" t="str">
            <v>Coal</v>
          </cell>
          <cell r="AT78">
            <v>109</v>
          </cell>
          <cell r="AU78">
            <v>2413.3999977111798</v>
          </cell>
          <cell r="AV78">
            <v>0</v>
          </cell>
          <cell r="AW78">
            <v>0</v>
          </cell>
          <cell r="AX78">
            <v>318</v>
          </cell>
          <cell r="AY78">
            <v>0</v>
          </cell>
        </row>
        <row r="79">
          <cell r="AN79" t="str">
            <v>KWB-KW50Coal</v>
          </cell>
          <cell r="AQ79" t="str">
            <v>KWB-KW50</v>
          </cell>
          <cell r="AR79" t="str">
            <v>Truck</v>
          </cell>
          <cell r="AS79" t="str">
            <v>Coal</v>
          </cell>
          <cell r="AT79">
            <v>195</v>
          </cell>
          <cell r="AU79">
            <v>4248.0799942016602</v>
          </cell>
          <cell r="AV79">
            <v>0</v>
          </cell>
          <cell r="AW79">
            <v>0</v>
          </cell>
          <cell r="AX79">
            <v>490</v>
          </cell>
          <cell r="AY79">
            <v>0</v>
          </cell>
        </row>
        <row r="80">
          <cell r="AN80" t="str">
            <v>KWB-KW52Coal</v>
          </cell>
          <cell r="AQ80" t="str">
            <v>KWB-KW52</v>
          </cell>
          <cell r="AR80" t="str">
            <v>Truck</v>
          </cell>
          <cell r="AS80" t="str">
            <v>Coal</v>
          </cell>
          <cell r="AT80">
            <v>226</v>
          </cell>
          <cell r="AU80">
            <v>4899.8299884796097</v>
          </cell>
          <cell r="AV80">
            <v>0</v>
          </cell>
          <cell r="AW80">
            <v>0</v>
          </cell>
          <cell r="AX80">
            <v>470</v>
          </cell>
          <cell r="AY80">
            <v>0</v>
          </cell>
        </row>
        <row r="81">
          <cell r="AN81" t="str">
            <v>KWB-KW53Coal</v>
          </cell>
          <cell r="AQ81" t="str">
            <v>KWB-KW53</v>
          </cell>
          <cell r="AR81" t="str">
            <v>Truck</v>
          </cell>
          <cell r="AS81" t="str">
            <v>Coal</v>
          </cell>
          <cell r="AT81">
            <v>227</v>
          </cell>
          <cell r="AU81">
            <v>4413.9699935913104</v>
          </cell>
          <cell r="AV81">
            <v>0</v>
          </cell>
          <cell r="AW81">
            <v>0</v>
          </cell>
          <cell r="AX81">
            <v>500</v>
          </cell>
          <cell r="AY81">
            <v>0</v>
          </cell>
        </row>
        <row r="82">
          <cell r="AN82" t="str">
            <v>KWB-KW54Coal</v>
          </cell>
          <cell r="AQ82" t="str">
            <v>KWB-KW54</v>
          </cell>
          <cell r="AR82" t="str">
            <v>Truck</v>
          </cell>
          <cell r="AS82" t="str">
            <v>Coal</v>
          </cell>
          <cell r="AT82">
            <v>266</v>
          </cell>
          <cell r="AU82">
            <v>5711.95998382568</v>
          </cell>
          <cell r="AV82">
            <v>0</v>
          </cell>
          <cell r="AW82">
            <v>0</v>
          </cell>
          <cell r="AX82">
            <v>534</v>
          </cell>
          <cell r="AY82">
            <v>0</v>
          </cell>
        </row>
        <row r="83">
          <cell r="AN83" t="str">
            <v>KWB-KW55Coal</v>
          </cell>
          <cell r="AQ83" t="str">
            <v>KWB-KW55</v>
          </cell>
          <cell r="AR83" t="str">
            <v>Truck</v>
          </cell>
          <cell r="AS83" t="str">
            <v>Coal</v>
          </cell>
          <cell r="AT83">
            <v>252</v>
          </cell>
          <cell r="AU83">
            <v>5448.76000404358</v>
          </cell>
          <cell r="AV83">
            <v>0</v>
          </cell>
          <cell r="AW83">
            <v>0</v>
          </cell>
          <cell r="AX83">
            <v>514</v>
          </cell>
          <cell r="AY83">
            <v>0</v>
          </cell>
        </row>
        <row r="84">
          <cell r="AN84" t="str">
            <v>KWB-KW56Coal</v>
          </cell>
          <cell r="AQ84" t="str">
            <v>KWB-KW56</v>
          </cell>
          <cell r="AR84" t="str">
            <v>Truck</v>
          </cell>
          <cell r="AS84" t="str">
            <v>Coal</v>
          </cell>
          <cell r="AT84">
            <v>243</v>
          </cell>
          <cell r="AU84">
            <v>5262.2800216674796</v>
          </cell>
          <cell r="AV84">
            <v>0</v>
          </cell>
          <cell r="AW84">
            <v>0</v>
          </cell>
          <cell r="AX84">
            <v>526</v>
          </cell>
          <cell r="AY84">
            <v>0</v>
          </cell>
        </row>
        <row r="85">
          <cell r="AN85" t="str">
            <v>KWB-KW57Coal</v>
          </cell>
          <cell r="AQ85" t="str">
            <v>KWB-KW57</v>
          </cell>
          <cell r="AR85" t="str">
            <v>Truck</v>
          </cell>
          <cell r="AS85" t="str">
            <v>Coal</v>
          </cell>
          <cell r="AT85">
            <v>256</v>
          </cell>
          <cell r="AU85">
            <v>5665.2500553131104</v>
          </cell>
          <cell r="AV85">
            <v>0</v>
          </cell>
          <cell r="AW85">
            <v>0</v>
          </cell>
          <cell r="AX85">
            <v>550</v>
          </cell>
          <cell r="AY85">
            <v>0</v>
          </cell>
        </row>
        <row r="86">
          <cell r="AN86" t="str">
            <v>KWB-KW58Coal</v>
          </cell>
          <cell r="AQ86" t="str">
            <v>KWB-KW58</v>
          </cell>
          <cell r="AR86" t="str">
            <v>Truck</v>
          </cell>
          <cell r="AS86" t="str">
            <v>Coal</v>
          </cell>
          <cell r="AT86">
            <v>235</v>
          </cell>
          <cell r="AU86">
            <v>5071.9499912261999</v>
          </cell>
          <cell r="AV86">
            <v>0</v>
          </cell>
          <cell r="AW86">
            <v>0</v>
          </cell>
          <cell r="AX86">
            <v>498</v>
          </cell>
          <cell r="AY86">
            <v>0</v>
          </cell>
        </row>
        <row r="87">
          <cell r="AN87" t="str">
            <v>KWB-KW59Coal</v>
          </cell>
          <cell r="AQ87" t="str">
            <v>KWB-KW59</v>
          </cell>
          <cell r="AR87" t="str">
            <v>Truck</v>
          </cell>
          <cell r="AS87" t="str">
            <v>Coal</v>
          </cell>
          <cell r="AT87">
            <v>235</v>
          </cell>
          <cell r="AU87">
            <v>5106.0299816131601</v>
          </cell>
          <cell r="AV87">
            <v>0</v>
          </cell>
          <cell r="AW87">
            <v>0</v>
          </cell>
          <cell r="AX87">
            <v>540</v>
          </cell>
          <cell r="AY87">
            <v>0</v>
          </cell>
        </row>
        <row r="88">
          <cell r="AN88" t="str">
            <v>KWB-KW60Coal</v>
          </cell>
          <cell r="AQ88" t="str">
            <v>KWB-KW60</v>
          </cell>
          <cell r="AR88" t="str">
            <v>Truck</v>
          </cell>
          <cell r="AS88" t="str">
            <v>Coal</v>
          </cell>
          <cell r="AT88">
            <v>230</v>
          </cell>
          <cell r="AU88">
            <v>5040.2599868774396</v>
          </cell>
          <cell r="AV88">
            <v>0</v>
          </cell>
          <cell r="AW88">
            <v>0</v>
          </cell>
          <cell r="AX88">
            <v>544</v>
          </cell>
          <cell r="AY88">
            <v>0</v>
          </cell>
        </row>
        <row r="89">
          <cell r="AN89" t="str">
            <v>KWB-KW60OB</v>
          </cell>
          <cell r="AQ89" t="str">
            <v>KWB-KW60</v>
          </cell>
          <cell r="AR89" t="str">
            <v>Truck</v>
          </cell>
          <cell r="AS89" t="str">
            <v>OB</v>
          </cell>
          <cell r="AV89">
            <v>0</v>
          </cell>
          <cell r="AW89">
            <v>0</v>
          </cell>
          <cell r="AX89">
            <v>12</v>
          </cell>
          <cell r="AY89">
            <v>0</v>
          </cell>
        </row>
        <row r="90">
          <cell r="AN90" t="str">
            <v>KWB-KW61Coal</v>
          </cell>
          <cell r="AQ90" t="str">
            <v>KWB-KW61</v>
          </cell>
          <cell r="AR90" t="str">
            <v>Truck</v>
          </cell>
          <cell r="AS90" t="str">
            <v>Coal</v>
          </cell>
          <cell r="AT90">
            <v>253</v>
          </cell>
          <cell r="AU90">
            <v>5479.5900325775101</v>
          </cell>
          <cell r="AV90">
            <v>0</v>
          </cell>
          <cell r="AW90">
            <v>0</v>
          </cell>
          <cell r="AX90">
            <v>540</v>
          </cell>
          <cell r="AY90">
            <v>0</v>
          </cell>
        </row>
        <row r="91">
          <cell r="AN91" t="str">
            <v>KWB-KW62Coal</v>
          </cell>
          <cell r="AQ91" t="str">
            <v>KWB-KW62</v>
          </cell>
          <cell r="AR91" t="str">
            <v>Truck</v>
          </cell>
          <cell r="AS91" t="str">
            <v>Coal</v>
          </cell>
          <cell r="AT91">
            <v>215</v>
          </cell>
          <cell r="AU91">
            <v>4730.9800262451199</v>
          </cell>
          <cell r="AV91">
            <v>0</v>
          </cell>
          <cell r="AW91">
            <v>0</v>
          </cell>
          <cell r="AX91">
            <v>458</v>
          </cell>
          <cell r="AY91">
            <v>0</v>
          </cell>
        </row>
        <row r="92">
          <cell r="AN92" t="str">
            <v>KWB-PC-200Coal</v>
          </cell>
          <cell r="AQ92" t="str">
            <v>KWB-PC-200</v>
          </cell>
          <cell r="AR92" t="str">
            <v>Excavator</v>
          </cell>
          <cell r="AS92" t="str">
            <v>Coal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</row>
        <row r="93">
          <cell r="AN93" t="str">
            <v>KWB-PC-200NON</v>
          </cell>
          <cell r="AQ93" t="str">
            <v>KWB-PC-200</v>
          </cell>
          <cell r="AR93" t="str">
            <v>Excavator</v>
          </cell>
          <cell r="AS93" t="str">
            <v>NON</v>
          </cell>
          <cell r="AV93">
            <v>0</v>
          </cell>
          <cell r="AW93">
            <v>376.7998046875</v>
          </cell>
          <cell r="AX93">
            <v>664</v>
          </cell>
          <cell r="AY93">
            <v>0</v>
          </cell>
          <cell r="BE93">
            <v>80.000000000058193</v>
          </cell>
          <cell r="BH93">
            <v>4.8166666657780297</v>
          </cell>
          <cell r="BI93">
            <v>26.033333332976301</v>
          </cell>
          <cell r="BJ93">
            <v>124.899999999732</v>
          </cell>
          <cell r="BK93">
            <v>19.999999999709001</v>
          </cell>
          <cell r="BL93">
            <v>16.000000000116401</v>
          </cell>
          <cell r="BM93">
            <v>2.5333333332091601</v>
          </cell>
          <cell r="BN93">
            <v>2.0833333334885502</v>
          </cell>
          <cell r="BO93">
            <v>9.5833333345362899</v>
          </cell>
          <cell r="BP93">
            <v>1.24999999988358</v>
          </cell>
          <cell r="BQ93">
            <v>6.9833333347924098</v>
          </cell>
          <cell r="BR93">
            <v>0.133333333244082</v>
          </cell>
          <cell r="BU93">
            <v>1.03333333338378</v>
          </cell>
          <cell r="BV93">
            <v>0.166666666686069</v>
          </cell>
          <cell r="BW93">
            <v>4.3333333331393096</v>
          </cell>
          <cell r="BY93">
            <v>62.950000000710098</v>
          </cell>
        </row>
        <row r="94">
          <cell r="AN94" t="str">
            <v>KWB-PC-200-KP-01NON</v>
          </cell>
          <cell r="AQ94" t="str">
            <v>KWB-PC-200-KP-01</v>
          </cell>
          <cell r="AR94" t="str">
            <v>Excavator</v>
          </cell>
          <cell r="AS94" t="str">
            <v>NON</v>
          </cell>
          <cell r="AV94">
            <v>0</v>
          </cell>
          <cell r="AW94">
            <v>0</v>
          </cell>
          <cell r="AX94">
            <v>664</v>
          </cell>
          <cell r="AY94">
            <v>0</v>
          </cell>
          <cell r="BJ94">
            <v>664.000000000466</v>
          </cell>
        </row>
        <row r="95">
          <cell r="AN95" t="str">
            <v>KWB-PC-200-KP-07NON</v>
          </cell>
          <cell r="AQ95" t="str">
            <v>KWB-PC-200-KP-07</v>
          </cell>
          <cell r="AR95" t="str">
            <v>Excavator</v>
          </cell>
          <cell r="AS95" t="str">
            <v>NON</v>
          </cell>
          <cell r="AV95">
            <v>0</v>
          </cell>
          <cell r="AW95">
            <v>0</v>
          </cell>
          <cell r="AX95">
            <v>664</v>
          </cell>
          <cell r="AY95">
            <v>0</v>
          </cell>
          <cell r="BJ95">
            <v>652.000000000466</v>
          </cell>
          <cell r="BM95">
            <v>12</v>
          </cell>
        </row>
        <row r="96">
          <cell r="AN96" t="str">
            <v>KWB-PC-300NON</v>
          </cell>
          <cell r="AQ96" t="str">
            <v>KWB-PC-300</v>
          </cell>
          <cell r="AR96" t="str">
            <v>Excavator</v>
          </cell>
          <cell r="AS96" t="str">
            <v>NON</v>
          </cell>
          <cell r="AV96">
            <v>0</v>
          </cell>
          <cell r="AW96">
            <v>0</v>
          </cell>
          <cell r="AX96">
            <v>656</v>
          </cell>
          <cell r="AY96">
            <v>0</v>
          </cell>
          <cell r="BE96">
            <v>656.00000000058196</v>
          </cell>
        </row>
        <row r="97">
          <cell r="AN97" t="str">
            <v>KWB-PC-EX330Coal</v>
          </cell>
          <cell r="AQ97" t="str">
            <v>KWB-PC-EX330</v>
          </cell>
          <cell r="AR97" t="str">
            <v>Excavator</v>
          </cell>
          <cell r="AS97" t="str">
            <v>Coal</v>
          </cell>
          <cell r="AT97">
            <v>0</v>
          </cell>
          <cell r="AU97">
            <v>6634.3199634552002</v>
          </cell>
          <cell r="AV97">
            <v>0</v>
          </cell>
          <cell r="AW97">
            <v>51.2998046875</v>
          </cell>
          <cell r="AX97">
            <v>70</v>
          </cell>
          <cell r="AY97">
            <v>0</v>
          </cell>
          <cell r="BH97">
            <v>0.53333333297632601</v>
          </cell>
          <cell r="BI97">
            <v>4.9166666666278598</v>
          </cell>
          <cell r="BJ97">
            <v>7.5833333332557196</v>
          </cell>
          <cell r="BK97">
            <v>3.4166666666278598</v>
          </cell>
          <cell r="BM97">
            <v>0.49999999988358501</v>
          </cell>
          <cell r="BN97">
            <v>0.75</v>
          </cell>
          <cell r="BO97">
            <v>1.00000000011642</v>
          </cell>
          <cell r="BQ97">
            <v>1.24999999988358</v>
          </cell>
          <cell r="BR97">
            <v>0.94999999995343398</v>
          </cell>
          <cell r="BU97">
            <v>0.116666666697711</v>
          </cell>
          <cell r="BW97">
            <v>0.50000000005820799</v>
          </cell>
        </row>
        <row r="98">
          <cell r="AN98" t="str">
            <v>KWB-PC-EX330NON</v>
          </cell>
          <cell r="AQ98" t="str">
            <v>KWB-PC-EX330</v>
          </cell>
          <cell r="AR98" t="str">
            <v>Excavator</v>
          </cell>
          <cell r="AS98" t="str">
            <v>NON</v>
          </cell>
          <cell r="AV98">
            <v>0</v>
          </cell>
          <cell r="AW98">
            <v>32.6005859375</v>
          </cell>
          <cell r="AX98">
            <v>390</v>
          </cell>
          <cell r="AY98">
            <v>0</v>
          </cell>
          <cell r="BE98">
            <v>234.00000000034899</v>
          </cell>
          <cell r="BH98">
            <v>0.48333333368645998</v>
          </cell>
          <cell r="BI98">
            <v>0.50000000005820799</v>
          </cell>
          <cell r="BJ98">
            <v>119.500000000291</v>
          </cell>
          <cell r="BK98">
            <v>2.33333333325572</v>
          </cell>
          <cell r="BO98">
            <v>0.583333333313931</v>
          </cell>
          <cell r="BQ98">
            <v>0.58333333313930802</v>
          </cell>
          <cell r="BU98">
            <v>3.33333332673647E-2</v>
          </cell>
          <cell r="BW98">
            <v>0.18333333340706301</v>
          </cell>
          <cell r="BY98">
            <v>5.1666666667442804</v>
          </cell>
        </row>
        <row r="99">
          <cell r="AN99" t="str">
            <v>KWB-PC-EX330OB</v>
          </cell>
          <cell r="AQ99" t="str">
            <v>KWB-PC-EX330</v>
          </cell>
          <cell r="AR99" t="str">
            <v>Excavator</v>
          </cell>
          <cell r="AS99" t="str">
            <v>OB</v>
          </cell>
          <cell r="AT99">
            <v>0</v>
          </cell>
          <cell r="AU99">
            <v>20925</v>
          </cell>
          <cell r="AV99">
            <v>0</v>
          </cell>
          <cell r="AW99">
            <v>153.80078125</v>
          </cell>
          <cell r="AX99">
            <v>204</v>
          </cell>
          <cell r="AY99">
            <v>0</v>
          </cell>
          <cell r="BH99">
            <v>1.3833333326038</v>
          </cell>
          <cell r="BI99">
            <v>8.2833333334419894</v>
          </cell>
          <cell r="BJ99">
            <v>29.183333333290602</v>
          </cell>
          <cell r="BK99">
            <v>5.6166666668141296</v>
          </cell>
          <cell r="BM99">
            <v>0.89999999996507496</v>
          </cell>
          <cell r="BO99">
            <v>4.83333333372138</v>
          </cell>
          <cell r="BQ99">
            <v>2.6333333340589902</v>
          </cell>
          <cell r="BR99">
            <v>3.5833333338378002</v>
          </cell>
          <cell r="BU99">
            <v>0.19999999995343401</v>
          </cell>
          <cell r="BV99">
            <v>0.333333333372138</v>
          </cell>
          <cell r="BW99">
            <v>0.41666666680248499</v>
          </cell>
          <cell r="BY99">
            <v>8.3333333430346102E-2</v>
          </cell>
        </row>
        <row r="100">
          <cell r="AN100" t="str">
            <v>KWB-VOLVO-78NON</v>
          </cell>
          <cell r="AQ100" t="str">
            <v>KWB-VOLVO-78</v>
          </cell>
          <cell r="AR100" t="str">
            <v>Truck</v>
          </cell>
          <cell r="AS100" t="str">
            <v>NON</v>
          </cell>
          <cell r="AV100">
            <v>0</v>
          </cell>
          <cell r="AW100">
            <v>23</v>
          </cell>
          <cell r="AX100">
            <v>48</v>
          </cell>
          <cell r="AY100">
            <v>0</v>
          </cell>
          <cell r="BJ100">
            <v>10.000000000116399</v>
          </cell>
        </row>
        <row r="101">
          <cell r="AN101" t="str">
            <v>KWB-VOLVO-78OB</v>
          </cell>
          <cell r="AQ101" t="str">
            <v>KWB-VOLVO-78</v>
          </cell>
          <cell r="AR101" t="str">
            <v>Truck</v>
          </cell>
          <cell r="AS101" t="str">
            <v>OB</v>
          </cell>
          <cell r="AT101">
            <v>726</v>
          </cell>
          <cell r="AU101">
            <v>10890</v>
          </cell>
          <cell r="AV101">
            <v>0</v>
          </cell>
          <cell r="AW101">
            <v>222</v>
          </cell>
          <cell r="AX101">
            <v>608</v>
          </cell>
          <cell r="AY101">
            <v>0</v>
          </cell>
          <cell r="BJ101">
            <v>256.000000000466</v>
          </cell>
        </row>
        <row r="102">
          <cell r="AN102" t="str">
            <v>KWB-VOLVO-79NON</v>
          </cell>
          <cell r="AQ102" t="str">
            <v>KWB-VOLVO-79</v>
          </cell>
          <cell r="AR102" t="str">
            <v>Truck</v>
          </cell>
          <cell r="AS102" t="str">
            <v>NON</v>
          </cell>
          <cell r="AV102">
            <v>0</v>
          </cell>
          <cell r="AW102">
            <v>13</v>
          </cell>
          <cell r="AX102">
            <v>27</v>
          </cell>
          <cell r="AY102">
            <v>0</v>
          </cell>
        </row>
        <row r="103">
          <cell r="AN103" t="str">
            <v>KWB-VOLVO-79OB</v>
          </cell>
          <cell r="AQ103" t="str">
            <v>KWB-VOLVO-79</v>
          </cell>
          <cell r="AR103" t="str">
            <v>Truck</v>
          </cell>
          <cell r="AS103" t="str">
            <v>OB</v>
          </cell>
          <cell r="AT103">
            <v>1036</v>
          </cell>
          <cell r="AU103">
            <v>15540</v>
          </cell>
          <cell r="AV103">
            <v>0</v>
          </cell>
          <cell r="AW103">
            <v>305</v>
          </cell>
          <cell r="AX103">
            <v>629</v>
          </cell>
          <cell r="AY103">
            <v>0</v>
          </cell>
          <cell r="BJ103">
            <v>192.00000000052401</v>
          </cell>
        </row>
        <row r="104">
          <cell r="AN104" t="str">
            <v>KWB-VOLVO-80NON</v>
          </cell>
          <cell r="AQ104" t="str">
            <v>KWB-VOLVO-80</v>
          </cell>
          <cell r="AR104" t="str">
            <v>Truck</v>
          </cell>
          <cell r="AS104" t="str">
            <v>NON</v>
          </cell>
          <cell r="AV104">
            <v>0</v>
          </cell>
          <cell r="AW104">
            <v>23</v>
          </cell>
          <cell r="AX104">
            <v>48</v>
          </cell>
          <cell r="AY104">
            <v>0</v>
          </cell>
        </row>
        <row r="105">
          <cell r="AN105" t="str">
            <v>KWB-VOLVO-80OB</v>
          </cell>
          <cell r="AQ105" t="str">
            <v>KWB-VOLVO-80</v>
          </cell>
          <cell r="AR105" t="str">
            <v>Truck</v>
          </cell>
          <cell r="AS105" t="str">
            <v>OB</v>
          </cell>
          <cell r="AT105">
            <v>873</v>
          </cell>
          <cell r="AU105">
            <v>13095</v>
          </cell>
          <cell r="AV105">
            <v>0</v>
          </cell>
          <cell r="AW105">
            <v>254</v>
          </cell>
          <cell r="AX105">
            <v>608</v>
          </cell>
          <cell r="AY105">
            <v>0</v>
          </cell>
          <cell r="BJ105">
            <v>200.00000000058199</v>
          </cell>
        </row>
        <row r="106">
          <cell r="AN106" t="str">
            <v>KWB-VOLVO-81NON</v>
          </cell>
          <cell r="AQ106" t="str">
            <v>KWB-VOLVO-81</v>
          </cell>
          <cell r="AR106" t="str">
            <v>Truck</v>
          </cell>
          <cell r="AS106" t="str">
            <v>NON</v>
          </cell>
          <cell r="AV106">
            <v>0</v>
          </cell>
          <cell r="AW106">
            <v>0</v>
          </cell>
          <cell r="AX106">
            <v>18</v>
          </cell>
          <cell r="AY106">
            <v>0</v>
          </cell>
          <cell r="BJ106">
            <v>18</v>
          </cell>
        </row>
        <row r="107">
          <cell r="AN107" t="str">
            <v>KWB-VOLVO-81OB</v>
          </cell>
          <cell r="AQ107" t="str">
            <v>KWB-VOLVO-81</v>
          </cell>
          <cell r="AR107" t="str">
            <v>Truck</v>
          </cell>
          <cell r="AS107" t="str">
            <v>OB</v>
          </cell>
          <cell r="AV107">
            <v>0</v>
          </cell>
          <cell r="AW107">
            <v>0</v>
          </cell>
          <cell r="AX107">
            <v>638</v>
          </cell>
          <cell r="AY107">
            <v>0</v>
          </cell>
          <cell r="BJ107">
            <v>618.00000000052398</v>
          </cell>
        </row>
        <row r="108">
          <cell r="AN108" t="str">
            <v>KWB-VOLVO-82NON</v>
          </cell>
          <cell r="AQ108" t="str">
            <v>KWB-VOLVO-82</v>
          </cell>
          <cell r="AR108" t="str">
            <v>Truck</v>
          </cell>
          <cell r="AS108" t="str">
            <v>NON</v>
          </cell>
          <cell r="AV108">
            <v>0</v>
          </cell>
          <cell r="AW108">
            <v>0</v>
          </cell>
          <cell r="AX108">
            <v>18</v>
          </cell>
          <cell r="AY108">
            <v>0</v>
          </cell>
          <cell r="BJ108">
            <v>18</v>
          </cell>
        </row>
        <row r="109">
          <cell r="AN109" t="str">
            <v>KWB-VOLVO-82OB</v>
          </cell>
          <cell r="AQ109" t="str">
            <v>KWB-VOLVO-82</v>
          </cell>
          <cell r="AR109" t="str">
            <v>Truck</v>
          </cell>
          <cell r="AS109" t="str">
            <v>OB</v>
          </cell>
          <cell r="AV109">
            <v>0</v>
          </cell>
          <cell r="AW109">
            <v>0</v>
          </cell>
          <cell r="AX109">
            <v>638</v>
          </cell>
          <cell r="AY109">
            <v>0</v>
          </cell>
          <cell r="BJ109">
            <v>626.00000000058196</v>
          </cell>
        </row>
        <row r="110">
          <cell r="AN110" t="str">
            <v>KWB-VOLVO-83NON</v>
          </cell>
          <cell r="AQ110" t="str">
            <v>KWB-VOLVO-83</v>
          </cell>
          <cell r="AR110" t="str">
            <v>Truck</v>
          </cell>
          <cell r="AS110" t="str">
            <v>NON</v>
          </cell>
          <cell r="AV110">
            <v>0</v>
          </cell>
          <cell r="AW110">
            <v>0</v>
          </cell>
          <cell r="AX110">
            <v>18</v>
          </cell>
          <cell r="AY110">
            <v>0</v>
          </cell>
          <cell r="BJ110">
            <v>18</v>
          </cell>
        </row>
        <row r="111">
          <cell r="AN111" t="str">
            <v>KWB-VOLVO-83OB</v>
          </cell>
          <cell r="AQ111" t="str">
            <v>KWB-VOLVO-83</v>
          </cell>
          <cell r="AR111" t="str">
            <v>Truck</v>
          </cell>
          <cell r="AS111" t="str">
            <v>OB</v>
          </cell>
          <cell r="AV111">
            <v>0</v>
          </cell>
          <cell r="AW111">
            <v>0</v>
          </cell>
          <cell r="AX111">
            <v>638</v>
          </cell>
          <cell r="AY111">
            <v>0</v>
          </cell>
          <cell r="BJ111">
            <v>626.00000000058196</v>
          </cell>
        </row>
        <row r="112">
          <cell r="AN112" t="str">
            <v>KWB-VOLVO-84NON</v>
          </cell>
          <cell r="AQ112" t="str">
            <v>KWB-VOLVO-84</v>
          </cell>
          <cell r="AR112" t="str">
            <v>Truck</v>
          </cell>
          <cell r="AS112" t="str">
            <v>NON</v>
          </cell>
          <cell r="AV112">
            <v>0</v>
          </cell>
          <cell r="AW112">
            <v>24</v>
          </cell>
          <cell r="AX112">
            <v>55</v>
          </cell>
          <cell r="AY112">
            <v>0</v>
          </cell>
          <cell r="BH112">
            <v>0.16666666686069201</v>
          </cell>
          <cell r="BI112">
            <v>0.66666666656965401</v>
          </cell>
          <cell r="BJ112">
            <v>13.8333333330229</v>
          </cell>
          <cell r="BO112">
            <v>0.33333333319751501</v>
          </cell>
          <cell r="BQ112">
            <v>0.333333333372138</v>
          </cell>
        </row>
        <row r="113">
          <cell r="AN113" t="str">
            <v>KWB-VOLVO-84OB</v>
          </cell>
          <cell r="AQ113" t="str">
            <v>KWB-VOLVO-84</v>
          </cell>
          <cell r="AR113" t="str">
            <v>Truck</v>
          </cell>
          <cell r="AS113" t="str">
            <v>OB</v>
          </cell>
          <cell r="AT113">
            <v>817</v>
          </cell>
          <cell r="AU113">
            <v>12255</v>
          </cell>
          <cell r="AV113">
            <v>0</v>
          </cell>
          <cell r="AW113">
            <v>249</v>
          </cell>
          <cell r="AX113">
            <v>601</v>
          </cell>
          <cell r="AY113">
            <v>0</v>
          </cell>
          <cell r="BJ113">
            <v>236.00000000075701</v>
          </cell>
        </row>
        <row r="114">
          <cell r="AN114" t="str">
            <v>NR-C700-D-01NON</v>
          </cell>
          <cell r="AQ114" t="str">
            <v>NR-C700-D-01</v>
          </cell>
          <cell r="AR114" t="str">
            <v>Drilling</v>
          </cell>
          <cell r="AS114" t="str">
            <v>NON</v>
          </cell>
          <cell r="AT114">
            <v>0</v>
          </cell>
          <cell r="AU114">
            <v>13932.100021362299</v>
          </cell>
          <cell r="AV114">
            <v>0</v>
          </cell>
          <cell r="AW114">
            <v>193.39990234375</v>
          </cell>
          <cell r="AX114">
            <v>664</v>
          </cell>
          <cell r="AY114">
            <v>4.0333333330345296</v>
          </cell>
          <cell r="BC114">
            <v>5.3666666665230904</v>
          </cell>
          <cell r="BD114">
            <v>0.46666666661622003</v>
          </cell>
          <cell r="BE114">
            <v>112.483333333454</v>
          </cell>
          <cell r="BF114">
            <v>11.2500000001746</v>
          </cell>
          <cell r="BG114">
            <v>53.083333333663198</v>
          </cell>
          <cell r="BH114">
            <v>1.0666666656034101</v>
          </cell>
          <cell r="BI114">
            <v>9.8166666665347293</v>
          </cell>
          <cell r="BJ114">
            <v>260.48333333391901</v>
          </cell>
          <cell r="BK114">
            <v>1.3500000000349199</v>
          </cell>
          <cell r="BM114">
            <v>1.0666666664765201</v>
          </cell>
          <cell r="BN114">
            <v>0.73333333345362905</v>
          </cell>
          <cell r="BO114">
            <v>3.15000000031432</v>
          </cell>
          <cell r="BP114">
            <v>2.2499999998253801</v>
          </cell>
          <cell r="BQ114">
            <v>3.6666666677920099</v>
          </cell>
          <cell r="BV114">
            <v>3.5833333334885502</v>
          </cell>
          <cell r="BW114">
            <v>6.0499999998137399</v>
          </cell>
        </row>
        <row r="115">
          <cell r="AN115" t="str">
            <v>NR-C700-D-02NON</v>
          </cell>
          <cell r="AQ115" t="str">
            <v>NR-C700-D-02</v>
          </cell>
          <cell r="AR115" t="str">
            <v>Drilling</v>
          </cell>
          <cell r="AS115" t="str">
            <v>NON</v>
          </cell>
          <cell r="AT115">
            <v>0</v>
          </cell>
          <cell r="AU115">
            <v>22330.799987793001</v>
          </cell>
          <cell r="AV115">
            <v>0</v>
          </cell>
          <cell r="AW115">
            <v>284.5</v>
          </cell>
          <cell r="AX115">
            <v>664</v>
          </cell>
          <cell r="AY115">
            <v>10.266666666255301</v>
          </cell>
          <cell r="BB115">
            <v>0.21666666667442799</v>
          </cell>
          <cell r="BC115">
            <v>2.4999999999417901</v>
          </cell>
          <cell r="BG115">
            <v>54.75</v>
          </cell>
          <cell r="BH115">
            <v>2.6499999992083798</v>
          </cell>
          <cell r="BI115">
            <v>8.5166666664881596</v>
          </cell>
          <cell r="BJ115">
            <v>289.38333333487401</v>
          </cell>
          <cell r="BM115">
            <v>1.18333333334886</v>
          </cell>
          <cell r="BN115">
            <v>3</v>
          </cell>
          <cell r="BO115">
            <v>5.8666666676290298</v>
          </cell>
          <cell r="BP115">
            <v>1.1666666668024801</v>
          </cell>
          <cell r="BQ115">
            <v>4.5333333329181196</v>
          </cell>
          <cell r="BU115">
            <v>0.28333333338377997</v>
          </cell>
          <cell r="BV115">
            <v>6.6499999998486601</v>
          </cell>
          <cell r="BW115">
            <v>11.4999999997672</v>
          </cell>
        </row>
        <row r="116">
          <cell r="AN116" t="str">
            <v>PSR-EX-1200NON</v>
          </cell>
          <cell r="AQ116" t="str">
            <v>PSR-EX-1200</v>
          </cell>
          <cell r="AR116" t="str">
            <v>Excavator</v>
          </cell>
          <cell r="AS116" t="str">
            <v>NON</v>
          </cell>
          <cell r="AV116">
            <v>0</v>
          </cell>
          <cell r="AW116">
            <v>18.2001953125</v>
          </cell>
          <cell r="AX116">
            <v>80</v>
          </cell>
          <cell r="AY116">
            <v>0</v>
          </cell>
          <cell r="BE116">
            <v>40.000000000116401</v>
          </cell>
          <cell r="BH116">
            <v>0.333333333372138</v>
          </cell>
          <cell r="BI116">
            <v>1.33333333313931</v>
          </cell>
          <cell r="BJ116">
            <v>19.549999999988401</v>
          </cell>
          <cell r="BM116">
            <v>0.166666666686069</v>
          </cell>
          <cell r="BO116">
            <v>0.416666666627862</v>
          </cell>
          <cell r="BQ116">
            <v>0.33333333354676098</v>
          </cell>
          <cell r="BU116">
            <v>8.3333333255723105E-2</v>
          </cell>
          <cell r="BW116">
            <v>0.83333333325572301</v>
          </cell>
          <cell r="BY116">
            <v>1.83333333337214</v>
          </cell>
        </row>
        <row r="117">
          <cell r="AN117" t="str">
            <v>PSR-EX-1200OB</v>
          </cell>
          <cell r="AQ117" t="str">
            <v>PSR-EX-1200</v>
          </cell>
          <cell r="AR117" t="str">
            <v>Excavator</v>
          </cell>
          <cell r="AS117" t="str">
            <v>OB</v>
          </cell>
          <cell r="AT117">
            <v>0</v>
          </cell>
          <cell r="AU117">
            <v>83682.2999649048</v>
          </cell>
          <cell r="AV117">
            <v>0</v>
          </cell>
          <cell r="AW117">
            <v>242.9990234375</v>
          </cell>
          <cell r="AX117">
            <v>512</v>
          </cell>
          <cell r="AY117">
            <v>0</v>
          </cell>
          <cell r="BD117">
            <v>1.6666666666860701</v>
          </cell>
          <cell r="BE117">
            <v>82.216666666616206</v>
          </cell>
          <cell r="BF117">
            <v>8.9166666667442804</v>
          </cell>
          <cell r="BG117">
            <v>1.91666666662786</v>
          </cell>
          <cell r="BH117">
            <v>3.6333333320799301</v>
          </cell>
          <cell r="BI117">
            <v>24.349999999743901</v>
          </cell>
          <cell r="BJ117">
            <v>83.149999999673994</v>
          </cell>
          <cell r="BK117">
            <v>35.833333333313902</v>
          </cell>
          <cell r="BL117">
            <v>12</v>
          </cell>
          <cell r="BM117">
            <v>1.06666666665114</v>
          </cell>
          <cell r="BO117">
            <v>7.0000000009895302</v>
          </cell>
          <cell r="BP117">
            <v>7.2500000000582103</v>
          </cell>
          <cell r="BQ117">
            <v>6.1333333356887998</v>
          </cell>
          <cell r="BR117">
            <v>4.9166666652308804</v>
          </cell>
          <cell r="BU117">
            <v>0.51666666695382402</v>
          </cell>
          <cell r="BV117">
            <v>1.16666666662786</v>
          </cell>
          <cell r="BW117">
            <v>1.21666666661622</v>
          </cell>
          <cell r="BY117">
            <v>8.3333333255723105E-2</v>
          </cell>
        </row>
        <row r="118">
          <cell r="AN118" t="str">
            <v>PSR-PC-1800NON</v>
          </cell>
          <cell r="AQ118" t="str">
            <v>PSR-PC-1800</v>
          </cell>
          <cell r="AR118" t="str">
            <v>Excavator</v>
          </cell>
          <cell r="AS118" t="str">
            <v>NON</v>
          </cell>
          <cell r="AV118">
            <v>0</v>
          </cell>
          <cell r="AW118">
            <v>0</v>
          </cell>
          <cell r="AX118">
            <v>92</v>
          </cell>
          <cell r="AY118">
            <v>0</v>
          </cell>
          <cell r="BE118">
            <v>84</v>
          </cell>
          <cell r="BF118">
            <v>7.9999999998835802</v>
          </cell>
        </row>
        <row r="119">
          <cell r="AN119" t="str">
            <v>PSR-PC-1800OB</v>
          </cell>
          <cell r="AQ119" t="str">
            <v>PSR-PC-1800</v>
          </cell>
          <cell r="AR119" t="str">
            <v>Excavator</v>
          </cell>
          <cell r="AS119" t="str">
            <v>OB</v>
          </cell>
          <cell r="AT119">
            <v>0</v>
          </cell>
          <cell r="AU119">
            <v>209991.70015716599</v>
          </cell>
          <cell r="AV119">
            <v>0</v>
          </cell>
          <cell r="AW119">
            <v>384.80029296875</v>
          </cell>
          <cell r="AX119">
            <v>572</v>
          </cell>
          <cell r="AY119">
            <v>0</v>
          </cell>
          <cell r="AZ119">
            <v>4.2500000000582103</v>
          </cell>
          <cell r="BE119">
            <v>71.550000000104802</v>
          </cell>
          <cell r="BF119">
            <v>2.8333333333139299</v>
          </cell>
          <cell r="BH119">
            <v>3.51666666485835</v>
          </cell>
          <cell r="BI119">
            <v>30.700000000360902</v>
          </cell>
          <cell r="BJ119">
            <v>15.3500000002678</v>
          </cell>
          <cell r="BK119">
            <v>38.199999999836997</v>
          </cell>
          <cell r="BL119">
            <v>9.3333333333721402</v>
          </cell>
          <cell r="BM119">
            <v>2.3999999999650798</v>
          </cell>
          <cell r="BO119">
            <v>9.0666666682809591</v>
          </cell>
          <cell r="BQ119">
            <v>7.5833333351765804</v>
          </cell>
          <cell r="BR119">
            <v>7.7999999992316598</v>
          </cell>
          <cell r="BU119">
            <v>0.83333333395421505</v>
          </cell>
          <cell r="BV119">
            <v>0.88333333306945905</v>
          </cell>
          <cell r="BW119">
            <v>1.3333333329646799</v>
          </cell>
          <cell r="BY119">
            <v>0.116666666697711</v>
          </cell>
        </row>
        <row r="120">
          <cell r="AN120" t="str">
            <v>PSR-U/C-05NON</v>
          </cell>
          <cell r="AQ120" t="str">
            <v>PSR-U/C-05</v>
          </cell>
          <cell r="AR120" t="str">
            <v>Truck</v>
          </cell>
          <cell r="AS120" t="str">
            <v>NON</v>
          </cell>
          <cell r="AV120">
            <v>0</v>
          </cell>
          <cell r="AW120">
            <v>16</v>
          </cell>
          <cell r="AX120">
            <v>28.3333333333333</v>
          </cell>
          <cell r="AY120">
            <v>0</v>
          </cell>
          <cell r="BH120">
            <v>0.416666666627862</v>
          </cell>
          <cell r="BI120">
            <v>0.66666666674427699</v>
          </cell>
          <cell r="BJ120">
            <v>7.0833333333721402</v>
          </cell>
          <cell r="BL120">
            <v>3.75</v>
          </cell>
          <cell r="BO120">
            <v>0.41666666680248499</v>
          </cell>
          <cell r="BQ120">
            <v>0.41666666680248499</v>
          </cell>
          <cell r="BU120">
            <v>4.9999999988358503E-2</v>
          </cell>
          <cell r="BW120">
            <v>0.14999999996507499</v>
          </cell>
        </row>
        <row r="121">
          <cell r="AN121" t="str">
            <v>PSR-U/C-05OB</v>
          </cell>
          <cell r="AQ121" t="str">
            <v>PSR-U/C-05</v>
          </cell>
          <cell r="AR121" t="str">
            <v>Truck</v>
          </cell>
          <cell r="AS121" t="str">
            <v>OB</v>
          </cell>
          <cell r="AT121">
            <v>372</v>
          </cell>
          <cell r="AU121">
            <v>8184</v>
          </cell>
          <cell r="AV121">
            <v>0</v>
          </cell>
          <cell r="AW121">
            <v>159</v>
          </cell>
          <cell r="AX121">
            <v>591.66666666666697</v>
          </cell>
          <cell r="AY121">
            <v>0</v>
          </cell>
          <cell r="AZ121">
            <v>24</v>
          </cell>
          <cell r="BD121">
            <v>1.9000000000814901</v>
          </cell>
          <cell r="BH121">
            <v>3.4166666661039899</v>
          </cell>
          <cell r="BI121">
            <v>11.583333333197499</v>
          </cell>
          <cell r="BJ121">
            <v>377.66666666697699</v>
          </cell>
          <cell r="BK121">
            <v>2.7499999998835798</v>
          </cell>
          <cell r="BL121">
            <v>7.9999999998835802</v>
          </cell>
          <cell r="BO121">
            <v>2.43333333358169</v>
          </cell>
          <cell r="BQ121">
            <v>3.5000000009313199</v>
          </cell>
          <cell r="BS121">
            <v>0.81666666688397505</v>
          </cell>
          <cell r="BU121">
            <v>0.66666666709352296</v>
          </cell>
          <cell r="BW121">
            <v>0.14999999996507499</v>
          </cell>
        </row>
        <row r="122">
          <cell r="AN122" t="str">
            <v>PSR-U/C-06NON</v>
          </cell>
          <cell r="AQ122" t="str">
            <v>PSR-U/C-06</v>
          </cell>
          <cell r="AR122" t="str">
            <v>Truck</v>
          </cell>
          <cell r="AS122" t="str">
            <v>NON</v>
          </cell>
          <cell r="AV122">
            <v>0</v>
          </cell>
          <cell r="AW122">
            <v>3</v>
          </cell>
          <cell r="AX122">
            <v>4</v>
          </cell>
          <cell r="AY122">
            <v>0</v>
          </cell>
          <cell r="BJ122">
            <v>1.00000000011642</v>
          </cell>
          <cell r="BS122">
            <v>3.33333332673647E-2</v>
          </cell>
          <cell r="BW122">
            <v>0.150000000139698</v>
          </cell>
        </row>
        <row r="123">
          <cell r="AN123" t="str">
            <v>PSR-U/C-06OB</v>
          </cell>
          <cell r="AQ123" t="str">
            <v>PSR-U/C-06</v>
          </cell>
          <cell r="AR123" t="str">
            <v>Truck</v>
          </cell>
          <cell r="AS123" t="str">
            <v>OB</v>
          </cell>
          <cell r="AT123">
            <v>187</v>
          </cell>
          <cell r="AU123">
            <v>4114</v>
          </cell>
          <cell r="AV123">
            <v>0</v>
          </cell>
          <cell r="AW123">
            <v>71</v>
          </cell>
          <cell r="AX123">
            <v>616</v>
          </cell>
          <cell r="AY123">
            <v>0</v>
          </cell>
          <cell r="BE123">
            <v>7.9999999998835802</v>
          </cell>
          <cell r="BG123">
            <v>300.00000000034902</v>
          </cell>
          <cell r="BH123">
            <v>1.41666666639503</v>
          </cell>
          <cell r="BI123">
            <v>8.9166666667442804</v>
          </cell>
          <cell r="BJ123">
            <v>216.41666666645301</v>
          </cell>
          <cell r="BK123">
            <v>8.25</v>
          </cell>
          <cell r="BO123">
            <v>2.0000000005820802</v>
          </cell>
          <cell r="BQ123">
            <v>1.75000000046566</v>
          </cell>
          <cell r="BS123">
            <v>0.63333333365153499</v>
          </cell>
          <cell r="BU123">
            <v>0.56666666676755995</v>
          </cell>
        </row>
        <row r="124">
          <cell r="AN124" t="str">
            <v>PSR-U/C-08NON</v>
          </cell>
          <cell r="AQ124" t="str">
            <v>PSR-U/C-08</v>
          </cell>
          <cell r="AR124" t="str">
            <v>Truck</v>
          </cell>
          <cell r="AS124" t="str">
            <v>NON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</row>
        <row r="125">
          <cell r="AN125" t="str">
            <v>PSR-U/C-08OB</v>
          </cell>
          <cell r="AQ125" t="str">
            <v>PSR-U/C-08</v>
          </cell>
          <cell r="AR125" t="str">
            <v>Truck</v>
          </cell>
          <cell r="AS125" t="str">
            <v>OB</v>
          </cell>
          <cell r="AT125">
            <v>224</v>
          </cell>
          <cell r="AU125">
            <v>4928</v>
          </cell>
          <cell r="AV125">
            <v>0</v>
          </cell>
          <cell r="AW125">
            <v>87</v>
          </cell>
          <cell r="AX125">
            <v>620</v>
          </cell>
          <cell r="AY125">
            <v>0</v>
          </cell>
          <cell r="BE125">
            <v>418.91666666680197</v>
          </cell>
          <cell r="BH125">
            <v>1.58333333360497</v>
          </cell>
          <cell r="BI125">
            <v>6</v>
          </cell>
          <cell r="BJ125">
            <v>104.000000000233</v>
          </cell>
          <cell r="BO125">
            <v>2.5000000001164202</v>
          </cell>
          <cell r="BQ125">
            <v>2.25</v>
          </cell>
          <cell r="BS125">
            <v>0.70000000001164198</v>
          </cell>
          <cell r="BU125">
            <v>0.38333333336049702</v>
          </cell>
        </row>
        <row r="126">
          <cell r="AN126" t="str">
            <v>PSR-U/C-09NON</v>
          </cell>
          <cell r="AQ126" t="str">
            <v>PSR-U/C-09</v>
          </cell>
          <cell r="AR126" t="str">
            <v>Truck</v>
          </cell>
          <cell r="AS126" t="str">
            <v>NON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</row>
        <row r="127">
          <cell r="AN127" t="str">
            <v>PSR-U/C-09OB</v>
          </cell>
          <cell r="AQ127" t="str">
            <v>PSR-U/C-09</v>
          </cell>
          <cell r="AR127" t="str">
            <v>Truck</v>
          </cell>
          <cell r="AS127" t="str">
            <v>OB</v>
          </cell>
          <cell r="AT127">
            <v>334</v>
          </cell>
          <cell r="AU127">
            <v>7348</v>
          </cell>
          <cell r="AV127">
            <v>0</v>
          </cell>
          <cell r="AW127">
            <v>136</v>
          </cell>
          <cell r="AX127">
            <v>620</v>
          </cell>
          <cell r="AY127">
            <v>0</v>
          </cell>
          <cell r="BE127">
            <v>16.000000000116401</v>
          </cell>
          <cell r="BF127">
            <v>49.666666667035301</v>
          </cell>
          <cell r="BG127">
            <v>263.91666666674399</v>
          </cell>
          <cell r="BH127">
            <v>2.9166666665696499</v>
          </cell>
          <cell r="BI127">
            <v>9.9999999999417906</v>
          </cell>
          <cell r="BJ127">
            <v>138.16666666721</v>
          </cell>
          <cell r="BO127">
            <v>3.2500000001164202</v>
          </cell>
          <cell r="BQ127">
            <v>3.66666666674428</v>
          </cell>
          <cell r="BS127">
            <v>1.21666666696547</v>
          </cell>
          <cell r="BU127">
            <v>0.68333333329064805</v>
          </cell>
        </row>
        <row r="128">
          <cell r="AN128" t="str">
            <v>PSR-U/C-10NON</v>
          </cell>
          <cell r="AQ128" t="str">
            <v>PSR-U/C-10</v>
          </cell>
          <cell r="AR128" t="str">
            <v>Truck</v>
          </cell>
          <cell r="AS128" t="str">
            <v>NON</v>
          </cell>
          <cell r="AV128">
            <v>0</v>
          </cell>
          <cell r="AW128">
            <v>2</v>
          </cell>
          <cell r="AX128">
            <v>16</v>
          </cell>
          <cell r="AY128">
            <v>0</v>
          </cell>
          <cell r="BF128">
            <v>6.9166666666860701</v>
          </cell>
          <cell r="BH128">
            <v>0.24999999994179201</v>
          </cell>
          <cell r="BJ128">
            <v>6.5833333333139299</v>
          </cell>
          <cell r="BO128">
            <v>0.24999999994179201</v>
          </cell>
          <cell r="BQ128">
            <v>0.16666666686069201</v>
          </cell>
        </row>
        <row r="129">
          <cell r="AN129" t="str">
            <v>PSR-U/C-10OB</v>
          </cell>
          <cell r="AQ129" t="str">
            <v>PSR-U/C-10</v>
          </cell>
          <cell r="AR129" t="str">
            <v>Truck</v>
          </cell>
          <cell r="AS129" t="str">
            <v>OB</v>
          </cell>
          <cell r="AT129">
            <v>461</v>
          </cell>
          <cell r="AU129">
            <v>10142</v>
          </cell>
          <cell r="AV129">
            <v>0</v>
          </cell>
          <cell r="AW129">
            <v>184</v>
          </cell>
          <cell r="AX129">
            <v>604</v>
          </cell>
          <cell r="AY129">
            <v>0</v>
          </cell>
          <cell r="BE129">
            <v>26.000000000232799</v>
          </cell>
          <cell r="BH129">
            <v>3.8333333329064798</v>
          </cell>
          <cell r="BI129">
            <v>15.8333333334303</v>
          </cell>
          <cell r="BJ129">
            <v>351.83333333325601</v>
          </cell>
          <cell r="BK129">
            <v>11.3333333334303</v>
          </cell>
          <cell r="BO129">
            <v>3.5833333334885502</v>
          </cell>
          <cell r="BP129">
            <v>7.5833333334303497</v>
          </cell>
          <cell r="BQ129">
            <v>4.4166666679666404</v>
          </cell>
          <cell r="BS129">
            <v>1.53333333361661</v>
          </cell>
          <cell r="BU129">
            <v>1.2000000000698501</v>
          </cell>
        </row>
        <row r="130">
          <cell r="AN130" t="str">
            <v>PTP-D40KS-01NON</v>
          </cell>
          <cell r="AQ130" t="str">
            <v>PTP-D40KS-01</v>
          </cell>
          <cell r="AR130" t="str">
            <v>Drilling</v>
          </cell>
          <cell r="AS130" t="str">
            <v>NON</v>
          </cell>
          <cell r="AT130">
            <v>0</v>
          </cell>
          <cell r="AU130">
            <v>6686.9000015258798</v>
          </cell>
          <cell r="AV130">
            <v>0</v>
          </cell>
          <cell r="AW130">
            <v>164.40234375</v>
          </cell>
          <cell r="AX130">
            <v>664</v>
          </cell>
          <cell r="AY130">
            <v>0</v>
          </cell>
          <cell r="BE130">
            <v>142.00000000011599</v>
          </cell>
          <cell r="BF130">
            <v>48</v>
          </cell>
          <cell r="BH130">
            <v>0.58333333279006205</v>
          </cell>
          <cell r="BI130">
            <v>2.6333333333605</v>
          </cell>
          <cell r="BJ130">
            <v>301.35000000090798</v>
          </cell>
          <cell r="BK130">
            <v>0.35000000009313198</v>
          </cell>
          <cell r="BM130">
            <v>0.96666666667442802</v>
          </cell>
          <cell r="BN130">
            <v>1.7666666664881601</v>
          </cell>
          <cell r="BO130">
            <v>1.9500000004191</v>
          </cell>
          <cell r="BQ130">
            <v>3.0166666658478798</v>
          </cell>
          <cell r="BU130">
            <v>0.25000000011641499</v>
          </cell>
          <cell r="BV130">
            <v>1.99999999988358</v>
          </cell>
          <cell r="BW130">
            <v>4.9166666666278598</v>
          </cell>
        </row>
        <row r="131">
          <cell r="AN131" t="str">
            <v>RA-PC-300Coal</v>
          </cell>
          <cell r="AQ131" t="str">
            <v>RA-PC-300</v>
          </cell>
          <cell r="AR131" t="str">
            <v>Excavator</v>
          </cell>
          <cell r="AS131" t="str">
            <v>Coal</v>
          </cell>
          <cell r="AT131">
            <v>0</v>
          </cell>
          <cell r="AU131">
            <v>11113.779991149901</v>
          </cell>
          <cell r="AV131">
            <v>0</v>
          </cell>
          <cell r="AW131">
            <v>92.699999690055805</v>
          </cell>
          <cell r="AX131">
            <v>153</v>
          </cell>
          <cell r="AY131">
            <v>0</v>
          </cell>
          <cell r="BB131">
            <v>0.50000000005820799</v>
          </cell>
          <cell r="BH131">
            <v>0.94999999995343398</v>
          </cell>
          <cell r="BI131">
            <v>5.3333333330811001</v>
          </cell>
          <cell r="BJ131">
            <v>41.066666666243698</v>
          </cell>
          <cell r="BK131">
            <v>7.9999999998835802</v>
          </cell>
          <cell r="BM131">
            <v>0.75</v>
          </cell>
          <cell r="BN131">
            <v>1.2500000000582101</v>
          </cell>
          <cell r="BO131">
            <v>2.4500000003026798</v>
          </cell>
          <cell r="BQ131">
            <v>1.85000000044238</v>
          </cell>
          <cell r="BR131">
            <v>1.75000000011642</v>
          </cell>
          <cell r="BU131">
            <v>6.6666666709352299E-2</v>
          </cell>
          <cell r="BW131">
            <v>0.19999999995343401</v>
          </cell>
        </row>
        <row r="132">
          <cell r="AN132" t="str">
            <v>RA-PC-300NON</v>
          </cell>
          <cell r="AQ132" t="str">
            <v>RA-PC-300</v>
          </cell>
          <cell r="AR132" t="str">
            <v>Excavator</v>
          </cell>
          <cell r="AS132" t="str">
            <v>NON</v>
          </cell>
          <cell r="AV132">
            <v>0</v>
          </cell>
          <cell r="AW132">
            <v>187.90000009536701</v>
          </cell>
          <cell r="AX132">
            <v>511</v>
          </cell>
          <cell r="AY132">
            <v>0</v>
          </cell>
          <cell r="BE132">
            <v>27.999999999941799</v>
          </cell>
          <cell r="BH132">
            <v>2.3666666666977099</v>
          </cell>
          <cell r="BI132">
            <v>10.6666666663368</v>
          </cell>
          <cell r="BJ132">
            <v>261.06666666670901</v>
          </cell>
          <cell r="BK132">
            <v>18.249999999941799</v>
          </cell>
          <cell r="BM132">
            <v>0.416666666627862</v>
          </cell>
          <cell r="BN132">
            <v>0.50000000005820799</v>
          </cell>
          <cell r="BO132">
            <v>1.83333333302289</v>
          </cell>
          <cell r="BQ132">
            <v>3.2833333339076498</v>
          </cell>
          <cell r="BR132">
            <v>0.29999999993015097</v>
          </cell>
          <cell r="BU132">
            <v>0.78333333344198797</v>
          </cell>
          <cell r="BV132">
            <v>0.50000000005820799</v>
          </cell>
          <cell r="BW132">
            <v>2.6666666666278598</v>
          </cell>
          <cell r="BY132">
            <v>20.1666666665697</v>
          </cell>
        </row>
        <row r="133">
          <cell r="AN133" t="str">
            <v>RA-PC-350Coal</v>
          </cell>
          <cell r="AQ133" t="str">
            <v>RA-PC-350</v>
          </cell>
          <cell r="AR133" t="str">
            <v>Excavator</v>
          </cell>
          <cell r="AS133" t="str">
            <v>Coal</v>
          </cell>
          <cell r="AT133">
            <v>0</v>
          </cell>
          <cell r="AU133">
            <v>13163.7700061798</v>
          </cell>
          <cell r="AV133">
            <v>0</v>
          </cell>
          <cell r="AW133">
            <v>116.599999621511</v>
          </cell>
          <cell r="AX133">
            <v>199</v>
          </cell>
          <cell r="AY133">
            <v>0</v>
          </cell>
          <cell r="BH133">
            <v>1.3499999998603001</v>
          </cell>
          <cell r="BI133">
            <v>7.4999999996507496</v>
          </cell>
          <cell r="BJ133">
            <v>46.666666667035301</v>
          </cell>
          <cell r="BK133">
            <v>22.1333333333605</v>
          </cell>
          <cell r="BM133">
            <v>0.58333333313930802</v>
          </cell>
          <cell r="BN133">
            <v>0.50000000005820799</v>
          </cell>
          <cell r="BO133">
            <v>3.6666666665696499</v>
          </cell>
          <cell r="BQ133">
            <v>2.40000000066357</v>
          </cell>
          <cell r="BR133">
            <v>2.7333333326387201</v>
          </cell>
          <cell r="BU133">
            <v>0.31666666647652197</v>
          </cell>
          <cell r="BV133">
            <v>0.333333333372138</v>
          </cell>
          <cell r="BW133">
            <v>0.583333333313931</v>
          </cell>
        </row>
        <row r="134">
          <cell r="AN134" t="str">
            <v>RA-PC-350NON</v>
          </cell>
          <cell r="AQ134" t="str">
            <v>RA-PC-350</v>
          </cell>
          <cell r="AR134" t="str">
            <v>Excavator</v>
          </cell>
          <cell r="AS134" t="str">
            <v>NON</v>
          </cell>
          <cell r="AV134">
            <v>0</v>
          </cell>
          <cell r="AW134">
            <v>48.800000190734899</v>
          </cell>
          <cell r="AX134">
            <v>465</v>
          </cell>
          <cell r="AY134">
            <v>0</v>
          </cell>
          <cell r="BE134">
            <v>318.00000000034902</v>
          </cell>
          <cell r="BF134">
            <v>12</v>
          </cell>
          <cell r="BH134">
            <v>0.74999999982537702</v>
          </cell>
          <cell r="BI134">
            <v>2.0000000000582099</v>
          </cell>
          <cell r="BJ134">
            <v>77.200000000011599</v>
          </cell>
          <cell r="BK134">
            <v>5.3333333332557196</v>
          </cell>
          <cell r="BM134">
            <v>0.166666666686069</v>
          </cell>
          <cell r="BO134">
            <v>0.75</v>
          </cell>
          <cell r="BQ134">
            <v>0.83333333343034599</v>
          </cell>
          <cell r="BR134">
            <v>0.24999999994179201</v>
          </cell>
          <cell r="BU134">
            <v>9.9999999976716894E-2</v>
          </cell>
          <cell r="BW134">
            <v>0.53333333350019496</v>
          </cell>
          <cell r="BY134">
            <v>8.5000000001164207</v>
          </cell>
        </row>
        <row r="135">
          <cell r="AN135" t="str">
            <v>RA-RA01Coal</v>
          </cell>
          <cell r="AQ135" t="str">
            <v>RA-RA01</v>
          </cell>
          <cell r="AR135" t="str">
            <v>Truck</v>
          </cell>
          <cell r="AS135" t="str">
            <v>Coal</v>
          </cell>
          <cell r="AT135">
            <v>103</v>
          </cell>
          <cell r="AU135">
            <v>2284.8900146484398</v>
          </cell>
          <cell r="AV135">
            <v>0</v>
          </cell>
          <cell r="AW135">
            <v>0</v>
          </cell>
          <cell r="AX135">
            <v>304</v>
          </cell>
          <cell r="AY135">
            <v>0</v>
          </cell>
        </row>
        <row r="136">
          <cell r="AN136" t="str">
            <v>RA-RA02Coal</v>
          </cell>
          <cell r="AQ136" t="str">
            <v>RA-RA02</v>
          </cell>
          <cell r="AR136" t="str">
            <v>Truck</v>
          </cell>
          <cell r="AS136" t="str">
            <v>Coal</v>
          </cell>
          <cell r="AT136">
            <v>106</v>
          </cell>
          <cell r="AU136">
            <v>2358.1899967193599</v>
          </cell>
          <cell r="AV136">
            <v>0</v>
          </cell>
          <cell r="AW136">
            <v>0</v>
          </cell>
          <cell r="AX136">
            <v>336</v>
          </cell>
          <cell r="AY136">
            <v>0</v>
          </cell>
        </row>
        <row r="137">
          <cell r="AN137" t="str">
            <v>RA-RA04Coal</v>
          </cell>
          <cell r="AQ137" t="str">
            <v>RA-RA04</v>
          </cell>
          <cell r="AR137" t="str">
            <v>Truck</v>
          </cell>
          <cell r="AS137" t="str">
            <v>Coal</v>
          </cell>
          <cell r="AT137">
            <v>105</v>
          </cell>
          <cell r="AU137">
            <v>2325.3899898529098</v>
          </cell>
          <cell r="AV137">
            <v>0</v>
          </cell>
          <cell r="AW137">
            <v>0</v>
          </cell>
          <cell r="AX137">
            <v>320</v>
          </cell>
          <cell r="AY137">
            <v>0</v>
          </cell>
        </row>
        <row r="138">
          <cell r="AN138" t="str">
            <v>RA-RA05Coal</v>
          </cell>
          <cell r="AQ138" t="str">
            <v>RA-RA05</v>
          </cell>
          <cell r="AR138" t="str">
            <v>Truck</v>
          </cell>
          <cell r="AS138" t="str">
            <v>Coal</v>
          </cell>
          <cell r="AT138">
            <v>112</v>
          </cell>
          <cell r="AU138">
            <v>2371.0999927520802</v>
          </cell>
          <cell r="AV138">
            <v>0</v>
          </cell>
          <cell r="AW138">
            <v>0</v>
          </cell>
          <cell r="AX138">
            <v>320</v>
          </cell>
          <cell r="AY138">
            <v>0</v>
          </cell>
        </row>
        <row r="139">
          <cell r="AN139" t="str">
            <v>RA-RA06Coal</v>
          </cell>
          <cell r="AQ139" t="str">
            <v>RA-RA06</v>
          </cell>
          <cell r="AR139" t="str">
            <v>Truck</v>
          </cell>
          <cell r="AS139" t="str">
            <v>Coal</v>
          </cell>
          <cell r="AT139">
            <v>125</v>
          </cell>
          <cell r="AU139">
            <v>2762.9099826812699</v>
          </cell>
          <cell r="AV139">
            <v>0</v>
          </cell>
          <cell r="AW139">
            <v>0</v>
          </cell>
          <cell r="AX139">
            <v>352</v>
          </cell>
          <cell r="AY139">
            <v>0</v>
          </cell>
        </row>
        <row r="140">
          <cell r="AN140" t="str">
            <v>RA-RA07Coal</v>
          </cell>
          <cell r="AQ140" t="str">
            <v>RA-RA07</v>
          </cell>
          <cell r="AR140" t="str">
            <v>Truck</v>
          </cell>
          <cell r="AS140" t="str">
            <v>Coal</v>
          </cell>
          <cell r="AT140">
            <v>80</v>
          </cell>
          <cell r="AU140">
            <v>1720.4500102996799</v>
          </cell>
          <cell r="AV140">
            <v>0</v>
          </cell>
          <cell r="AW140">
            <v>0</v>
          </cell>
          <cell r="AX140">
            <v>282</v>
          </cell>
          <cell r="AY140">
            <v>0</v>
          </cell>
        </row>
        <row r="141">
          <cell r="AN141" t="str">
            <v>RA-RA08Coal</v>
          </cell>
          <cell r="AQ141" t="str">
            <v>RA-RA08</v>
          </cell>
          <cell r="AR141" t="str">
            <v>Truck</v>
          </cell>
          <cell r="AS141" t="str">
            <v>Coal</v>
          </cell>
          <cell r="AT141">
            <v>46</v>
          </cell>
          <cell r="AU141">
            <v>1003.21000099182</v>
          </cell>
          <cell r="AV141">
            <v>0</v>
          </cell>
          <cell r="AW141">
            <v>0</v>
          </cell>
          <cell r="AX141">
            <v>142</v>
          </cell>
          <cell r="AY141">
            <v>0</v>
          </cell>
        </row>
        <row r="142">
          <cell r="AN142" t="str">
            <v>RA-RA09Coal</v>
          </cell>
          <cell r="AQ142" t="str">
            <v>RA-RA09</v>
          </cell>
          <cell r="AR142" t="str">
            <v>Truck</v>
          </cell>
          <cell r="AS142" t="str">
            <v>Coal</v>
          </cell>
          <cell r="AT142">
            <v>80</v>
          </cell>
          <cell r="AU142">
            <v>1760.7100162506099</v>
          </cell>
          <cell r="AV142">
            <v>0</v>
          </cell>
          <cell r="AW142">
            <v>0</v>
          </cell>
          <cell r="AX142">
            <v>288</v>
          </cell>
          <cell r="AY142">
            <v>0</v>
          </cell>
        </row>
        <row r="143">
          <cell r="AN143" t="str">
            <v>RA-RA10Coal</v>
          </cell>
          <cell r="AQ143" t="str">
            <v>RA-RA10</v>
          </cell>
          <cell r="AR143" t="str">
            <v>Truck</v>
          </cell>
          <cell r="AS143" t="str">
            <v>Coal</v>
          </cell>
          <cell r="AT143">
            <v>63</v>
          </cell>
          <cell r="AU143">
            <v>1181.4400062561001</v>
          </cell>
          <cell r="AV143">
            <v>0</v>
          </cell>
          <cell r="AW143">
            <v>0</v>
          </cell>
          <cell r="AX143">
            <v>220</v>
          </cell>
          <cell r="AY143">
            <v>0</v>
          </cell>
        </row>
        <row r="144">
          <cell r="AN144" t="str">
            <v>RA-RA11Coal</v>
          </cell>
          <cell r="AQ144" t="str">
            <v>RA-RA11</v>
          </cell>
          <cell r="AR144" t="str">
            <v>Truck</v>
          </cell>
          <cell r="AS144" t="str">
            <v>Coal</v>
          </cell>
          <cell r="AT144">
            <v>68</v>
          </cell>
          <cell r="AU144">
            <v>1496.4700012206999</v>
          </cell>
          <cell r="AV144">
            <v>0</v>
          </cell>
          <cell r="AW144">
            <v>0</v>
          </cell>
          <cell r="AX144">
            <v>210</v>
          </cell>
          <cell r="AY144">
            <v>0</v>
          </cell>
        </row>
        <row r="145">
          <cell r="AN145" t="str">
            <v>RA-RA12Coal</v>
          </cell>
          <cell r="AQ145" t="str">
            <v>RA-RA12</v>
          </cell>
          <cell r="AR145" t="str">
            <v>Truck</v>
          </cell>
          <cell r="AS145" t="str">
            <v>Coal</v>
          </cell>
          <cell r="AT145">
            <v>91</v>
          </cell>
          <cell r="AU145">
            <v>1702.75999069214</v>
          </cell>
          <cell r="AV145">
            <v>0</v>
          </cell>
          <cell r="AW145">
            <v>0</v>
          </cell>
          <cell r="AX145">
            <v>266</v>
          </cell>
          <cell r="AY145">
            <v>0</v>
          </cell>
        </row>
        <row r="146">
          <cell r="AN146" t="str">
            <v>RA-RA14Coal</v>
          </cell>
          <cell r="AQ146" t="str">
            <v>RA-RA14</v>
          </cell>
          <cell r="AR146" t="str">
            <v>Truck</v>
          </cell>
          <cell r="AS146" t="str">
            <v>Coal</v>
          </cell>
          <cell r="AT146">
            <v>86</v>
          </cell>
          <cell r="AU146">
            <v>1623.98000144958</v>
          </cell>
          <cell r="AV146">
            <v>0</v>
          </cell>
          <cell r="AW146">
            <v>0</v>
          </cell>
          <cell r="AX146">
            <v>250</v>
          </cell>
          <cell r="AY146">
            <v>0</v>
          </cell>
        </row>
        <row r="147">
          <cell r="AN147" t="str">
            <v>RA-RA15Coal</v>
          </cell>
          <cell r="AQ147" t="str">
            <v>RA-RA15</v>
          </cell>
          <cell r="AR147" t="str">
            <v>Truck</v>
          </cell>
          <cell r="AS147" t="str">
            <v>Coal</v>
          </cell>
          <cell r="AT147">
            <v>69</v>
          </cell>
          <cell r="AU147">
            <v>1524.9199924469001</v>
          </cell>
          <cell r="AV147">
            <v>0</v>
          </cell>
          <cell r="AW147">
            <v>0</v>
          </cell>
          <cell r="AX147">
            <v>234</v>
          </cell>
          <cell r="AY147">
            <v>0</v>
          </cell>
        </row>
        <row r="148">
          <cell r="AN148" t="str">
            <v>RA-RA16Coal</v>
          </cell>
          <cell r="AQ148" t="str">
            <v>RA-RA16</v>
          </cell>
          <cell r="AR148" t="str">
            <v>Truck</v>
          </cell>
          <cell r="AS148" t="str">
            <v>Coal</v>
          </cell>
          <cell r="AT148">
            <v>80</v>
          </cell>
          <cell r="AU148">
            <v>1716.7899971008301</v>
          </cell>
          <cell r="AV148">
            <v>0</v>
          </cell>
          <cell r="AW148">
            <v>0</v>
          </cell>
          <cell r="AX148">
            <v>264</v>
          </cell>
          <cell r="AY148">
            <v>0</v>
          </cell>
        </row>
        <row r="149">
          <cell r="AN149" t="str">
            <v>RNT-EX-VOLVO-460NON</v>
          </cell>
          <cell r="AQ149" t="str">
            <v>RNT-EX-VOLVO-460</v>
          </cell>
          <cell r="AR149" t="str">
            <v>Excavator</v>
          </cell>
          <cell r="AS149" t="str">
            <v>NON</v>
          </cell>
          <cell r="AV149">
            <v>0</v>
          </cell>
          <cell r="AW149">
            <v>114.89990234375</v>
          </cell>
          <cell r="AX149">
            <v>472</v>
          </cell>
          <cell r="AY149">
            <v>0</v>
          </cell>
          <cell r="BD149">
            <v>0.39999999990686802</v>
          </cell>
          <cell r="BE149">
            <v>29.816666666767599</v>
          </cell>
          <cell r="BF149">
            <v>166.00000000011599</v>
          </cell>
          <cell r="BH149">
            <v>1.3166666662436901</v>
          </cell>
          <cell r="BI149">
            <v>5.8333333333139299</v>
          </cell>
          <cell r="BJ149">
            <v>90.683333333115996</v>
          </cell>
          <cell r="BL149">
            <v>28.000000000116401</v>
          </cell>
          <cell r="BM149">
            <v>0.68333333294140197</v>
          </cell>
          <cell r="BN149">
            <v>0.25000000011641499</v>
          </cell>
          <cell r="BO149">
            <v>2.5333333339076498</v>
          </cell>
          <cell r="BP149">
            <v>31.583333333255698</v>
          </cell>
          <cell r="BQ149">
            <v>2.5500000008032702</v>
          </cell>
          <cell r="BU149">
            <v>0.28333333338377997</v>
          </cell>
          <cell r="BW149">
            <v>0.88333333324408203</v>
          </cell>
          <cell r="BY149">
            <v>22.416666666394999</v>
          </cell>
        </row>
        <row r="150">
          <cell r="AN150" t="str">
            <v>RNT-EX-VOLVO-460OB</v>
          </cell>
          <cell r="AQ150" t="str">
            <v>RNT-EX-VOLVO-460</v>
          </cell>
          <cell r="AR150" t="str">
            <v>Excavator</v>
          </cell>
          <cell r="AS150" t="str">
            <v>OB</v>
          </cell>
          <cell r="AT150">
            <v>0</v>
          </cell>
          <cell r="AU150">
            <v>20534</v>
          </cell>
          <cell r="AV150">
            <v>0</v>
          </cell>
          <cell r="AW150">
            <v>131.699951171875</v>
          </cell>
          <cell r="AX150">
            <v>192</v>
          </cell>
          <cell r="AY150">
            <v>0</v>
          </cell>
          <cell r="BC150">
            <v>0.416666666627862</v>
          </cell>
          <cell r="BH150">
            <v>1.66666666651145</v>
          </cell>
          <cell r="BI150">
            <v>11.049999999871901</v>
          </cell>
          <cell r="BJ150">
            <v>26.299999999988401</v>
          </cell>
          <cell r="BK150">
            <v>8.1500000001979096</v>
          </cell>
          <cell r="BL150">
            <v>5.8000000000465697</v>
          </cell>
          <cell r="BM150">
            <v>0.90000000031432104</v>
          </cell>
          <cell r="BN150">
            <v>0.333333333372138</v>
          </cell>
          <cell r="BO150">
            <v>5.6833333338727199</v>
          </cell>
          <cell r="BQ150">
            <v>2.7666666667792001</v>
          </cell>
          <cell r="BR150">
            <v>2.0666666669421798</v>
          </cell>
          <cell r="BU150">
            <v>0.31666666665114501</v>
          </cell>
          <cell r="BV150">
            <v>0.166666666686069</v>
          </cell>
          <cell r="BW150">
            <v>0.66666666674427699</v>
          </cell>
        </row>
        <row r="151">
          <cell r="AN151" t="str">
            <v>RNT-EX-VOLVO460-C14NON</v>
          </cell>
          <cell r="AQ151" t="str">
            <v>RNT-EX-VOLVO460-C14</v>
          </cell>
          <cell r="AR151" t="str">
            <v>Excavator</v>
          </cell>
          <cell r="AS151" t="str">
            <v>NON</v>
          </cell>
          <cell r="AV151">
            <v>0</v>
          </cell>
          <cell r="AW151">
            <v>0</v>
          </cell>
          <cell r="AX151">
            <v>182</v>
          </cell>
          <cell r="AY151">
            <v>0</v>
          </cell>
          <cell r="BE151">
            <v>174.00000000017499</v>
          </cell>
          <cell r="BF151">
            <v>7.9999999998835802</v>
          </cell>
        </row>
        <row r="152">
          <cell r="AN152">
            <v>0</v>
          </cell>
        </row>
        <row r="153">
          <cell r="AN153">
            <v>0</v>
          </cell>
        </row>
        <row r="154">
          <cell r="AN154">
            <v>0</v>
          </cell>
        </row>
        <row r="155">
          <cell r="AN155">
            <v>0</v>
          </cell>
        </row>
        <row r="156">
          <cell r="AN156">
            <v>0</v>
          </cell>
        </row>
        <row r="157">
          <cell r="AN157">
            <v>0</v>
          </cell>
        </row>
        <row r="158">
          <cell r="AN158">
            <v>0</v>
          </cell>
        </row>
        <row r="159">
          <cell r="AN159">
            <v>0</v>
          </cell>
        </row>
        <row r="160">
          <cell r="AN160">
            <v>0</v>
          </cell>
        </row>
        <row r="161">
          <cell r="AN161">
            <v>0</v>
          </cell>
        </row>
        <row r="162">
          <cell r="AN162">
            <v>0</v>
          </cell>
        </row>
        <row r="163">
          <cell r="AN163">
            <v>0</v>
          </cell>
        </row>
        <row r="164">
          <cell r="AN164">
            <v>0</v>
          </cell>
        </row>
        <row r="165">
          <cell r="AN165">
            <v>0</v>
          </cell>
        </row>
        <row r="166">
          <cell r="AN166">
            <v>0</v>
          </cell>
        </row>
        <row r="167">
          <cell r="AN167">
            <v>0</v>
          </cell>
        </row>
        <row r="168">
          <cell r="AN168">
            <v>0</v>
          </cell>
        </row>
        <row r="169">
          <cell r="AN169">
            <v>0</v>
          </cell>
        </row>
        <row r="170">
          <cell r="AN170">
            <v>0</v>
          </cell>
        </row>
        <row r="171">
          <cell r="AN171">
            <v>0</v>
          </cell>
        </row>
        <row r="172">
          <cell r="AN172">
            <v>0</v>
          </cell>
        </row>
        <row r="173">
          <cell r="AN173">
            <v>0</v>
          </cell>
        </row>
        <row r="174">
          <cell r="AN174">
            <v>0</v>
          </cell>
        </row>
        <row r="175">
          <cell r="AN175">
            <v>0</v>
          </cell>
        </row>
        <row r="176">
          <cell r="AN176">
            <v>0</v>
          </cell>
        </row>
        <row r="177">
          <cell r="AN177">
            <v>0</v>
          </cell>
        </row>
        <row r="178">
          <cell r="AN178">
            <v>0</v>
          </cell>
        </row>
        <row r="179">
          <cell r="AN179">
            <v>0</v>
          </cell>
        </row>
        <row r="180">
          <cell r="AN180">
            <v>0</v>
          </cell>
        </row>
        <row r="181">
          <cell r="AN181">
            <v>0</v>
          </cell>
        </row>
        <row r="182">
          <cell r="AN182">
            <v>0</v>
          </cell>
        </row>
        <row r="183">
          <cell r="AN183">
            <v>0</v>
          </cell>
        </row>
        <row r="184">
          <cell r="AN184">
            <v>0</v>
          </cell>
        </row>
        <row r="185">
          <cell r="AN185">
            <v>0</v>
          </cell>
        </row>
        <row r="186">
          <cell r="AN186">
            <v>0</v>
          </cell>
        </row>
        <row r="187">
          <cell r="AN187">
            <v>0</v>
          </cell>
        </row>
        <row r="188">
          <cell r="AN188">
            <v>0</v>
          </cell>
        </row>
        <row r="189">
          <cell r="AN189">
            <v>0</v>
          </cell>
        </row>
        <row r="190">
          <cell r="AN190">
            <v>0</v>
          </cell>
        </row>
        <row r="191">
          <cell r="AN191">
            <v>0</v>
          </cell>
        </row>
        <row r="192">
          <cell r="AN192">
            <v>0</v>
          </cell>
        </row>
        <row r="193">
          <cell r="AN193">
            <v>0</v>
          </cell>
        </row>
        <row r="194">
          <cell r="AN194">
            <v>0</v>
          </cell>
        </row>
        <row r="195">
          <cell r="AN195">
            <v>0</v>
          </cell>
        </row>
        <row r="196">
          <cell r="AN196">
            <v>0</v>
          </cell>
        </row>
        <row r="197">
          <cell r="AN197">
            <v>0</v>
          </cell>
        </row>
        <row r="198">
          <cell r="AN198">
            <v>0</v>
          </cell>
        </row>
        <row r="199">
          <cell r="AN199">
            <v>0</v>
          </cell>
        </row>
        <row r="200">
          <cell r="AN200">
            <v>0</v>
          </cell>
        </row>
        <row r="201">
          <cell r="AN201">
            <v>0</v>
          </cell>
        </row>
        <row r="202">
          <cell r="AN202">
            <v>0</v>
          </cell>
        </row>
        <row r="203">
          <cell r="AN203">
            <v>0</v>
          </cell>
        </row>
        <row r="204">
          <cell r="AN204">
            <v>0</v>
          </cell>
        </row>
        <row r="205">
          <cell r="AN205">
            <v>0</v>
          </cell>
        </row>
        <row r="206">
          <cell r="AN206">
            <v>0</v>
          </cell>
        </row>
        <row r="207">
          <cell r="AN207">
            <v>0</v>
          </cell>
        </row>
        <row r="208">
          <cell r="AN208">
            <v>0</v>
          </cell>
        </row>
        <row r="209">
          <cell r="AN209">
            <v>0</v>
          </cell>
        </row>
        <row r="210">
          <cell r="AN210">
            <v>0</v>
          </cell>
        </row>
        <row r="211">
          <cell r="AN211">
            <v>0</v>
          </cell>
        </row>
        <row r="212">
          <cell r="AN212">
            <v>0</v>
          </cell>
        </row>
        <row r="213">
          <cell r="AN213">
            <v>0</v>
          </cell>
        </row>
        <row r="214">
          <cell r="AN214">
            <v>0</v>
          </cell>
        </row>
        <row r="215">
          <cell r="AN215">
            <v>0</v>
          </cell>
        </row>
        <row r="216">
          <cell r="AN216">
            <v>0</v>
          </cell>
        </row>
        <row r="217">
          <cell r="AN217">
            <v>0</v>
          </cell>
        </row>
        <row r="218">
          <cell r="AN218">
            <v>0</v>
          </cell>
        </row>
        <row r="219">
          <cell r="AN219">
            <v>0</v>
          </cell>
        </row>
        <row r="220">
          <cell r="AN220">
            <v>0</v>
          </cell>
        </row>
        <row r="221">
          <cell r="AN221">
            <v>0</v>
          </cell>
        </row>
        <row r="222">
          <cell r="AN222">
            <v>0</v>
          </cell>
        </row>
        <row r="223">
          <cell r="AN223">
            <v>0</v>
          </cell>
        </row>
        <row r="224">
          <cell r="AN224">
            <v>0</v>
          </cell>
        </row>
        <row r="225">
          <cell r="AN225">
            <v>0</v>
          </cell>
        </row>
        <row r="226">
          <cell r="AN226">
            <v>0</v>
          </cell>
        </row>
        <row r="227">
          <cell r="AN227">
            <v>0</v>
          </cell>
        </row>
        <row r="228">
          <cell r="AN228">
            <v>0</v>
          </cell>
        </row>
        <row r="229">
          <cell r="AN229">
            <v>0</v>
          </cell>
        </row>
        <row r="230">
          <cell r="AN230">
            <v>0</v>
          </cell>
        </row>
        <row r="231">
          <cell r="AN231">
            <v>0</v>
          </cell>
        </row>
        <row r="232">
          <cell r="AN232">
            <v>0</v>
          </cell>
        </row>
        <row r="233">
          <cell r="AN233">
            <v>0</v>
          </cell>
        </row>
        <row r="234">
          <cell r="AN234">
            <v>0</v>
          </cell>
        </row>
        <row r="235">
          <cell r="AN235">
            <v>0</v>
          </cell>
        </row>
        <row r="236">
          <cell r="AN236">
            <v>0</v>
          </cell>
        </row>
        <row r="237">
          <cell r="AN237">
            <v>0</v>
          </cell>
        </row>
        <row r="238">
          <cell r="AN238">
            <v>0</v>
          </cell>
        </row>
        <row r="239">
          <cell r="AN239">
            <v>0</v>
          </cell>
        </row>
        <row r="240">
          <cell r="AN240">
            <v>0</v>
          </cell>
        </row>
        <row r="241">
          <cell r="AN241">
            <v>0</v>
          </cell>
        </row>
        <row r="242">
          <cell r="AN242">
            <v>0</v>
          </cell>
        </row>
        <row r="243">
          <cell r="AN243">
            <v>0</v>
          </cell>
        </row>
        <row r="244">
          <cell r="AN244">
            <v>0</v>
          </cell>
        </row>
        <row r="245">
          <cell r="AN245">
            <v>0</v>
          </cell>
        </row>
        <row r="246">
          <cell r="AN246">
            <v>0</v>
          </cell>
        </row>
        <row r="247">
          <cell r="AN247">
            <v>0</v>
          </cell>
        </row>
        <row r="248">
          <cell r="AN248">
            <v>0</v>
          </cell>
        </row>
        <row r="249">
          <cell r="AN249">
            <v>0</v>
          </cell>
        </row>
        <row r="250">
          <cell r="AN250">
            <v>0</v>
          </cell>
        </row>
        <row r="251">
          <cell r="AN251">
            <v>0</v>
          </cell>
        </row>
        <row r="252">
          <cell r="AN252">
            <v>0</v>
          </cell>
        </row>
        <row r="253">
          <cell r="AN253">
            <v>0</v>
          </cell>
        </row>
        <row r="254">
          <cell r="AN254">
            <v>0</v>
          </cell>
        </row>
        <row r="255">
          <cell r="AN255">
            <v>0</v>
          </cell>
        </row>
        <row r="256">
          <cell r="AN256">
            <v>0</v>
          </cell>
        </row>
        <row r="257">
          <cell r="AN257">
            <v>0</v>
          </cell>
        </row>
        <row r="258">
          <cell r="AN258">
            <v>0</v>
          </cell>
        </row>
        <row r="259">
          <cell r="AN259">
            <v>0</v>
          </cell>
        </row>
        <row r="260">
          <cell r="AN260">
            <v>0</v>
          </cell>
        </row>
        <row r="261">
          <cell r="AN261">
            <v>0</v>
          </cell>
        </row>
        <row r="262">
          <cell r="AN262">
            <v>0</v>
          </cell>
        </row>
        <row r="263">
          <cell r="AN263">
            <v>0</v>
          </cell>
        </row>
        <row r="264">
          <cell r="AN264">
            <v>0</v>
          </cell>
        </row>
        <row r="265">
          <cell r="AN265">
            <v>0</v>
          </cell>
        </row>
        <row r="266">
          <cell r="AN266">
            <v>0</v>
          </cell>
        </row>
        <row r="267">
          <cell r="AN267">
            <v>0</v>
          </cell>
        </row>
        <row r="268">
          <cell r="AN268">
            <v>0</v>
          </cell>
        </row>
        <row r="269">
          <cell r="AN269">
            <v>0</v>
          </cell>
        </row>
        <row r="270">
          <cell r="AN270">
            <v>0</v>
          </cell>
        </row>
        <row r="271">
          <cell r="AN271">
            <v>0</v>
          </cell>
        </row>
        <row r="272">
          <cell r="AN272">
            <v>0</v>
          </cell>
        </row>
        <row r="273">
          <cell r="AN273">
            <v>0</v>
          </cell>
        </row>
        <row r="274">
          <cell r="AN274">
            <v>0</v>
          </cell>
        </row>
        <row r="275">
          <cell r="AN275">
            <v>0</v>
          </cell>
        </row>
        <row r="276">
          <cell r="AN276">
            <v>0</v>
          </cell>
        </row>
        <row r="277">
          <cell r="AN277">
            <v>0</v>
          </cell>
        </row>
        <row r="278">
          <cell r="AN278">
            <v>0</v>
          </cell>
        </row>
        <row r="279">
          <cell r="AN279">
            <v>0</v>
          </cell>
        </row>
        <row r="280">
          <cell r="AN280">
            <v>0</v>
          </cell>
        </row>
        <row r="281">
          <cell r="AN281">
            <v>0</v>
          </cell>
        </row>
        <row r="282">
          <cell r="AN282">
            <v>0</v>
          </cell>
        </row>
        <row r="283">
          <cell r="AN283">
            <v>0</v>
          </cell>
        </row>
        <row r="284">
          <cell r="AN284">
            <v>0</v>
          </cell>
        </row>
        <row r="285">
          <cell r="AN285">
            <v>0</v>
          </cell>
        </row>
        <row r="286">
          <cell r="AN286">
            <v>0</v>
          </cell>
        </row>
        <row r="287">
          <cell r="AN287">
            <v>0</v>
          </cell>
        </row>
        <row r="289">
          <cell r="AN289">
            <v>0</v>
          </cell>
        </row>
        <row r="290">
          <cell r="AN290">
            <v>0</v>
          </cell>
        </row>
        <row r="291">
          <cell r="AN291">
            <v>0</v>
          </cell>
        </row>
        <row r="292">
          <cell r="AN292">
            <v>0</v>
          </cell>
        </row>
        <row r="293">
          <cell r="AN293">
            <v>0</v>
          </cell>
        </row>
        <row r="294">
          <cell r="AN294">
            <v>0</v>
          </cell>
        </row>
        <row r="295">
          <cell r="AN295">
            <v>0</v>
          </cell>
        </row>
        <row r="296">
          <cell r="AN296">
            <v>0</v>
          </cell>
        </row>
        <row r="297">
          <cell r="AN297">
            <v>0</v>
          </cell>
        </row>
        <row r="298">
          <cell r="AN298">
            <v>0</v>
          </cell>
        </row>
        <row r="299">
          <cell r="AN299">
            <v>0</v>
          </cell>
        </row>
        <row r="300">
          <cell r="AN300">
            <v>0</v>
          </cell>
        </row>
        <row r="301">
          <cell r="AN301">
            <v>0</v>
          </cell>
        </row>
        <row r="302">
          <cell r="AN302">
            <v>0</v>
          </cell>
        </row>
        <row r="303">
          <cell r="AN303">
            <v>0</v>
          </cell>
        </row>
        <row r="304">
          <cell r="AN304">
            <v>0</v>
          </cell>
        </row>
        <row r="305">
          <cell r="AN305">
            <v>0</v>
          </cell>
        </row>
        <row r="306">
          <cell r="AN306">
            <v>0</v>
          </cell>
        </row>
        <row r="307">
          <cell r="AN307">
            <v>0</v>
          </cell>
        </row>
        <row r="308">
          <cell r="AN308">
            <v>0</v>
          </cell>
        </row>
        <row r="309">
          <cell r="AN309">
            <v>0</v>
          </cell>
        </row>
        <row r="310">
          <cell r="AN310">
            <v>0</v>
          </cell>
        </row>
        <row r="311">
          <cell r="AN311">
            <v>0</v>
          </cell>
        </row>
        <row r="312">
          <cell r="AN312">
            <v>0</v>
          </cell>
        </row>
        <row r="313">
          <cell r="AN313">
            <v>0</v>
          </cell>
        </row>
        <row r="314">
          <cell r="AN314">
            <v>0</v>
          </cell>
        </row>
        <row r="315">
          <cell r="AN315">
            <v>0</v>
          </cell>
        </row>
        <row r="316">
          <cell r="AN316">
            <v>0</v>
          </cell>
        </row>
        <row r="317">
          <cell r="AN317">
            <v>0</v>
          </cell>
        </row>
        <row r="318">
          <cell r="AN318">
            <v>0</v>
          </cell>
        </row>
        <row r="319">
          <cell r="AN319">
            <v>0</v>
          </cell>
        </row>
        <row r="320">
          <cell r="AN320">
            <v>0</v>
          </cell>
        </row>
        <row r="321">
          <cell r="AN321">
            <v>0</v>
          </cell>
        </row>
        <row r="322">
          <cell r="AN322">
            <v>0</v>
          </cell>
        </row>
        <row r="323">
          <cell r="AN323">
            <v>0</v>
          </cell>
        </row>
        <row r="324">
          <cell r="AN324">
            <v>0</v>
          </cell>
        </row>
        <row r="325">
          <cell r="AN325">
            <v>0</v>
          </cell>
        </row>
        <row r="326">
          <cell r="AN326">
            <v>0</v>
          </cell>
        </row>
        <row r="327">
          <cell r="AN327">
            <v>0</v>
          </cell>
        </row>
        <row r="328">
          <cell r="AN328">
            <v>0</v>
          </cell>
        </row>
        <row r="329">
          <cell r="AN329">
            <v>0</v>
          </cell>
        </row>
        <row r="330">
          <cell r="AN330">
            <v>0</v>
          </cell>
        </row>
        <row r="331">
          <cell r="AN331">
            <v>0</v>
          </cell>
        </row>
        <row r="332">
          <cell r="AN332">
            <v>0</v>
          </cell>
        </row>
        <row r="333">
          <cell r="AN333">
            <v>0</v>
          </cell>
        </row>
        <row r="334">
          <cell r="AN334">
            <v>0</v>
          </cell>
        </row>
        <row r="335">
          <cell r="AN335">
            <v>0</v>
          </cell>
        </row>
        <row r="336">
          <cell r="AN336">
            <v>0</v>
          </cell>
        </row>
        <row r="337">
          <cell r="AN337">
            <v>0</v>
          </cell>
        </row>
        <row r="338">
          <cell r="AN338">
            <v>0</v>
          </cell>
        </row>
        <row r="339">
          <cell r="AN339">
            <v>0</v>
          </cell>
        </row>
        <row r="340">
          <cell r="AN340">
            <v>0</v>
          </cell>
        </row>
        <row r="341">
          <cell r="AN341">
            <v>0</v>
          </cell>
        </row>
        <row r="342">
          <cell r="AN342">
            <v>0</v>
          </cell>
        </row>
        <row r="343">
          <cell r="AN343">
            <v>0</v>
          </cell>
        </row>
        <row r="344">
          <cell r="AN344">
            <v>0</v>
          </cell>
        </row>
        <row r="345">
          <cell r="AN345">
            <v>0</v>
          </cell>
        </row>
        <row r="346">
          <cell r="AN346">
            <v>0</v>
          </cell>
        </row>
        <row r="347">
          <cell r="AN347">
            <v>0</v>
          </cell>
        </row>
        <row r="348">
          <cell r="AN348">
            <v>0</v>
          </cell>
        </row>
        <row r="349">
          <cell r="AN349">
            <v>0</v>
          </cell>
        </row>
        <row r="350">
          <cell r="AN350">
            <v>0</v>
          </cell>
        </row>
        <row r="351">
          <cell r="AN351">
            <v>0</v>
          </cell>
        </row>
        <row r="352">
          <cell r="AN352">
            <v>0</v>
          </cell>
        </row>
        <row r="353">
          <cell r="AN353">
            <v>0</v>
          </cell>
        </row>
        <row r="354">
          <cell r="AN354">
            <v>0</v>
          </cell>
        </row>
        <row r="355">
          <cell r="AN355">
            <v>0</v>
          </cell>
        </row>
        <row r="356">
          <cell r="AN356">
            <v>0</v>
          </cell>
        </row>
        <row r="357">
          <cell r="AN357">
            <v>0</v>
          </cell>
        </row>
        <row r="358">
          <cell r="AN358">
            <v>0</v>
          </cell>
        </row>
        <row r="359">
          <cell r="AN359">
            <v>0</v>
          </cell>
        </row>
        <row r="360">
          <cell r="AN360">
            <v>0</v>
          </cell>
        </row>
        <row r="361">
          <cell r="AN361">
            <v>0</v>
          </cell>
        </row>
        <row r="362">
          <cell r="AN362">
            <v>0</v>
          </cell>
        </row>
        <row r="363">
          <cell r="AN363">
            <v>0</v>
          </cell>
        </row>
        <row r="364">
          <cell r="AN364">
            <v>0</v>
          </cell>
        </row>
        <row r="365">
          <cell r="AN365">
            <v>0</v>
          </cell>
        </row>
        <row r="366">
          <cell r="AN366">
            <v>0</v>
          </cell>
        </row>
        <row r="367">
          <cell r="AN367">
            <v>0</v>
          </cell>
        </row>
        <row r="368">
          <cell r="AN368">
            <v>0</v>
          </cell>
        </row>
        <row r="369">
          <cell r="AN369">
            <v>0</v>
          </cell>
        </row>
        <row r="370">
          <cell r="AN370">
            <v>0</v>
          </cell>
        </row>
        <row r="371">
          <cell r="AN371">
            <v>0</v>
          </cell>
        </row>
        <row r="372">
          <cell r="AN372">
            <v>0</v>
          </cell>
        </row>
        <row r="373">
          <cell r="AN373">
            <v>0</v>
          </cell>
        </row>
        <row r="374">
          <cell r="AN374">
            <v>0</v>
          </cell>
        </row>
        <row r="375">
          <cell r="AN375">
            <v>0</v>
          </cell>
        </row>
        <row r="376">
          <cell r="AN376">
            <v>0</v>
          </cell>
        </row>
        <row r="377">
          <cell r="AN377">
            <v>0</v>
          </cell>
        </row>
        <row r="378">
          <cell r="AN378">
            <v>0</v>
          </cell>
        </row>
        <row r="379">
          <cell r="AN379">
            <v>0</v>
          </cell>
        </row>
        <row r="380">
          <cell r="AN380">
            <v>0</v>
          </cell>
        </row>
        <row r="381">
          <cell r="AN381">
            <v>0</v>
          </cell>
        </row>
        <row r="382">
          <cell r="AN382">
            <v>0</v>
          </cell>
        </row>
        <row r="383">
          <cell r="AN383">
            <v>0</v>
          </cell>
        </row>
        <row r="384">
          <cell r="AN384">
            <v>0</v>
          </cell>
        </row>
        <row r="385">
          <cell r="AN385">
            <v>0</v>
          </cell>
        </row>
        <row r="386">
          <cell r="AN386">
            <v>0</v>
          </cell>
        </row>
        <row r="387">
          <cell r="AN387">
            <v>0</v>
          </cell>
        </row>
        <row r="388">
          <cell r="AN388">
            <v>0</v>
          </cell>
        </row>
        <row r="389">
          <cell r="AN389">
            <v>0</v>
          </cell>
        </row>
        <row r="390">
          <cell r="AN390">
            <v>0</v>
          </cell>
        </row>
        <row r="391">
          <cell r="AN391">
            <v>0</v>
          </cell>
        </row>
        <row r="392">
          <cell r="AN392">
            <v>0</v>
          </cell>
        </row>
        <row r="393">
          <cell r="AN393">
            <v>0</v>
          </cell>
        </row>
        <row r="394">
          <cell r="AN394">
            <v>0</v>
          </cell>
        </row>
        <row r="395">
          <cell r="AN395">
            <v>0</v>
          </cell>
        </row>
        <row r="396">
          <cell r="AN396">
            <v>0</v>
          </cell>
        </row>
        <row r="397">
          <cell r="AN397">
            <v>0</v>
          </cell>
        </row>
        <row r="398">
          <cell r="AN398">
            <v>0</v>
          </cell>
        </row>
        <row r="399">
          <cell r="AN399">
            <v>0</v>
          </cell>
        </row>
        <row r="400">
          <cell r="AN400">
            <v>0</v>
          </cell>
        </row>
        <row r="401">
          <cell r="AN401">
            <v>0</v>
          </cell>
        </row>
        <row r="402">
          <cell r="AN402">
            <v>0</v>
          </cell>
        </row>
        <row r="403">
          <cell r="AN403">
            <v>0</v>
          </cell>
        </row>
        <row r="404">
          <cell r="AN404">
            <v>0</v>
          </cell>
        </row>
        <row r="405">
          <cell r="AN405">
            <v>0</v>
          </cell>
        </row>
        <row r="406">
          <cell r="AN406">
            <v>0</v>
          </cell>
        </row>
        <row r="407">
          <cell r="AN407">
            <v>0</v>
          </cell>
        </row>
        <row r="408">
          <cell r="AN408">
            <v>0</v>
          </cell>
        </row>
        <row r="409">
          <cell r="AN409">
            <v>0</v>
          </cell>
        </row>
        <row r="410">
          <cell r="AN410">
            <v>0</v>
          </cell>
        </row>
        <row r="411">
          <cell r="AN411">
            <v>0</v>
          </cell>
        </row>
        <row r="412">
          <cell r="AN412">
            <v>0</v>
          </cell>
        </row>
        <row r="413">
          <cell r="AN413">
            <v>0</v>
          </cell>
        </row>
        <row r="414">
          <cell r="AN414">
            <v>0</v>
          </cell>
        </row>
        <row r="415">
          <cell r="AN415">
            <v>0</v>
          </cell>
        </row>
        <row r="416">
          <cell r="AN416">
            <v>0</v>
          </cell>
        </row>
        <row r="417">
          <cell r="AN417">
            <v>0</v>
          </cell>
        </row>
        <row r="418">
          <cell r="AN418">
            <v>0</v>
          </cell>
        </row>
        <row r="419">
          <cell r="AN419">
            <v>0</v>
          </cell>
        </row>
        <row r="420">
          <cell r="AN420">
            <v>0</v>
          </cell>
        </row>
        <row r="421">
          <cell r="AN421">
            <v>0</v>
          </cell>
        </row>
        <row r="422">
          <cell r="AN422">
            <v>0</v>
          </cell>
        </row>
        <row r="423">
          <cell r="AN423">
            <v>0</v>
          </cell>
        </row>
        <row r="424">
          <cell r="AN424">
            <v>0</v>
          </cell>
        </row>
        <row r="425">
          <cell r="AN425">
            <v>0</v>
          </cell>
        </row>
        <row r="426">
          <cell r="AN426">
            <v>0</v>
          </cell>
        </row>
        <row r="427">
          <cell r="AN427">
            <v>0</v>
          </cell>
        </row>
        <row r="428">
          <cell r="AN428">
            <v>0</v>
          </cell>
        </row>
        <row r="429">
          <cell r="AN429">
            <v>0</v>
          </cell>
        </row>
        <row r="430">
          <cell r="AN430">
            <v>0</v>
          </cell>
        </row>
        <row r="431">
          <cell r="AN431">
            <v>0</v>
          </cell>
        </row>
        <row r="432">
          <cell r="AN432">
            <v>0</v>
          </cell>
        </row>
        <row r="433">
          <cell r="AN433">
            <v>0</v>
          </cell>
        </row>
        <row r="434">
          <cell r="AN434">
            <v>0</v>
          </cell>
        </row>
        <row r="435">
          <cell r="AN435">
            <v>0</v>
          </cell>
        </row>
        <row r="436">
          <cell r="AN436">
            <v>0</v>
          </cell>
        </row>
        <row r="437">
          <cell r="AN437">
            <v>0</v>
          </cell>
        </row>
        <row r="438">
          <cell r="AN438">
            <v>0</v>
          </cell>
        </row>
        <row r="439">
          <cell r="AN439">
            <v>0</v>
          </cell>
        </row>
        <row r="440">
          <cell r="AN440">
            <v>0</v>
          </cell>
        </row>
        <row r="441">
          <cell r="AN441">
            <v>0</v>
          </cell>
        </row>
        <row r="442">
          <cell r="AN442">
            <v>0</v>
          </cell>
        </row>
        <row r="443">
          <cell r="AN443">
            <v>0</v>
          </cell>
        </row>
        <row r="444">
          <cell r="AN444">
            <v>0</v>
          </cell>
        </row>
        <row r="445">
          <cell r="AN445">
            <v>0</v>
          </cell>
        </row>
        <row r="446">
          <cell r="AN446">
            <v>0</v>
          </cell>
        </row>
        <row r="447">
          <cell r="AN447">
            <v>0</v>
          </cell>
        </row>
        <row r="448">
          <cell r="AN448">
            <v>0</v>
          </cell>
        </row>
        <row r="449">
          <cell r="AN449">
            <v>0</v>
          </cell>
        </row>
        <row r="450">
          <cell r="AN450">
            <v>0</v>
          </cell>
        </row>
        <row r="451">
          <cell r="AN451">
            <v>0</v>
          </cell>
        </row>
        <row r="452">
          <cell r="AN452">
            <v>0</v>
          </cell>
        </row>
        <row r="453">
          <cell r="AN453">
            <v>0</v>
          </cell>
        </row>
        <row r="454">
          <cell r="AN454">
            <v>0</v>
          </cell>
        </row>
        <row r="455">
          <cell r="AN455">
            <v>0</v>
          </cell>
        </row>
        <row r="456">
          <cell r="AN456">
            <v>0</v>
          </cell>
        </row>
        <row r="457">
          <cell r="AN457">
            <v>0</v>
          </cell>
        </row>
        <row r="458">
          <cell r="AN458">
            <v>0</v>
          </cell>
        </row>
        <row r="459">
          <cell r="AN459">
            <v>0</v>
          </cell>
        </row>
        <row r="460">
          <cell r="AN460">
            <v>0</v>
          </cell>
        </row>
        <row r="461">
          <cell r="AN461">
            <v>0</v>
          </cell>
        </row>
        <row r="462">
          <cell r="AN462">
            <v>0</v>
          </cell>
        </row>
        <row r="463">
          <cell r="AN463">
            <v>0</v>
          </cell>
        </row>
        <row r="464">
          <cell r="AN464">
            <v>0</v>
          </cell>
        </row>
        <row r="465">
          <cell r="AN465">
            <v>0</v>
          </cell>
        </row>
        <row r="466">
          <cell r="AN466">
            <v>0</v>
          </cell>
        </row>
        <row r="467">
          <cell r="AN467">
            <v>0</v>
          </cell>
        </row>
        <row r="468">
          <cell r="AN468">
            <v>0</v>
          </cell>
        </row>
        <row r="469">
          <cell r="AN469">
            <v>0</v>
          </cell>
        </row>
        <row r="470">
          <cell r="AN470">
            <v>0</v>
          </cell>
        </row>
        <row r="471">
          <cell r="AN471">
            <v>0</v>
          </cell>
        </row>
        <row r="472">
          <cell r="AN472">
            <v>0</v>
          </cell>
        </row>
        <row r="473">
          <cell r="AN473">
            <v>0</v>
          </cell>
        </row>
      </sheetData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witchboard"/>
      <sheetName val="Setup"/>
      <sheetName val="Exchange Rate"/>
      <sheetName val="Company"/>
      <sheetName val="Business Unit"/>
      <sheetName val="Cost Center"/>
      <sheetName val="Plan"/>
      <sheetName val="Account"/>
      <sheetName val="Sub Account"/>
      <sheetName val="Project"/>
      <sheetName val="Salary"/>
      <sheetName val="Bonus"/>
      <sheetName val="Life insurance premium"/>
      <sheetName val="Workmen compensation fund"/>
      <sheetName val="Social security fund"/>
      <sheetName val="Provident fund"/>
      <sheetName val="Other welfare"/>
      <sheetName val="In-house Training"/>
      <sheetName val="Bank Charge"/>
      <sheetName val="Depreciation"/>
      <sheetName val="Production Volumn"/>
      <sheetName val="Production"/>
      <sheetName val="Macro"/>
      <sheetName val="#REF"/>
      <sheetName val="tabel_2007_Total_plan 93jt"/>
      <sheetName val="Macro.xls"/>
      <sheetName val="OB_89"/>
      <sheetName val="sum_MSY"/>
      <sheetName val="Exchange"/>
      <sheetName val="LIST"/>
      <sheetName val="NOMOR REKENING"/>
    </sheetNames>
    <definedNames>
      <definedName name="Business_Unit" refersTo="='Business Unit'!$A$3:$A$9"/>
      <definedName name="Company" refersTo="='Company'!$A$3:$A$33"/>
      <definedName name="Cost_Center" refersTo="='Cost Center'!$A$3:$A$339"/>
      <definedName name="Exchange_Code" refersTo="='Exchange Rate'!$B$2:$B$6"/>
    </definedNames>
    <sheetDataSet>
      <sheetData sheetId="0" refreshError="1"/>
      <sheetData sheetId="1" refreshError="1"/>
      <sheetData sheetId="2" refreshError="1">
        <row r="2">
          <cell r="B2" t="str">
            <v>Protection Level</v>
          </cell>
        </row>
      </sheetData>
      <sheetData sheetId="3" refreshError="1">
        <row r="2">
          <cell r="B2" t="str">
            <v>Baht</v>
          </cell>
        </row>
        <row r="3">
          <cell r="A3" t="str">
            <v>Indonesia</v>
          </cell>
          <cell r="B3" t="str">
            <v>RP</v>
          </cell>
        </row>
        <row r="4">
          <cell r="A4" t="str">
            <v>Singapore</v>
          </cell>
          <cell r="B4" t="str">
            <v>SGD</v>
          </cell>
        </row>
        <row r="5">
          <cell r="A5" t="str">
            <v>America</v>
          </cell>
          <cell r="B5" t="str">
            <v>USD</v>
          </cell>
        </row>
        <row r="6">
          <cell r="A6" t="str">
            <v>Vietnam</v>
          </cell>
          <cell r="B6" t="str">
            <v>VND</v>
          </cell>
        </row>
      </sheetData>
      <sheetData sheetId="4" refreshError="1">
        <row r="2">
          <cell r="B2" t="str">
            <v>Description</v>
          </cell>
        </row>
        <row r="3">
          <cell r="A3" t="str">
            <v>01</v>
          </cell>
          <cell r="B3" t="str">
            <v>Banpu Public Company  Limted</v>
          </cell>
        </row>
        <row r="4">
          <cell r="A4" t="str">
            <v>02</v>
          </cell>
          <cell r="B4" t="str">
            <v>Banpu Minerals Company  Limted</v>
          </cell>
        </row>
        <row r="5">
          <cell r="A5" t="str">
            <v>05</v>
          </cell>
          <cell r="B5" t="str">
            <v>Promsin Company Limited</v>
          </cell>
        </row>
        <row r="6">
          <cell r="A6" t="str">
            <v>07</v>
          </cell>
          <cell r="B6" t="str">
            <v>Banpu International Limted</v>
          </cell>
        </row>
        <row r="7">
          <cell r="A7" t="str">
            <v>08</v>
          </cell>
        </row>
        <row r="8">
          <cell r="A8" t="str">
            <v>10</v>
          </cell>
        </row>
        <row r="9">
          <cell r="A9" t="str">
            <v>11</v>
          </cell>
        </row>
        <row r="10">
          <cell r="A10" t="str">
            <v>12</v>
          </cell>
        </row>
        <row r="11">
          <cell r="A11" t="str">
            <v>13</v>
          </cell>
        </row>
        <row r="12">
          <cell r="A12" t="str">
            <v>14</v>
          </cell>
        </row>
        <row r="13">
          <cell r="A13" t="str">
            <v>15</v>
          </cell>
        </row>
        <row r="14">
          <cell r="A14" t="str">
            <v>16</v>
          </cell>
        </row>
        <row r="15">
          <cell r="A15" t="str">
            <v>17</v>
          </cell>
        </row>
        <row r="16">
          <cell r="A16" t="str">
            <v>18</v>
          </cell>
        </row>
        <row r="17">
          <cell r="A17" t="str">
            <v>20</v>
          </cell>
        </row>
        <row r="18">
          <cell r="A18" t="str">
            <v>21</v>
          </cell>
        </row>
        <row r="19">
          <cell r="A19" t="str">
            <v>22</v>
          </cell>
        </row>
        <row r="20">
          <cell r="A20" t="str">
            <v>23</v>
          </cell>
        </row>
        <row r="21">
          <cell r="A21" t="str">
            <v>24</v>
          </cell>
        </row>
        <row r="22">
          <cell r="A22" t="str">
            <v>25</v>
          </cell>
        </row>
        <row r="23">
          <cell r="A23" t="str">
            <v>26</v>
          </cell>
        </row>
        <row r="24">
          <cell r="A24" t="str">
            <v>27</v>
          </cell>
        </row>
        <row r="25">
          <cell r="A25" t="str">
            <v>28</v>
          </cell>
        </row>
        <row r="26">
          <cell r="A26" t="str">
            <v>29</v>
          </cell>
        </row>
        <row r="27">
          <cell r="A27" t="str">
            <v>30</v>
          </cell>
        </row>
        <row r="28">
          <cell r="A28" t="str">
            <v>31</v>
          </cell>
        </row>
        <row r="29">
          <cell r="A29" t="str">
            <v>32</v>
          </cell>
        </row>
        <row r="30">
          <cell r="A30" t="str">
            <v>33</v>
          </cell>
        </row>
        <row r="31">
          <cell r="A31" t="str">
            <v>34</v>
          </cell>
        </row>
        <row r="32">
          <cell r="A32" t="str">
            <v>35</v>
          </cell>
        </row>
        <row r="33">
          <cell r="A33" t="str">
            <v>36</v>
          </cell>
        </row>
      </sheetData>
      <sheetData sheetId="5" refreshError="1">
        <row r="2">
          <cell r="B2" t="str">
            <v>Description</v>
          </cell>
        </row>
        <row r="3">
          <cell r="A3" t="str">
            <v>01</v>
          </cell>
          <cell r="B3" t="str">
            <v>Corporate</v>
          </cell>
        </row>
        <row r="4">
          <cell r="A4" t="str">
            <v>02</v>
          </cell>
          <cell r="B4" t="str">
            <v>Coal Thailand Business</v>
          </cell>
        </row>
        <row r="5">
          <cell r="A5" t="str">
            <v>03</v>
          </cell>
          <cell r="B5" t="str">
            <v>Minerals Business</v>
          </cell>
        </row>
        <row r="6">
          <cell r="A6" t="str">
            <v>04</v>
          </cell>
          <cell r="B6" t="str">
            <v>Engineering Service Business</v>
          </cell>
        </row>
        <row r="7">
          <cell r="A7" t="str">
            <v>05</v>
          </cell>
        </row>
        <row r="8">
          <cell r="A8" t="str">
            <v>07</v>
          </cell>
        </row>
        <row r="9">
          <cell r="A9" t="str">
            <v>08</v>
          </cell>
        </row>
      </sheetData>
      <sheetData sheetId="6" refreshError="1">
        <row r="2">
          <cell r="B2" t="str">
            <v>Description</v>
          </cell>
        </row>
        <row r="3">
          <cell r="A3" t="str">
            <v>00000</v>
          </cell>
          <cell r="B3" t="str">
            <v>Administration</v>
          </cell>
        </row>
        <row r="4">
          <cell r="A4" t="str">
            <v>01100</v>
          </cell>
          <cell r="B4" t="str">
            <v>Office of CEO</v>
          </cell>
        </row>
        <row r="5">
          <cell r="A5" t="str">
            <v>01200</v>
          </cell>
          <cell r="B5" t="str">
            <v>Government Relations</v>
          </cell>
        </row>
        <row r="6">
          <cell r="A6" t="str">
            <v>01300</v>
          </cell>
          <cell r="B6" t="str">
            <v>Corporate Communications</v>
          </cell>
        </row>
        <row r="7">
          <cell r="A7" t="str">
            <v>01400</v>
          </cell>
        </row>
        <row r="8">
          <cell r="A8" t="str">
            <v>01500</v>
          </cell>
        </row>
        <row r="9">
          <cell r="A9" t="str">
            <v>03100</v>
          </cell>
        </row>
        <row r="10">
          <cell r="A10" t="str">
            <v>03200</v>
          </cell>
        </row>
        <row r="11">
          <cell r="A11" t="str">
            <v>04100</v>
          </cell>
        </row>
        <row r="12">
          <cell r="A12" t="str">
            <v>05100</v>
          </cell>
        </row>
        <row r="13">
          <cell r="A13" t="str">
            <v>05200</v>
          </cell>
        </row>
        <row r="14">
          <cell r="A14" t="str">
            <v>05400</v>
          </cell>
        </row>
        <row r="15">
          <cell r="A15" t="str">
            <v>05500</v>
          </cell>
        </row>
        <row r="16">
          <cell r="A16" t="str">
            <v>05700</v>
          </cell>
        </row>
        <row r="17">
          <cell r="A17" t="str">
            <v>05800</v>
          </cell>
        </row>
        <row r="18">
          <cell r="A18" t="str">
            <v>06200</v>
          </cell>
        </row>
        <row r="19">
          <cell r="A19" t="str">
            <v>07200</v>
          </cell>
        </row>
        <row r="20">
          <cell r="A20" t="str">
            <v>08100</v>
          </cell>
        </row>
        <row r="21">
          <cell r="A21" t="str">
            <v>11100</v>
          </cell>
        </row>
        <row r="22">
          <cell r="A22" t="str">
            <v>11210</v>
          </cell>
        </row>
        <row r="23">
          <cell r="A23" t="str">
            <v>11220</v>
          </cell>
        </row>
        <row r="24">
          <cell r="A24" t="str">
            <v>11310</v>
          </cell>
        </row>
        <row r="25">
          <cell r="A25" t="str">
            <v>11320</v>
          </cell>
        </row>
        <row r="26">
          <cell r="A26" t="str">
            <v>11330</v>
          </cell>
        </row>
        <row r="27">
          <cell r="A27" t="str">
            <v>11340</v>
          </cell>
        </row>
        <row r="28">
          <cell r="A28" t="str">
            <v>11410</v>
          </cell>
        </row>
        <row r="29">
          <cell r="A29" t="str">
            <v>11510</v>
          </cell>
        </row>
        <row r="30">
          <cell r="A30" t="str">
            <v>11520</v>
          </cell>
        </row>
        <row r="31">
          <cell r="A31" t="str">
            <v>11530</v>
          </cell>
        </row>
        <row r="32">
          <cell r="A32" t="str">
            <v>11540</v>
          </cell>
        </row>
        <row r="33">
          <cell r="A33" t="str">
            <v>11610</v>
          </cell>
        </row>
        <row r="34">
          <cell r="A34" t="str">
            <v>11620</v>
          </cell>
        </row>
        <row r="35">
          <cell r="A35" t="str">
            <v>11630</v>
          </cell>
        </row>
        <row r="36">
          <cell r="A36" t="str">
            <v>28100</v>
          </cell>
        </row>
        <row r="37">
          <cell r="A37" t="str">
            <v>28200</v>
          </cell>
        </row>
        <row r="38">
          <cell r="A38" t="str">
            <v>28300</v>
          </cell>
        </row>
        <row r="39">
          <cell r="A39" t="str">
            <v>28400</v>
          </cell>
        </row>
        <row r="40">
          <cell r="A40" t="str">
            <v>28500</v>
          </cell>
        </row>
        <row r="41">
          <cell r="A41" t="str">
            <v>28600</v>
          </cell>
        </row>
        <row r="42">
          <cell r="A42" t="str">
            <v>28900</v>
          </cell>
        </row>
        <row r="43">
          <cell r="A43" t="str">
            <v>28910</v>
          </cell>
        </row>
        <row r="44">
          <cell r="A44" t="str">
            <v>28920</v>
          </cell>
        </row>
        <row r="45">
          <cell r="A45" t="str">
            <v>41100</v>
          </cell>
        </row>
        <row r="46">
          <cell r="A46" t="str">
            <v>41200</v>
          </cell>
        </row>
        <row r="47">
          <cell r="A47" t="str">
            <v>41300</v>
          </cell>
        </row>
        <row r="48">
          <cell r="A48" t="str">
            <v>41400</v>
          </cell>
        </row>
        <row r="49">
          <cell r="A49" t="str">
            <v>42100</v>
          </cell>
        </row>
        <row r="50">
          <cell r="A50" t="str">
            <v>42200</v>
          </cell>
        </row>
        <row r="51">
          <cell r="A51" t="str">
            <v>42300</v>
          </cell>
        </row>
        <row r="52">
          <cell r="A52" t="str">
            <v>43100</v>
          </cell>
        </row>
        <row r="53">
          <cell r="A53" t="str">
            <v>43200</v>
          </cell>
        </row>
        <row r="54">
          <cell r="A54" t="str">
            <v>43300</v>
          </cell>
        </row>
        <row r="55">
          <cell r="A55" t="str">
            <v>43400</v>
          </cell>
        </row>
        <row r="56">
          <cell r="A56" t="str">
            <v>44000</v>
          </cell>
        </row>
        <row r="57">
          <cell r="A57" t="str">
            <v>45100</v>
          </cell>
        </row>
        <row r="58">
          <cell r="A58" t="str">
            <v>45200</v>
          </cell>
        </row>
        <row r="59">
          <cell r="A59" t="str">
            <v>51100</v>
          </cell>
        </row>
        <row r="60">
          <cell r="A60" t="str">
            <v>52111</v>
          </cell>
        </row>
        <row r="61">
          <cell r="A61" t="str">
            <v>52121</v>
          </cell>
        </row>
        <row r="62">
          <cell r="A62" t="str">
            <v>52131</v>
          </cell>
        </row>
        <row r="63">
          <cell r="A63" t="str">
            <v>52132</v>
          </cell>
        </row>
        <row r="64">
          <cell r="A64" t="str">
            <v>52151</v>
          </cell>
        </row>
        <row r="65">
          <cell r="A65" t="str">
            <v>52152</v>
          </cell>
        </row>
        <row r="66">
          <cell r="A66" t="str">
            <v>52153</v>
          </cell>
        </row>
        <row r="67">
          <cell r="A67" t="str">
            <v>52171</v>
          </cell>
        </row>
        <row r="68">
          <cell r="A68" t="str">
            <v>52172</v>
          </cell>
        </row>
        <row r="69">
          <cell r="A69" t="str">
            <v>52211</v>
          </cell>
        </row>
        <row r="70">
          <cell r="A70" t="str">
            <v>52221</v>
          </cell>
        </row>
        <row r="71">
          <cell r="A71" t="str">
            <v>52231</v>
          </cell>
        </row>
        <row r="72">
          <cell r="A72" t="str">
            <v>52232</v>
          </cell>
        </row>
        <row r="73">
          <cell r="A73" t="str">
            <v>52233</v>
          </cell>
        </row>
        <row r="74">
          <cell r="A74" t="str">
            <v>52241</v>
          </cell>
        </row>
        <row r="75">
          <cell r="A75" t="str">
            <v>52242</v>
          </cell>
        </row>
        <row r="76">
          <cell r="A76" t="str">
            <v>52243</v>
          </cell>
        </row>
        <row r="77">
          <cell r="A77" t="str">
            <v>52251</v>
          </cell>
        </row>
        <row r="78">
          <cell r="A78" t="str">
            <v>52252</v>
          </cell>
        </row>
        <row r="79">
          <cell r="A79" t="str">
            <v>52256</v>
          </cell>
        </row>
        <row r="80">
          <cell r="A80" t="str">
            <v>52261</v>
          </cell>
        </row>
        <row r="81">
          <cell r="A81" t="str">
            <v>52262</v>
          </cell>
        </row>
        <row r="82">
          <cell r="A82" t="str">
            <v>52264</v>
          </cell>
        </row>
        <row r="83">
          <cell r="A83" t="str">
            <v>52271</v>
          </cell>
        </row>
        <row r="84">
          <cell r="A84" t="str">
            <v>52299</v>
          </cell>
        </row>
        <row r="85">
          <cell r="A85" t="str">
            <v>52311</v>
          </cell>
        </row>
        <row r="86">
          <cell r="A86" t="str">
            <v>52321</v>
          </cell>
        </row>
        <row r="87">
          <cell r="A87" t="str">
            <v>52322</v>
          </cell>
        </row>
        <row r="88">
          <cell r="A88" t="str">
            <v>52323</v>
          </cell>
        </row>
        <row r="89">
          <cell r="A89" t="str">
            <v>52324</v>
          </cell>
        </row>
        <row r="90">
          <cell r="A90" t="str">
            <v>52325</v>
          </cell>
        </row>
        <row r="91">
          <cell r="A91" t="str">
            <v>52326</v>
          </cell>
        </row>
        <row r="92">
          <cell r="A92" t="str">
            <v>52331</v>
          </cell>
        </row>
        <row r="93">
          <cell r="A93" t="str">
            <v>52332</v>
          </cell>
        </row>
        <row r="94">
          <cell r="A94" t="str">
            <v>52333</v>
          </cell>
        </row>
        <row r="95">
          <cell r="A95" t="str">
            <v>52334</v>
          </cell>
        </row>
        <row r="96">
          <cell r="A96" t="str">
            <v>52341</v>
          </cell>
        </row>
        <row r="97">
          <cell r="A97" t="str">
            <v>52351</v>
          </cell>
        </row>
        <row r="98">
          <cell r="A98" t="str">
            <v>52352</v>
          </cell>
        </row>
        <row r="99">
          <cell r="A99" t="str">
            <v>52371</v>
          </cell>
        </row>
        <row r="100">
          <cell r="A100" t="str">
            <v>53100</v>
          </cell>
        </row>
        <row r="101">
          <cell r="A101" t="str">
            <v>53200</v>
          </cell>
        </row>
        <row r="102">
          <cell r="A102" t="str">
            <v>53300</v>
          </cell>
        </row>
        <row r="103">
          <cell r="A103" t="str">
            <v>53400</v>
          </cell>
        </row>
        <row r="104">
          <cell r="A104" t="str">
            <v>53600</v>
          </cell>
        </row>
        <row r="105">
          <cell r="A105" t="str">
            <v>53700</v>
          </cell>
        </row>
        <row r="106">
          <cell r="A106" t="str">
            <v>57110</v>
          </cell>
        </row>
        <row r="107">
          <cell r="A107" t="str">
            <v>57120</v>
          </cell>
        </row>
        <row r="108">
          <cell r="A108" t="str">
            <v>57130</v>
          </cell>
        </row>
        <row r="109">
          <cell r="A109" t="str">
            <v>57140</v>
          </cell>
        </row>
        <row r="110">
          <cell r="A110" t="str">
            <v>57210</v>
          </cell>
        </row>
        <row r="111">
          <cell r="A111" t="str">
            <v>57310</v>
          </cell>
        </row>
        <row r="112">
          <cell r="A112" t="str">
            <v>57320</v>
          </cell>
        </row>
        <row r="113">
          <cell r="A113" t="str">
            <v>57330</v>
          </cell>
        </row>
        <row r="114">
          <cell r="A114" t="str">
            <v>57410</v>
          </cell>
        </row>
        <row r="115">
          <cell r="A115" t="str">
            <v>57421</v>
          </cell>
        </row>
        <row r="116">
          <cell r="A116" t="str">
            <v>57422</v>
          </cell>
        </row>
        <row r="117">
          <cell r="A117" t="str">
            <v>57423</v>
          </cell>
        </row>
        <row r="118">
          <cell r="A118" t="str">
            <v>57430</v>
          </cell>
        </row>
        <row r="119">
          <cell r="A119" t="str">
            <v>57440</v>
          </cell>
        </row>
        <row r="120">
          <cell r="A120" t="str">
            <v>65251</v>
          </cell>
        </row>
        <row r="121">
          <cell r="A121" t="str">
            <v>69100</v>
          </cell>
        </row>
        <row r="122">
          <cell r="A122" t="str">
            <v>69200</v>
          </cell>
        </row>
        <row r="123">
          <cell r="A123" t="str">
            <v>69300</v>
          </cell>
        </row>
        <row r="124">
          <cell r="A124" t="str">
            <v>69400</v>
          </cell>
        </row>
        <row r="125">
          <cell r="A125" t="str">
            <v>69500</v>
          </cell>
        </row>
        <row r="126">
          <cell r="A126" t="str">
            <v>69600</v>
          </cell>
        </row>
        <row r="127">
          <cell r="A127" t="str">
            <v>69701</v>
          </cell>
        </row>
        <row r="128">
          <cell r="A128" t="str">
            <v>69810</v>
          </cell>
        </row>
        <row r="129">
          <cell r="A129" t="str">
            <v>71011</v>
          </cell>
        </row>
        <row r="130">
          <cell r="A130" t="str">
            <v>71021</v>
          </cell>
        </row>
        <row r="131">
          <cell r="A131" t="str">
            <v>72200</v>
          </cell>
        </row>
        <row r="132">
          <cell r="A132" t="str">
            <v>72400</v>
          </cell>
        </row>
        <row r="133">
          <cell r="A133" t="str">
            <v>78321</v>
          </cell>
        </row>
        <row r="134">
          <cell r="A134" t="str">
            <v>81100</v>
          </cell>
        </row>
        <row r="135">
          <cell r="A135" t="str">
            <v>81210</v>
          </cell>
        </row>
        <row r="136">
          <cell r="A136" t="str">
            <v>81220</v>
          </cell>
        </row>
        <row r="137">
          <cell r="A137" t="str">
            <v>81230</v>
          </cell>
        </row>
        <row r="138">
          <cell r="A138" t="str">
            <v>81310</v>
          </cell>
        </row>
        <row r="139">
          <cell r="A139" t="str">
            <v>81320</v>
          </cell>
        </row>
        <row r="140">
          <cell r="A140" t="str">
            <v>81330</v>
          </cell>
        </row>
        <row r="141">
          <cell r="A141" t="str">
            <v>81340</v>
          </cell>
        </row>
        <row r="142">
          <cell r="A142" t="str">
            <v>81350</v>
          </cell>
        </row>
        <row r="143">
          <cell r="A143" t="str">
            <v>81360</v>
          </cell>
        </row>
        <row r="144">
          <cell r="A144" t="str">
            <v>81410</v>
          </cell>
        </row>
        <row r="145">
          <cell r="A145" t="str">
            <v>81420</v>
          </cell>
        </row>
        <row r="146">
          <cell r="A146" t="str">
            <v>81430</v>
          </cell>
        </row>
        <row r="147">
          <cell r="A147" t="str">
            <v>81440</v>
          </cell>
        </row>
        <row r="148">
          <cell r="A148" t="str">
            <v>81441</v>
          </cell>
        </row>
        <row r="149">
          <cell r="A149" t="str">
            <v>81442</v>
          </cell>
        </row>
        <row r="150">
          <cell r="A150" t="str">
            <v>81443</v>
          </cell>
        </row>
        <row r="151">
          <cell r="A151" t="str">
            <v>81444</v>
          </cell>
        </row>
        <row r="152">
          <cell r="A152" t="str">
            <v>81445</v>
          </cell>
        </row>
        <row r="153">
          <cell r="A153" t="str">
            <v>81510</v>
          </cell>
        </row>
        <row r="154">
          <cell r="A154" t="str">
            <v>81520</v>
          </cell>
        </row>
        <row r="155">
          <cell r="A155" t="str">
            <v>81530</v>
          </cell>
        </row>
        <row r="156">
          <cell r="A156" t="str">
            <v>81610</v>
          </cell>
        </row>
        <row r="157">
          <cell r="A157" t="str">
            <v>81620</v>
          </cell>
        </row>
        <row r="158">
          <cell r="A158" t="str">
            <v>81700</v>
          </cell>
        </row>
        <row r="159">
          <cell r="A159" t="str">
            <v>81800</v>
          </cell>
        </row>
        <row r="160">
          <cell r="A160" t="str">
            <v>81810</v>
          </cell>
        </row>
        <row r="161">
          <cell r="A161" t="str">
            <v>81820</v>
          </cell>
        </row>
        <row r="162">
          <cell r="A162" t="str">
            <v>81830</v>
          </cell>
        </row>
        <row r="163">
          <cell r="A163" t="str">
            <v>81840</v>
          </cell>
        </row>
        <row r="164">
          <cell r="A164" t="str">
            <v>81910</v>
          </cell>
        </row>
        <row r="165">
          <cell r="A165" t="str">
            <v>81920</v>
          </cell>
        </row>
        <row r="166">
          <cell r="A166" t="str">
            <v>81930</v>
          </cell>
        </row>
        <row r="167">
          <cell r="A167" t="str">
            <v>82010</v>
          </cell>
        </row>
        <row r="168">
          <cell r="A168" t="str">
            <v>82110</v>
          </cell>
        </row>
        <row r="169">
          <cell r="A169" t="str">
            <v>82111</v>
          </cell>
        </row>
        <row r="170">
          <cell r="A170" t="str">
            <v>82112</v>
          </cell>
        </row>
        <row r="171">
          <cell r="A171" t="str">
            <v>82120</v>
          </cell>
        </row>
        <row r="172">
          <cell r="A172" t="str">
            <v>82121</v>
          </cell>
        </row>
        <row r="173">
          <cell r="A173" t="str">
            <v>82130</v>
          </cell>
        </row>
        <row r="174">
          <cell r="A174" t="str">
            <v>82150</v>
          </cell>
        </row>
        <row r="175">
          <cell r="A175" t="str">
            <v>82160</v>
          </cell>
        </row>
        <row r="176">
          <cell r="A176" t="str">
            <v>82170</v>
          </cell>
        </row>
        <row r="177">
          <cell r="A177" t="str">
            <v>82180</v>
          </cell>
        </row>
        <row r="178">
          <cell r="A178" t="str">
            <v>82210</v>
          </cell>
        </row>
        <row r="179">
          <cell r="A179" t="str">
            <v>82220</v>
          </cell>
        </row>
        <row r="180">
          <cell r="A180" t="str">
            <v>82230</v>
          </cell>
        </row>
        <row r="181">
          <cell r="A181" t="str">
            <v>82310</v>
          </cell>
        </row>
        <row r="182">
          <cell r="A182" t="str">
            <v>82311</v>
          </cell>
        </row>
        <row r="183">
          <cell r="A183" t="str">
            <v>82312</v>
          </cell>
        </row>
        <row r="184">
          <cell r="A184" t="str">
            <v>82313</v>
          </cell>
        </row>
        <row r="185">
          <cell r="A185" t="str">
            <v>82320</v>
          </cell>
        </row>
        <row r="186">
          <cell r="A186" t="str">
            <v>82321</v>
          </cell>
        </row>
        <row r="187">
          <cell r="A187" t="str">
            <v>82322</v>
          </cell>
        </row>
        <row r="188">
          <cell r="A188" t="str">
            <v>82323</v>
          </cell>
        </row>
        <row r="189">
          <cell r="A189" t="str">
            <v>82324</v>
          </cell>
        </row>
        <row r="190">
          <cell r="A190" t="str">
            <v>82330</v>
          </cell>
        </row>
        <row r="191">
          <cell r="A191" t="str">
            <v>82340</v>
          </cell>
        </row>
        <row r="192">
          <cell r="A192" t="str">
            <v>82350</v>
          </cell>
        </row>
        <row r="193">
          <cell r="A193" t="str">
            <v>82400</v>
          </cell>
        </row>
        <row r="194">
          <cell r="A194" t="str">
            <v>82401</v>
          </cell>
        </row>
        <row r="195">
          <cell r="A195" t="str">
            <v>82402</v>
          </cell>
        </row>
        <row r="196">
          <cell r="A196" t="str">
            <v>82403</v>
          </cell>
        </row>
        <row r="197">
          <cell r="A197" t="str">
            <v>82404</v>
          </cell>
        </row>
        <row r="198">
          <cell r="A198" t="str">
            <v>82410</v>
          </cell>
        </row>
        <row r="199">
          <cell r="A199" t="str">
            <v>82510</v>
          </cell>
        </row>
        <row r="200">
          <cell r="A200" t="str">
            <v>82520</v>
          </cell>
        </row>
        <row r="201">
          <cell r="A201" t="str">
            <v>82530</v>
          </cell>
        </row>
        <row r="202">
          <cell r="A202" t="str">
            <v>82610</v>
          </cell>
        </row>
        <row r="203">
          <cell r="A203" t="str">
            <v>82611</v>
          </cell>
        </row>
        <row r="204">
          <cell r="A204" t="str">
            <v>82612</v>
          </cell>
        </row>
        <row r="205">
          <cell r="A205" t="str">
            <v>82613</v>
          </cell>
        </row>
        <row r="206">
          <cell r="A206" t="str">
            <v>82620</v>
          </cell>
        </row>
        <row r="207">
          <cell r="A207" t="str">
            <v>83100</v>
          </cell>
        </row>
        <row r="208">
          <cell r="A208" t="str">
            <v>83101</v>
          </cell>
        </row>
        <row r="209">
          <cell r="A209" t="str">
            <v>83102</v>
          </cell>
        </row>
        <row r="210">
          <cell r="A210" t="str">
            <v>83110</v>
          </cell>
        </row>
        <row r="211">
          <cell r="A211" t="str">
            <v>83111</v>
          </cell>
        </row>
        <row r="212">
          <cell r="A212" t="str">
            <v>83112</v>
          </cell>
        </row>
        <row r="213">
          <cell r="A213" t="str">
            <v>83113</v>
          </cell>
        </row>
        <row r="214">
          <cell r="A214" t="str">
            <v>83114</v>
          </cell>
        </row>
        <row r="215">
          <cell r="A215" t="str">
            <v>83115</v>
          </cell>
        </row>
        <row r="216">
          <cell r="A216" t="str">
            <v>83120</v>
          </cell>
        </row>
        <row r="217">
          <cell r="A217" t="str">
            <v>83121</v>
          </cell>
        </row>
        <row r="218">
          <cell r="A218" t="str">
            <v>83122</v>
          </cell>
        </row>
        <row r="219">
          <cell r="A219" t="str">
            <v>83123</v>
          </cell>
        </row>
        <row r="220">
          <cell r="A220" t="str">
            <v>83124</v>
          </cell>
        </row>
        <row r="221">
          <cell r="A221" t="str">
            <v>83130</v>
          </cell>
        </row>
        <row r="222">
          <cell r="A222" t="str">
            <v>83131</v>
          </cell>
        </row>
        <row r="223">
          <cell r="A223" t="str">
            <v>83132</v>
          </cell>
        </row>
        <row r="224">
          <cell r="A224" t="str">
            <v>83133</v>
          </cell>
        </row>
        <row r="225">
          <cell r="A225" t="str">
            <v>83134</v>
          </cell>
        </row>
        <row r="226">
          <cell r="A226" t="str">
            <v>83140</v>
          </cell>
        </row>
        <row r="227">
          <cell r="A227" t="str">
            <v>83141</v>
          </cell>
        </row>
        <row r="228">
          <cell r="A228" t="str">
            <v>83142</v>
          </cell>
        </row>
        <row r="229">
          <cell r="A229" t="str">
            <v>83143</v>
          </cell>
        </row>
        <row r="230">
          <cell r="A230" t="str">
            <v>83144</v>
          </cell>
        </row>
        <row r="231">
          <cell r="A231" t="str">
            <v>83145</v>
          </cell>
        </row>
        <row r="232">
          <cell r="A232" t="str">
            <v>83146</v>
          </cell>
        </row>
        <row r="233">
          <cell r="A233" t="str">
            <v>83150</v>
          </cell>
        </row>
        <row r="234">
          <cell r="A234" t="str">
            <v>83151</v>
          </cell>
        </row>
        <row r="235">
          <cell r="A235" t="str">
            <v>83152</v>
          </cell>
        </row>
        <row r="236">
          <cell r="A236" t="str">
            <v>83153</v>
          </cell>
        </row>
        <row r="237">
          <cell r="A237" t="str">
            <v>83161</v>
          </cell>
        </row>
        <row r="238">
          <cell r="A238" t="str">
            <v>83200</v>
          </cell>
        </row>
        <row r="239">
          <cell r="A239" t="str">
            <v>83201</v>
          </cell>
        </row>
        <row r="240">
          <cell r="A240" t="str">
            <v>83210</v>
          </cell>
        </row>
        <row r="241">
          <cell r="A241" t="str">
            <v>83211</v>
          </cell>
        </row>
        <row r="242">
          <cell r="A242" t="str">
            <v>83212</v>
          </cell>
        </row>
        <row r="243">
          <cell r="A243" t="str">
            <v>83220</v>
          </cell>
        </row>
        <row r="244">
          <cell r="A244" t="str">
            <v>83221</v>
          </cell>
        </row>
        <row r="245">
          <cell r="A245" t="str">
            <v>83222</v>
          </cell>
        </row>
        <row r="246">
          <cell r="A246" t="str">
            <v>83223</v>
          </cell>
        </row>
        <row r="247">
          <cell r="A247" t="str">
            <v>83224</v>
          </cell>
        </row>
        <row r="248">
          <cell r="A248" t="str">
            <v>83225</v>
          </cell>
        </row>
        <row r="249">
          <cell r="A249" t="str">
            <v>83226</v>
          </cell>
        </row>
        <row r="250">
          <cell r="A250" t="str">
            <v>83230</v>
          </cell>
        </row>
        <row r="251">
          <cell r="A251" t="str">
            <v>83232</v>
          </cell>
        </row>
        <row r="252">
          <cell r="A252" t="str">
            <v>83240</v>
          </cell>
        </row>
        <row r="253">
          <cell r="A253" t="str">
            <v>83250</v>
          </cell>
        </row>
        <row r="254">
          <cell r="A254" t="str">
            <v>84000</v>
          </cell>
        </row>
        <row r="255">
          <cell r="A255" t="str">
            <v>84100</v>
          </cell>
        </row>
        <row r="256">
          <cell r="A256" t="str">
            <v>84110</v>
          </cell>
        </row>
        <row r="257">
          <cell r="A257" t="str">
            <v>84111</v>
          </cell>
        </row>
        <row r="258">
          <cell r="A258" t="str">
            <v>84112</v>
          </cell>
        </row>
        <row r="259">
          <cell r="A259" t="str">
            <v>84120</v>
          </cell>
        </row>
        <row r="260">
          <cell r="A260" t="str">
            <v>84121</v>
          </cell>
        </row>
        <row r="261">
          <cell r="A261" t="str">
            <v>84122</v>
          </cell>
        </row>
        <row r="262">
          <cell r="A262" t="str">
            <v>84130</v>
          </cell>
        </row>
        <row r="263">
          <cell r="A263" t="str">
            <v>84131</v>
          </cell>
        </row>
        <row r="264">
          <cell r="A264" t="str">
            <v>84140</v>
          </cell>
        </row>
        <row r="265">
          <cell r="A265" t="str">
            <v>84141</v>
          </cell>
        </row>
        <row r="266">
          <cell r="A266" t="str">
            <v>84150</v>
          </cell>
        </row>
        <row r="267">
          <cell r="A267" t="str">
            <v>84151</v>
          </cell>
        </row>
        <row r="268">
          <cell r="A268" t="str">
            <v>84200</v>
          </cell>
        </row>
        <row r="269">
          <cell r="A269" t="str">
            <v>84210</v>
          </cell>
        </row>
        <row r="270">
          <cell r="A270" t="str">
            <v>84220</v>
          </cell>
        </row>
        <row r="271">
          <cell r="A271" t="str">
            <v>84230</v>
          </cell>
        </row>
        <row r="272">
          <cell r="A272" t="str">
            <v>84240</v>
          </cell>
        </row>
        <row r="273">
          <cell r="A273" t="str">
            <v>84300</v>
          </cell>
        </row>
        <row r="274">
          <cell r="A274" t="str">
            <v>84311</v>
          </cell>
        </row>
        <row r="275">
          <cell r="A275" t="str">
            <v>84312</v>
          </cell>
        </row>
        <row r="276">
          <cell r="A276" t="str">
            <v>84321</v>
          </cell>
        </row>
        <row r="277">
          <cell r="A277" t="str">
            <v>84322</v>
          </cell>
        </row>
        <row r="278">
          <cell r="A278" t="str">
            <v>84330</v>
          </cell>
        </row>
        <row r="279">
          <cell r="A279" t="str">
            <v>84340</v>
          </cell>
        </row>
        <row r="280">
          <cell r="A280" t="str">
            <v>84400</v>
          </cell>
        </row>
        <row r="281">
          <cell r="A281" t="str">
            <v>84410</v>
          </cell>
        </row>
        <row r="282">
          <cell r="A282" t="str">
            <v>84411</v>
          </cell>
        </row>
        <row r="283">
          <cell r="A283" t="str">
            <v>84412</v>
          </cell>
        </row>
        <row r="284">
          <cell r="A284" t="str">
            <v>84420</v>
          </cell>
        </row>
        <row r="285">
          <cell r="A285" t="str">
            <v>84430</v>
          </cell>
        </row>
        <row r="286">
          <cell r="A286" t="str">
            <v>84440</v>
          </cell>
        </row>
        <row r="287">
          <cell r="A287" t="str">
            <v>84450</v>
          </cell>
        </row>
        <row r="288">
          <cell r="A288" t="str">
            <v>84451</v>
          </cell>
        </row>
        <row r="289">
          <cell r="A289" t="str">
            <v>84452</v>
          </cell>
        </row>
        <row r="290">
          <cell r="A290" t="str">
            <v>84453</v>
          </cell>
        </row>
        <row r="291">
          <cell r="A291" t="str">
            <v>84454</v>
          </cell>
        </row>
        <row r="292">
          <cell r="A292" t="str">
            <v>84460</v>
          </cell>
        </row>
        <row r="293">
          <cell r="A293" t="str">
            <v>84461</v>
          </cell>
        </row>
        <row r="294">
          <cell r="A294" t="str">
            <v>84462</v>
          </cell>
        </row>
        <row r="295">
          <cell r="A295" t="str">
            <v>84463</v>
          </cell>
        </row>
        <row r="296">
          <cell r="A296" t="str">
            <v>84464</v>
          </cell>
        </row>
        <row r="297">
          <cell r="A297" t="str">
            <v>84990</v>
          </cell>
        </row>
        <row r="298">
          <cell r="A298" t="str">
            <v>84991</v>
          </cell>
        </row>
        <row r="299">
          <cell r="A299" t="str">
            <v>84992</v>
          </cell>
        </row>
        <row r="300">
          <cell r="A300" t="str">
            <v>84993</v>
          </cell>
        </row>
        <row r="301">
          <cell r="A301" t="str">
            <v>84994</v>
          </cell>
        </row>
        <row r="302">
          <cell r="A302" t="str">
            <v>84995</v>
          </cell>
        </row>
        <row r="303">
          <cell r="A303" t="str">
            <v>84996</v>
          </cell>
        </row>
        <row r="304">
          <cell r="A304" t="str">
            <v>84997</v>
          </cell>
        </row>
        <row r="305">
          <cell r="A305" t="str">
            <v>84998</v>
          </cell>
        </row>
        <row r="306">
          <cell r="A306" t="str">
            <v>84999</v>
          </cell>
        </row>
        <row r="307">
          <cell r="A307" t="str">
            <v>85000</v>
          </cell>
        </row>
        <row r="308">
          <cell r="A308" t="str">
            <v>85100</v>
          </cell>
        </row>
        <row r="309">
          <cell r="A309" t="str">
            <v>85110</v>
          </cell>
        </row>
        <row r="310">
          <cell r="A310" t="str">
            <v>85111</v>
          </cell>
        </row>
        <row r="311">
          <cell r="A311" t="str">
            <v>85112</v>
          </cell>
        </row>
        <row r="312">
          <cell r="A312" t="str">
            <v>85113</v>
          </cell>
        </row>
        <row r="313">
          <cell r="A313" t="str">
            <v>85114</v>
          </cell>
        </row>
        <row r="314">
          <cell r="A314" t="str">
            <v>85115</v>
          </cell>
        </row>
        <row r="315">
          <cell r="A315" t="str">
            <v>85116</v>
          </cell>
        </row>
        <row r="316">
          <cell r="A316" t="str">
            <v>85120</v>
          </cell>
        </row>
        <row r="317">
          <cell r="A317" t="str">
            <v>85121</v>
          </cell>
        </row>
        <row r="318">
          <cell r="A318" t="str">
            <v>85122</v>
          </cell>
        </row>
        <row r="319">
          <cell r="A319" t="str">
            <v>85130</v>
          </cell>
        </row>
        <row r="320">
          <cell r="A320" t="str">
            <v>85131</v>
          </cell>
        </row>
        <row r="321">
          <cell r="A321" t="str">
            <v>85132</v>
          </cell>
        </row>
        <row r="322">
          <cell r="A322" t="str">
            <v>85133</v>
          </cell>
        </row>
        <row r="323">
          <cell r="A323" t="str">
            <v>85140</v>
          </cell>
        </row>
        <row r="324">
          <cell r="A324" t="str">
            <v>85141</v>
          </cell>
        </row>
        <row r="325">
          <cell r="A325" t="str">
            <v>85150</v>
          </cell>
        </row>
        <row r="326">
          <cell r="A326" t="str">
            <v>85151</v>
          </cell>
        </row>
        <row r="327">
          <cell r="A327" t="str">
            <v>85152</v>
          </cell>
        </row>
        <row r="328">
          <cell r="A328" t="str">
            <v>85160</v>
          </cell>
        </row>
        <row r="329">
          <cell r="A329" t="str">
            <v>85161</v>
          </cell>
        </row>
        <row r="330">
          <cell r="A330" t="str">
            <v>85162</v>
          </cell>
        </row>
        <row r="331">
          <cell r="A331" t="str">
            <v>85163</v>
          </cell>
        </row>
        <row r="332">
          <cell r="A332" t="str">
            <v>85164</v>
          </cell>
        </row>
        <row r="333">
          <cell r="A333" t="str">
            <v>85165</v>
          </cell>
        </row>
        <row r="334">
          <cell r="A334" t="str">
            <v>85166</v>
          </cell>
        </row>
        <row r="335">
          <cell r="A335" t="str">
            <v>85170</v>
          </cell>
        </row>
        <row r="336">
          <cell r="A336" t="str">
            <v>85171</v>
          </cell>
        </row>
        <row r="337">
          <cell r="A337" t="str">
            <v>85172</v>
          </cell>
        </row>
        <row r="338">
          <cell r="A338" t="str">
            <v>85180</v>
          </cell>
        </row>
        <row r="339">
          <cell r="A339" t="str">
            <v>85181</v>
          </cell>
        </row>
      </sheetData>
      <sheetData sheetId="7" refreshError="1">
        <row r="2">
          <cell r="B2" t="str">
            <v>Description</v>
          </cell>
        </row>
        <row r="3">
          <cell r="A3" t="str">
            <v>000</v>
          </cell>
          <cell r="B3" t="str">
            <v>Routine</v>
          </cell>
        </row>
        <row r="4">
          <cell r="A4" t="str">
            <v>001</v>
          </cell>
          <cell r="B4" t="str">
            <v>Increase domestic coal sales valume in cement industy</v>
          </cell>
        </row>
        <row r="5">
          <cell r="A5" t="str">
            <v>002</v>
          </cell>
          <cell r="B5" t="str">
            <v>Sell Coal to EGAT</v>
          </cell>
        </row>
        <row r="6">
          <cell r="A6" t="str">
            <v>003</v>
          </cell>
          <cell r="B6" t="str">
            <v>Routine-Sales-Coal Thailand</v>
          </cell>
        </row>
        <row r="7">
          <cell r="A7" t="str">
            <v>004</v>
          </cell>
        </row>
        <row r="8">
          <cell r="A8" t="str">
            <v>005</v>
          </cell>
        </row>
        <row r="9">
          <cell r="A9" t="str">
            <v>007</v>
          </cell>
        </row>
        <row r="10">
          <cell r="A10" t="str">
            <v>008</v>
          </cell>
        </row>
        <row r="11">
          <cell r="A11" t="str">
            <v>021</v>
          </cell>
        </row>
        <row r="12">
          <cell r="A12" t="str">
            <v>026</v>
          </cell>
        </row>
        <row r="13">
          <cell r="A13" t="str">
            <v>027</v>
          </cell>
        </row>
        <row r="14">
          <cell r="A14" t="str">
            <v>036</v>
          </cell>
        </row>
        <row r="15">
          <cell r="A15" t="str">
            <v>037</v>
          </cell>
        </row>
        <row r="16">
          <cell r="A16" t="str">
            <v>061</v>
          </cell>
        </row>
        <row r="17">
          <cell r="A17" t="str">
            <v>062</v>
          </cell>
        </row>
        <row r="18">
          <cell r="A18" t="str">
            <v>063</v>
          </cell>
        </row>
        <row r="19">
          <cell r="A19" t="str">
            <v>064</v>
          </cell>
        </row>
        <row r="20">
          <cell r="A20" t="str">
            <v>065</v>
          </cell>
        </row>
        <row r="21">
          <cell r="A21" t="str">
            <v>074</v>
          </cell>
        </row>
        <row r="22">
          <cell r="A22" t="str">
            <v>081</v>
          </cell>
        </row>
        <row r="23">
          <cell r="A23" t="str">
            <v>082</v>
          </cell>
        </row>
        <row r="24">
          <cell r="A24" t="str">
            <v>083</v>
          </cell>
        </row>
        <row r="25">
          <cell r="A25" t="str">
            <v>091</v>
          </cell>
        </row>
        <row r="26">
          <cell r="A26" t="str">
            <v>092</v>
          </cell>
        </row>
        <row r="27">
          <cell r="A27" t="str">
            <v>093</v>
          </cell>
        </row>
        <row r="28">
          <cell r="A28" t="str">
            <v>094</v>
          </cell>
        </row>
        <row r="29">
          <cell r="A29" t="str">
            <v>095</v>
          </cell>
        </row>
        <row r="30">
          <cell r="A30" t="str">
            <v>096</v>
          </cell>
        </row>
        <row r="31">
          <cell r="A31" t="str">
            <v>101</v>
          </cell>
        </row>
        <row r="32">
          <cell r="A32" t="str">
            <v>102</v>
          </cell>
        </row>
        <row r="33">
          <cell r="A33" t="str">
            <v>103</v>
          </cell>
        </row>
        <row r="34">
          <cell r="A34" t="str">
            <v>104</v>
          </cell>
        </row>
        <row r="35">
          <cell r="A35" t="str">
            <v>105</v>
          </cell>
        </row>
        <row r="36">
          <cell r="A36" t="str">
            <v>110</v>
          </cell>
        </row>
        <row r="37">
          <cell r="A37" t="str">
            <v>111</v>
          </cell>
        </row>
        <row r="38">
          <cell r="A38" t="str">
            <v>113</v>
          </cell>
        </row>
        <row r="39">
          <cell r="A39" t="str">
            <v>114</v>
          </cell>
        </row>
        <row r="40">
          <cell r="A40" t="str">
            <v>115</v>
          </cell>
        </row>
        <row r="41">
          <cell r="A41" t="str">
            <v>116</v>
          </cell>
        </row>
        <row r="42">
          <cell r="A42" t="str">
            <v>117</v>
          </cell>
        </row>
        <row r="43">
          <cell r="A43" t="str">
            <v>118</v>
          </cell>
        </row>
        <row r="44">
          <cell r="A44" t="str">
            <v>119</v>
          </cell>
        </row>
        <row r="45">
          <cell r="A45" t="str">
            <v>141</v>
          </cell>
        </row>
        <row r="46">
          <cell r="A46" t="str">
            <v>142</v>
          </cell>
        </row>
        <row r="47">
          <cell r="A47" t="str">
            <v>143</v>
          </cell>
        </row>
        <row r="48">
          <cell r="A48" t="str">
            <v>144</v>
          </cell>
        </row>
        <row r="49">
          <cell r="A49" t="str">
            <v>145</v>
          </cell>
        </row>
        <row r="50">
          <cell r="A50" t="str">
            <v>191</v>
          </cell>
        </row>
        <row r="51">
          <cell r="A51" t="str">
            <v>210</v>
          </cell>
        </row>
        <row r="52">
          <cell r="A52" t="str">
            <v>211</v>
          </cell>
        </row>
        <row r="53">
          <cell r="A53" t="str">
            <v>211</v>
          </cell>
        </row>
        <row r="54">
          <cell r="A54" t="str">
            <v>212</v>
          </cell>
        </row>
        <row r="55">
          <cell r="A55" t="str">
            <v>213</v>
          </cell>
        </row>
        <row r="56">
          <cell r="A56" t="str">
            <v>214</v>
          </cell>
        </row>
        <row r="57">
          <cell r="A57" t="str">
            <v>215</v>
          </cell>
        </row>
        <row r="58">
          <cell r="A58" t="str">
            <v>231</v>
          </cell>
        </row>
        <row r="59">
          <cell r="A59" t="str">
            <v>281</v>
          </cell>
        </row>
        <row r="60">
          <cell r="A60" t="str">
            <v>282</v>
          </cell>
        </row>
        <row r="61">
          <cell r="A61" t="str">
            <v>283</v>
          </cell>
        </row>
        <row r="62">
          <cell r="A62" t="str">
            <v>284</v>
          </cell>
        </row>
        <row r="63">
          <cell r="A63" t="str">
            <v>285</v>
          </cell>
        </row>
        <row r="64">
          <cell r="A64" t="str">
            <v>286</v>
          </cell>
        </row>
        <row r="65">
          <cell r="A65" t="str">
            <v>287</v>
          </cell>
        </row>
        <row r="66">
          <cell r="A66" t="str">
            <v>288</v>
          </cell>
        </row>
        <row r="67">
          <cell r="A67" t="str">
            <v>289</v>
          </cell>
        </row>
        <row r="68">
          <cell r="A68" t="str">
            <v>290</v>
          </cell>
        </row>
        <row r="69">
          <cell r="A69" t="str">
            <v>291</v>
          </cell>
        </row>
        <row r="70">
          <cell r="A70" t="str">
            <v>292</v>
          </cell>
        </row>
        <row r="71">
          <cell r="A71" t="str">
            <v>293</v>
          </cell>
        </row>
        <row r="72">
          <cell r="A72" t="str">
            <v>294</v>
          </cell>
        </row>
        <row r="73">
          <cell r="A73" t="str">
            <v>295</v>
          </cell>
        </row>
        <row r="74">
          <cell r="A74" t="str">
            <v>296</v>
          </cell>
        </row>
        <row r="75">
          <cell r="A75" t="str">
            <v>297</v>
          </cell>
        </row>
        <row r="76">
          <cell r="A76" t="str">
            <v>298</v>
          </cell>
        </row>
        <row r="77">
          <cell r="A77" t="str">
            <v>299</v>
          </cell>
        </row>
        <row r="78">
          <cell r="A78" t="str">
            <v>300</v>
          </cell>
        </row>
        <row r="79">
          <cell r="A79" t="str">
            <v>301</v>
          </cell>
        </row>
        <row r="80">
          <cell r="A80" t="str">
            <v>302</v>
          </cell>
        </row>
        <row r="81">
          <cell r="A81" t="str">
            <v>303</v>
          </cell>
        </row>
        <row r="82">
          <cell r="A82" t="str">
            <v>304</v>
          </cell>
        </row>
        <row r="83">
          <cell r="A83" t="str">
            <v>305</v>
          </cell>
        </row>
        <row r="84">
          <cell r="A84" t="str">
            <v>312</v>
          </cell>
        </row>
        <row r="85">
          <cell r="A85" t="str">
            <v>313</v>
          </cell>
        </row>
        <row r="86">
          <cell r="A86" t="str">
            <v>314</v>
          </cell>
        </row>
        <row r="87">
          <cell r="A87" t="str">
            <v>315</v>
          </cell>
        </row>
        <row r="88">
          <cell r="A88" t="str">
            <v>321</v>
          </cell>
        </row>
        <row r="89">
          <cell r="A89" t="str">
            <v>322</v>
          </cell>
        </row>
        <row r="90">
          <cell r="A90" t="str">
            <v>323</v>
          </cell>
        </row>
        <row r="91">
          <cell r="A91" t="str">
            <v>324</v>
          </cell>
        </row>
        <row r="92">
          <cell r="A92" t="str">
            <v>325</v>
          </cell>
        </row>
        <row r="93">
          <cell r="A93" t="str">
            <v>326</v>
          </cell>
        </row>
        <row r="94">
          <cell r="A94" t="str">
            <v>327</v>
          </cell>
        </row>
        <row r="95">
          <cell r="A95" t="str">
            <v>328</v>
          </cell>
        </row>
        <row r="96">
          <cell r="A96" t="str">
            <v>329</v>
          </cell>
        </row>
        <row r="97">
          <cell r="A97" t="str">
            <v>330</v>
          </cell>
        </row>
        <row r="98">
          <cell r="A98" t="str">
            <v>331</v>
          </cell>
        </row>
        <row r="99">
          <cell r="A99" t="str">
            <v>332</v>
          </cell>
        </row>
        <row r="100">
          <cell r="A100" t="str">
            <v>333</v>
          </cell>
        </row>
        <row r="101">
          <cell r="A101" t="str">
            <v>334</v>
          </cell>
        </row>
        <row r="102">
          <cell r="A102" t="str">
            <v>335</v>
          </cell>
        </row>
        <row r="103">
          <cell r="A103" t="str">
            <v>336</v>
          </cell>
        </row>
        <row r="104">
          <cell r="A104" t="str">
            <v>337</v>
          </cell>
        </row>
        <row r="105">
          <cell r="A105" t="str">
            <v>338</v>
          </cell>
        </row>
        <row r="106">
          <cell r="A106" t="str">
            <v>339</v>
          </cell>
        </row>
        <row r="107">
          <cell r="A107" t="str">
            <v>340</v>
          </cell>
        </row>
        <row r="108">
          <cell r="A108" t="str">
            <v>341</v>
          </cell>
        </row>
        <row r="109">
          <cell r="A109" t="str">
            <v>342</v>
          </cell>
        </row>
        <row r="110">
          <cell r="A110" t="str">
            <v>343</v>
          </cell>
        </row>
        <row r="111">
          <cell r="A111" t="str">
            <v>344</v>
          </cell>
        </row>
        <row r="112">
          <cell r="A112" t="str">
            <v>345</v>
          </cell>
        </row>
        <row r="113">
          <cell r="A113" t="str">
            <v>346</v>
          </cell>
        </row>
        <row r="114">
          <cell r="A114" t="str">
            <v>347</v>
          </cell>
        </row>
        <row r="115">
          <cell r="A115" t="str">
            <v>348</v>
          </cell>
        </row>
        <row r="116">
          <cell r="A116" t="str">
            <v>349</v>
          </cell>
        </row>
        <row r="117">
          <cell r="A117" t="str">
            <v>350</v>
          </cell>
        </row>
        <row r="118">
          <cell r="A118" t="str">
            <v>351</v>
          </cell>
        </row>
        <row r="119">
          <cell r="A119" t="str">
            <v>352</v>
          </cell>
        </row>
        <row r="120">
          <cell r="A120" t="str">
            <v>353</v>
          </cell>
        </row>
        <row r="121">
          <cell r="A121" t="str">
            <v>354</v>
          </cell>
        </row>
        <row r="122">
          <cell r="A122" t="str">
            <v>355</v>
          </cell>
        </row>
        <row r="123">
          <cell r="A123" t="str">
            <v>356</v>
          </cell>
        </row>
        <row r="124">
          <cell r="A124" t="str">
            <v>357</v>
          </cell>
        </row>
        <row r="125">
          <cell r="A125" t="str">
            <v>358</v>
          </cell>
        </row>
        <row r="126">
          <cell r="A126" t="str">
            <v>359</v>
          </cell>
        </row>
        <row r="127">
          <cell r="A127" t="str">
            <v>360</v>
          </cell>
        </row>
        <row r="128">
          <cell r="A128" t="str">
            <v>361</v>
          </cell>
        </row>
        <row r="129">
          <cell r="A129" t="str">
            <v>362</v>
          </cell>
        </row>
        <row r="130">
          <cell r="A130" t="str">
            <v>363</v>
          </cell>
        </row>
        <row r="131">
          <cell r="A131" t="str">
            <v>364</v>
          </cell>
        </row>
        <row r="132">
          <cell r="A132" t="str">
            <v>365</v>
          </cell>
        </row>
        <row r="133">
          <cell r="A133" t="str">
            <v>366</v>
          </cell>
        </row>
        <row r="134">
          <cell r="A134" t="str">
            <v>367</v>
          </cell>
        </row>
        <row r="135">
          <cell r="A135" t="str">
            <v>368</v>
          </cell>
        </row>
        <row r="136">
          <cell r="A136" t="str">
            <v>369</v>
          </cell>
        </row>
        <row r="137">
          <cell r="A137" t="str">
            <v>370</v>
          </cell>
        </row>
        <row r="138">
          <cell r="A138" t="str">
            <v>381</v>
          </cell>
        </row>
        <row r="139">
          <cell r="A139" t="str">
            <v>382</v>
          </cell>
        </row>
        <row r="140">
          <cell r="A140" t="str">
            <v>383</v>
          </cell>
        </row>
        <row r="141">
          <cell r="A141" t="str">
            <v>384</v>
          </cell>
        </row>
        <row r="142">
          <cell r="A142" t="str">
            <v>385</v>
          </cell>
        </row>
        <row r="143">
          <cell r="A143" t="str">
            <v>386</v>
          </cell>
        </row>
        <row r="144">
          <cell r="A144" t="str">
            <v>387</v>
          </cell>
        </row>
        <row r="145">
          <cell r="A145" t="str">
            <v>388</v>
          </cell>
        </row>
        <row r="146">
          <cell r="A146" t="str">
            <v>389</v>
          </cell>
        </row>
        <row r="147">
          <cell r="A147" t="str">
            <v>390</v>
          </cell>
        </row>
        <row r="148">
          <cell r="A148" t="str">
            <v>391</v>
          </cell>
        </row>
        <row r="149">
          <cell r="A149" t="str">
            <v>392</v>
          </cell>
        </row>
        <row r="150">
          <cell r="A150" t="str">
            <v>393</v>
          </cell>
        </row>
        <row r="151">
          <cell r="A151" t="str">
            <v>394</v>
          </cell>
        </row>
        <row r="152">
          <cell r="A152" t="str">
            <v>395</v>
          </cell>
        </row>
        <row r="153">
          <cell r="A153" t="str">
            <v>396</v>
          </cell>
        </row>
        <row r="154">
          <cell r="A154" t="str">
            <v>397</v>
          </cell>
        </row>
        <row r="155">
          <cell r="A155" t="str">
            <v>398</v>
          </cell>
        </row>
        <row r="156">
          <cell r="A156" t="str">
            <v>399</v>
          </cell>
        </row>
        <row r="157">
          <cell r="A157" t="str">
            <v>400</v>
          </cell>
        </row>
        <row r="158">
          <cell r="A158" t="str">
            <v>401</v>
          </cell>
        </row>
        <row r="159">
          <cell r="A159" t="str">
            <v>402</v>
          </cell>
        </row>
        <row r="160">
          <cell r="A160" t="str">
            <v>403</v>
          </cell>
        </row>
        <row r="161">
          <cell r="A161" t="str">
            <v>404</v>
          </cell>
        </row>
        <row r="162">
          <cell r="A162" t="str">
            <v>405</v>
          </cell>
        </row>
        <row r="163">
          <cell r="A163" t="str">
            <v>406</v>
          </cell>
        </row>
        <row r="164">
          <cell r="A164" t="str">
            <v>407</v>
          </cell>
        </row>
        <row r="165">
          <cell r="A165" t="str">
            <v>408</v>
          </cell>
        </row>
        <row r="166">
          <cell r="A166" t="str">
            <v>409</v>
          </cell>
        </row>
        <row r="167">
          <cell r="A167" t="str">
            <v>410</v>
          </cell>
        </row>
        <row r="168">
          <cell r="A168" t="str">
            <v>411</v>
          </cell>
        </row>
        <row r="169">
          <cell r="A169" t="str">
            <v>412</v>
          </cell>
        </row>
        <row r="170">
          <cell r="A170" t="str">
            <v>413</v>
          </cell>
        </row>
        <row r="171">
          <cell r="A171" t="str">
            <v>414</v>
          </cell>
        </row>
        <row r="172">
          <cell r="A172" t="str">
            <v>415</v>
          </cell>
        </row>
        <row r="173">
          <cell r="A173" t="str">
            <v>416</v>
          </cell>
        </row>
        <row r="174">
          <cell r="A174" t="str">
            <v>417</v>
          </cell>
        </row>
        <row r="175">
          <cell r="A175" t="str">
            <v>418</v>
          </cell>
        </row>
        <row r="176">
          <cell r="A176" t="str">
            <v>419</v>
          </cell>
        </row>
        <row r="177">
          <cell r="A177" t="str">
            <v>420</v>
          </cell>
        </row>
        <row r="178">
          <cell r="A178" t="str">
            <v>421</v>
          </cell>
        </row>
        <row r="179">
          <cell r="A179" t="str">
            <v>422</v>
          </cell>
        </row>
        <row r="180">
          <cell r="A180" t="str">
            <v>423</v>
          </cell>
        </row>
        <row r="181">
          <cell r="A181" t="str">
            <v>424</v>
          </cell>
        </row>
        <row r="182">
          <cell r="A182" t="str">
            <v>425</v>
          </cell>
        </row>
        <row r="183">
          <cell r="A183" t="str">
            <v>426</v>
          </cell>
        </row>
        <row r="184">
          <cell r="A184" t="str">
            <v>427</v>
          </cell>
        </row>
        <row r="185">
          <cell r="A185" t="str">
            <v>428</v>
          </cell>
        </row>
        <row r="186">
          <cell r="A186" t="str">
            <v>429</v>
          </cell>
        </row>
        <row r="187">
          <cell r="A187" t="str">
            <v>430</v>
          </cell>
        </row>
        <row r="188">
          <cell r="A188" t="str">
            <v>431</v>
          </cell>
        </row>
        <row r="189">
          <cell r="A189" t="str">
            <v>432</v>
          </cell>
        </row>
        <row r="190">
          <cell r="A190" t="str">
            <v>433</v>
          </cell>
        </row>
        <row r="191">
          <cell r="A191" t="str">
            <v>434</v>
          </cell>
        </row>
        <row r="192">
          <cell r="A192" t="str">
            <v>435</v>
          </cell>
        </row>
        <row r="193">
          <cell r="A193" t="str">
            <v>436</v>
          </cell>
        </row>
        <row r="194">
          <cell r="A194" t="str">
            <v>437</v>
          </cell>
        </row>
        <row r="195">
          <cell r="A195" t="str">
            <v>438</v>
          </cell>
        </row>
        <row r="196">
          <cell r="A196" t="str">
            <v>439</v>
          </cell>
        </row>
        <row r="197">
          <cell r="A197" t="str">
            <v>440</v>
          </cell>
        </row>
        <row r="198">
          <cell r="A198" t="str">
            <v>441</v>
          </cell>
        </row>
        <row r="199">
          <cell r="A199" t="str">
            <v>442</v>
          </cell>
        </row>
        <row r="200">
          <cell r="A200" t="str">
            <v>443</v>
          </cell>
        </row>
        <row r="201">
          <cell r="A201" t="str">
            <v>444</v>
          </cell>
        </row>
        <row r="202">
          <cell r="A202" t="str">
            <v>445</v>
          </cell>
        </row>
        <row r="203">
          <cell r="A203" t="str">
            <v>446</v>
          </cell>
        </row>
        <row r="204">
          <cell r="A204" t="str">
            <v>447</v>
          </cell>
        </row>
        <row r="205">
          <cell r="A205" t="str">
            <v>448</v>
          </cell>
        </row>
        <row r="206">
          <cell r="A206" t="str">
            <v>449</v>
          </cell>
        </row>
        <row r="207">
          <cell r="A207" t="str">
            <v>450</v>
          </cell>
        </row>
        <row r="208">
          <cell r="A208" t="str">
            <v>450</v>
          </cell>
        </row>
        <row r="209">
          <cell r="A209" t="str">
            <v>451</v>
          </cell>
        </row>
        <row r="210">
          <cell r="A210" t="str">
            <v>452</v>
          </cell>
        </row>
        <row r="211">
          <cell r="A211" t="str">
            <v>453</v>
          </cell>
        </row>
        <row r="212">
          <cell r="A212" t="str">
            <v>454</v>
          </cell>
        </row>
        <row r="213">
          <cell r="A213" t="str">
            <v>455</v>
          </cell>
        </row>
        <row r="214">
          <cell r="A214" t="str">
            <v>456</v>
          </cell>
        </row>
        <row r="215">
          <cell r="A215" t="str">
            <v>457</v>
          </cell>
        </row>
        <row r="216">
          <cell r="A216" t="str">
            <v>458</v>
          </cell>
        </row>
        <row r="217">
          <cell r="A217" t="str">
            <v>459</v>
          </cell>
        </row>
        <row r="218">
          <cell r="A218" t="str">
            <v>460</v>
          </cell>
        </row>
        <row r="219">
          <cell r="A219" t="str">
            <v>461</v>
          </cell>
        </row>
        <row r="220">
          <cell r="A220" t="str">
            <v>462</v>
          </cell>
        </row>
        <row r="221">
          <cell r="A221" t="str">
            <v>463</v>
          </cell>
        </row>
        <row r="222">
          <cell r="A222" t="str">
            <v>464</v>
          </cell>
        </row>
        <row r="223">
          <cell r="A223" t="str">
            <v>465</v>
          </cell>
        </row>
        <row r="224">
          <cell r="A224" t="str">
            <v>466</v>
          </cell>
        </row>
        <row r="225">
          <cell r="A225" t="str">
            <v>467</v>
          </cell>
        </row>
        <row r="226">
          <cell r="A226" t="str">
            <v>468</v>
          </cell>
        </row>
        <row r="227">
          <cell r="A227" t="str">
            <v>469</v>
          </cell>
        </row>
        <row r="228">
          <cell r="A228" t="str">
            <v>470</v>
          </cell>
        </row>
        <row r="229">
          <cell r="A229" t="str">
            <v>481</v>
          </cell>
        </row>
        <row r="230">
          <cell r="A230" t="str">
            <v>482</v>
          </cell>
        </row>
        <row r="231">
          <cell r="A231" t="str">
            <v>483</v>
          </cell>
        </row>
        <row r="232">
          <cell r="A232" t="str">
            <v>485</v>
          </cell>
        </row>
        <row r="233">
          <cell r="A233" t="str">
            <v>486</v>
          </cell>
        </row>
        <row r="234">
          <cell r="A234" t="str">
            <v>488</v>
          </cell>
        </row>
        <row r="235">
          <cell r="A235" t="str">
            <v>490</v>
          </cell>
        </row>
        <row r="236">
          <cell r="A236" t="str">
            <v>491</v>
          </cell>
        </row>
        <row r="237">
          <cell r="A237" t="str">
            <v>492</v>
          </cell>
        </row>
        <row r="238">
          <cell r="A238" t="str">
            <v>496</v>
          </cell>
        </row>
        <row r="239">
          <cell r="A239" t="str">
            <v>501</v>
          </cell>
        </row>
        <row r="240">
          <cell r="A240" t="str">
            <v>502</v>
          </cell>
        </row>
        <row r="241">
          <cell r="A241" t="str">
            <v>503</v>
          </cell>
        </row>
        <row r="242">
          <cell r="A242" t="str">
            <v>504</v>
          </cell>
        </row>
        <row r="243">
          <cell r="A243" t="str">
            <v>505</v>
          </cell>
        </row>
        <row r="244">
          <cell r="A244" t="str">
            <v>506</v>
          </cell>
        </row>
        <row r="245">
          <cell r="A245" t="str">
            <v>507</v>
          </cell>
        </row>
        <row r="246">
          <cell r="A246" t="str">
            <v>508</v>
          </cell>
        </row>
        <row r="247">
          <cell r="A247" t="str">
            <v>509</v>
          </cell>
        </row>
        <row r="248">
          <cell r="A248" t="str">
            <v>510</v>
          </cell>
        </row>
        <row r="249">
          <cell r="A249" t="str">
            <v>511</v>
          </cell>
        </row>
        <row r="250">
          <cell r="A250" t="str">
            <v>512</v>
          </cell>
        </row>
        <row r="251">
          <cell r="A251" t="str">
            <v>513</v>
          </cell>
        </row>
        <row r="252">
          <cell r="A252" t="str">
            <v>514</v>
          </cell>
        </row>
        <row r="253">
          <cell r="A253" t="str">
            <v>515</v>
          </cell>
        </row>
        <row r="254">
          <cell r="A254" t="str">
            <v>516</v>
          </cell>
        </row>
        <row r="255">
          <cell r="A255" t="str">
            <v>517</v>
          </cell>
        </row>
        <row r="256">
          <cell r="A256" t="str">
            <v>518</v>
          </cell>
        </row>
        <row r="257">
          <cell r="A257" t="str">
            <v>519</v>
          </cell>
        </row>
        <row r="258">
          <cell r="A258" t="str">
            <v>520</v>
          </cell>
        </row>
        <row r="259">
          <cell r="A259" t="str">
            <v>566</v>
          </cell>
        </row>
        <row r="260">
          <cell r="A260" t="str">
            <v>581</v>
          </cell>
        </row>
        <row r="261">
          <cell r="A261" t="str">
            <v>601</v>
          </cell>
        </row>
        <row r="262">
          <cell r="A262" t="str">
            <v>602</v>
          </cell>
        </row>
        <row r="263">
          <cell r="A263" t="str">
            <v>603</v>
          </cell>
        </row>
        <row r="264">
          <cell r="A264" t="str">
            <v>604</v>
          </cell>
        </row>
        <row r="265">
          <cell r="A265" t="str">
            <v>605</v>
          </cell>
        </row>
        <row r="266">
          <cell r="A266" t="str">
            <v>606</v>
          </cell>
        </row>
        <row r="267">
          <cell r="A267" t="str">
            <v>607</v>
          </cell>
        </row>
        <row r="268">
          <cell r="A268" t="str">
            <v>608</v>
          </cell>
        </row>
        <row r="269">
          <cell r="A269" t="str">
            <v>609</v>
          </cell>
        </row>
        <row r="270">
          <cell r="A270" t="str">
            <v>610</v>
          </cell>
        </row>
        <row r="271">
          <cell r="A271" t="str">
            <v>611</v>
          </cell>
        </row>
        <row r="272">
          <cell r="A272" t="str">
            <v>612</v>
          </cell>
        </row>
        <row r="273">
          <cell r="A273" t="str">
            <v>613</v>
          </cell>
        </row>
        <row r="274">
          <cell r="A274" t="str">
            <v>614</v>
          </cell>
        </row>
        <row r="275">
          <cell r="A275" t="str">
            <v>615</v>
          </cell>
        </row>
        <row r="276">
          <cell r="A276" t="str">
            <v>616</v>
          </cell>
        </row>
        <row r="277">
          <cell r="A277" t="str">
            <v>617</v>
          </cell>
        </row>
        <row r="278">
          <cell r="A278" t="str">
            <v>618</v>
          </cell>
        </row>
        <row r="279">
          <cell r="A279" t="str">
            <v>619</v>
          </cell>
        </row>
        <row r="280">
          <cell r="A280" t="str">
            <v>620</v>
          </cell>
        </row>
        <row r="281">
          <cell r="A281" t="str">
            <v>621</v>
          </cell>
        </row>
        <row r="282">
          <cell r="A282" t="str">
            <v>622</v>
          </cell>
        </row>
        <row r="283">
          <cell r="A283" t="str">
            <v>623</v>
          </cell>
        </row>
        <row r="284">
          <cell r="A284" t="str">
            <v>624</v>
          </cell>
        </row>
        <row r="285">
          <cell r="A285" t="str">
            <v>625</v>
          </cell>
        </row>
        <row r="286">
          <cell r="A286" t="str">
            <v>626</v>
          </cell>
        </row>
        <row r="287">
          <cell r="A287" t="str">
            <v>627</v>
          </cell>
        </row>
        <row r="288">
          <cell r="A288" t="str">
            <v>628</v>
          </cell>
        </row>
        <row r="289">
          <cell r="A289" t="str">
            <v>629</v>
          </cell>
        </row>
        <row r="290">
          <cell r="A290" t="str">
            <v>630</v>
          </cell>
        </row>
        <row r="291">
          <cell r="A291" t="str">
            <v>631</v>
          </cell>
        </row>
        <row r="292">
          <cell r="A292" t="str">
            <v>632</v>
          </cell>
        </row>
        <row r="293">
          <cell r="A293" t="str">
            <v>633</v>
          </cell>
        </row>
        <row r="294">
          <cell r="A294" t="str">
            <v>634</v>
          </cell>
        </row>
        <row r="295">
          <cell r="A295" t="str">
            <v>635</v>
          </cell>
        </row>
        <row r="296">
          <cell r="A296" t="str">
            <v>636</v>
          </cell>
        </row>
        <row r="297">
          <cell r="A297" t="str">
            <v>637</v>
          </cell>
        </row>
        <row r="298">
          <cell r="A298" t="str">
            <v>638</v>
          </cell>
        </row>
        <row r="299">
          <cell r="A299" t="str">
            <v>639</v>
          </cell>
        </row>
        <row r="300">
          <cell r="A300" t="str">
            <v>640</v>
          </cell>
        </row>
        <row r="301">
          <cell r="A301" t="str">
            <v>641</v>
          </cell>
        </row>
        <row r="302">
          <cell r="A302" t="str">
            <v>642</v>
          </cell>
        </row>
        <row r="303">
          <cell r="A303" t="str">
            <v>643</v>
          </cell>
        </row>
        <row r="304">
          <cell r="A304" t="str">
            <v>644</v>
          </cell>
        </row>
        <row r="305">
          <cell r="A305" t="str">
            <v>645</v>
          </cell>
        </row>
        <row r="306">
          <cell r="A306" t="str">
            <v>646</v>
          </cell>
        </row>
        <row r="307">
          <cell r="A307" t="str">
            <v>647</v>
          </cell>
        </row>
        <row r="308">
          <cell r="A308" t="str">
            <v>648</v>
          </cell>
        </row>
        <row r="309">
          <cell r="A309" t="str">
            <v>649</v>
          </cell>
        </row>
        <row r="310">
          <cell r="A310" t="str">
            <v>650</v>
          </cell>
        </row>
        <row r="311">
          <cell r="A311" t="str">
            <v>651</v>
          </cell>
        </row>
        <row r="312">
          <cell r="A312" t="str">
            <v>652</v>
          </cell>
        </row>
        <row r="313">
          <cell r="A313" t="str">
            <v>653</v>
          </cell>
        </row>
        <row r="314">
          <cell r="A314" t="str">
            <v>654</v>
          </cell>
        </row>
        <row r="315">
          <cell r="A315" t="str">
            <v>655</v>
          </cell>
        </row>
        <row r="316">
          <cell r="A316" t="str">
            <v>656</v>
          </cell>
        </row>
        <row r="317">
          <cell r="A317" t="str">
            <v>657</v>
          </cell>
        </row>
        <row r="318">
          <cell r="A318" t="str">
            <v>658</v>
          </cell>
        </row>
        <row r="319">
          <cell r="A319" t="str">
            <v>659</v>
          </cell>
        </row>
        <row r="320">
          <cell r="A320" t="str">
            <v>660</v>
          </cell>
        </row>
        <row r="321">
          <cell r="A321" t="str">
            <v>661</v>
          </cell>
        </row>
        <row r="322">
          <cell r="A322" t="str">
            <v>662</v>
          </cell>
        </row>
        <row r="323">
          <cell r="A323" t="str">
            <v>663</v>
          </cell>
        </row>
        <row r="324">
          <cell r="A324" t="str">
            <v>664</v>
          </cell>
        </row>
        <row r="325">
          <cell r="A325" t="str">
            <v>665</v>
          </cell>
        </row>
        <row r="326">
          <cell r="A326" t="str">
            <v>666</v>
          </cell>
        </row>
        <row r="327">
          <cell r="A327" t="str">
            <v>667</v>
          </cell>
        </row>
        <row r="328">
          <cell r="A328" t="str">
            <v>668</v>
          </cell>
        </row>
        <row r="329">
          <cell r="A329" t="str">
            <v>669</v>
          </cell>
        </row>
        <row r="330">
          <cell r="A330" t="str">
            <v>670</v>
          </cell>
        </row>
        <row r="331">
          <cell r="A331" t="str">
            <v>671</v>
          </cell>
        </row>
        <row r="332">
          <cell r="A332" t="str">
            <v>672</v>
          </cell>
        </row>
        <row r="333">
          <cell r="A333" t="str">
            <v>673</v>
          </cell>
        </row>
        <row r="334">
          <cell r="A334" t="str">
            <v>674</v>
          </cell>
        </row>
        <row r="335">
          <cell r="A335" t="str">
            <v>675</v>
          </cell>
        </row>
        <row r="336">
          <cell r="A336" t="str">
            <v>676</v>
          </cell>
        </row>
        <row r="337">
          <cell r="A337" t="str">
            <v>677</v>
          </cell>
        </row>
        <row r="338">
          <cell r="A338" t="str">
            <v>678</v>
          </cell>
        </row>
        <row r="339">
          <cell r="A339" t="str">
            <v>679</v>
          </cell>
        </row>
      </sheetData>
      <sheetData sheetId="8" refreshError="1">
        <row r="2">
          <cell r="B2" t="str">
            <v>Description</v>
          </cell>
        </row>
        <row r="3">
          <cell r="A3" t="str">
            <v>14101</v>
          </cell>
          <cell r="B3" t="str">
            <v>Land</v>
          </cell>
        </row>
        <row r="4">
          <cell r="A4" t="str">
            <v>14111</v>
          </cell>
          <cell r="B4" t="str">
            <v>Land Improvement</v>
          </cell>
        </row>
        <row r="5">
          <cell r="A5" t="str">
            <v>14201</v>
          </cell>
          <cell r="B5" t="str">
            <v>Building</v>
          </cell>
        </row>
        <row r="6">
          <cell r="A6" t="str">
            <v>14211</v>
          </cell>
          <cell r="B6" t="str">
            <v>Structures</v>
          </cell>
        </row>
        <row r="7">
          <cell r="A7" t="str">
            <v>14221</v>
          </cell>
        </row>
        <row r="8">
          <cell r="A8" t="str">
            <v>14301</v>
          </cell>
        </row>
        <row r="9">
          <cell r="A9" t="str">
            <v>14401</v>
          </cell>
        </row>
        <row r="10">
          <cell r="A10" t="str">
            <v>14501</v>
          </cell>
        </row>
        <row r="11">
          <cell r="A11" t="str">
            <v>14601</v>
          </cell>
        </row>
        <row r="12">
          <cell r="A12" t="str">
            <v>14801</v>
          </cell>
        </row>
        <row r="13">
          <cell r="A13" t="str">
            <v>16801</v>
          </cell>
        </row>
        <row r="14">
          <cell r="A14" t="str">
            <v>21798</v>
          </cell>
        </row>
        <row r="15">
          <cell r="A15" t="str">
            <v>53000</v>
          </cell>
        </row>
        <row r="16">
          <cell r="A16" t="str">
            <v>53010</v>
          </cell>
        </row>
        <row r="17">
          <cell r="A17" t="str">
            <v>53015</v>
          </cell>
        </row>
        <row r="18">
          <cell r="A18" t="str">
            <v>53020</v>
          </cell>
        </row>
        <row r="19">
          <cell r="A19" t="str">
            <v>53025</v>
          </cell>
        </row>
        <row r="20">
          <cell r="A20" t="str">
            <v>53030</v>
          </cell>
        </row>
        <row r="21">
          <cell r="A21" t="str">
            <v>53035</v>
          </cell>
        </row>
        <row r="22">
          <cell r="A22" t="str">
            <v>53040</v>
          </cell>
        </row>
        <row r="23">
          <cell r="A23" t="str">
            <v>53045</v>
          </cell>
        </row>
        <row r="24">
          <cell r="A24" t="str">
            <v>53050</v>
          </cell>
        </row>
        <row r="25">
          <cell r="A25" t="str">
            <v>53055</v>
          </cell>
        </row>
        <row r="26">
          <cell r="A26" t="str">
            <v>54000</v>
          </cell>
        </row>
        <row r="27">
          <cell r="A27" t="str">
            <v>55000</v>
          </cell>
        </row>
      </sheetData>
      <sheetData sheetId="9" refreshError="1">
        <row r="2">
          <cell r="B2" t="str">
            <v>Description</v>
          </cell>
        </row>
        <row r="3">
          <cell r="A3">
            <v>50000007</v>
          </cell>
          <cell r="B3" t="str">
            <v>SETTING POND</v>
          </cell>
        </row>
        <row r="4">
          <cell r="A4">
            <v>50000009</v>
          </cell>
          <cell r="B4" t="str">
            <v>CONTROLL WATER TANK</v>
          </cell>
        </row>
        <row r="5">
          <cell r="A5">
            <v>50000015</v>
          </cell>
          <cell r="B5" t="str">
            <v>DOCUMENT ROOM</v>
          </cell>
        </row>
        <row r="6">
          <cell r="A6">
            <v>50000022</v>
          </cell>
          <cell r="B6" t="str">
            <v>SPREADER &amp; TRIPPER CAR IN PROGRESS</v>
          </cell>
        </row>
        <row r="7">
          <cell r="A7">
            <v>50000029</v>
          </cell>
        </row>
        <row r="8">
          <cell r="A8">
            <v>50000030</v>
          </cell>
        </row>
        <row r="9">
          <cell r="A9">
            <v>50000031</v>
          </cell>
        </row>
        <row r="10">
          <cell r="A10">
            <v>50000032</v>
          </cell>
        </row>
        <row r="11">
          <cell r="A11">
            <v>50000035</v>
          </cell>
        </row>
        <row r="12">
          <cell r="A12">
            <v>50000036</v>
          </cell>
        </row>
        <row r="13">
          <cell r="A13">
            <v>50000039</v>
          </cell>
        </row>
        <row r="14">
          <cell r="A14">
            <v>50000043</v>
          </cell>
        </row>
        <row r="15">
          <cell r="A15">
            <v>50000046</v>
          </cell>
        </row>
        <row r="16">
          <cell r="A16">
            <v>50000047</v>
          </cell>
        </row>
        <row r="17">
          <cell r="A17">
            <v>50000064</v>
          </cell>
        </row>
        <row r="18">
          <cell r="A18">
            <v>50000068</v>
          </cell>
        </row>
        <row r="19">
          <cell r="A19">
            <v>50000069</v>
          </cell>
        </row>
        <row r="20">
          <cell r="A20">
            <v>50000070</v>
          </cell>
        </row>
        <row r="21">
          <cell r="A21">
            <v>50000073</v>
          </cell>
        </row>
        <row r="22">
          <cell r="A22">
            <v>50000074</v>
          </cell>
        </row>
        <row r="23">
          <cell r="A23">
            <v>50000075</v>
          </cell>
        </row>
        <row r="24">
          <cell r="A24">
            <v>50000076</v>
          </cell>
        </row>
        <row r="25">
          <cell r="A25">
            <v>50000077</v>
          </cell>
        </row>
        <row r="26">
          <cell r="A26">
            <v>50000081</v>
          </cell>
        </row>
        <row r="27">
          <cell r="A27">
            <v>50000110</v>
          </cell>
        </row>
        <row r="28">
          <cell r="A28">
            <v>50000112</v>
          </cell>
        </row>
        <row r="29">
          <cell r="A29">
            <v>50000113</v>
          </cell>
        </row>
        <row r="30">
          <cell r="A30">
            <v>50000114</v>
          </cell>
        </row>
        <row r="31">
          <cell r="A31">
            <v>50000115</v>
          </cell>
        </row>
        <row r="32">
          <cell r="A32">
            <v>50000116</v>
          </cell>
        </row>
        <row r="33">
          <cell r="A33">
            <v>50000117</v>
          </cell>
        </row>
        <row r="34">
          <cell r="A34">
            <v>50000137</v>
          </cell>
        </row>
        <row r="35">
          <cell r="A35">
            <v>50000175</v>
          </cell>
        </row>
        <row r="36">
          <cell r="A36">
            <v>50000176</v>
          </cell>
        </row>
        <row r="37">
          <cell r="A37">
            <v>50000177</v>
          </cell>
        </row>
        <row r="38">
          <cell r="A38">
            <v>50000178</v>
          </cell>
        </row>
        <row r="39">
          <cell r="A39">
            <v>50000179</v>
          </cell>
        </row>
        <row r="40">
          <cell r="A40">
            <v>50000180</v>
          </cell>
        </row>
        <row r="41">
          <cell r="A41">
            <v>50000181</v>
          </cell>
        </row>
        <row r="42">
          <cell r="A42">
            <v>50000182</v>
          </cell>
        </row>
        <row r="43">
          <cell r="A43">
            <v>50000183</v>
          </cell>
        </row>
        <row r="44">
          <cell r="A44">
            <v>50000184</v>
          </cell>
        </row>
        <row r="45">
          <cell r="A45">
            <v>50000185</v>
          </cell>
        </row>
        <row r="46">
          <cell r="A46">
            <v>50000186</v>
          </cell>
        </row>
        <row r="47">
          <cell r="A47">
            <v>50000187</v>
          </cell>
        </row>
        <row r="48">
          <cell r="A48">
            <v>50000190</v>
          </cell>
        </row>
        <row r="49">
          <cell r="A49">
            <v>50000191</v>
          </cell>
        </row>
        <row r="50">
          <cell r="A50">
            <v>50000192</v>
          </cell>
        </row>
        <row r="51">
          <cell r="A51">
            <v>50000193</v>
          </cell>
        </row>
        <row r="52">
          <cell r="A52">
            <v>50000194</v>
          </cell>
        </row>
        <row r="53">
          <cell r="A53">
            <v>50000195</v>
          </cell>
        </row>
        <row r="54">
          <cell r="A54">
            <v>50000259</v>
          </cell>
        </row>
        <row r="55">
          <cell r="A55">
            <v>50000260</v>
          </cell>
        </row>
        <row r="56">
          <cell r="A56">
            <v>50000261</v>
          </cell>
        </row>
        <row r="57">
          <cell r="A57">
            <v>50000262</v>
          </cell>
        </row>
        <row r="58">
          <cell r="A58">
            <v>50000263</v>
          </cell>
        </row>
        <row r="59">
          <cell r="A59">
            <v>50000264</v>
          </cell>
        </row>
        <row r="60">
          <cell r="A60">
            <v>50000265</v>
          </cell>
        </row>
        <row r="61">
          <cell r="A61">
            <v>50000266</v>
          </cell>
        </row>
        <row r="62">
          <cell r="A62">
            <v>50000267</v>
          </cell>
        </row>
        <row r="63">
          <cell r="A63">
            <v>50000268</v>
          </cell>
        </row>
        <row r="64">
          <cell r="A64">
            <v>50000269</v>
          </cell>
        </row>
        <row r="65">
          <cell r="A65">
            <v>50001001</v>
          </cell>
        </row>
        <row r="66">
          <cell r="A66">
            <v>50001002</v>
          </cell>
        </row>
        <row r="67">
          <cell r="A67">
            <v>50001003</v>
          </cell>
        </row>
        <row r="68">
          <cell r="A68">
            <v>50001004</v>
          </cell>
        </row>
        <row r="69">
          <cell r="A69">
            <v>50001005</v>
          </cell>
        </row>
        <row r="70">
          <cell r="A70">
            <v>50001006</v>
          </cell>
        </row>
        <row r="71">
          <cell r="A71">
            <v>50001007</v>
          </cell>
        </row>
        <row r="72">
          <cell r="A72">
            <v>50001008</v>
          </cell>
        </row>
        <row r="73">
          <cell r="A73">
            <v>50001009</v>
          </cell>
        </row>
        <row r="74">
          <cell r="A74">
            <v>50001010</v>
          </cell>
        </row>
        <row r="75">
          <cell r="A75">
            <v>50001011</v>
          </cell>
        </row>
        <row r="76">
          <cell r="A76">
            <v>50001012</v>
          </cell>
        </row>
        <row r="77">
          <cell r="A77">
            <v>50001013</v>
          </cell>
        </row>
        <row r="78">
          <cell r="A78">
            <v>50001014</v>
          </cell>
        </row>
        <row r="79">
          <cell r="A79">
            <v>50001015</v>
          </cell>
        </row>
        <row r="80">
          <cell r="A80">
            <v>50001016</v>
          </cell>
        </row>
        <row r="81">
          <cell r="A81">
            <v>50001017</v>
          </cell>
        </row>
        <row r="82">
          <cell r="A82">
            <v>50001018</v>
          </cell>
        </row>
        <row r="83">
          <cell r="A83">
            <v>50001019</v>
          </cell>
        </row>
        <row r="84">
          <cell r="A84">
            <v>50001020</v>
          </cell>
        </row>
        <row r="85">
          <cell r="A85">
            <v>50001021</v>
          </cell>
        </row>
        <row r="86">
          <cell r="A86">
            <v>50001022</v>
          </cell>
        </row>
        <row r="87">
          <cell r="A87">
            <v>50001023</v>
          </cell>
        </row>
        <row r="88">
          <cell r="A88">
            <v>50001024</v>
          </cell>
        </row>
        <row r="89">
          <cell r="A89">
            <v>50001025</v>
          </cell>
        </row>
        <row r="90">
          <cell r="A90">
            <v>50001026</v>
          </cell>
        </row>
        <row r="91">
          <cell r="A91">
            <v>50001027</v>
          </cell>
        </row>
        <row r="92">
          <cell r="A92">
            <v>50001028</v>
          </cell>
        </row>
        <row r="93">
          <cell r="A93">
            <v>50001029</v>
          </cell>
        </row>
        <row r="94">
          <cell r="A94">
            <v>50001030</v>
          </cell>
        </row>
        <row r="95">
          <cell r="A95">
            <v>50001031</v>
          </cell>
        </row>
        <row r="96">
          <cell r="A96">
            <v>50001032</v>
          </cell>
        </row>
        <row r="97">
          <cell r="A97">
            <v>50001033</v>
          </cell>
        </row>
        <row r="98">
          <cell r="A98">
            <v>50001034</v>
          </cell>
        </row>
        <row r="99">
          <cell r="A99">
            <v>50001036</v>
          </cell>
        </row>
        <row r="100">
          <cell r="A100">
            <v>50001037</v>
          </cell>
        </row>
        <row r="101">
          <cell r="A101">
            <v>50001038</v>
          </cell>
        </row>
        <row r="102">
          <cell r="A102">
            <v>50001039</v>
          </cell>
        </row>
        <row r="103">
          <cell r="A103">
            <v>50001040</v>
          </cell>
        </row>
        <row r="104">
          <cell r="A104">
            <v>50001041</v>
          </cell>
        </row>
        <row r="105">
          <cell r="A105">
            <v>50001042</v>
          </cell>
        </row>
        <row r="106">
          <cell r="A106">
            <v>50001043</v>
          </cell>
        </row>
        <row r="107">
          <cell r="A107">
            <v>50001044</v>
          </cell>
        </row>
        <row r="108">
          <cell r="A108">
            <v>50001045</v>
          </cell>
        </row>
        <row r="109">
          <cell r="A109">
            <v>50001046</v>
          </cell>
        </row>
        <row r="110">
          <cell r="A110">
            <v>50001047</v>
          </cell>
        </row>
        <row r="111">
          <cell r="A111">
            <v>50001048</v>
          </cell>
        </row>
        <row r="112">
          <cell r="A112">
            <v>50001049</v>
          </cell>
        </row>
        <row r="113">
          <cell r="A113">
            <v>50001050</v>
          </cell>
        </row>
        <row r="114">
          <cell r="A114">
            <v>50001051</v>
          </cell>
        </row>
        <row r="115">
          <cell r="A115">
            <v>50001052</v>
          </cell>
        </row>
        <row r="116">
          <cell r="A116">
            <v>50001053</v>
          </cell>
        </row>
        <row r="117">
          <cell r="A117">
            <v>50001054</v>
          </cell>
        </row>
        <row r="118">
          <cell r="A118">
            <v>50001055</v>
          </cell>
        </row>
        <row r="119">
          <cell r="A119">
            <v>50001056</v>
          </cell>
        </row>
        <row r="120">
          <cell r="A120">
            <v>50001057</v>
          </cell>
        </row>
        <row r="121">
          <cell r="A121">
            <v>50001058</v>
          </cell>
        </row>
        <row r="122">
          <cell r="A122">
            <v>50001059</v>
          </cell>
        </row>
        <row r="123">
          <cell r="A123">
            <v>50001060</v>
          </cell>
        </row>
        <row r="124">
          <cell r="A124">
            <v>50001061</v>
          </cell>
        </row>
        <row r="125">
          <cell r="A125">
            <v>50001062</v>
          </cell>
        </row>
        <row r="126">
          <cell r="A126">
            <v>50001066</v>
          </cell>
        </row>
        <row r="127">
          <cell r="A127">
            <v>50001067</v>
          </cell>
        </row>
        <row r="128">
          <cell r="A128">
            <v>50001068</v>
          </cell>
        </row>
        <row r="129">
          <cell r="A129">
            <v>50001069</v>
          </cell>
        </row>
        <row r="130">
          <cell r="A130">
            <v>50001070</v>
          </cell>
        </row>
        <row r="131">
          <cell r="A131">
            <v>50001071</v>
          </cell>
        </row>
        <row r="132">
          <cell r="A132">
            <v>50001072</v>
          </cell>
        </row>
        <row r="133">
          <cell r="A133">
            <v>50001073</v>
          </cell>
        </row>
        <row r="134">
          <cell r="A134">
            <v>50001074</v>
          </cell>
        </row>
        <row r="135">
          <cell r="A135">
            <v>50001075</v>
          </cell>
        </row>
        <row r="136">
          <cell r="A136">
            <v>50001076</v>
          </cell>
        </row>
        <row r="137">
          <cell r="A137">
            <v>50001077</v>
          </cell>
        </row>
        <row r="138">
          <cell r="A138">
            <v>50001078</v>
          </cell>
        </row>
        <row r="139">
          <cell r="A139">
            <v>50001079</v>
          </cell>
        </row>
        <row r="140">
          <cell r="A140">
            <v>50001080</v>
          </cell>
        </row>
        <row r="141">
          <cell r="A141">
            <v>50001081</v>
          </cell>
        </row>
        <row r="142">
          <cell r="A142">
            <v>50001082</v>
          </cell>
        </row>
        <row r="143">
          <cell r="A143">
            <v>50001083</v>
          </cell>
        </row>
        <row r="144">
          <cell r="A144">
            <v>50001084</v>
          </cell>
        </row>
        <row r="145">
          <cell r="A145">
            <v>50001085</v>
          </cell>
        </row>
        <row r="146">
          <cell r="A146">
            <v>50001086</v>
          </cell>
        </row>
        <row r="147">
          <cell r="A147">
            <v>50001087</v>
          </cell>
        </row>
        <row r="148">
          <cell r="A148">
            <v>50001088</v>
          </cell>
        </row>
        <row r="149">
          <cell r="A149">
            <v>50001089</v>
          </cell>
        </row>
        <row r="150">
          <cell r="A150">
            <v>50001090</v>
          </cell>
        </row>
        <row r="151">
          <cell r="A151">
            <v>50001091</v>
          </cell>
        </row>
        <row r="152">
          <cell r="A152">
            <v>50001092</v>
          </cell>
        </row>
        <row r="153">
          <cell r="A153">
            <v>50001093</v>
          </cell>
        </row>
        <row r="154">
          <cell r="A154">
            <v>50001094</v>
          </cell>
        </row>
        <row r="155">
          <cell r="A155">
            <v>50001095</v>
          </cell>
        </row>
        <row r="156">
          <cell r="A156">
            <v>50001096</v>
          </cell>
        </row>
        <row r="157">
          <cell r="A157">
            <v>50001097</v>
          </cell>
        </row>
        <row r="158">
          <cell r="A158">
            <v>50001098</v>
          </cell>
        </row>
        <row r="159">
          <cell r="A159">
            <v>50001099</v>
          </cell>
        </row>
        <row r="160">
          <cell r="A160">
            <v>50001100</v>
          </cell>
        </row>
        <row r="161">
          <cell r="A161">
            <v>50001101</v>
          </cell>
        </row>
        <row r="162">
          <cell r="A162">
            <v>50001102</v>
          </cell>
        </row>
        <row r="163">
          <cell r="A163">
            <v>50001103</v>
          </cell>
        </row>
        <row r="164">
          <cell r="A164">
            <v>50001104</v>
          </cell>
        </row>
        <row r="165">
          <cell r="A165">
            <v>50001105</v>
          </cell>
        </row>
        <row r="166">
          <cell r="A166">
            <v>50001106</v>
          </cell>
        </row>
        <row r="167">
          <cell r="A167">
            <v>50001107</v>
          </cell>
        </row>
        <row r="168">
          <cell r="A168">
            <v>50001108</v>
          </cell>
        </row>
        <row r="169">
          <cell r="A169">
            <v>50001109</v>
          </cell>
        </row>
        <row r="170">
          <cell r="A170">
            <v>50001110</v>
          </cell>
        </row>
        <row r="171">
          <cell r="A171">
            <v>50001111</v>
          </cell>
        </row>
        <row r="172">
          <cell r="A172">
            <v>50001112</v>
          </cell>
        </row>
        <row r="173">
          <cell r="A173">
            <v>50001113</v>
          </cell>
        </row>
        <row r="174">
          <cell r="A174">
            <v>50001114</v>
          </cell>
        </row>
        <row r="175">
          <cell r="A175">
            <v>50001115</v>
          </cell>
        </row>
        <row r="176">
          <cell r="A176">
            <v>50001116</v>
          </cell>
        </row>
        <row r="177">
          <cell r="A177">
            <v>50001117</v>
          </cell>
        </row>
        <row r="178">
          <cell r="A178">
            <v>50001118</v>
          </cell>
        </row>
        <row r="179">
          <cell r="A179">
            <v>50001119</v>
          </cell>
        </row>
        <row r="180">
          <cell r="A180">
            <v>50001120</v>
          </cell>
        </row>
        <row r="181">
          <cell r="A181">
            <v>50001121</v>
          </cell>
        </row>
        <row r="182">
          <cell r="A182">
            <v>50001122</v>
          </cell>
        </row>
        <row r="183">
          <cell r="A183">
            <v>50001123</v>
          </cell>
        </row>
        <row r="184">
          <cell r="A184">
            <v>50001124</v>
          </cell>
        </row>
        <row r="185">
          <cell r="A185">
            <v>50001125</v>
          </cell>
        </row>
        <row r="186">
          <cell r="A186">
            <v>50001126</v>
          </cell>
        </row>
        <row r="187">
          <cell r="A187">
            <v>50001127</v>
          </cell>
        </row>
        <row r="188">
          <cell r="A188">
            <v>50001133</v>
          </cell>
        </row>
        <row r="189">
          <cell r="A189">
            <v>50001134</v>
          </cell>
        </row>
        <row r="190">
          <cell r="A190">
            <v>50001135</v>
          </cell>
        </row>
        <row r="191">
          <cell r="A191">
            <v>50001136</v>
          </cell>
        </row>
        <row r="192">
          <cell r="A192">
            <v>50001137</v>
          </cell>
        </row>
        <row r="193">
          <cell r="A193">
            <v>50001138</v>
          </cell>
        </row>
        <row r="194">
          <cell r="A194">
            <v>50001141</v>
          </cell>
        </row>
        <row r="195">
          <cell r="A195">
            <v>50001142</v>
          </cell>
        </row>
        <row r="196">
          <cell r="A196">
            <v>50001143</v>
          </cell>
        </row>
        <row r="197">
          <cell r="A197">
            <v>50001144</v>
          </cell>
        </row>
        <row r="198">
          <cell r="A198">
            <v>50001145</v>
          </cell>
        </row>
        <row r="199">
          <cell r="A199">
            <v>50001146</v>
          </cell>
        </row>
        <row r="200">
          <cell r="A200">
            <v>50001147</v>
          </cell>
        </row>
        <row r="201">
          <cell r="A201">
            <v>50001148</v>
          </cell>
        </row>
        <row r="202">
          <cell r="A202">
            <v>50001149</v>
          </cell>
        </row>
        <row r="203">
          <cell r="A203">
            <v>50001150</v>
          </cell>
        </row>
        <row r="204">
          <cell r="A204">
            <v>50001151</v>
          </cell>
        </row>
        <row r="205">
          <cell r="A205">
            <v>50001152</v>
          </cell>
        </row>
        <row r="206">
          <cell r="A206">
            <v>50001153</v>
          </cell>
        </row>
        <row r="207">
          <cell r="A207">
            <v>50001154</v>
          </cell>
        </row>
        <row r="208">
          <cell r="A208">
            <v>50001155</v>
          </cell>
        </row>
        <row r="209">
          <cell r="A209">
            <v>50001156</v>
          </cell>
        </row>
        <row r="210">
          <cell r="A210">
            <v>50001157</v>
          </cell>
        </row>
        <row r="211">
          <cell r="A211">
            <v>50001158</v>
          </cell>
        </row>
        <row r="212">
          <cell r="A212">
            <v>50001159</v>
          </cell>
        </row>
        <row r="213">
          <cell r="A213">
            <v>50001160</v>
          </cell>
        </row>
        <row r="214">
          <cell r="A214">
            <v>50001161</v>
          </cell>
        </row>
        <row r="215">
          <cell r="A215">
            <v>50001162</v>
          </cell>
        </row>
        <row r="216">
          <cell r="A216">
            <v>50001163</v>
          </cell>
        </row>
        <row r="217">
          <cell r="A217">
            <v>50001164</v>
          </cell>
        </row>
        <row r="218">
          <cell r="A218">
            <v>50001165</v>
          </cell>
        </row>
        <row r="219">
          <cell r="A219">
            <v>50001166</v>
          </cell>
        </row>
        <row r="220">
          <cell r="A220">
            <v>50001167</v>
          </cell>
        </row>
        <row r="221">
          <cell r="A221">
            <v>50001171</v>
          </cell>
        </row>
        <row r="222">
          <cell r="A222">
            <v>50001172</v>
          </cell>
        </row>
        <row r="223">
          <cell r="A223">
            <v>50001173</v>
          </cell>
        </row>
        <row r="224">
          <cell r="A224">
            <v>50001174</v>
          </cell>
        </row>
        <row r="225">
          <cell r="A225">
            <v>50001175</v>
          </cell>
        </row>
        <row r="226">
          <cell r="A226">
            <v>50001176</v>
          </cell>
        </row>
        <row r="227">
          <cell r="A227">
            <v>50001177</v>
          </cell>
        </row>
        <row r="228">
          <cell r="A228">
            <v>50001178</v>
          </cell>
        </row>
        <row r="229">
          <cell r="A229">
            <v>50001179</v>
          </cell>
        </row>
        <row r="230">
          <cell r="A230">
            <v>50001180</v>
          </cell>
        </row>
        <row r="231">
          <cell r="A231">
            <v>50001181</v>
          </cell>
        </row>
        <row r="232">
          <cell r="A232">
            <v>50001182</v>
          </cell>
        </row>
        <row r="233">
          <cell r="A233">
            <v>50001183</v>
          </cell>
        </row>
        <row r="234">
          <cell r="A234">
            <v>50001184</v>
          </cell>
        </row>
        <row r="235">
          <cell r="A235">
            <v>50001185</v>
          </cell>
        </row>
        <row r="236">
          <cell r="A236">
            <v>50001186</v>
          </cell>
        </row>
        <row r="237">
          <cell r="A237">
            <v>50001187</v>
          </cell>
        </row>
        <row r="238">
          <cell r="A238">
            <v>50001188</v>
          </cell>
        </row>
        <row r="239">
          <cell r="A239">
            <v>50001189</v>
          </cell>
        </row>
        <row r="240">
          <cell r="A240">
            <v>50001190</v>
          </cell>
        </row>
        <row r="241">
          <cell r="A241">
            <v>50001191</v>
          </cell>
        </row>
        <row r="242">
          <cell r="A242">
            <v>50001192</v>
          </cell>
        </row>
        <row r="243">
          <cell r="A243">
            <v>50001193</v>
          </cell>
        </row>
        <row r="244">
          <cell r="A244">
            <v>50001194</v>
          </cell>
        </row>
        <row r="245">
          <cell r="A245">
            <v>50001195</v>
          </cell>
        </row>
        <row r="246">
          <cell r="A246">
            <v>50001196</v>
          </cell>
        </row>
        <row r="247">
          <cell r="A247">
            <v>50001197</v>
          </cell>
        </row>
        <row r="248">
          <cell r="A248">
            <v>50001198</v>
          </cell>
        </row>
        <row r="249">
          <cell r="A249">
            <v>50001199</v>
          </cell>
        </row>
        <row r="250">
          <cell r="A250">
            <v>50001200</v>
          </cell>
        </row>
        <row r="251">
          <cell r="A251">
            <v>50001201</v>
          </cell>
        </row>
        <row r="252">
          <cell r="A252">
            <v>50001202</v>
          </cell>
        </row>
        <row r="253">
          <cell r="A253">
            <v>50001203</v>
          </cell>
        </row>
        <row r="254">
          <cell r="A254">
            <v>50001204</v>
          </cell>
        </row>
        <row r="255">
          <cell r="A255">
            <v>50001205</v>
          </cell>
        </row>
        <row r="256">
          <cell r="A256">
            <v>50001206</v>
          </cell>
        </row>
        <row r="257">
          <cell r="A257">
            <v>50001207</v>
          </cell>
        </row>
        <row r="258">
          <cell r="A258">
            <v>50001208</v>
          </cell>
        </row>
        <row r="259">
          <cell r="A259">
            <v>50001209</v>
          </cell>
        </row>
        <row r="260">
          <cell r="A260">
            <v>50001210</v>
          </cell>
        </row>
        <row r="261">
          <cell r="A261">
            <v>50001211</v>
          </cell>
        </row>
        <row r="262">
          <cell r="A262">
            <v>50001212</v>
          </cell>
        </row>
        <row r="263">
          <cell r="A263">
            <v>50001213</v>
          </cell>
        </row>
        <row r="264">
          <cell r="A264">
            <v>50001214</v>
          </cell>
        </row>
        <row r="265">
          <cell r="A265">
            <v>50001215</v>
          </cell>
        </row>
        <row r="266">
          <cell r="A266">
            <v>50001216</v>
          </cell>
        </row>
        <row r="267">
          <cell r="A267">
            <v>50001217</v>
          </cell>
        </row>
        <row r="268">
          <cell r="A268">
            <v>50001218</v>
          </cell>
        </row>
        <row r="269">
          <cell r="A269">
            <v>50001219</v>
          </cell>
        </row>
        <row r="270">
          <cell r="A270">
            <v>50001220</v>
          </cell>
        </row>
        <row r="271">
          <cell r="A271">
            <v>50001221</v>
          </cell>
        </row>
        <row r="272">
          <cell r="A272">
            <v>50001222</v>
          </cell>
        </row>
        <row r="273">
          <cell r="A273">
            <v>50001223</v>
          </cell>
        </row>
        <row r="274">
          <cell r="A274">
            <v>50001224</v>
          </cell>
        </row>
        <row r="275">
          <cell r="A275">
            <v>50001225</v>
          </cell>
        </row>
        <row r="276">
          <cell r="A276">
            <v>50001226</v>
          </cell>
        </row>
        <row r="277">
          <cell r="A277">
            <v>50001227</v>
          </cell>
        </row>
        <row r="278">
          <cell r="A278">
            <v>50001228</v>
          </cell>
        </row>
        <row r="279">
          <cell r="A279">
            <v>50001229</v>
          </cell>
        </row>
        <row r="280">
          <cell r="A280">
            <v>50001230</v>
          </cell>
        </row>
        <row r="281">
          <cell r="A281">
            <v>50001231</v>
          </cell>
        </row>
        <row r="282">
          <cell r="A282">
            <v>50001232</v>
          </cell>
        </row>
        <row r="283">
          <cell r="A283">
            <v>50001233</v>
          </cell>
        </row>
        <row r="284">
          <cell r="A284">
            <v>50001234</v>
          </cell>
        </row>
        <row r="285">
          <cell r="A285">
            <v>50001235</v>
          </cell>
        </row>
        <row r="286">
          <cell r="A286">
            <v>50001236</v>
          </cell>
        </row>
        <row r="287">
          <cell r="A287">
            <v>50001237</v>
          </cell>
        </row>
        <row r="288">
          <cell r="A288">
            <v>50001238</v>
          </cell>
        </row>
        <row r="289">
          <cell r="A289">
            <v>50001239</v>
          </cell>
        </row>
        <row r="290">
          <cell r="A290">
            <v>50001240</v>
          </cell>
        </row>
        <row r="291">
          <cell r="A291">
            <v>50001241</v>
          </cell>
        </row>
        <row r="292">
          <cell r="A292">
            <v>50001242</v>
          </cell>
        </row>
        <row r="293">
          <cell r="A293">
            <v>50001243</v>
          </cell>
        </row>
        <row r="294">
          <cell r="A294">
            <v>50001244</v>
          </cell>
        </row>
        <row r="295">
          <cell r="A295">
            <v>50001245</v>
          </cell>
        </row>
        <row r="296">
          <cell r="A296">
            <v>50001246</v>
          </cell>
        </row>
        <row r="297">
          <cell r="A297">
            <v>50001247</v>
          </cell>
        </row>
        <row r="298">
          <cell r="A298">
            <v>50001248</v>
          </cell>
        </row>
        <row r="299">
          <cell r="A299">
            <v>50001249</v>
          </cell>
        </row>
        <row r="300">
          <cell r="A300">
            <v>50001250</v>
          </cell>
        </row>
        <row r="301">
          <cell r="A301">
            <v>50001251</v>
          </cell>
        </row>
        <row r="302">
          <cell r="A302">
            <v>50001252</v>
          </cell>
        </row>
        <row r="303">
          <cell r="A303">
            <v>50001253</v>
          </cell>
        </row>
        <row r="304">
          <cell r="A304">
            <v>50001254</v>
          </cell>
        </row>
        <row r="305">
          <cell r="A305">
            <v>50001255</v>
          </cell>
        </row>
        <row r="306">
          <cell r="A306">
            <v>50001256</v>
          </cell>
        </row>
        <row r="307">
          <cell r="A307">
            <v>50001257</v>
          </cell>
        </row>
        <row r="308">
          <cell r="A308">
            <v>50001258</v>
          </cell>
        </row>
        <row r="309">
          <cell r="A309">
            <v>50001259</v>
          </cell>
        </row>
        <row r="310">
          <cell r="A310">
            <v>50001260</v>
          </cell>
        </row>
        <row r="311">
          <cell r="A311">
            <v>50001261</v>
          </cell>
        </row>
        <row r="312">
          <cell r="A312">
            <v>50001262</v>
          </cell>
        </row>
        <row r="313">
          <cell r="A313">
            <v>50100001</v>
          </cell>
        </row>
        <row r="314">
          <cell r="A314">
            <v>50100002</v>
          </cell>
        </row>
        <row r="315">
          <cell r="A315">
            <v>50100003</v>
          </cell>
        </row>
        <row r="316">
          <cell r="A316">
            <v>50100004</v>
          </cell>
        </row>
        <row r="317">
          <cell r="A317">
            <v>50100005</v>
          </cell>
        </row>
        <row r="318">
          <cell r="A318">
            <v>50100006</v>
          </cell>
        </row>
        <row r="319">
          <cell r="A319">
            <v>50100007</v>
          </cell>
        </row>
        <row r="320">
          <cell r="A320">
            <v>50200001</v>
          </cell>
        </row>
        <row r="321">
          <cell r="A321">
            <v>50200002</v>
          </cell>
        </row>
        <row r="322">
          <cell r="A322">
            <v>50200003</v>
          </cell>
        </row>
        <row r="323">
          <cell r="A323">
            <v>50200004</v>
          </cell>
        </row>
        <row r="324">
          <cell r="A324">
            <v>50200005</v>
          </cell>
        </row>
        <row r="325">
          <cell r="A325">
            <v>50200006</v>
          </cell>
        </row>
        <row r="326">
          <cell r="A326">
            <v>50200007</v>
          </cell>
        </row>
        <row r="327">
          <cell r="A327">
            <v>50200008</v>
          </cell>
        </row>
        <row r="328">
          <cell r="A328">
            <v>50200009</v>
          </cell>
        </row>
        <row r="329">
          <cell r="A329">
            <v>50200010</v>
          </cell>
        </row>
        <row r="330">
          <cell r="A330">
            <v>50200011</v>
          </cell>
        </row>
        <row r="331">
          <cell r="A331">
            <v>50200012</v>
          </cell>
        </row>
        <row r="332">
          <cell r="A332">
            <v>50200013</v>
          </cell>
        </row>
        <row r="333">
          <cell r="A333">
            <v>50200014</v>
          </cell>
        </row>
        <row r="334">
          <cell r="A334">
            <v>50200015</v>
          </cell>
        </row>
        <row r="335">
          <cell r="A335">
            <v>50200016</v>
          </cell>
        </row>
        <row r="336">
          <cell r="A336">
            <v>50200017</v>
          </cell>
        </row>
        <row r="337">
          <cell r="A337">
            <v>50200018</v>
          </cell>
        </row>
        <row r="338">
          <cell r="A338">
            <v>50200051</v>
          </cell>
        </row>
        <row r="339">
          <cell r="A339">
            <v>50200052</v>
          </cell>
        </row>
      </sheetData>
      <sheetData sheetId="10" refreshError="1">
        <row r="2">
          <cell r="B2" t="str">
            <v>Description</v>
          </cell>
        </row>
        <row r="3">
          <cell r="A3" t="str">
            <v>0000</v>
          </cell>
          <cell r="B3" t="str">
            <v>Unspecified</v>
          </cell>
        </row>
        <row r="4">
          <cell r="A4" t="str">
            <v>0103</v>
          </cell>
          <cell r="B4" t="str">
            <v>LP-2 Project</v>
          </cell>
        </row>
        <row r="5">
          <cell r="A5" t="str">
            <v>0104</v>
          </cell>
          <cell r="B5" t="str">
            <v>Lampang 3 Project</v>
          </cell>
        </row>
        <row r="6">
          <cell r="A6" t="str">
            <v>0108</v>
          </cell>
          <cell r="B6" t="str">
            <v>LP-2 Project (Coordination)</v>
          </cell>
        </row>
        <row r="7">
          <cell r="A7" t="str">
            <v>0110</v>
          </cell>
        </row>
        <row r="8">
          <cell r="A8" t="str">
            <v>0203</v>
          </cell>
        </row>
        <row r="9">
          <cell r="A9" t="str">
            <v>0208</v>
          </cell>
        </row>
        <row r="11">
          <cell r="A11" t="str">
            <v>0241</v>
          </cell>
        </row>
        <row r="12">
          <cell r="A12" t="str">
            <v>0253</v>
          </cell>
        </row>
        <row r="13">
          <cell r="A13" t="str">
            <v>0254</v>
          </cell>
        </row>
        <row r="14">
          <cell r="A14" t="str">
            <v>0255</v>
          </cell>
        </row>
        <row r="15">
          <cell r="A15" t="str">
            <v>0256</v>
          </cell>
        </row>
        <row r="16">
          <cell r="A16" t="str">
            <v>0257</v>
          </cell>
        </row>
        <row r="17">
          <cell r="A17" t="str">
            <v>0258</v>
          </cell>
        </row>
        <row r="18">
          <cell r="A18" t="str">
            <v>0317</v>
          </cell>
        </row>
        <row r="19">
          <cell r="A19" t="str">
            <v>0330</v>
          </cell>
        </row>
        <row r="20">
          <cell r="A20" t="str">
            <v>0818</v>
          </cell>
        </row>
        <row r="21">
          <cell r="A21" t="str">
            <v>0819</v>
          </cell>
        </row>
        <row r="22">
          <cell r="A22" t="str">
            <v>0820</v>
          </cell>
        </row>
        <row r="23">
          <cell r="A23" t="str">
            <v>0821</v>
          </cell>
        </row>
        <row r="24">
          <cell r="A24" t="str">
            <v>0822</v>
          </cell>
        </row>
        <row r="25">
          <cell r="A25" t="str">
            <v>0823</v>
          </cell>
        </row>
        <row r="26">
          <cell r="A26" t="str">
            <v>0824</v>
          </cell>
        </row>
        <row r="27">
          <cell r="A27" t="str">
            <v>0825</v>
          </cell>
        </row>
        <row r="28">
          <cell r="A28" t="str">
            <v>0826</v>
          </cell>
        </row>
        <row r="29">
          <cell r="A29" t="str">
            <v>0827</v>
          </cell>
        </row>
        <row r="30">
          <cell r="A30" t="str">
            <v>0912</v>
          </cell>
        </row>
        <row r="31">
          <cell r="A31" t="str">
            <v>1201</v>
          </cell>
        </row>
        <row r="32">
          <cell r="A32" t="str">
            <v>1202</v>
          </cell>
        </row>
        <row r="33">
          <cell r="A33" t="str">
            <v>AD01</v>
          </cell>
        </row>
        <row r="34">
          <cell r="A34" t="str">
            <v>BC01</v>
          </cell>
        </row>
        <row r="35">
          <cell r="A35" t="str">
            <v>BC02</v>
          </cell>
        </row>
        <row r="36">
          <cell r="A36" t="str">
            <v>BC03</v>
          </cell>
        </row>
        <row r="37">
          <cell r="A37" t="str">
            <v>BD01</v>
          </cell>
        </row>
        <row r="38">
          <cell r="A38" t="str">
            <v>BD02</v>
          </cell>
        </row>
        <row r="39">
          <cell r="A39" t="str">
            <v>BH02</v>
          </cell>
        </row>
        <row r="40">
          <cell r="A40" t="str">
            <v>BH03</v>
          </cell>
        </row>
        <row r="41">
          <cell r="A41" t="str">
            <v>BH04</v>
          </cell>
        </row>
        <row r="42">
          <cell r="A42" t="str">
            <v>BU01</v>
          </cell>
        </row>
        <row r="43">
          <cell r="A43" t="str">
            <v>BU02</v>
          </cell>
        </row>
        <row r="44">
          <cell r="A44" t="str">
            <v>BW01</v>
          </cell>
        </row>
        <row r="45">
          <cell r="A45" t="str">
            <v>BW02</v>
          </cell>
        </row>
        <row r="46">
          <cell r="A46" t="str">
            <v>CF01</v>
          </cell>
        </row>
        <row r="47">
          <cell r="A47" t="str">
            <v>CF02</v>
          </cell>
        </row>
        <row r="48">
          <cell r="A48" t="str">
            <v>CF03</v>
          </cell>
        </row>
        <row r="49">
          <cell r="A49" t="str">
            <v>CF04</v>
          </cell>
        </row>
        <row r="50">
          <cell r="A50" t="str">
            <v>CF05</v>
          </cell>
        </row>
        <row r="51">
          <cell r="A51" t="str">
            <v>CF06</v>
          </cell>
        </row>
        <row r="52">
          <cell r="A52" t="str">
            <v>CF07</v>
          </cell>
        </row>
        <row r="53">
          <cell r="A53" t="str">
            <v>CN01</v>
          </cell>
        </row>
        <row r="54">
          <cell r="A54" t="str">
            <v>CN02</v>
          </cell>
        </row>
        <row r="55">
          <cell r="A55" t="str">
            <v>CN03</v>
          </cell>
        </row>
        <row r="56">
          <cell r="A56" t="str">
            <v>CS20</v>
          </cell>
        </row>
        <row r="57">
          <cell r="A57" t="str">
            <v>CS21</v>
          </cell>
        </row>
        <row r="58">
          <cell r="A58" t="str">
            <v>CS30</v>
          </cell>
        </row>
        <row r="59">
          <cell r="A59" t="str">
            <v>CT01</v>
          </cell>
        </row>
        <row r="60">
          <cell r="A60" t="str">
            <v>CU01</v>
          </cell>
        </row>
        <row r="61">
          <cell r="A61" t="str">
            <v>CU02</v>
          </cell>
        </row>
        <row r="62">
          <cell r="A62" t="str">
            <v>CU04</v>
          </cell>
        </row>
        <row r="63">
          <cell r="A63" t="str">
            <v>CU05</v>
          </cell>
        </row>
        <row r="64">
          <cell r="A64" t="str">
            <v>E301</v>
          </cell>
        </row>
        <row r="65">
          <cell r="A65" t="str">
            <v>E303</v>
          </cell>
        </row>
        <row r="66">
          <cell r="A66" t="str">
            <v>FT01</v>
          </cell>
        </row>
        <row r="67">
          <cell r="A67" t="str">
            <v>FT02</v>
          </cell>
        </row>
        <row r="68">
          <cell r="A68" t="str">
            <v>GD01</v>
          </cell>
        </row>
        <row r="69">
          <cell r="A69" t="str">
            <v>GD02</v>
          </cell>
        </row>
        <row r="70">
          <cell r="A70" t="str">
            <v>GD03</v>
          </cell>
        </row>
        <row r="71">
          <cell r="A71" t="str">
            <v>GN01</v>
          </cell>
        </row>
        <row r="72">
          <cell r="A72" t="str">
            <v>GN06</v>
          </cell>
        </row>
        <row r="73">
          <cell r="A73" t="str">
            <v>HC01</v>
          </cell>
        </row>
        <row r="74">
          <cell r="A74" t="str">
            <v>HC02</v>
          </cell>
        </row>
        <row r="75">
          <cell r="A75" t="str">
            <v>IT01</v>
          </cell>
        </row>
        <row r="76">
          <cell r="A76" t="str">
            <v>MD01</v>
          </cell>
        </row>
        <row r="77">
          <cell r="A77" t="str">
            <v>MG01</v>
          </cell>
        </row>
        <row r="78">
          <cell r="A78" t="str">
            <v>MG03</v>
          </cell>
        </row>
        <row r="79">
          <cell r="A79" t="str">
            <v>MG05</v>
          </cell>
        </row>
        <row r="80">
          <cell r="A80" t="str">
            <v>MG07</v>
          </cell>
        </row>
        <row r="81">
          <cell r="A81" t="str">
            <v>MG08</v>
          </cell>
        </row>
        <row r="82">
          <cell r="A82" t="str">
            <v>MG09</v>
          </cell>
        </row>
        <row r="83">
          <cell r="A83" t="str">
            <v>MM01</v>
          </cell>
        </row>
        <row r="84">
          <cell r="A84" t="str">
            <v>MM02</v>
          </cell>
        </row>
        <row r="85">
          <cell r="A85" t="str">
            <v>MM03</v>
          </cell>
        </row>
        <row r="86">
          <cell r="A86" t="str">
            <v>MP01</v>
          </cell>
        </row>
        <row r="87">
          <cell r="A87" t="str">
            <v>MP05</v>
          </cell>
        </row>
        <row r="88">
          <cell r="A88" t="str">
            <v>MR01</v>
          </cell>
        </row>
        <row r="89">
          <cell r="A89" t="str">
            <v>MS01</v>
          </cell>
        </row>
        <row r="90">
          <cell r="A90" t="str">
            <v>MU02</v>
          </cell>
        </row>
        <row r="91">
          <cell r="A91" t="str">
            <v>MU03</v>
          </cell>
        </row>
        <row r="92">
          <cell r="A92" t="str">
            <v>MU04</v>
          </cell>
        </row>
        <row r="93">
          <cell r="A93" t="str">
            <v>MU05</v>
          </cell>
        </row>
        <row r="94">
          <cell r="A94" t="str">
            <v>OL01</v>
          </cell>
        </row>
        <row r="95">
          <cell r="A95" t="str">
            <v>OL03</v>
          </cell>
        </row>
        <row r="96">
          <cell r="A96" t="str">
            <v>PL01</v>
          </cell>
        </row>
        <row r="97">
          <cell r="A97" t="str">
            <v>PL02</v>
          </cell>
        </row>
        <row r="98">
          <cell r="A98" t="str">
            <v>SC03</v>
          </cell>
        </row>
        <row r="99">
          <cell r="A99" t="str">
            <v>SC08</v>
          </cell>
        </row>
        <row r="100">
          <cell r="A100" t="str">
            <v>SC11</v>
          </cell>
        </row>
        <row r="101">
          <cell r="A101" t="str">
            <v>SC13</v>
          </cell>
        </row>
        <row r="102">
          <cell r="A102" t="str">
            <v>SH01</v>
          </cell>
        </row>
        <row r="103">
          <cell r="A103" t="str">
            <v>SH02</v>
          </cell>
        </row>
        <row r="104">
          <cell r="A104" t="str">
            <v>SH03</v>
          </cell>
        </row>
        <row r="105">
          <cell r="A105" t="str">
            <v>SH04</v>
          </cell>
        </row>
        <row r="106">
          <cell r="A106" t="str">
            <v>SH05</v>
          </cell>
        </row>
        <row r="107">
          <cell r="A107" t="str">
            <v>SH06</v>
          </cell>
        </row>
        <row r="108">
          <cell r="A108" t="str">
            <v>SH07</v>
          </cell>
        </row>
        <row r="109">
          <cell r="A109" t="str">
            <v>ST01</v>
          </cell>
        </row>
        <row r="110">
          <cell r="A110" t="str">
            <v>TL01</v>
          </cell>
        </row>
        <row r="111">
          <cell r="A111" t="str">
            <v>TO01</v>
          </cell>
        </row>
        <row r="112">
          <cell r="A112" t="str">
            <v>TO02</v>
          </cell>
        </row>
        <row r="113">
          <cell r="A113" t="str">
            <v>TR01</v>
          </cell>
        </row>
        <row r="114">
          <cell r="A114" t="str">
            <v>TR02</v>
          </cell>
        </row>
        <row r="115">
          <cell r="A115" t="str">
            <v>TR03</v>
          </cell>
        </row>
        <row r="116">
          <cell r="A116" t="str">
            <v>TR04</v>
          </cell>
        </row>
        <row r="117">
          <cell r="A117" t="str">
            <v>TR05</v>
          </cell>
        </row>
        <row r="118">
          <cell r="A118" t="str">
            <v>TR06</v>
          </cell>
        </row>
        <row r="119">
          <cell r="A119" t="str">
            <v>TR07</v>
          </cell>
        </row>
        <row r="120">
          <cell r="A120" t="str">
            <v>TR08</v>
          </cell>
        </row>
        <row r="121">
          <cell r="A121" t="str">
            <v>TR09</v>
          </cell>
        </row>
        <row r="122">
          <cell r="A122" t="str">
            <v>TR10</v>
          </cell>
        </row>
        <row r="123">
          <cell r="A123" t="str">
            <v>TR11</v>
          </cell>
        </row>
        <row r="124">
          <cell r="A124" t="str">
            <v>TR12</v>
          </cell>
        </row>
        <row r="125">
          <cell r="A125" t="str">
            <v>TR13</v>
          </cell>
        </row>
        <row r="126">
          <cell r="A126" t="str">
            <v>TR14</v>
          </cell>
        </row>
        <row r="127">
          <cell r="A127" t="str">
            <v>TR15</v>
          </cell>
        </row>
        <row r="128">
          <cell r="A128" t="str">
            <v>TR16</v>
          </cell>
        </row>
        <row r="129">
          <cell r="A129" t="str">
            <v>TR17</v>
          </cell>
        </row>
        <row r="130">
          <cell r="A130" t="str">
            <v>TR18</v>
          </cell>
        </row>
        <row r="131">
          <cell r="A131" t="str">
            <v>TR19</v>
          </cell>
        </row>
        <row r="132">
          <cell r="A132" t="str">
            <v>TR20</v>
          </cell>
        </row>
        <row r="133">
          <cell r="A133" t="str">
            <v>TR21</v>
          </cell>
        </row>
        <row r="134">
          <cell r="A134" t="str">
            <v>TT01</v>
          </cell>
        </row>
        <row r="135">
          <cell r="A135" t="str">
            <v>WD01</v>
          </cell>
        </row>
        <row r="136">
          <cell r="A136" t="str">
            <v>WD02</v>
          </cell>
        </row>
        <row r="137">
          <cell r="A137" t="str">
            <v>WD03</v>
          </cell>
        </row>
        <row r="138">
          <cell r="A138" t="str">
            <v>WD03</v>
          </cell>
        </row>
        <row r="139">
          <cell r="A139" t="str">
            <v>WD04</v>
          </cell>
        </row>
        <row r="140">
          <cell r="A140" t="str">
            <v>WD04</v>
          </cell>
        </row>
        <row r="141">
          <cell r="A141" t="str">
            <v>WD05</v>
          </cell>
        </row>
        <row r="142">
          <cell r="A142" t="str">
            <v>WD06</v>
          </cell>
        </row>
        <row r="143">
          <cell r="A143" t="str">
            <v>WD07</v>
          </cell>
        </row>
        <row r="144">
          <cell r="A144" t="str">
            <v>WD08</v>
          </cell>
        </row>
        <row r="145">
          <cell r="A145" t="str">
            <v>WD08</v>
          </cell>
        </row>
        <row r="146">
          <cell r="A146" t="str">
            <v>WD09</v>
          </cell>
        </row>
        <row r="147">
          <cell r="A147" t="str">
            <v>WD09</v>
          </cell>
        </row>
        <row r="148">
          <cell r="A148" t="str">
            <v>WD10</v>
          </cell>
        </row>
        <row r="149">
          <cell r="A149" t="str">
            <v>WD10</v>
          </cell>
        </row>
        <row r="150">
          <cell r="A150" t="str">
            <v>WD11</v>
          </cell>
        </row>
        <row r="151">
          <cell r="A151" t="str">
            <v>WD11</v>
          </cell>
        </row>
        <row r="152">
          <cell r="A152" t="str">
            <v>WD12</v>
          </cell>
        </row>
        <row r="153">
          <cell r="A153" t="str">
            <v>WL01</v>
          </cell>
        </row>
        <row r="154">
          <cell r="A154" t="str">
            <v>WL01</v>
          </cell>
        </row>
        <row r="155">
          <cell r="A155" t="str">
            <v>WM02</v>
          </cell>
        </row>
        <row r="156">
          <cell r="A156" t="str">
            <v>WM05</v>
          </cell>
        </row>
        <row r="157">
          <cell r="A157" t="str">
            <v>WT01</v>
          </cell>
        </row>
        <row r="158">
          <cell r="A158" t="str">
            <v>WT02</v>
          </cell>
        </row>
        <row r="159">
          <cell r="A159" t="str">
            <v>WT02</v>
          </cell>
        </row>
        <row r="160">
          <cell r="A160" t="str">
            <v>WT03</v>
          </cell>
        </row>
        <row r="161">
          <cell r="A161" t="str">
            <v>WT04</v>
          </cell>
        </row>
        <row r="162">
          <cell r="A162" t="str">
            <v>WT04</v>
          </cell>
        </row>
        <row r="163">
          <cell r="A163" t="str">
            <v>WT06</v>
          </cell>
        </row>
        <row r="164">
          <cell r="A164" t="str">
            <v>WT08</v>
          </cell>
        </row>
      </sheetData>
      <sheetData sheetId="11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  <row r="4">
          <cell r="A4" t="str">
            <v>33</v>
          </cell>
          <cell r="B4" t="str">
            <v>08</v>
          </cell>
        </row>
        <row r="5">
          <cell r="A5" t="str">
            <v>33</v>
          </cell>
          <cell r="B5" t="str">
            <v>08</v>
          </cell>
        </row>
      </sheetData>
      <sheetData sheetId="12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  <row r="4">
          <cell r="A4" t="str">
            <v>33</v>
          </cell>
          <cell r="B4" t="str">
            <v>08</v>
          </cell>
        </row>
        <row r="5">
          <cell r="A5" t="str">
            <v>33</v>
          </cell>
          <cell r="B5" t="str">
            <v>08</v>
          </cell>
        </row>
      </sheetData>
      <sheetData sheetId="13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</sheetData>
      <sheetData sheetId="14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</sheetData>
      <sheetData sheetId="15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  <row r="4">
          <cell r="A4" t="str">
            <v>33</v>
          </cell>
          <cell r="B4" t="str">
            <v>08</v>
          </cell>
        </row>
      </sheetData>
      <sheetData sheetId="16" refreshError="1">
        <row r="2">
          <cell r="B2" t="str">
            <v>BU.</v>
          </cell>
        </row>
        <row r="3">
          <cell r="B3" t="str">
            <v>01</v>
          </cell>
        </row>
        <row r="4">
          <cell r="B4" t="str">
            <v>01</v>
          </cell>
        </row>
        <row r="5">
          <cell r="B5" t="str">
            <v>01</v>
          </cell>
        </row>
        <row r="6">
          <cell r="B6" t="str">
            <v>01</v>
          </cell>
        </row>
      </sheetData>
      <sheetData sheetId="17" refreshError="1">
        <row r="2">
          <cell r="B2" t="str">
            <v>BU.</v>
          </cell>
        </row>
      </sheetData>
      <sheetData sheetId="18" refreshError="1">
        <row r="2">
          <cell r="B2" t="str">
            <v>BU.</v>
          </cell>
        </row>
      </sheetData>
      <sheetData sheetId="19" refreshError="1">
        <row r="2">
          <cell r="B2" t="str">
            <v>BU.</v>
          </cell>
        </row>
      </sheetData>
      <sheetData sheetId="20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  <row r="4">
          <cell r="A4" t="str">
            <v>33</v>
          </cell>
          <cell r="B4" t="str">
            <v>08</v>
          </cell>
        </row>
        <row r="5">
          <cell r="A5" t="str">
            <v>33</v>
          </cell>
          <cell r="B5" t="str">
            <v>08</v>
          </cell>
        </row>
        <row r="6">
          <cell r="A6" t="str">
            <v>33</v>
          </cell>
          <cell r="B6" t="str">
            <v>08</v>
          </cell>
        </row>
        <row r="7">
          <cell r="A7" t="str">
            <v>33</v>
          </cell>
        </row>
        <row r="8">
          <cell r="A8" t="str">
            <v>33</v>
          </cell>
        </row>
        <row r="9">
          <cell r="A9" t="str">
            <v>33</v>
          </cell>
        </row>
        <row r="10">
          <cell r="A10" t="str">
            <v>33</v>
          </cell>
        </row>
        <row r="11">
          <cell r="A11" t="str">
            <v>33</v>
          </cell>
        </row>
        <row r="12">
          <cell r="A12" t="str">
            <v>33</v>
          </cell>
        </row>
        <row r="13">
          <cell r="A13" t="str">
            <v>33</v>
          </cell>
        </row>
        <row r="14">
          <cell r="A14" t="str">
            <v>33</v>
          </cell>
        </row>
        <row r="15">
          <cell r="A15" t="str">
            <v>33</v>
          </cell>
        </row>
        <row r="16">
          <cell r="A16" t="str">
            <v>33</v>
          </cell>
        </row>
        <row r="17">
          <cell r="A17" t="str">
            <v>33</v>
          </cell>
        </row>
        <row r="18">
          <cell r="A18" t="str">
            <v>33</v>
          </cell>
        </row>
        <row r="19">
          <cell r="A19" t="str">
            <v>33</v>
          </cell>
        </row>
        <row r="20">
          <cell r="A20" t="str">
            <v>33</v>
          </cell>
        </row>
        <row r="21">
          <cell r="A21" t="str">
            <v>33</v>
          </cell>
        </row>
        <row r="22">
          <cell r="A22" t="str">
            <v>33</v>
          </cell>
        </row>
        <row r="23">
          <cell r="A23" t="str">
            <v>33</v>
          </cell>
        </row>
        <row r="24">
          <cell r="A24" t="str">
            <v>33</v>
          </cell>
        </row>
        <row r="25">
          <cell r="A25" t="str">
            <v>33</v>
          </cell>
        </row>
        <row r="26">
          <cell r="A26" t="str">
            <v>33</v>
          </cell>
        </row>
        <row r="27">
          <cell r="A27" t="str">
            <v>33</v>
          </cell>
        </row>
        <row r="28">
          <cell r="A28" t="str">
            <v>33</v>
          </cell>
        </row>
        <row r="29">
          <cell r="A29" t="str">
            <v>33</v>
          </cell>
        </row>
        <row r="30">
          <cell r="A30" t="str">
            <v>33</v>
          </cell>
        </row>
        <row r="31">
          <cell r="A31" t="str">
            <v>33</v>
          </cell>
        </row>
        <row r="32">
          <cell r="A32" t="str">
            <v>33</v>
          </cell>
        </row>
        <row r="33">
          <cell r="A33" t="str">
            <v>33</v>
          </cell>
        </row>
        <row r="34">
          <cell r="A34" t="str">
            <v>33</v>
          </cell>
        </row>
        <row r="35">
          <cell r="A35" t="str">
            <v>33</v>
          </cell>
        </row>
        <row r="36">
          <cell r="A36" t="str">
            <v>33</v>
          </cell>
        </row>
        <row r="37">
          <cell r="A37" t="str">
            <v>33</v>
          </cell>
        </row>
        <row r="38">
          <cell r="A38" t="str">
            <v>33</v>
          </cell>
        </row>
        <row r="39">
          <cell r="A39" t="str">
            <v>33</v>
          </cell>
        </row>
        <row r="40">
          <cell r="A40" t="str">
            <v>33</v>
          </cell>
        </row>
        <row r="41">
          <cell r="A41" t="str">
            <v>33</v>
          </cell>
        </row>
        <row r="42">
          <cell r="A42" t="str">
            <v>33</v>
          </cell>
        </row>
        <row r="43">
          <cell r="A43" t="str">
            <v>33</v>
          </cell>
        </row>
        <row r="44">
          <cell r="A44" t="str">
            <v>33</v>
          </cell>
        </row>
        <row r="45">
          <cell r="A45" t="str">
            <v>33</v>
          </cell>
        </row>
        <row r="46">
          <cell r="A46" t="str">
            <v>33</v>
          </cell>
        </row>
        <row r="47">
          <cell r="A47" t="str">
            <v>33</v>
          </cell>
        </row>
        <row r="48">
          <cell r="A48" t="str">
            <v>33</v>
          </cell>
        </row>
        <row r="49">
          <cell r="A49" t="str">
            <v>33</v>
          </cell>
        </row>
        <row r="50">
          <cell r="A50" t="str">
            <v>33</v>
          </cell>
        </row>
        <row r="51">
          <cell r="A51" t="str">
            <v>33</v>
          </cell>
        </row>
        <row r="52">
          <cell r="A52" t="str">
            <v>33</v>
          </cell>
        </row>
        <row r="53">
          <cell r="A53" t="str">
            <v>33</v>
          </cell>
        </row>
        <row r="54">
          <cell r="A54" t="str">
            <v>33</v>
          </cell>
        </row>
        <row r="55">
          <cell r="A55" t="str">
            <v>33</v>
          </cell>
        </row>
        <row r="56">
          <cell r="A56" t="str">
            <v>33</v>
          </cell>
        </row>
        <row r="57">
          <cell r="A57" t="str">
            <v>33</v>
          </cell>
        </row>
        <row r="58">
          <cell r="A58" t="str">
            <v>33</v>
          </cell>
        </row>
        <row r="59">
          <cell r="A59" t="str">
            <v>33</v>
          </cell>
        </row>
        <row r="60">
          <cell r="A60" t="str">
            <v>33</v>
          </cell>
        </row>
        <row r="61">
          <cell r="A61" t="str">
            <v>33</v>
          </cell>
        </row>
        <row r="62">
          <cell r="A62" t="str">
            <v>33</v>
          </cell>
        </row>
        <row r="63">
          <cell r="A63" t="str">
            <v>33</v>
          </cell>
        </row>
      </sheetData>
      <sheetData sheetId="21" refreshError="1">
        <row r="2">
          <cell r="B2" t="str">
            <v>Description</v>
          </cell>
        </row>
        <row r="4">
          <cell r="A4" t="str">
            <v>01011716999</v>
          </cell>
          <cell r="B4" t="str">
            <v>IMM-Mine Stock Yard</v>
          </cell>
        </row>
      </sheetData>
      <sheetData sheetId="22" refreshError="1">
        <row r="2">
          <cell r="B2" t="str">
            <v>Description</v>
          </cell>
        </row>
        <row r="4">
          <cell r="B4" t="e">
            <v>#N/A</v>
          </cell>
        </row>
        <row r="5">
          <cell r="B5" t="e">
            <v>#N/A</v>
          </cell>
        </row>
        <row r="6">
          <cell r="B6" t="e">
            <v>#N/A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G_Status"/>
      <sheetName val="BPG_Regional"/>
      <sheetName val="BPG_Product"/>
      <sheetName val="BPG_Mine (3)"/>
      <sheetName val="BPG_Mine (1)"/>
      <sheetName val="BPG_Detail"/>
      <sheetName val="Indo_Status"/>
      <sheetName val="Indo_Mine (1)"/>
      <sheetName val="Indo_Product"/>
      <sheetName val="Indo_Mine (2)"/>
      <sheetName val="Indo_Detail"/>
      <sheetName val="Indo_Port"/>
      <sheetName val="dBase"/>
      <sheetName val="dBonus"/>
      <sheetName val="IMM"/>
      <sheetName val="TCM"/>
      <sheetName val="JBG"/>
      <sheetName val="KTD"/>
      <sheetName val="BEK"/>
      <sheetName val="Blending"/>
      <sheetName val="Affiliated"/>
      <sheetName val="Exchange"/>
      <sheetName val="2013 Sales Plan_2012-11-21_(V"/>
    </sheetNames>
    <sheetDataSet>
      <sheetData sheetId="0"/>
      <sheetData sheetId="1"/>
      <sheetData sheetId="2"/>
      <sheetData sheetId="3"/>
      <sheetData sheetId="4"/>
      <sheetData sheetId="5">
        <row r="1">
          <cell r="H1" t="str">
            <v>21 Nov'12 V.3</v>
          </cell>
        </row>
      </sheetData>
      <sheetData sheetId="6"/>
      <sheetData sheetId="7"/>
      <sheetData sheetId="8"/>
      <sheetData sheetId="9"/>
      <sheetData sheetId="10"/>
      <sheetData sheetId="11"/>
      <sheetData sheetId="12">
        <row r="2">
          <cell r="C2" t="str">
            <v>Asahi Chemical</v>
          </cell>
          <cell r="R2">
            <v>0</v>
          </cell>
          <cell r="AZ2">
            <v>0</v>
          </cell>
          <cell r="BA2">
            <v>0</v>
          </cell>
          <cell r="BC2" t="str">
            <v>OTHERS</v>
          </cell>
          <cell r="BE2" t="str">
            <v>Jan</v>
          </cell>
        </row>
        <row r="3">
          <cell r="C3" t="str">
            <v>Asahi Chemical</v>
          </cell>
          <cell r="R3">
            <v>0</v>
          </cell>
          <cell r="AZ3">
            <v>0</v>
          </cell>
          <cell r="BA3">
            <v>0</v>
          </cell>
          <cell r="BC3" t="str">
            <v>OTHERS</v>
          </cell>
          <cell r="BE3" t="str">
            <v>Feb</v>
          </cell>
        </row>
        <row r="4">
          <cell r="C4" t="str">
            <v>Asahi Chemical</v>
          </cell>
          <cell r="R4">
            <v>0</v>
          </cell>
          <cell r="AZ4">
            <v>0</v>
          </cell>
          <cell r="BA4">
            <v>0</v>
          </cell>
          <cell r="BC4" t="str">
            <v>OTHERS</v>
          </cell>
          <cell r="BE4" t="str">
            <v>Mar</v>
          </cell>
        </row>
        <row r="5">
          <cell r="C5" t="str">
            <v>Asahi Chemical</v>
          </cell>
          <cell r="R5">
            <v>0</v>
          </cell>
          <cell r="AZ5">
            <v>0</v>
          </cell>
          <cell r="BA5">
            <v>0</v>
          </cell>
          <cell r="BC5" t="str">
            <v>OTHERS</v>
          </cell>
          <cell r="BE5" t="str">
            <v>Apr</v>
          </cell>
        </row>
        <row r="6">
          <cell r="C6" t="str">
            <v>Asahi Chemical</v>
          </cell>
          <cell r="R6">
            <v>0</v>
          </cell>
          <cell r="AZ6">
            <v>0</v>
          </cell>
          <cell r="BA6">
            <v>0</v>
          </cell>
          <cell r="BC6" t="str">
            <v>OTHERS</v>
          </cell>
          <cell r="BE6" t="str">
            <v>May</v>
          </cell>
        </row>
        <row r="7">
          <cell r="C7" t="str">
            <v>Asahi Chemical</v>
          </cell>
          <cell r="R7">
            <v>0</v>
          </cell>
          <cell r="AZ7">
            <v>0</v>
          </cell>
          <cell r="BA7">
            <v>0</v>
          </cell>
          <cell r="BC7" t="str">
            <v>OTHERS</v>
          </cell>
          <cell r="BE7" t="str">
            <v>Jun</v>
          </cell>
        </row>
        <row r="8">
          <cell r="C8" t="str">
            <v>Asahi Chemical</v>
          </cell>
          <cell r="R8">
            <v>0</v>
          </cell>
          <cell r="AZ8">
            <v>0</v>
          </cell>
          <cell r="BA8">
            <v>0</v>
          </cell>
          <cell r="BC8" t="str">
            <v>OTHERS</v>
          </cell>
          <cell r="BE8" t="str">
            <v>Jul</v>
          </cell>
        </row>
        <row r="9">
          <cell r="C9" t="str">
            <v>Asahi Chemical</v>
          </cell>
          <cell r="R9">
            <v>0</v>
          </cell>
          <cell r="AZ9">
            <v>0</v>
          </cell>
          <cell r="BA9">
            <v>0</v>
          </cell>
          <cell r="BC9" t="str">
            <v>OTHERS</v>
          </cell>
          <cell r="BE9" t="str">
            <v>Aug</v>
          </cell>
        </row>
        <row r="10">
          <cell r="C10" t="str">
            <v>Asahi Chemical</v>
          </cell>
          <cell r="R10">
            <v>0</v>
          </cell>
          <cell r="AZ10">
            <v>0</v>
          </cell>
          <cell r="BA10">
            <v>0</v>
          </cell>
          <cell r="BC10" t="str">
            <v>OTHERS</v>
          </cell>
          <cell r="BE10" t="str">
            <v>Sep</v>
          </cell>
        </row>
        <row r="11">
          <cell r="C11" t="str">
            <v>Asahi Chemical</v>
          </cell>
          <cell r="R11">
            <v>0</v>
          </cell>
          <cell r="AZ11">
            <v>0</v>
          </cell>
          <cell r="BA11">
            <v>0</v>
          </cell>
          <cell r="BC11" t="str">
            <v>OTHERS</v>
          </cell>
          <cell r="BE11" t="str">
            <v>Oct</v>
          </cell>
        </row>
        <row r="12">
          <cell r="C12" t="str">
            <v>Asahi Chemical</v>
          </cell>
          <cell r="R12">
            <v>0</v>
          </cell>
          <cell r="AZ12">
            <v>0</v>
          </cell>
          <cell r="BA12">
            <v>0</v>
          </cell>
          <cell r="BC12" t="str">
            <v>OTHERS</v>
          </cell>
          <cell r="BE12" t="str">
            <v>Nov</v>
          </cell>
        </row>
        <row r="13">
          <cell r="C13" t="str">
            <v>Asahi Chemical</v>
          </cell>
          <cell r="R13">
            <v>0</v>
          </cell>
          <cell r="AZ13">
            <v>0</v>
          </cell>
          <cell r="BA13">
            <v>0</v>
          </cell>
          <cell r="BC13" t="str">
            <v>OTHERS</v>
          </cell>
          <cell r="BE13" t="str">
            <v>Dec</v>
          </cell>
        </row>
        <row r="14">
          <cell r="C14" t="str">
            <v>Asahi Chemical</v>
          </cell>
          <cell r="R14">
            <v>0</v>
          </cell>
          <cell r="AZ14">
            <v>0</v>
          </cell>
          <cell r="BA14">
            <v>0</v>
          </cell>
          <cell r="BC14" t="str">
            <v>OTHERS</v>
          </cell>
          <cell r="BE14" t="str">
            <v>Jan</v>
          </cell>
        </row>
        <row r="15">
          <cell r="C15" t="str">
            <v>Asahi Chemical</v>
          </cell>
          <cell r="R15">
            <v>0</v>
          </cell>
          <cell r="AZ15">
            <v>0</v>
          </cell>
          <cell r="BA15">
            <v>0</v>
          </cell>
          <cell r="BC15" t="str">
            <v>OTHERS</v>
          </cell>
          <cell r="BE15" t="str">
            <v>Feb</v>
          </cell>
        </row>
        <row r="16">
          <cell r="C16" t="str">
            <v>Asahi Chemical</v>
          </cell>
          <cell r="R16">
            <v>0</v>
          </cell>
          <cell r="AZ16">
            <v>0</v>
          </cell>
          <cell r="BA16">
            <v>0</v>
          </cell>
          <cell r="BC16" t="str">
            <v>OTHERS</v>
          </cell>
          <cell r="BE16" t="str">
            <v>Mar</v>
          </cell>
        </row>
        <row r="17">
          <cell r="C17" t="str">
            <v>Asahi Chemical</v>
          </cell>
          <cell r="R17">
            <v>0</v>
          </cell>
          <cell r="AZ17">
            <v>0</v>
          </cell>
          <cell r="BA17">
            <v>0</v>
          </cell>
          <cell r="BC17" t="str">
            <v>OTHERS</v>
          </cell>
          <cell r="BE17" t="str">
            <v>Apr</v>
          </cell>
        </row>
        <row r="18">
          <cell r="C18" t="str">
            <v>Asahi Chemical</v>
          </cell>
          <cell r="R18">
            <v>0</v>
          </cell>
          <cell r="AZ18">
            <v>0</v>
          </cell>
          <cell r="BA18">
            <v>0</v>
          </cell>
          <cell r="BC18" t="str">
            <v>OTHERS</v>
          </cell>
          <cell r="BE18" t="str">
            <v>May</v>
          </cell>
        </row>
        <row r="19">
          <cell r="C19" t="str">
            <v>Asahi Chemical</v>
          </cell>
          <cell r="R19">
            <v>0</v>
          </cell>
          <cell r="AZ19">
            <v>0</v>
          </cell>
          <cell r="BA19">
            <v>0</v>
          </cell>
          <cell r="BC19" t="str">
            <v>OTHERS</v>
          </cell>
          <cell r="BE19" t="str">
            <v>Jun</v>
          </cell>
        </row>
        <row r="20">
          <cell r="C20" t="str">
            <v>Asahi Chemical</v>
          </cell>
          <cell r="R20">
            <v>0</v>
          </cell>
          <cell r="AZ20">
            <v>0</v>
          </cell>
          <cell r="BA20">
            <v>0</v>
          </cell>
          <cell r="BC20" t="str">
            <v>OTHERS</v>
          </cell>
          <cell r="BE20" t="str">
            <v>Jul</v>
          </cell>
        </row>
        <row r="21">
          <cell r="C21" t="str">
            <v>Asahi Chemical</v>
          </cell>
          <cell r="R21">
            <v>0</v>
          </cell>
          <cell r="AZ21">
            <v>0</v>
          </cell>
          <cell r="BA21">
            <v>0</v>
          </cell>
          <cell r="BC21" t="str">
            <v>OTHERS</v>
          </cell>
          <cell r="BE21" t="str">
            <v>Aug</v>
          </cell>
        </row>
        <row r="22">
          <cell r="C22" t="str">
            <v>Asahi Chemical</v>
          </cell>
          <cell r="R22">
            <v>0</v>
          </cell>
          <cell r="AZ22">
            <v>0</v>
          </cell>
          <cell r="BA22">
            <v>0</v>
          </cell>
          <cell r="BC22" t="str">
            <v>OTHERS</v>
          </cell>
          <cell r="BE22" t="str">
            <v>Sep</v>
          </cell>
        </row>
        <row r="23">
          <cell r="C23" t="str">
            <v>Asahi Chemical</v>
          </cell>
          <cell r="R23">
            <v>0</v>
          </cell>
          <cell r="AZ23">
            <v>0</v>
          </cell>
          <cell r="BA23">
            <v>0</v>
          </cell>
          <cell r="BC23" t="str">
            <v>OTHERS</v>
          </cell>
          <cell r="BE23" t="str">
            <v>Oct</v>
          </cell>
        </row>
        <row r="24">
          <cell r="C24" t="str">
            <v>Asahi Chemical</v>
          </cell>
          <cell r="R24">
            <v>0</v>
          </cell>
          <cell r="AZ24">
            <v>0</v>
          </cell>
          <cell r="BA24">
            <v>0</v>
          </cell>
          <cell r="BC24" t="str">
            <v>OTHERS</v>
          </cell>
          <cell r="BE24" t="str">
            <v>Nov</v>
          </cell>
        </row>
        <row r="25">
          <cell r="C25" t="str">
            <v>Asahi Chemical</v>
          </cell>
          <cell r="R25">
            <v>0</v>
          </cell>
          <cell r="AZ25">
            <v>0</v>
          </cell>
          <cell r="BA25">
            <v>0</v>
          </cell>
          <cell r="BC25" t="str">
            <v>OTHERS</v>
          </cell>
          <cell r="BE25" t="str">
            <v>Dec</v>
          </cell>
        </row>
        <row r="26">
          <cell r="C26" t="str">
            <v>CET</v>
          </cell>
          <cell r="R26">
            <v>0</v>
          </cell>
          <cell r="AZ26">
            <v>0</v>
          </cell>
          <cell r="BA26">
            <v>0</v>
          </cell>
          <cell r="BC26" t="str">
            <v>PLATINUM</v>
          </cell>
          <cell r="BE26" t="str">
            <v>Jan</v>
          </cell>
        </row>
        <row r="27">
          <cell r="C27" t="str">
            <v>CET</v>
          </cell>
          <cell r="R27">
            <v>42000</v>
          </cell>
          <cell r="AZ27">
            <v>-138600</v>
          </cell>
          <cell r="BA27">
            <v>-57380.997860102958</v>
          </cell>
          <cell r="BC27" t="str">
            <v>PLATINUM</v>
          </cell>
          <cell r="BE27" t="str">
            <v>Feb</v>
          </cell>
        </row>
        <row r="28">
          <cell r="C28" t="str">
            <v>CET</v>
          </cell>
          <cell r="R28">
            <v>0</v>
          </cell>
          <cell r="AZ28">
            <v>0</v>
          </cell>
          <cell r="BA28">
            <v>0</v>
          </cell>
          <cell r="BC28" t="str">
            <v>PLATINUM</v>
          </cell>
          <cell r="BE28" t="str">
            <v>Mar</v>
          </cell>
        </row>
        <row r="29">
          <cell r="C29" t="str">
            <v>CET</v>
          </cell>
          <cell r="R29">
            <v>42000</v>
          </cell>
          <cell r="AZ29">
            <v>-138600</v>
          </cell>
          <cell r="BA29">
            <v>-57380.997860102958</v>
          </cell>
          <cell r="BC29" t="str">
            <v>PLATINUM</v>
          </cell>
          <cell r="BE29" t="str">
            <v>Apr</v>
          </cell>
        </row>
        <row r="30">
          <cell r="C30" t="str">
            <v>CET</v>
          </cell>
          <cell r="R30">
            <v>42000</v>
          </cell>
          <cell r="AZ30">
            <v>-138600</v>
          </cell>
          <cell r="BA30">
            <v>-57380.997860102958</v>
          </cell>
          <cell r="BC30" t="str">
            <v>PLATINUM</v>
          </cell>
          <cell r="BE30" t="str">
            <v>May</v>
          </cell>
        </row>
        <row r="31">
          <cell r="C31" t="str">
            <v>CET</v>
          </cell>
          <cell r="R31">
            <v>42000</v>
          </cell>
          <cell r="AZ31">
            <v>-138600</v>
          </cell>
          <cell r="BA31">
            <v>-57380.997860102958</v>
          </cell>
          <cell r="BC31" t="str">
            <v>PLATINUM</v>
          </cell>
          <cell r="BE31" t="str">
            <v>Jun</v>
          </cell>
        </row>
        <row r="32">
          <cell r="C32" t="str">
            <v>CET</v>
          </cell>
          <cell r="R32">
            <v>42000</v>
          </cell>
          <cell r="AZ32">
            <v>-138600</v>
          </cell>
          <cell r="BA32">
            <v>-57380.997860102958</v>
          </cell>
          <cell r="BC32" t="str">
            <v>PLATINUM</v>
          </cell>
          <cell r="BE32" t="str">
            <v>Jul</v>
          </cell>
        </row>
        <row r="33">
          <cell r="C33" t="str">
            <v>CET</v>
          </cell>
          <cell r="R33">
            <v>42000</v>
          </cell>
          <cell r="AZ33">
            <v>-138600</v>
          </cell>
          <cell r="BA33">
            <v>-57380.997860102958</v>
          </cell>
          <cell r="BC33" t="str">
            <v>PLATINUM</v>
          </cell>
          <cell r="BE33" t="str">
            <v>Aug</v>
          </cell>
        </row>
        <row r="34">
          <cell r="C34" t="str">
            <v>CET</v>
          </cell>
          <cell r="R34">
            <v>42000</v>
          </cell>
          <cell r="AZ34">
            <v>-138600</v>
          </cell>
          <cell r="BA34">
            <v>-57380.997860102958</v>
          </cell>
          <cell r="BC34" t="str">
            <v>PLATINUM</v>
          </cell>
          <cell r="BE34" t="str">
            <v>Sep</v>
          </cell>
        </row>
        <row r="35">
          <cell r="C35" t="str">
            <v>CET</v>
          </cell>
          <cell r="R35">
            <v>42000</v>
          </cell>
          <cell r="AZ35">
            <v>-138600</v>
          </cell>
          <cell r="BA35">
            <v>-57380.997860102958</v>
          </cell>
          <cell r="BC35" t="str">
            <v>PLATINUM</v>
          </cell>
          <cell r="BE35" t="str">
            <v>Oct</v>
          </cell>
        </row>
        <row r="36">
          <cell r="C36" t="str">
            <v>CET</v>
          </cell>
          <cell r="R36">
            <v>42000</v>
          </cell>
          <cell r="AZ36">
            <v>-138600</v>
          </cell>
          <cell r="BA36">
            <v>-57380.997860102958</v>
          </cell>
          <cell r="BC36" t="str">
            <v>PLATINUM</v>
          </cell>
          <cell r="BE36" t="str">
            <v>Nov</v>
          </cell>
        </row>
        <row r="37">
          <cell r="C37" t="str">
            <v>CET</v>
          </cell>
          <cell r="R37">
            <v>42000</v>
          </cell>
          <cell r="AZ37">
            <v>-138600</v>
          </cell>
          <cell r="BA37">
            <v>-57380.997860102958</v>
          </cell>
          <cell r="BC37" t="str">
            <v>PLATINUM</v>
          </cell>
          <cell r="BE37" t="str">
            <v>Dec</v>
          </cell>
        </row>
        <row r="38">
          <cell r="C38" t="str">
            <v>CET</v>
          </cell>
          <cell r="R38">
            <v>0</v>
          </cell>
          <cell r="AZ38">
            <v>0</v>
          </cell>
          <cell r="BA38">
            <v>0</v>
          </cell>
          <cell r="BC38" t="str">
            <v>PLATINUM</v>
          </cell>
          <cell r="BE38" t="str">
            <v>Jan</v>
          </cell>
        </row>
        <row r="39">
          <cell r="C39" t="str">
            <v>CET</v>
          </cell>
          <cell r="R39">
            <v>7000</v>
          </cell>
          <cell r="AZ39">
            <v>-23100</v>
          </cell>
          <cell r="BA39">
            <v>-8750.4315999503033</v>
          </cell>
          <cell r="BC39" t="str">
            <v>PLATINUM</v>
          </cell>
          <cell r="BE39" t="str">
            <v>Feb</v>
          </cell>
        </row>
        <row r="40">
          <cell r="C40" t="str">
            <v>CET</v>
          </cell>
          <cell r="R40">
            <v>0</v>
          </cell>
          <cell r="AZ40">
            <v>0</v>
          </cell>
          <cell r="BA40">
            <v>0</v>
          </cell>
          <cell r="BC40" t="str">
            <v>PLATINUM</v>
          </cell>
          <cell r="BE40" t="str">
            <v>Mar</v>
          </cell>
        </row>
        <row r="41">
          <cell r="C41" t="str">
            <v>CET</v>
          </cell>
          <cell r="R41">
            <v>7000</v>
          </cell>
          <cell r="AZ41">
            <v>-23100</v>
          </cell>
          <cell r="BA41">
            <v>-8750.4315999503033</v>
          </cell>
          <cell r="BC41" t="str">
            <v>PLATINUM</v>
          </cell>
          <cell r="BE41" t="str">
            <v>Apr</v>
          </cell>
        </row>
        <row r="42">
          <cell r="C42" t="str">
            <v>CET</v>
          </cell>
          <cell r="R42">
            <v>7000</v>
          </cell>
          <cell r="AZ42">
            <v>-23100</v>
          </cell>
          <cell r="BA42">
            <v>-8750.4315999503033</v>
          </cell>
          <cell r="BC42" t="str">
            <v>PLATINUM</v>
          </cell>
          <cell r="BE42" t="str">
            <v>May</v>
          </cell>
        </row>
        <row r="43">
          <cell r="C43" t="str">
            <v>CET</v>
          </cell>
          <cell r="R43">
            <v>7000</v>
          </cell>
          <cell r="AZ43">
            <v>-23100</v>
          </cell>
          <cell r="BA43">
            <v>-8750.4315999503033</v>
          </cell>
          <cell r="BC43" t="str">
            <v>PLATINUM</v>
          </cell>
          <cell r="BE43" t="str">
            <v>Jun</v>
          </cell>
        </row>
        <row r="44">
          <cell r="C44" t="str">
            <v>CET</v>
          </cell>
          <cell r="R44">
            <v>7000</v>
          </cell>
          <cell r="AZ44">
            <v>-23100</v>
          </cell>
          <cell r="BA44">
            <v>-8750.4315999503033</v>
          </cell>
          <cell r="BC44" t="str">
            <v>PLATINUM</v>
          </cell>
          <cell r="BE44" t="str">
            <v>Jul</v>
          </cell>
        </row>
        <row r="45">
          <cell r="C45" t="str">
            <v>CET</v>
          </cell>
          <cell r="R45">
            <v>7000</v>
          </cell>
          <cell r="AZ45">
            <v>-23100</v>
          </cell>
          <cell r="BA45">
            <v>-8750.4315999503033</v>
          </cell>
          <cell r="BC45" t="str">
            <v>PLATINUM</v>
          </cell>
          <cell r="BE45" t="str">
            <v>Aug</v>
          </cell>
        </row>
        <row r="46">
          <cell r="C46" t="str">
            <v>CET</v>
          </cell>
          <cell r="R46">
            <v>7000</v>
          </cell>
          <cell r="AZ46">
            <v>-23100</v>
          </cell>
          <cell r="BA46">
            <v>-8750.4315999503033</v>
          </cell>
          <cell r="BC46" t="str">
            <v>PLATINUM</v>
          </cell>
          <cell r="BE46" t="str">
            <v>Sep</v>
          </cell>
        </row>
        <row r="47">
          <cell r="C47" t="str">
            <v>CET</v>
          </cell>
          <cell r="R47">
            <v>7000</v>
          </cell>
          <cell r="AZ47">
            <v>-23100</v>
          </cell>
          <cell r="BA47">
            <v>-8750.4315999503033</v>
          </cell>
          <cell r="BC47" t="str">
            <v>PLATINUM</v>
          </cell>
          <cell r="BE47" t="str">
            <v>Oct</v>
          </cell>
        </row>
        <row r="48">
          <cell r="C48" t="str">
            <v>CET</v>
          </cell>
          <cell r="R48">
            <v>7000</v>
          </cell>
          <cell r="AZ48">
            <v>-23100</v>
          </cell>
          <cell r="BA48">
            <v>-8750.4315999503033</v>
          </cell>
          <cell r="BC48" t="str">
            <v>PLATINUM</v>
          </cell>
          <cell r="BE48" t="str">
            <v>Nov</v>
          </cell>
        </row>
        <row r="49">
          <cell r="C49" t="str">
            <v>CET</v>
          </cell>
          <cell r="R49">
            <v>7000</v>
          </cell>
          <cell r="AZ49">
            <v>-23100</v>
          </cell>
          <cell r="BA49">
            <v>-8750.4315999503033</v>
          </cell>
          <cell r="BC49" t="str">
            <v>PLATINUM</v>
          </cell>
          <cell r="BE49" t="str">
            <v>Dec</v>
          </cell>
        </row>
        <row r="50">
          <cell r="C50" t="str">
            <v>CET</v>
          </cell>
          <cell r="R50">
            <v>0</v>
          </cell>
          <cell r="AZ50">
            <v>0</v>
          </cell>
          <cell r="BA50">
            <v>0</v>
          </cell>
          <cell r="BC50" t="str">
            <v>PLATINUM</v>
          </cell>
          <cell r="BE50" t="str">
            <v>Jan</v>
          </cell>
        </row>
        <row r="51">
          <cell r="C51" t="str">
            <v>CET</v>
          </cell>
          <cell r="R51">
            <v>21000.000000000004</v>
          </cell>
          <cell r="AZ51">
            <v>-69300.000000000015</v>
          </cell>
          <cell r="BA51">
            <v>-32340.776439582416</v>
          </cell>
          <cell r="BC51" t="str">
            <v>PLATINUM</v>
          </cell>
          <cell r="BE51" t="str">
            <v>Feb</v>
          </cell>
        </row>
        <row r="52">
          <cell r="C52" t="str">
            <v>CET</v>
          </cell>
          <cell r="R52">
            <v>0</v>
          </cell>
          <cell r="AZ52">
            <v>0</v>
          </cell>
          <cell r="BA52">
            <v>0</v>
          </cell>
          <cell r="BC52" t="str">
            <v>PLATINUM</v>
          </cell>
          <cell r="BE52" t="str">
            <v>Mar</v>
          </cell>
        </row>
        <row r="53">
          <cell r="C53" t="str">
            <v>CET</v>
          </cell>
          <cell r="R53">
            <v>21000.000000000004</v>
          </cell>
          <cell r="AZ53">
            <v>-69300.000000000015</v>
          </cell>
          <cell r="BA53">
            <v>-32340.776439582416</v>
          </cell>
          <cell r="BC53" t="str">
            <v>PLATINUM</v>
          </cell>
          <cell r="BE53" t="str">
            <v>Apr</v>
          </cell>
        </row>
        <row r="54">
          <cell r="C54" t="str">
            <v>CET</v>
          </cell>
          <cell r="R54">
            <v>21000.000000000004</v>
          </cell>
          <cell r="AZ54">
            <v>-69300.000000000015</v>
          </cell>
          <cell r="BA54">
            <v>-32340.776439582416</v>
          </cell>
          <cell r="BC54" t="str">
            <v>PLATINUM</v>
          </cell>
          <cell r="BE54" t="str">
            <v>May</v>
          </cell>
        </row>
        <row r="55">
          <cell r="C55" t="str">
            <v>CET</v>
          </cell>
          <cell r="R55">
            <v>21000.000000000004</v>
          </cell>
          <cell r="AZ55">
            <v>-69300.000000000015</v>
          </cell>
          <cell r="BA55">
            <v>-32340.776439582416</v>
          </cell>
          <cell r="BC55" t="str">
            <v>PLATINUM</v>
          </cell>
          <cell r="BE55" t="str">
            <v>Jun</v>
          </cell>
        </row>
        <row r="56">
          <cell r="C56" t="str">
            <v>CET</v>
          </cell>
          <cell r="R56">
            <v>21000.000000000004</v>
          </cell>
          <cell r="AZ56">
            <v>-69300.000000000015</v>
          </cell>
          <cell r="BA56">
            <v>-32340.776439582416</v>
          </cell>
          <cell r="BC56" t="str">
            <v>PLATINUM</v>
          </cell>
          <cell r="BE56" t="str">
            <v>Jul</v>
          </cell>
        </row>
        <row r="57">
          <cell r="C57" t="str">
            <v>CET</v>
          </cell>
          <cell r="R57">
            <v>21000.000000000004</v>
          </cell>
          <cell r="AZ57">
            <v>-69300.000000000015</v>
          </cell>
          <cell r="BA57">
            <v>-32340.776439582416</v>
          </cell>
          <cell r="BC57" t="str">
            <v>PLATINUM</v>
          </cell>
          <cell r="BE57" t="str">
            <v>Aug</v>
          </cell>
        </row>
        <row r="58">
          <cell r="C58" t="str">
            <v>CET</v>
          </cell>
          <cell r="R58">
            <v>21000.000000000004</v>
          </cell>
          <cell r="AZ58">
            <v>-69300.000000000015</v>
          </cell>
          <cell r="BA58">
            <v>-32340.776439582416</v>
          </cell>
          <cell r="BC58" t="str">
            <v>PLATINUM</v>
          </cell>
          <cell r="BE58" t="str">
            <v>Sep</v>
          </cell>
        </row>
        <row r="59">
          <cell r="C59" t="str">
            <v>CET</v>
          </cell>
          <cell r="R59">
            <v>21000.000000000004</v>
          </cell>
          <cell r="AZ59">
            <v>-69300.000000000015</v>
          </cell>
          <cell r="BA59">
            <v>-32340.776439582416</v>
          </cell>
          <cell r="BC59" t="str">
            <v>PLATINUM</v>
          </cell>
          <cell r="BE59" t="str">
            <v>Oct</v>
          </cell>
        </row>
        <row r="60">
          <cell r="C60" t="str">
            <v>CET</v>
          </cell>
          <cell r="R60">
            <v>21000.000000000004</v>
          </cell>
          <cell r="AZ60">
            <v>-69300.000000000015</v>
          </cell>
          <cell r="BA60">
            <v>-32340.776439582416</v>
          </cell>
          <cell r="BC60" t="str">
            <v>PLATINUM</v>
          </cell>
          <cell r="BE60" t="str">
            <v>Nov</v>
          </cell>
        </row>
        <row r="61">
          <cell r="C61" t="str">
            <v>CET</v>
          </cell>
          <cell r="R61">
            <v>21000.000000000004</v>
          </cell>
          <cell r="AZ61">
            <v>-69300.000000000015</v>
          </cell>
          <cell r="BA61">
            <v>-32340.776439582416</v>
          </cell>
          <cell r="BC61" t="str">
            <v>PLATINUM</v>
          </cell>
          <cell r="BE61" t="str">
            <v>Dec</v>
          </cell>
        </row>
        <row r="62">
          <cell r="C62" t="str">
            <v>Chubu</v>
          </cell>
          <cell r="R62">
            <v>48000</v>
          </cell>
          <cell r="AZ62">
            <v>-158400</v>
          </cell>
          <cell r="BA62">
            <v>-75336.538281324363</v>
          </cell>
          <cell r="BC62" t="str">
            <v>PLATINUM</v>
          </cell>
          <cell r="BE62" t="str">
            <v>Jan</v>
          </cell>
        </row>
        <row r="63">
          <cell r="C63" t="str">
            <v>Chubu</v>
          </cell>
          <cell r="R63">
            <v>48000</v>
          </cell>
          <cell r="AZ63">
            <v>-158400</v>
          </cell>
          <cell r="BA63">
            <v>-75336.538281324363</v>
          </cell>
          <cell r="BC63" t="str">
            <v>PLATINUM</v>
          </cell>
          <cell r="BE63" t="str">
            <v>Feb</v>
          </cell>
        </row>
        <row r="64">
          <cell r="C64" t="str">
            <v>Chubu</v>
          </cell>
          <cell r="R64">
            <v>48000</v>
          </cell>
          <cell r="AZ64">
            <v>-158400</v>
          </cell>
          <cell r="BA64">
            <v>-75336.538281324363</v>
          </cell>
          <cell r="BC64" t="str">
            <v>PLATINUM</v>
          </cell>
          <cell r="BE64" t="str">
            <v>Mar</v>
          </cell>
        </row>
        <row r="65">
          <cell r="C65" t="str">
            <v>Chubu</v>
          </cell>
          <cell r="R65">
            <v>48000</v>
          </cell>
          <cell r="AZ65">
            <v>-158400</v>
          </cell>
          <cell r="BA65">
            <v>-75336.538281324363</v>
          </cell>
          <cell r="BC65" t="str">
            <v>PLATINUM</v>
          </cell>
          <cell r="BE65" t="str">
            <v>Apr</v>
          </cell>
        </row>
        <row r="66">
          <cell r="C66" t="str">
            <v>Chubu</v>
          </cell>
          <cell r="R66">
            <v>0</v>
          </cell>
          <cell r="AZ66">
            <v>0</v>
          </cell>
          <cell r="BA66">
            <v>0</v>
          </cell>
          <cell r="BC66" t="str">
            <v>PLATINUM</v>
          </cell>
          <cell r="BE66" t="str">
            <v>May</v>
          </cell>
        </row>
        <row r="67">
          <cell r="C67" t="str">
            <v>Chubu</v>
          </cell>
          <cell r="R67">
            <v>0</v>
          </cell>
          <cell r="AZ67">
            <v>0</v>
          </cell>
          <cell r="BA67">
            <v>0</v>
          </cell>
          <cell r="BC67" t="str">
            <v>PLATINUM</v>
          </cell>
          <cell r="BE67" t="str">
            <v>Jun</v>
          </cell>
        </row>
        <row r="68">
          <cell r="C68" t="str">
            <v>Chubu</v>
          </cell>
          <cell r="R68">
            <v>0</v>
          </cell>
          <cell r="AZ68">
            <v>0</v>
          </cell>
          <cell r="BA68">
            <v>0</v>
          </cell>
          <cell r="BC68" t="str">
            <v>PLATINUM</v>
          </cell>
          <cell r="BE68" t="str">
            <v>Jul</v>
          </cell>
        </row>
        <row r="69">
          <cell r="C69" t="str">
            <v>Chubu</v>
          </cell>
          <cell r="R69">
            <v>0</v>
          </cell>
          <cell r="AZ69">
            <v>0</v>
          </cell>
          <cell r="BA69">
            <v>0</v>
          </cell>
          <cell r="BC69" t="str">
            <v>PLATINUM</v>
          </cell>
          <cell r="BE69" t="str">
            <v>Aug</v>
          </cell>
        </row>
        <row r="70">
          <cell r="C70" t="str">
            <v>Chubu</v>
          </cell>
          <cell r="R70">
            <v>0</v>
          </cell>
          <cell r="AZ70">
            <v>0</v>
          </cell>
          <cell r="BA70">
            <v>0</v>
          </cell>
          <cell r="BC70" t="str">
            <v>PLATINUM</v>
          </cell>
          <cell r="BE70" t="str">
            <v>Sep</v>
          </cell>
        </row>
        <row r="71">
          <cell r="C71" t="str">
            <v>Chubu</v>
          </cell>
          <cell r="R71">
            <v>0</v>
          </cell>
          <cell r="AZ71">
            <v>0</v>
          </cell>
          <cell r="BA71">
            <v>0</v>
          </cell>
          <cell r="BC71" t="str">
            <v>PLATINUM</v>
          </cell>
          <cell r="BE71" t="str">
            <v>Oct</v>
          </cell>
        </row>
        <row r="72">
          <cell r="C72" t="str">
            <v>Chubu</v>
          </cell>
          <cell r="R72">
            <v>0</v>
          </cell>
          <cell r="AZ72">
            <v>0</v>
          </cell>
          <cell r="BA72">
            <v>0</v>
          </cell>
          <cell r="BC72" t="str">
            <v>PLATINUM</v>
          </cell>
          <cell r="BE72" t="str">
            <v>Nov</v>
          </cell>
        </row>
        <row r="73">
          <cell r="C73" t="str">
            <v>Chubu</v>
          </cell>
          <cell r="R73">
            <v>0</v>
          </cell>
          <cell r="AZ73">
            <v>0</v>
          </cell>
          <cell r="BA73">
            <v>0</v>
          </cell>
          <cell r="BC73" t="str">
            <v>PLATINUM</v>
          </cell>
          <cell r="BE73" t="str">
            <v>Dec</v>
          </cell>
        </row>
        <row r="74">
          <cell r="C74" t="str">
            <v>Chubu</v>
          </cell>
          <cell r="R74">
            <v>8000</v>
          </cell>
          <cell r="AZ74">
            <v>-26400</v>
          </cell>
          <cell r="BA74">
            <v>-11488.598138620513</v>
          </cell>
          <cell r="BC74" t="str">
            <v>PLATINUM</v>
          </cell>
          <cell r="BE74" t="str">
            <v>Jan</v>
          </cell>
        </row>
        <row r="75">
          <cell r="C75" t="str">
            <v>Chubu</v>
          </cell>
          <cell r="R75">
            <v>8000</v>
          </cell>
          <cell r="AZ75">
            <v>-26400</v>
          </cell>
          <cell r="BA75">
            <v>-11488.598138620513</v>
          </cell>
          <cell r="BC75" t="str">
            <v>PLATINUM</v>
          </cell>
          <cell r="BE75" t="str">
            <v>Feb</v>
          </cell>
        </row>
        <row r="76">
          <cell r="C76" t="str">
            <v>Chubu</v>
          </cell>
          <cell r="R76">
            <v>8000</v>
          </cell>
          <cell r="AZ76">
            <v>-26400</v>
          </cell>
          <cell r="BA76">
            <v>-11488.598138620513</v>
          </cell>
          <cell r="BC76" t="str">
            <v>PLATINUM</v>
          </cell>
          <cell r="BE76" t="str">
            <v>Mar</v>
          </cell>
        </row>
        <row r="77">
          <cell r="C77" t="str">
            <v>Chubu</v>
          </cell>
          <cell r="R77">
            <v>8000</v>
          </cell>
          <cell r="AZ77">
            <v>-26400</v>
          </cell>
          <cell r="BA77">
            <v>-11488.598138620513</v>
          </cell>
          <cell r="BC77" t="str">
            <v>PLATINUM</v>
          </cell>
          <cell r="BE77" t="str">
            <v>Apr</v>
          </cell>
        </row>
        <row r="78">
          <cell r="C78" t="str">
            <v>Chubu</v>
          </cell>
          <cell r="R78">
            <v>0</v>
          </cell>
          <cell r="AZ78">
            <v>0</v>
          </cell>
          <cell r="BA78">
            <v>0</v>
          </cell>
          <cell r="BC78" t="str">
            <v>PLATINUM</v>
          </cell>
          <cell r="BE78" t="str">
            <v>May</v>
          </cell>
        </row>
        <row r="79">
          <cell r="C79" t="str">
            <v>Chubu</v>
          </cell>
          <cell r="R79">
            <v>0</v>
          </cell>
          <cell r="AZ79">
            <v>0</v>
          </cell>
          <cell r="BA79">
            <v>0</v>
          </cell>
          <cell r="BC79" t="str">
            <v>PLATINUM</v>
          </cell>
          <cell r="BE79" t="str">
            <v>Jun</v>
          </cell>
        </row>
        <row r="80">
          <cell r="C80" t="str">
            <v>Chubu</v>
          </cell>
          <cell r="R80">
            <v>0</v>
          </cell>
          <cell r="AZ80">
            <v>0</v>
          </cell>
          <cell r="BA80">
            <v>0</v>
          </cell>
          <cell r="BC80" t="str">
            <v>PLATINUM</v>
          </cell>
          <cell r="BE80" t="str">
            <v>Jul</v>
          </cell>
        </row>
        <row r="81">
          <cell r="C81" t="str">
            <v>Chubu</v>
          </cell>
          <cell r="R81">
            <v>0</v>
          </cell>
          <cell r="AZ81">
            <v>0</v>
          </cell>
          <cell r="BA81">
            <v>0</v>
          </cell>
          <cell r="BC81" t="str">
            <v>PLATINUM</v>
          </cell>
          <cell r="BE81" t="str">
            <v>Aug</v>
          </cell>
        </row>
        <row r="82">
          <cell r="C82" t="str">
            <v>Chubu</v>
          </cell>
          <cell r="R82">
            <v>0</v>
          </cell>
          <cell r="AZ82">
            <v>0</v>
          </cell>
          <cell r="BA82">
            <v>0</v>
          </cell>
          <cell r="BC82" t="str">
            <v>PLATINUM</v>
          </cell>
          <cell r="BE82" t="str">
            <v>Sep</v>
          </cell>
        </row>
        <row r="83">
          <cell r="C83" t="str">
            <v>Chubu</v>
          </cell>
          <cell r="R83">
            <v>0</v>
          </cell>
          <cell r="AZ83">
            <v>0</v>
          </cell>
          <cell r="BA83">
            <v>0</v>
          </cell>
          <cell r="BC83" t="str">
            <v>PLATINUM</v>
          </cell>
          <cell r="BE83" t="str">
            <v>Oct</v>
          </cell>
        </row>
        <row r="84">
          <cell r="C84" t="str">
            <v>Chubu</v>
          </cell>
          <cell r="R84">
            <v>0</v>
          </cell>
          <cell r="AZ84">
            <v>0</v>
          </cell>
          <cell r="BA84">
            <v>0</v>
          </cell>
          <cell r="BC84" t="str">
            <v>PLATINUM</v>
          </cell>
          <cell r="BE84" t="str">
            <v>Nov</v>
          </cell>
        </row>
        <row r="85">
          <cell r="C85" t="str">
            <v>Chubu</v>
          </cell>
          <cell r="R85">
            <v>0</v>
          </cell>
          <cell r="AZ85">
            <v>0</v>
          </cell>
          <cell r="BA85">
            <v>0</v>
          </cell>
          <cell r="BC85" t="str">
            <v>PLATINUM</v>
          </cell>
          <cell r="BE85" t="str">
            <v>Dec</v>
          </cell>
        </row>
        <row r="86">
          <cell r="C86" t="str">
            <v>Chubu</v>
          </cell>
          <cell r="R86">
            <v>24000.000000000004</v>
          </cell>
          <cell r="AZ86">
            <v>-79200.000000000015</v>
          </cell>
          <cell r="BA86">
            <v>-42460.783763790445</v>
          </cell>
          <cell r="BC86" t="str">
            <v>PLATINUM</v>
          </cell>
          <cell r="BE86" t="str">
            <v>Jan</v>
          </cell>
        </row>
        <row r="87">
          <cell r="C87" t="str">
            <v>Chubu</v>
          </cell>
          <cell r="R87">
            <v>24000.000000000004</v>
          </cell>
          <cell r="AZ87">
            <v>-79200.000000000015</v>
          </cell>
          <cell r="BA87">
            <v>-42460.783763790445</v>
          </cell>
          <cell r="BC87" t="str">
            <v>PLATINUM</v>
          </cell>
          <cell r="BE87" t="str">
            <v>Feb</v>
          </cell>
        </row>
        <row r="88">
          <cell r="C88" t="str">
            <v>Chubu</v>
          </cell>
          <cell r="R88">
            <v>24000.000000000004</v>
          </cell>
          <cell r="AZ88">
            <v>-79200.000000000015</v>
          </cell>
          <cell r="BA88">
            <v>-42460.783763790445</v>
          </cell>
          <cell r="BC88" t="str">
            <v>PLATINUM</v>
          </cell>
          <cell r="BE88" t="str">
            <v>Mar</v>
          </cell>
        </row>
        <row r="89">
          <cell r="C89" t="str">
            <v>Chubu</v>
          </cell>
          <cell r="R89">
            <v>24000.000000000004</v>
          </cell>
          <cell r="AZ89">
            <v>-79200.000000000015</v>
          </cell>
          <cell r="BA89">
            <v>-42460.783763790445</v>
          </cell>
          <cell r="BC89" t="str">
            <v>PLATINUM</v>
          </cell>
          <cell r="BE89" t="str">
            <v>Apr</v>
          </cell>
        </row>
        <row r="90">
          <cell r="C90" t="str">
            <v>Chubu</v>
          </cell>
          <cell r="R90">
            <v>0</v>
          </cell>
          <cell r="AZ90">
            <v>0</v>
          </cell>
          <cell r="BA90">
            <v>0</v>
          </cell>
          <cell r="BC90" t="str">
            <v>PLATINUM</v>
          </cell>
          <cell r="BE90" t="str">
            <v>May</v>
          </cell>
        </row>
        <row r="91">
          <cell r="C91" t="str">
            <v>Chubu</v>
          </cell>
          <cell r="R91">
            <v>0</v>
          </cell>
          <cell r="AZ91">
            <v>0</v>
          </cell>
          <cell r="BA91">
            <v>0</v>
          </cell>
          <cell r="BC91" t="str">
            <v>PLATINUM</v>
          </cell>
          <cell r="BE91" t="str">
            <v>Jun</v>
          </cell>
        </row>
        <row r="92">
          <cell r="C92" t="str">
            <v>Chubu</v>
          </cell>
          <cell r="R92">
            <v>0</v>
          </cell>
          <cell r="AZ92">
            <v>0</v>
          </cell>
          <cell r="BA92">
            <v>0</v>
          </cell>
          <cell r="BC92" t="str">
            <v>PLATINUM</v>
          </cell>
          <cell r="BE92" t="str">
            <v>Jul</v>
          </cell>
        </row>
        <row r="93">
          <cell r="C93" t="str">
            <v>Chubu</v>
          </cell>
          <cell r="R93">
            <v>0</v>
          </cell>
          <cell r="AZ93">
            <v>0</v>
          </cell>
          <cell r="BA93">
            <v>0</v>
          </cell>
          <cell r="BC93" t="str">
            <v>PLATINUM</v>
          </cell>
          <cell r="BE93" t="str">
            <v>Aug</v>
          </cell>
        </row>
        <row r="94">
          <cell r="C94" t="str">
            <v>Chubu</v>
          </cell>
          <cell r="R94">
            <v>0</v>
          </cell>
          <cell r="AZ94">
            <v>0</v>
          </cell>
          <cell r="BA94">
            <v>0</v>
          </cell>
          <cell r="BC94" t="str">
            <v>PLATINUM</v>
          </cell>
          <cell r="BE94" t="str">
            <v>Sep</v>
          </cell>
        </row>
        <row r="95">
          <cell r="C95" t="str">
            <v>Chubu</v>
          </cell>
          <cell r="R95">
            <v>0</v>
          </cell>
          <cell r="AZ95">
            <v>0</v>
          </cell>
          <cell r="BA95">
            <v>0</v>
          </cell>
          <cell r="BC95" t="str">
            <v>PLATINUM</v>
          </cell>
          <cell r="BE95" t="str">
            <v>Oct</v>
          </cell>
        </row>
        <row r="96">
          <cell r="C96" t="str">
            <v>Chubu</v>
          </cell>
          <cell r="R96">
            <v>0</v>
          </cell>
          <cell r="AZ96">
            <v>0</v>
          </cell>
          <cell r="BA96">
            <v>0</v>
          </cell>
          <cell r="BC96" t="str">
            <v>PLATINUM</v>
          </cell>
          <cell r="BE96" t="str">
            <v>Nov</v>
          </cell>
        </row>
        <row r="97">
          <cell r="C97" t="str">
            <v>Chubu</v>
          </cell>
          <cell r="R97">
            <v>0</v>
          </cell>
          <cell r="AZ97">
            <v>0</v>
          </cell>
          <cell r="BA97">
            <v>0</v>
          </cell>
          <cell r="BC97" t="str">
            <v>PLATINUM</v>
          </cell>
          <cell r="BE97" t="str">
            <v>Dec</v>
          </cell>
        </row>
        <row r="98">
          <cell r="C98" t="str">
            <v>EPDC</v>
          </cell>
          <cell r="R98">
            <v>42000</v>
          </cell>
          <cell r="AZ98">
            <v>-126000</v>
          </cell>
          <cell r="BA98">
            <v>-69541.728009482467</v>
          </cell>
          <cell r="BC98" t="str">
            <v>PLATINUM</v>
          </cell>
          <cell r="BE98" t="str">
            <v>Jan</v>
          </cell>
        </row>
        <row r="99">
          <cell r="C99" t="str">
            <v>EPDC</v>
          </cell>
          <cell r="R99">
            <v>0</v>
          </cell>
          <cell r="AZ99">
            <v>0</v>
          </cell>
          <cell r="BA99">
            <v>0</v>
          </cell>
          <cell r="BC99" t="str">
            <v>PLATINUM</v>
          </cell>
          <cell r="BE99" t="str">
            <v>Feb</v>
          </cell>
        </row>
        <row r="100">
          <cell r="C100" t="str">
            <v>EPDC</v>
          </cell>
          <cell r="R100">
            <v>42000</v>
          </cell>
          <cell r="AZ100">
            <v>-126000</v>
          </cell>
          <cell r="BA100">
            <v>-69541.728009482467</v>
          </cell>
          <cell r="BC100" t="str">
            <v>PLATINUM</v>
          </cell>
          <cell r="BE100" t="str">
            <v>Mar</v>
          </cell>
        </row>
        <row r="101">
          <cell r="C101" t="str">
            <v>EPDC</v>
          </cell>
          <cell r="R101">
            <v>42000</v>
          </cell>
          <cell r="AZ101">
            <v>-126000</v>
          </cell>
          <cell r="BA101">
            <v>-69541.728009482467</v>
          </cell>
          <cell r="BC101" t="str">
            <v>PLATINUM</v>
          </cell>
          <cell r="BE101" t="str">
            <v>Apr</v>
          </cell>
        </row>
        <row r="102">
          <cell r="C102" t="str">
            <v>EPDC</v>
          </cell>
          <cell r="R102">
            <v>0</v>
          </cell>
          <cell r="AZ102">
            <v>0</v>
          </cell>
          <cell r="BA102">
            <v>0</v>
          </cell>
          <cell r="BC102" t="str">
            <v>PLATINUM</v>
          </cell>
          <cell r="BE102" t="str">
            <v>May</v>
          </cell>
        </row>
        <row r="103">
          <cell r="C103" t="str">
            <v>EPDC</v>
          </cell>
          <cell r="R103">
            <v>0</v>
          </cell>
          <cell r="AZ103">
            <v>0</v>
          </cell>
          <cell r="BA103">
            <v>0</v>
          </cell>
          <cell r="BC103" t="str">
            <v>PLATINUM</v>
          </cell>
          <cell r="BE103" t="str">
            <v>Jun</v>
          </cell>
        </row>
        <row r="104">
          <cell r="C104" t="str">
            <v>EPDC</v>
          </cell>
          <cell r="R104">
            <v>0</v>
          </cell>
          <cell r="AZ104">
            <v>0</v>
          </cell>
          <cell r="BA104">
            <v>0</v>
          </cell>
          <cell r="BC104" t="str">
            <v>PLATINUM</v>
          </cell>
          <cell r="BE104" t="str">
            <v>Jul</v>
          </cell>
        </row>
        <row r="105">
          <cell r="C105" t="str">
            <v>EPDC</v>
          </cell>
          <cell r="R105">
            <v>0</v>
          </cell>
          <cell r="AZ105">
            <v>0</v>
          </cell>
          <cell r="BA105">
            <v>0</v>
          </cell>
          <cell r="BC105" t="str">
            <v>PLATINUM</v>
          </cell>
          <cell r="BE105" t="str">
            <v>Aug</v>
          </cell>
        </row>
        <row r="106">
          <cell r="C106" t="str">
            <v>EPDC</v>
          </cell>
          <cell r="R106">
            <v>0</v>
          </cell>
          <cell r="AZ106">
            <v>0</v>
          </cell>
          <cell r="BA106">
            <v>0</v>
          </cell>
          <cell r="BC106" t="str">
            <v>PLATINUM</v>
          </cell>
          <cell r="BE106" t="str">
            <v>Sep</v>
          </cell>
        </row>
        <row r="107">
          <cell r="C107" t="str">
            <v>EPDC</v>
          </cell>
          <cell r="R107">
            <v>0</v>
          </cell>
          <cell r="AZ107">
            <v>0</v>
          </cell>
          <cell r="BA107">
            <v>0</v>
          </cell>
          <cell r="BC107" t="str">
            <v>PLATINUM</v>
          </cell>
          <cell r="BE107" t="str">
            <v>Oct</v>
          </cell>
        </row>
        <row r="108">
          <cell r="C108" t="str">
            <v>EPDC</v>
          </cell>
          <cell r="R108">
            <v>0</v>
          </cell>
          <cell r="AZ108">
            <v>0</v>
          </cell>
          <cell r="BA108">
            <v>0</v>
          </cell>
          <cell r="BC108" t="str">
            <v>PLATINUM</v>
          </cell>
          <cell r="BE108" t="str">
            <v>Nov</v>
          </cell>
        </row>
        <row r="109">
          <cell r="C109" t="str">
            <v>EPDC</v>
          </cell>
          <cell r="R109">
            <v>0</v>
          </cell>
          <cell r="AZ109">
            <v>0</v>
          </cell>
          <cell r="BA109">
            <v>0</v>
          </cell>
          <cell r="BC109" t="str">
            <v>PLATINUM</v>
          </cell>
          <cell r="BE109" t="str">
            <v>Dec</v>
          </cell>
        </row>
        <row r="110">
          <cell r="C110" t="str">
            <v>EPDC</v>
          </cell>
          <cell r="R110">
            <v>28000</v>
          </cell>
          <cell r="AZ110">
            <v>-84000</v>
          </cell>
          <cell r="BA110">
            <v>-52259.657671810848</v>
          </cell>
          <cell r="BC110" t="str">
            <v>PLATINUM</v>
          </cell>
          <cell r="BE110" t="str">
            <v>Jan</v>
          </cell>
        </row>
        <row r="111">
          <cell r="C111" t="str">
            <v>EPDC</v>
          </cell>
          <cell r="R111">
            <v>0</v>
          </cell>
          <cell r="AZ111">
            <v>0</v>
          </cell>
          <cell r="BA111">
            <v>0</v>
          </cell>
          <cell r="BC111" t="str">
            <v>PLATINUM</v>
          </cell>
          <cell r="BE111" t="str">
            <v>Feb</v>
          </cell>
        </row>
        <row r="112">
          <cell r="C112" t="str">
            <v>EPDC</v>
          </cell>
          <cell r="R112">
            <v>28000</v>
          </cell>
          <cell r="AZ112">
            <v>-84000</v>
          </cell>
          <cell r="BA112">
            <v>-52259.657671810848</v>
          </cell>
          <cell r="BC112" t="str">
            <v>PLATINUM</v>
          </cell>
          <cell r="BE112" t="str">
            <v>Mar</v>
          </cell>
        </row>
        <row r="113">
          <cell r="C113" t="str">
            <v>EPDC</v>
          </cell>
          <cell r="R113">
            <v>28000</v>
          </cell>
          <cell r="AZ113">
            <v>-84000</v>
          </cell>
          <cell r="BA113">
            <v>-52259.657671810848</v>
          </cell>
          <cell r="BC113" t="str">
            <v>PLATINUM</v>
          </cell>
          <cell r="BE113" t="str">
            <v>Apr</v>
          </cell>
        </row>
        <row r="114">
          <cell r="C114" t="str">
            <v>EPDC</v>
          </cell>
          <cell r="R114">
            <v>0</v>
          </cell>
          <cell r="AZ114">
            <v>0</v>
          </cell>
          <cell r="BA114">
            <v>0</v>
          </cell>
          <cell r="BC114" t="str">
            <v>PLATINUM</v>
          </cell>
          <cell r="BE114" t="str">
            <v>May</v>
          </cell>
        </row>
        <row r="115">
          <cell r="C115" t="str">
            <v>EPDC</v>
          </cell>
          <cell r="R115">
            <v>0</v>
          </cell>
          <cell r="AZ115">
            <v>0</v>
          </cell>
          <cell r="BA115">
            <v>0</v>
          </cell>
          <cell r="BC115" t="str">
            <v>PLATINUM</v>
          </cell>
          <cell r="BE115" t="str">
            <v>Jun</v>
          </cell>
        </row>
        <row r="116">
          <cell r="C116" t="str">
            <v>EPDC</v>
          </cell>
          <cell r="R116">
            <v>0</v>
          </cell>
          <cell r="AZ116">
            <v>0</v>
          </cell>
          <cell r="BA116">
            <v>0</v>
          </cell>
          <cell r="BC116" t="str">
            <v>PLATINUM</v>
          </cell>
          <cell r="BE116" t="str">
            <v>Jul</v>
          </cell>
        </row>
        <row r="117">
          <cell r="C117" t="str">
            <v>EPDC</v>
          </cell>
          <cell r="R117">
            <v>0</v>
          </cell>
          <cell r="AZ117">
            <v>0</v>
          </cell>
          <cell r="BA117">
            <v>0</v>
          </cell>
          <cell r="BC117" t="str">
            <v>PLATINUM</v>
          </cell>
          <cell r="BE117" t="str">
            <v>Aug</v>
          </cell>
        </row>
        <row r="118">
          <cell r="C118" t="str">
            <v>EPDC</v>
          </cell>
          <cell r="R118">
            <v>0</v>
          </cell>
          <cell r="AZ118">
            <v>0</v>
          </cell>
          <cell r="BA118">
            <v>0</v>
          </cell>
          <cell r="BC118" t="str">
            <v>PLATINUM</v>
          </cell>
          <cell r="BE118" t="str">
            <v>Sep</v>
          </cell>
        </row>
        <row r="119">
          <cell r="C119" t="str">
            <v>EPDC</v>
          </cell>
          <cell r="R119">
            <v>0</v>
          </cell>
          <cell r="AZ119">
            <v>0</v>
          </cell>
          <cell r="BA119">
            <v>0</v>
          </cell>
          <cell r="BC119" t="str">
            <v>PLATINUM</v>
          </cell>
          <cell r="BE119" t="str">
            <v>Oct</v>
          </cell>
        </row>
        <row r="120">
          <cell r="C120" t="str">
            <v>EPDC</v>
          </cell>
          <cell r="R120">
            <v>0</v>
          </cell>
          <cell r="AZ120">
            <v>0</v>
          </cell>
          <cell r="BA120">
            <v>0</v>
          </cell>
          <cell r="BC120" t="str">
            <v>PLATINUM</v>
          </cell>
          <cell r="BE120" t="str">
            <v>Nov</v>
          </cell>
        </row>
        <row r="121">
          <cell r="C121" t="str">
            <v>EPDC</v>
          </cell>
          <cell r="R121">
            <v>0</v>
          </cell>
          <cell r="AZ121">
            <v>0</v>
          </cell>
          <cell r="BA121">
            <v>0</v>
          </cell>
          <cell r="BC121" t="str">
            <v>PLATINUM</v>
          </cell>
          <cell r="BE121" t="str">
            <v>Dec</v>
          </cell>
        </row>
        <row r="122">
          <cell r="C122" t="str">
            <v>EPDC</v>
          </cell>
          <cell r="R122">
            <v>0</v>
          </cell>
          <cell r="AZ122">
            <v>0</v>
          </cell>
          <cell r="BA122">
            <v>0</v>
          </cell>
          <cell r="BC122" t="str">
            <v>PLATINUM</v>
          </cell>
          <cell r="BE122" t="str">
            <v>Jan</v>
          </cell>
        </row>
        <row r="123">
          <cell r="C123" t="str">
            <v>EPDC</v>
          </cell>
          <cell r="R123">
            <v>0</v>
          </cell>
          <cell r="AZ123">
            <v>0</v>
          </cell>
          <cell r="BA123">
            <v>0</v>
          </cell>
          <cell r="BC123" t="str">
            <v>PLATINUM</v>
          </cell>
          <cell r="BE123" t="str">
            <v>Feb</v>
          </cell>
        </row>
        <row r="124">
          <cell r="C124" t="str">
            <v>EPDC</v>
          </cell>
          <cell r="R124">
            <v>0</v>
          </cell>
          <cell r="AZ124">
            <v>0</v>
          </cell>
          <cell r="BA124">
            <v>0</v>
          </cell>
          <cell r="BC124" t="str">
            <v>PLATINUM</v>
          </cell>
          <cell r="BE124" t="str">
            <v>Mar</v>
          </cell>
        </row>
        <row r="125">
          <cell r="C125" t="str">
            <v>EPDC</v>
          </cell>
          <cell r="R125">
            <v>0</v>
          </cell>
          <cell r="AZ125">
            <v>0</v>
          </cell>
          <cell r="BA125">
            <v>0</v>
          </cell>
          <cell r="BC125" t="str">
            <v>PLATINUM</v>
          </cell>
          <cell r="BE125" t="str">
            <v>Apr</v>
          </cell>
        </row>
        <row r="126">
          <cell r="C126" t="str">
            <v>EPDC</v>
          </cell>
          <cell r="R126">
            <v>0</v>
          </cell>
          <cell r="AZ126">
            <v>0</v>
          </cell>
          <cell r="BA126">
            <v>0</v>
          </cell>
          <cell r="BC126" t="str">
            <v>PLATINUM</v>
          </cell>
          <cell r="BE126" t="str">
            <v>May</v>
          </cell>
        </row>
        <row r="127">
          <cell r="C127" t="str">
            <v>EPDC</v>
          </cell>
          <cell r="R127">
            <v>42000</v>
          </cell>
          <cell r="AZ127">
            <v>-126000</v>
          </cell>
          <cell r="BA127">
            <v>-56075.450415165287</v>
          </cell>
          <cell r="BC127" t="str">
            <v>PLATINUM</v>
          </cell>
          <cell r="BE127" t="str">
            <v>Jun</v>
          </cell>
        </row>
        <row r="128">
          <cell r="C128" t="str">
            <v>EPDC</v>
          </cell>
          <cell r="R128">
            <v>42000</v>
          </cell>
          <cell r="AZ128">
            <v>-126000</v>
          </cell>
          <cell r="BA128">
            <v>-56075.450415165287</v>
          </cell>
          <cell r="BC128" t="str">
            <v>PLATINUM</v>
          </cell>
          <cell r="BE128" t="str">
            <v>Jul</v>
          </cell>
        </row>
        <row r="129">
          <cell r="C129" t="str">
            <v>EPDC</v>
          </cell>
          <cell r="R129">
            <v>42000</v>
          </cell>
          <cell r="AZ129">
            <v>-126000</v>
          </cell>
          <cell r="BA129">
            <v>-56075.450415165287</v>
          </cell>
          <cell r="BC129" t="str">
            <v>PLATINUM</v>
          </cell>
          <cell r="BE129" t="str">
            <v>Aug</v>
          </cell>
        </row>
        <row r="130">
          <cell r="C130" t="str">
            <v>EPDC</v>
          </cell>
          <cell r="R130">
            <v>42000</v>
          </cell>
          <cell r="AZ130">
            <v>-126000</v>
          </cell>
          <cell r="BA130">
            <v>-56075.450415165287</v>
          </cell>
          <cell r="BC130" t="str">
            <v>PLATINUM</v>
          </cell>
          <cell r="BE130" t="str">
            <v>Sep</v>
          </cell>
        </row>
        <row r="131">
          <cell r="C131" t="str">
            <v>EPDC</v>
          </cell>
          <cell r="R131">
            <v>42000</v>
          </cell>
          <cell r="AZ131">
            <v>-126000</v>
          </cell>
          <cell r="BA131">
            <v>-56075.450415165287</v>
          </cell>
          <cell r="BC131" t="str">
            <v>PLATINUM</v>
          </cell>
          <cell r="BE131" t="str">
            <v>Oct</v>
          </cell>
        </row>
        <row r="132">
          <cell r="C132" t="str">
            <v>EPDC</v>
          </cell>
          <cell r="R132">
            <v>42000</v>
          </cell>
          <cell r="AZ132">
            <v>-126000</v>
          </cell>
          <cell r="BA132">
            <v>-56075.450415165287</v>
          </cell>
          <cell r="BC132" t="str">
            <v>PLATINUM</v>
          </cell>
          <cell r="BE132" t="str">
            <v>Nov</v>
          </cell>
        </row>
        <row r="133">
          <cell r="C133" t="str">
            <v>EPDC</v>
          </cell>
          <cell r="R133">
            <v>42000</v>
          </cell>
          <cell r="AZ133">
            <v>-126000</v>
          </cell>
          <cell r="BA133">
            <v>-56075.450415165287</v>
          </cell>
          <cell r="BC133" t="str">
            <v>PLATINUM</v>
          </cell>
          <cell r="BE133" t="str">
            <v>Dec</v>
          </cell>
        </row>
        <row r="134">
          <cell r="C134" t="str">
            <v>EPDC</v>
          </cell>
          <cell r="R134">
            <v>0</v>
          </cell>
          <cell r="AZ134">
            <v>0</v>
          </cell>
          <cell r="BA134">
            <v>0</v>
          </cell>
          <cell r="BC134" t="str">
            <v>PLATINUM</v>
          </cell>
          <cell r="BE134" t="str">
            <v>Jan</v>
          </cell>
        </row>
        <row r="135">
          <cell r="C135" t="str">
            <v>EPDC</v>
          </cell>
          <cell r="R135">
            <v>0</v>
          </cell>
          <cell r="AZ135">
            <v>0</v>
          </cell>
          <cell r="BA135">
            <v>0</v>
          </cell>
          <cell r="BC135" t="str">
            <v>PLATINUM</v>
          </cell>
          <cell r="BE135" t="str">
            <v>Feb</v>
          </cell>
        </row>
        <row r="136">
          <cell r="C136" t="str">
            <v>EPDC</v>
          </cell>
          <cell r="R136">
            <v>0</v>
          </cell>
          <cell r="AZ136">
            <v>0</v>
          </cell>
          <cell r="BA136">
            <v>0</v>
          </cell>
          <cell r="BC136" t="str">
            <v>PLATINUM</v>
          </cell>
          <cell r="BE136" t="str">
            <v>Mar</v>
          </cell>
        </row>
        <row r="137">
          <cell r="C137" t="str">
            <v>EPDC</v>
          </cell>
          <cell r="R137">
            <v>0</v>
          </cell>
          <cell r="AZ137">
            <v>0</v>
          </cell>
          <cell r="BA137">
            <v>0</v>
          </cell>
          <cell r="BC137" t="str">
            <v>PLATINUM</v>
          </cell>
          <cell r="BE137" t="str">
            <v>Apr</v>
          </cell>
        </row>
        <row r="138">
          <cell r="C138" t="str">
            <v>EPDC</v>
          </cell>
          <cell r="R138">
            <v>0</v>
          </cell>
          <cell r="AZ138">
            <v>0</v>
          </cell>
          <cell r="BA138">
            <v>0</v>
          </cell>
          <cell r="BC138" t="str">
            <v>PLATINUM</v>
          </cell>
          <cell r="BE138" t="str">
            <v>May</v>
          </cell>
        </row>
        <row r="139">
          <cell r="C139" t="str">
            <v>EPDC</v>
          </cell>
          <cell r="R139">
            <v>28000</v>
          </cell>
          <cell r="AZ139">
            <v>-84000</v>
          </cell>
          <cell r="BA139">
            <v>-42139.93420021933</v>
          </cell>
          <cell r="BC139" t="str">
            <v>PLATINUM</v>
          </cell>
          <cell r="BE139" t="str">
            <v>Jun</v>
          </cell>
        </row>
        <row r="140">
          <cell r="C140" t="str">
            <v>EPDC</v>
          </cell>
          <cell r="R140">
            <v>28000</v>
          </cell>
          <cell r="AZ140">
            <v>-84000</v>
          </cell>
          <cell r="BA140">
            <v>-42139.93420021933</v>
          </cell>
          <cell r="BC140" t="str">
            <v>PLATINUM</v>
          </cell>
          <cell r="BE140" t="str">
            <v>Jul</v>
          </cell>
        </row>
        <row r="141">
          <cell r="C141" t="str">
            <v>EPDC</v>
          </cell>
          <cell r="R141">
            <v>28000</v>
          </cell>
          <cell r="AZ141">
            <v>-84000</v>
          </cell>
          <cell r="BA141">
            <v>-42139.93420021933</v>
          </cell>
          <cell r="BC141" t="str">
            <v>PLATINUM</v>
          </cell>
          <cell r="BE141" t="str">
            <v>Aug</v>
          </cell>
        </row>
        <row r="142">
          <cell r="C142" t="str">
            <v>EPDC</v>
          </cell>
          <cell r="R142">
            <v>28000</v>
          </cell>
          <cell r="AZ142">
            <v>-84000</v>
          </cell>
          <cell r="BA142">
            <v>-42139.93420021933</v>
          </cell>
          <cell r="BC142" t="str">
            <v>PLATINUM</v>
          </cell>
          <cell r="BE142" t="str">
            <v>Sep</v>
          </cell>
        </row>
        <row r="143">
          <cell r="C143" t="str">
            <v>EPDC</v>
          </cell>
          <cell r="R143">
            <v>28000</v>
          </cell>
          <cell r="AZ143">
            <v>-84000</v>
          </cell>
          <cell r="BA143">
            <v>-42139.93420021933</v>
          </cell>
          <cell r="BC143" t="str">
            <v>PLATINUM</v>
          </cell>
          <cell r="BE143" t="str">
            <v>Oct</v>
          </cell>
        </row>
        <row r="144">
          <cell r="C144" t="str">
            <v>EPDC</v>
          </cell>
          <cell r="R144">
            <v>28000</v>
          </cell>
          <cell r="AZ144">
            <v>-84000</v>
          </cell>
          <cell r="BA144">
            <v>-42139.93420021933</v>
          </cell>
          <cell r="BC144" t="str">
            <v>PLATINUM</v>
          </cell>
          <cell r="BE144" t="str">
            <v>Nov</v>
          </cell>
        </row>
        <row r="145">
          <cell r="C145" t="str">
            <v>EPDC</v>
          </cell>
          <cell r="R145">
            <v>28000</v>
          </cell>
          <cell r="AZ145">
            <v>-84000</v>
          </cell>
          <cell r="BA145">
            <v>-42139.93420021933</v>
          </cell>
          <cell r="BC145" t="str">
            <v>PLATINUM</v>
          </cell>
          <cell r="BE145" t="str">
            <v>Dec</v>
          </cell>
        </row>
        <row r="146">
          <cell r="C146" t="str">
            <v>Hokuriku</v>
          </cell>
          <cell r="R146">
            <v>0</v>
          </cell>
          <cell r="AZ146">
            <v>0</v>
          </cell>
          <cell r="BA146">
            <v>0</v>
          </cell>
          <cell r="BC146" t="str">
            <v>OTHERS</v>
          </cell>
          <cell r="BE146" t="str">
            <v>Jan</v>
          </cell>
        </row>
        <row r="147">
          <cell r="C147" t="str">
            <v>Hokuriku</v>
          </cell>
          <cell r="R147">
            <v>0</v>
          </cell>
          <cell r="AZ147">
            <v>0</v>
          </cell>
          <cell r="BA147">
            <v>0</v>
          </cell>
          <cell r="BC147" t="str">
            <v>OTHERS</v>
          </cell>
          <cell r="BE147" t="str">
            <v>Feb</v>
          </cell>
        </row>
        <row r="148">
          <cell r="C148" t="str">
            <v>Hokuriku</v>
          </cell>
          <cell r="R148">
            <v>0</v>
          </cell>
          <cell r="AZ148">
            <v>0</v>
          </cell>
          <cell r="BA148">
            <v>0</v>
          </cell>
          <cell r="BC148" t="str">
            <v>OTHERS</v>
          </cell>
          <cell r="BE148" t="str">
            <v>Mar</v>
          </cell>
        </row>
        <row r="149">
          <cell r="C149" t="str">
            <v>Hokuriku</v>
          </cell>
          <cell r="R149">
            <v>28000</v>
          </cell>
          <cell r="AZ149">
            <v>-98000</v>
          </cell>
          <cell r="BA149">
            <v>-43340.276073989764</v>
          </cell>
          <cell r="BC149" t="str">
            <v>OTHERS</v>
          </cell>
          <cell r="BE149" t="str">
            <v>Apr</v>
          </cell>
        </row>
        <row r="150">
          <cell r="C150" t="str">
            <v>Hokuriku</v>
          </cell>
          <cell r="R150">
            <v>0</v>
          </cell>
          <cell r="AZ150">
            <v>0</v>
          </cell>
          <cell r="BA150">
            <v>0</v>
          </cell>
          <cell r="BC150" t="str">
            <v>OTHERS</v>
          </cell>
          <cell r="BE150" t="str">
            <v>May</v>
          </cell>
        </row>
        <row r="151">
          <cell r="C151" t="str">
            <v>Hokuriku</v>
          </cell>
          <cell r="R151">
            <v>28000</v>
          </cell>
          <cell r="AZ151">
            <v>-98000</v>
          </cell>
          <cell r="BA151">
            <v>-43340.276073989764</v>
          </cell>
          <cell r="BC151" t="str">
            <v>OTHERS</v>
          </cell>
          <cell r="BE151" t="str">
            <v>Jun</v>
          </cell>
        </row>
        <row r="152">
          <cell r="C152" t="str">
            <v>Hokuriku</v>
          </cell>
          <cell r="R152">
            <v>0</v>
          </cell>
          <cell r="AZ152">
            <v>0</v>
          </cell>
          <cell r="BA152">
            <v>0</v>
          </cell>
          <cell r="BC152" t="str">
            <v>OTHERS</v>
          </cell>
          <cell r="BE152" t="str">
            <v>Jul</v>
          </cell>
        </row>
        <row r="153">
          <cell r="C153" t="str">
            <v>Hokuriku</v>
          </cell>
          <cell r="R153">
            <v>0</v>
          </cell>
          <cell r="AZ153">
            <v>0</v>
          </cell>
          <cell r="BA153">
            <v>0</v>
          </cell>
          <cell r="BC153" t="str">
            <v>OTHERS</v>
          </cell>
          <cell r="BE153" t="str">
            <v>Aug</v>
          </cell>
        </row>
        <row r="154">
          <cell r="C154" t="str">
            <v>Hokuriku</v>
          </cell>
          <cell r="R154">
            <v>0</v>
          </cell>
          <cell r="AZ154">
            <v>0</v>
          </cell>
          <cell r="BA154">
            <v>0</v>
          </cell>
          <cell r="BC154" t="str">
            <v>OTHERS</v>
          </cell>
          <cell r="BE154" t="str">
            <v>Sep</v>
          </cell>
        </row>
        <row r="155">
          <cell r="C155" t="str">
            <v>Hokuriku</v>
          </cell>
          <cell r="R155">
            <v>0</v>
          </cell>
          <cell r="AZ155">
            <v>0</v>
          </cell>
          <cell r="BA155">
            <v>0</v>
          </cell>
          <cell r="BC155" t="str">
            <v>OTHERS</v>
          </cell>
          <cell r="BE155" t="str">
            <v>Oct</v>
          </cell>
        </row>
        <row r="156">
          <cell r="C156" t="str">
            <v>Hokuriku</v>
          </cell>
          <cell r="R156">
            <v>0</v>
          </cell>
          <cell r="AZ156">
            <v>0</v>
          </cell>
          <cell r="BA156">
            <v>0</v>
          </cell>
          <cell r="BC156" t="str">
            <v>OTHERS</v>
          </cell>
          <cell r="BE156" t="str">
            <v>Nov</v>
          </cell>
        </row>
        <row r="157">
          <cell r="C157" t="str">
            <v>Hokuriku</v>
          </cell>
          <cell r="R157">
            <v>0</v>
          </cell>
          <cell r="AZ157">
            <v>0</v>
          </cell>
          <cell r="BA157">
            <v>0</v>
          </cell>
          <cell r="BC157" t="str">
            <v>OTHERS</v>
          </cell>
          <cell r="BE157" t="str">
            <v>Dec</v>
          </cell>
        </row>
        <row r="158">
          <cell r="C158" t="str">
            <v>Hokuriku</v>
          </cell>
          <cell r="R158">
            <v>0</v>
          </cell>
          <cell r="AZ158">
            <v>0</v>
          </cell>
          <cell r="BA158">
            <v>0</v>
          </cell>
          <cell r="BC158" t="str">
            <v>OTHERS</v>
          </cell>
          <cell r="BE158" t="str">
            <v>Jan</v>
          </cell>
        </row>
        <row r="159">
          <cell r="C159" t="str">
            <v>Hokuriku</v>
          </cell>
          <cell r="R159">
            <v>0</v>
          </cell>
          <cell r="AZ159">
            <v>0</v>
          </cell>
          <cell r="BA159">
            <v>0</v>
          </cell>
          <cell r="BC159" t="str">
            <v>OTHERS</v>
          </cell>
          <cell r="BE159" t="str">
            <v>Feb</v>
          </cell>
        </row>
        <row r="160">
          <cell r="C160" t="str">
            <v>Hokuriku</v>
          </cell>
          <cell r="R160">
            <v>0</v>
          </cell>
          <cell r="AZ160">
            <v>0</v>
          </cell>
          <cell r="BA160">
            <v>0</v>
          </cell>
          <cell r="BC160" t="str">
            <v>OTHERS</v>
          </cell>
          <cell r="BE160" t="str">
            <v>Mar</v>
          </cell>
        </row>
        <row r="161">
          <cell r="C161" t="str">
            <v>Hokuriku</v>
          </cell>
          <cell r="R161">
            <v>42000</v>
          </cell>
          <cell r="AZ161">
            <v>-147000</v>
          </cell>
          <cell r="BA161">
            <v>-74209.271755701862</v>
          </cell>
          <cell r="BC161" t="str">
            <v>OTHERS</v>
          </cell>
          <cell r="BE161" t="str">
            <v>Apr</v>
          </cell>
        </row>
        <row r="162">
          <cell r="C162" t="str">
            <v>Hokuriku</v>
          </cell>
          <cell r="R162">
            <v>0</v>
          </cell>
          <cell r="AZ162">
            <v>0</v>
          </cell>
          <cell r="BA162">
            <v>0</v>
          </cell>
          <cell r="BC162" t="str">
            <v>OTHERS</v>
          </cell>
          <cell r="BE162" t="str">
            <v>May</v>
          </cell>
        </row>
        <row r="163">
          <cell r="C163" t="str">
            <v>Hokuriku</v>
          </cell>
          <cell r="R163">
            <v>42000</v>
          </cell>
          <cell r="AZ163">
            <v>-147000</v>
          </cell>
          <cell r="BA163">
            <v>-74209.271755701862</v>
          </cell>
          <cell r="BC163" t="str">
            <v>OTHERS</v>
          </cell>
          <cell r="BE163" t="str">
            <v>Jun</v>
          </cell>
        </row>
        <row r="164">
          <cell r="C164" t="str">
            <v>Hokuriku</v>
          </cell>
          <cell r="R164">
            <v>0</v>
          </cell>
          <cell r="AZ164">
            <v>0</v>
          </cell>
          <cell r="BA164">
            <v>0</v>
          </cell>
          <cell r="BC164" t="str">
            <v>OTHERS</v>
          </cell>
          <cell r="BE164" t="str">
            <v>Jul</v>
          </cell>
        </row>
        <row r="165">
          <cell r="C165" t="str">
            <v>Hokuriku</v>
          </cell>
          <cell r="R165">
            <v>0</v>
          </cell>
          <cell r="AZ165">
            <v>0</v>
          </cell>
          <cell r="BA165">
            <v>0</v>
          </cell>
          <cell r="BC165" t="str">
            <v>OTHERS</v>
          </cell>
          <cell r="BE165" t="str">
            <v>Aug</v>
          </cell>
        </row>
        <row r="166">
          <cell r="C166" t="str">
            <v>Hokuriku</v>
          </cell>
          <cell r="R166">
            <v>0</v>
          </cell>
          <cell r="AZ166">
            <v>0</v>
          </cell>
          <cell r="BA166">
            <v>0</v>
          </cell>
          <cell r="BC166" t="str">
            <v>OTHERS</v>
          </cell>
          <cell r="BE166" t="str">
            <v>Sep</v>
          </cell>
        </row>
        <row r="167">
          <cell r="C167" t="str">
            <v>Hokuriku</v>
          </cell>
          <cell r="R167">
            <v>0</v>
          </cell>
          <cell r="AZ167">
            <v>0</v>
          </cell>
          <cell r="BA167">
            <v>0</v>
          </cell>
          <cell r="BC167" t="str">
            <v>OTHERS</v>
          </cell>
          <cell r="BE167" t="str">
            <v>Oct</v>
          </cell>
        </row>
        <row r="168">
          <cell r="C168" t="str">
            <v>Hokuriku</v>
          </cell>
          <cell r="R168">
            <v>0</v>
          </cell>
          <cell r="AZ168">
            <v>0</v>
          </cell>
          <cell r="BA168">
            <v>0</v>
          </cell>
          <cell r="BC168" t="str">
            <v>OTHERS</v>
          </cell>
          <cell r="BE168" t="str">
            <v>Nov</v>
          </cell>
        </row>
        <row r="169">
          <cell r="C169" t="str">
            <v>Hokuriku</v>
          </cell>
          <cell r="R169">
            <v>0</v>
          </cell>
          <cell r="AZ169">
            <v>0</v>
          </cell>
          <cell r="BA169">
            <v>0</v>
          </cell>
          <cell r="BC169" t="str">
            <v>OTHERS</v>
          </cell>
          <cell r="BE169" t="str">
            <v>Dec</v>
          </cell>
        </row>
        <row r="170">
          <cell r="C170" t="str">
            <v>Hokuriku</v>
          </cell>
          <cell r="R170">
            <v>0</v>
          </cell>
          <cell r="AZ170">
            <v>0</v>
          </cell>
          <cell r="BA170">
            <v>0</v>
          </cell>
          <cell r="BC170" t="str">
            <v>OTHERS</v>
          </cell>
          <cell r="BE170" t="str">
            <v>Jan</v>
          </cell>
        </row>
        <row r="171">
          <cell r="C171" t="str">
            <v>Hokuriku</v>
          </cell>
          <cell r="R171">
            <v>0</v>
          </cell>
          <cell r="AZ171">
            <v>0</v>
          </cell>
          <cell r="BA171">
            <v>0</v>
          </cell>
          <cell r="BC171" t="str">
            <v>OTHERS</v>
          </cell>
          <cell r="BE171" t="str">
            <v>Feb</v>
          </cell>
        </row>
        <row r="172">
          <cell r="C172" t="str">
            <v>Hokuriku</v>
          </cell>
          <cell r="R172">
            <v>0</v>
          </cell>
          <cell r="AZ172">
            <v>0</v>
          </cell>
          <cell r="BA172">
            <v>0</v>
          </cell>
          <cell r="BC172" t="str">
            <v>OTHERS</v>
          </cell>
          <cell r="BE172" t="str">
            <v>Mar</v>
          </cell>
        </row>
        <row r="173">
          <cell r="C173" t="str">
            <v>Hokuriku</v>
          </cell>
          <cell r="R173">
            <v>0</v>
          </cell>
          <cell r="AZ173">
            <v>0</v>
          </cell>
          <cell r="BA173">
            <v>0</v>
          </cell>
          <cell r="BC173" t="str">
            <v>OTHERS</v>
          </cell>
          <cell r="BE173" t="str">
            <v>Apr</v>
          </cell>
        </row>
        <row r="174">
          <cell r="C174" t="str">
            <v>Hokuriku</v>
          </cell>
          <cell r="R174">
            <v>0</v>
          </cell>
          <cell r="AZ174">
            <v>0</v>
          </cell>
          <cell r="BA174">
            <v>0</v>
          </cell>
          <cell r="BC174" t="str">
            <v>OTHERS</v>
          </cell>
          <cell r="BE174" t="str">
            <v>May</v>
          </cell>
        </row>
        <row r="175">
          <cell r="C175" t="str">
            <v>Hokuriku</v>
          </cell>
          <cell r="R175">
            <v>0</v>
          </cell>
          <cell r="AZ175">
            <v>0</v>
          </cell>
          <cell r="BA175">
            <v>0</v>
          </cell>
          <cell r="BC175" t="str">
            <v>OTHERS</v>
          </cell>
          <cell r="BE175" t="str">
            <v>Jun</v>
          </cell>
        </row>
        <row r="176">
          <cell r="C176" t="str">
            <v>Hokuriku</v>
          </cell>
          <cell r="R176">
            <v>0</v>
          </cell>
          <cell r="AZ176">
            <v>0</v>
          </cell>
          <cell r="BA176">
            <v>0</v>
          </cell>
          <cell r="BC176" t="str">
            <v>OTHERS</v>
          </cell>
          <cell r="BE176" t="str">
            <v>Jul</v>
          </cell>
        </row>
        <row r="177">
          <cell r="C177" t="str">
            <v>Hokuriku</v>
          </cell>
          <cell r="R177">
            <v>0</v>
          </cell>
          <cell r="AZ177">
            <v>0</v>
          </cell>
          <cell r="BA177">
            <v>0</v>
          </cell>
          <cell r="BC177" t="str">
            <v>OTHERS</v>
          </cell>
          <cell r="BE177" t="str">
            <v>Aug</v>
          </cell>
        </row>
        <row r="178">
          <cell r="C178" t="str">
            <v>Hokuriku</v>
          </cell>
          <cell r="R178">
            <v>0</v>
          </cell>
          <cell r="AZ178">
            <v>0</v>
          </cell>
          <cell r="BA178">
            <v>0</v>
          </cell>
          <cell r="BC178" t="str">
            <v>OTHERS</v>
          </cell>
          <cell r="BE178" t="str">
            <v>Sep</v>
          </cell>
        </row>
        <row r="179">
          <cell r="C179" t="str">
            <v>Hokuriku</v>
          </cell>
          <cell r="R179">
            <v>28000</v>
          </cell>
          <cell r="AZ179">
            <v>-98000</v>
          </cell>
          <cell r="BA179">
            <v>-40582.200789127572</v>
          </cell>
          <cell r="BC179" t="str">
            <v>OTHERS</v>
          </cell>
          <cell r="BE179" t="str">
            <v>Oct</v>
          </cell>
        </row>
        <row r="180">
          <cell r="C180" t="str">
            <v>Hokuriku</v>
          </cell>
          <cell r="R180">
            <v>0</v>
          </cell>
          <cell r="AZ180">
            <v>0</v>
          </cell>
          <cell r="BA180">
            <v>0</v>
          </cell>
          <cell r="BC180" t="str">
            <v>OTHERS</v>
          </cell>
          <cell r="BE180" t="str">
            <v>Nov</v>
          </cell>
        </row>
        <row r="181">
          <cell r="C181" t="str">
            <v>Hokuriku</v>
          </cell>
          <cell r="R181">
            <v>0</v>
          </cell>
          <cell r="AZ181">
            <v>0</v>
          </cell>
          <cell r="BA181">
            <v>0</v>
          </cell>
          <cell r="BC181" t="str">
            <v>OTHERS</v>
          </cell>
          <cell r="BE181" t="str">
            <v>Dec</v>
          </cell>
        </row>
        <row r="182">
          <cell r="C182" t="str">
            <v>Hokuriku</v>
          </cell>
          <cell r="R182">
            <v>0</v>
          </cell>
          <cell r="AZ182">
            <v>0</v>
          </cell>
          <cell r="BA182">
            <v>0</v>
          </cell>
          <cell r="BC182" t="str">
            <v>OTHERS</v>
          </cell>
          <cell r="BE182" t="str">
            <v>Jan</v>
          </cell>
        </row>
        <row r="183">
          <cell r="C183" t="str">
            <v>Hokuriku</v>
          </cell>
          <cell r="R183">
            <v>0</v>
          </cell>
          <cell r="AZ183">
            <v>0</v>
          </cell>
          <cell r="BA183">
            <v>0</v>
          </cell>
          <cell r="BC183" t="str">
            <v>OTHERS</v>
          </cell>
          <cell r="BE183" t="str">
            <v>Feb</v>
          </cell>
        </row>
        <row r="184">
          <cell r="C184" t="str">
            <v>Hokuriku</v>
          </cell>
          <cell r="R184">
            <v>0</v>
          </cell>
          <cell r="AZ184">
            <v>0</v>
          </cell>
          <cell r="BA184">
            <v>0</v>
          </cell>
          <cell r="BC184" t="str">
            <v>OTHERS</v>
          </cell>
          <cell r="BE184" t="str">
            <v>Mar</v>
          </cell>
        </row>
        <row r="185">
          <cell r="C185" t="str">
            <v>Hokuriku</v>
          </cell>
          <cell r="R185">
            <v>0</v>
          </cell>
          <cell r="AZ185">
            <v>0</v>
          </cell>
          <cell r="BA185">
            <v>0</v>
          </cell>
          <cell r="BC185" t="str">
            <v>OTHERS</v>
          </cell>
          <cell r="BE185" t="str">
            <v>Apr</v>
          </cell>
        </row>
        <row r="186">
          <cell r="C186" t="str">
            <v>Hokuriku</v>
          </cell>
          <cell r="R186">
            <v>0</v>
          </cell>
          <cell r="AZ186">
            <v>0</v>
          </cell>
          <cell r="BA186">
            <v>0</v>
          </cell>
          <cell r="BC186" t="str">
            <v>OTHERS</v>
          </cell>
          <cell r="BE186" t="str">
            <v>May</v>
          </cell>
        </row>
        <row r="187">
          <cell r="C187" t="str">
            <v>Hokuriku</v>
          </cell>
          <cell r="R187">
            <v>0</v>
          </cell>
          <cell r="AZ187">
            <v>0</v>
          </cell>
          <cell r="BA187">
            <v>0</v>
          </cell>
          <cell r="BC187" t="str">
            <v>OTHERS</v>
          </cell>
          <cell r="BE187" t="str">
            <v>Jun</v>
          </cell>
        </row>
        <row r="188">
          <cell r="C188" t="str">
            <v>Hokuriku</v>
          </cell>
          <cell r="R188">
            <v>0</v>
          </cell>
          <cell r="AZ188">
            <v>0</v>
          </cell>
          <cell r="BA188">
            <v>0</v>
          </cell>
          <cell r="BC188" t="str">
            <v>OTHERS</v>
          </cell>
          <cell r="BE188" t="str">
            <v>Jul</v>
          </cell>
        </row>
        <row r="189">
          <cell r="C189" t="str">
            <v>Hokuriku</v>
          </cell>
          <cell r="R189">
            <v>0</v>
          </cell>
          <cell r="AZ189">
            <v>0</v>
          </cell>
          <cell r="BA189">
            <v>0</v>
          </cell>
          <cell r="BC189" t="str">
            <v>OTHERS</v>
          </cell>
          <cell r="BE189" t="str">
            <v>Aug</v>
          </cell>
        </row>
        <row r="190">
          <cell r="C190" t="str">
            <v>Hokuriku</v>
          </cell>
          <cell r="R190">
            <v>0</v>
          </cell>
          <cell r="AZ190">
            <v>0</v>
          </cell>
          <cell r="BA190">
            <v>0</v>
          </cell>
          <cell r="BC190" t="str">
            <v>OTHERS</v>
          </cell>
          <cell r="BE190" t="str">
            <v>Sep</v>
          </cell>
        </row>
        <row r="191">
          <cell r="C191" t="str">
            <v>Hokuriku</v>
          </cell>
          <cell r="R191">
            <v>42000</v>
          </cell>
          <cell r="AZ191">
            <v>-147000</v>
          </cell>
          <cell r="BA191">
            <v>-69486.76472811382</v>
          </cell>
          <cell r="BC191" t="str">
            <v>OTHERS</v>
          </cell>
          <cell r="BE191" t="str">
            <v>Oct</v>
          </cell>
        </row>
        <row r="192">
          <cell r="C192" t="str">
            <v>Hokuriku</v>
          </cell>
          <cell r="R192">
            <v>0</v>
          </cell>
          <cell r="AZ192">
            <v>0</v>
          </cell>
          <cell r="BA192">
            <v>0</v>
          </cell>
          <cell r="BC192" t="str">
            <v>OTHERS</v>
          </cell>
          <cell r="BE192" t="str">
            <v>Nov</v>
          </cell>
        </row>
        <row r="193">
          <cell r="C193" t="str">
            <v>Hokuriku</v>
          </cell>
          <cell r="R193">
            <v>0</v>
          </cell>
          <cell r="AZ193">
            <v>0</v>
          </cell>
          <cell r="BA193">
            <v>0</v>
          </cell>
          <cell r="BC193" t="str">
            <v>OTHERS</v>
          </cell>
          <cell r="BE193" t="str">
            <v>Dec</v>
          </cell>
        </row>
        <row r="194">
          <cell r="C194" t="str">
            <v>Joban JP</v>
          </cell>
          <cell r="R194">
            <v>36000</v>
          </cell>
          <cell r="AZ194">
            <v>-18000</v>
          </cell>
          <cell r="BA194">
            <v>-50418.235454830741</v>
          </cell>
          <cell r="BC194" t="str">
            <v>OTHERS</v>
          </cell>
          <cell r="BE194" t="str">
            <v>Jan</v>
          </cell>
        </row>
        <row r="195">
          <cell r="C195" t="str">
            <v>Joban JP</v>
          </cell>
          <cell r="R195">
            <v>0</v>
          </cell>
          <cell r="AZ195">
            <v>0</v>
          </cell>
          <cell r="BA195">
            <v>0</v>
          </cell>
          <cell r="BC195" t="str">
            <v>OTHERS</v>
          </cell>
          <cell r="BE195" t="str">
            <v>Feb</v>
          </cell>
        </row>
        <row r="196">
          <cell r="C196" t="str">
            <v>Joban JP</v>
          </cell>
          <cell r="R196">
            <v>0</v>
          </cell>
          <cell r="AZ196">
            <v>0</v>
          </cell>
          <cell r="BA196">
            <v>0</v>
          </cell>
          <cell r="BC196" t="str">
            <v>OTHERS</v>
          </cell>
          <cell r="BE196" t="str">
            <v>Mar</v>
          </cell>
        </row>
        <row r="197">
          <cell r="C197" t="str">
            <v>Joban JP</v>
          </cell>
          <cell r="R197">
            <v>36000</v>
          </cell>
          <cell r="AZ197">
            <v>-18000</v>
          </cell>
          <cell r="BA197">
            <v>-50418.235454830741</v>
          </cell>
          <cell r="BC197" t="str">
            <v>OTHERS</v>
          </cell>
          <cell r="BE197" t="str">
            <v>Apr</v>
          </cell>
        </row>
        <row r="198">
          <cell r="C198" t="str">
            <v>Joban JP</v>
          </cell>
          <cell r="R198">
            <v>0</v>
          </cell>
          <cell r="AZ198">
            <v>0</v>
          </cell>
          <cell r="BA198">
            <v>0</v>
          </cell>
          <cell r="BC198" t="str">
            <v>OTHERS</v>
          </cell>
          <cell r="BE198" t="str">
            <v>May</v>
          </cell>
        </row>
        <row r="199">
          <cell r="C199" t="str">
            <v>Joban JP</v>
          </cell>
          <cell r="R199">
            <v>0</v>
          </cell>
          <cell r="AZ199">
            <v>0</v>
          </cell>
          <cell r="BA199">
            <v>0</v>
          </cell>
          <cell r="BC199" t="str">
            <v>OTHERS</v>
          </cell>
          <cell r="BE199" t="str">
            <v>Jun</v>
          </cell>
        </row>
        <row r="200">
          <cell r="C200" t="str">
            <v>Joban JP</v>
          </cell>
          <cell r="R200">
            <v>36000</v>
          </cell>
          <cell r="AZ200">
            <v>-18000</v>
          </cell>
          <cell r="BA200">
            <v>-50418.235454830741</v>
          </cell>
          <cell r="BC200" t="str">
            <v>OTHERS</v>
          </cell>
          <cell r="BE200" t="str">
            <v>Jul</v>
          </cell>
        </row>
        <row r="201">
          <cell r="C201" t="str">
            <v>Joban JP</v>
          </cell>
          <cell r="R201">
            <v>0</v>
          </cell>
          <cell r="AZ201">
            <v>0</v>
          </cell>
          <cell r="BA201">
            <v>0</v>
          </cell>
          <cell r="BC201" t="str">
            <v>OTHERS</v>
          </cell>
          <cell r="BE201" t="str">
            <v>Aug</v>
          </cell>
        </row>
        <row r="202">
          <cell r="C202" t="str">
            <v>Joban JP</v>
          </cell>
          <cell r="R202">
            <v>36000</v>
          </cell>
          <cell r="AZ202">
            <v>-18000</v>
          </cell>
          <cell r="BA202">
            <v>-50418.235454830741</v>
          </cell>
          <cell r="BC202" t="str">
            <v>OTHERS</v>
          </cell>
          <cell r="BE202" t="str">
            <v>Sep</v>
          </cell>
        </row>
        <row r="203">
          <cell r="C203" t="str">
            <v>Joban JP</v>
          </cell>
          <cell r="R203">
            <v>0</v>
          </cell>
          <cell r="AZ203">
            <v>0</v>
          </cell>
          <cell r="BA203">
            <v>0</v>
          </cell>
          <cell r="BC203" t="str">
            <v>OTHERS</v>
          </cell>
          <cell r="BE203" t="str">
            <v>Oct</v>
          </cell>
        </row>
        <row r="204">
          <cell r="C204" t="str">
            <v>Joban JP</v>
          </cell>
          <cell r="R204">
            <v>0</v>
          </cell>
          <cell r="AZ204">
            <v>0</v>
          </cell>
          <cell r="BA204">
            <v>0</v>
          </cell>
          <cell r="BC204" t="str">
            <v>OTHERS</v>
          </cell>
          <cell r="BE204" t="str">
            <v>Nov</v>
          </cell>
        </row>
        <row r="205">
          <cell r="C205" t="str">
            <v>Joban JP</v>
          </cell>
          <cell r="R205">
            <v>0</v>
          </cell>
          <cell r="AZ205">
            <v>0</v>
          </cell>
          <cell r="BA205">
            <v>0</v>
          </cell>
          <cell r="BC205" t="str">
            <v>OTHERS</v>
          </cell>
          <cell r="BE205" t="str">
            <v>Dec</v>
          </cell>
        </row>
        <row r="206">
          <cell r="C206" t="str">
            <v>Joban JP</v>
          </cell>
          <cell r="R206">
            <v>24000</v>
          </cell>
          <cell r="AZ206">
            <v>-12000</v>
          </cell>
          <cell r="BA206">
            <v>-37888.614515401932</v>
          </cell>
          <cell r="BC206" t="str">
            <v>OTHERS</v>
          </cell>
          <cell r="BE206" t="str">
            <v>Jan</v>
          </cell>
        </row>
        <row r="207">
          <cell r="C207" t="str">
            <v>Joban JP</v>
          </cell>
          <cell r="R207">
            <v>0</v>
          </cell>
          <cell r="AZ207">
            <v>0</v>
          </cell>
          <cell r="BA207">
            <v>0</v>
          </cell>
          <cell r="BC207" t="str">
            <v>OTHERS</v>
          </cell>
          <cell r="BE207" t="str">
            <v>Feb</v>
          </cell>
        </row>
        <row r="208">
          <cell r="C208" t="str">
            <v>Joban JP</v>
          </cell>
          <cell r="R208">
            <v>0</v>
          </cell>
          <cell r="AZ208">
            <v>0</v>
          </cell>
          <cell r="BA208">
            <v>0</v>
          </cell>
          <cell r="BC208" t="str">
            <v>OTHERS</v>
          </cell>
          <cell r="BE208" t="str">
            <v>Mar</v>
          </cell>
        </row>
        <row r="209">
          <cell r="C209" t="str">
            <v>Joban JP</v>
          </cell>
          <cell r="R209">
            <v>24000</v>
          </cell>
          <cell r="AZ209">
            <v>-12000</v>
          </cell>
          <cell r="BA209">
            <v>-37888.614515401932</v>
          </cell>
          <cell r="BC209" t="str">
            <v>OTHERS</v>
          </cell>
          <cell r="BE209" t="str">
            <v>Apr</v>
          </cell>
        </row>
        <row r="210">
          <cell r="C210" t="str">
            <v>Joban JP</v>
          </cell>
          <cell r="R210">
            <v>0</v>
          </cell>
          <cell r="AZ210">
            <v>0</v>
          </cell>
          <cell r="BA210">
            <v>0</v>
          </cell>
          <cell r="BC210" t="str">
            <v>OTHERS</v>
          </cell>
          <cell r="BE210" t="str">
            <v>May</v>
          </cell>
        </row>
        <row r="211">
          <cell r="C211" t="str">
            <v>Joban JP</v>
          </cell>
          <cell r="R211">
            <v>0</v>
          </cell>
          <cell r="AZ211">
            <v>0</v>
          </cell>
          <cell r="BA211">
            <v>0</v>
          </cell>
          <cell r="BC211" t="str">
            <v>OTHERS</v>
          </cell>
          <cell r="BE211" t="str">
            <v>Jun</v>
          </cell>
        </row>
        <row r="212">
          <cell r="C212" t="str">
            <v>Joban JP</v>
          </cell>
          <cell r="R212">
            <v>24000</v>
          </cell>
          <cell r="AZ212">
            <v>-12000</v>
          </cell>
          <cell r="BA212">
            <v>-37888.614515401932</v>
          </cell>
          <cell r="BC212" t="str">
            <v>OTHERS</v>
          </cell>
          <cell r="BE212" t="str">
            <v>Jul</v>
          </cell>
        </row>
        <row r="213">
          <cell r="C213" t="str">
            <v>Joban JP</v>
          </cell>
          <cell r="R213">
            <v>0</v>
          </cell>
          <cell r="AZ213">
            <v>0</v>
          </cell>
          <cell r="BA213">
            <v>0</v>
          </cell>
          <cell r="BC213" t="str">
            <v>OTHERS</v>
          </cell>
          <cell r="BE213" t="str">
            <v>Aug</v>
          </cell>
        </row>
        <row r="214">
          <cell r="C214" t="str">
            <v>Joban JP</v>
          </cell>
          <cell r="R214">
            <v>24000</v>
          </cell>
          <cell r="AZ214">
            <v>-12000</v>
          </cell>
          <cell r="BA214">
            <v>-37888.614515401932</v>
          </cell>
          <cell r="BC214" t="str">
            <v>OTHERS</v>
          </cell>
          <cell r="BE214" t="str">
            <v>Sep</v>
          </cell>
        </row>
        <row r="215">
          <cell r="C215" t="str">
            <v>Joban JP</v>
          </cell>
          <cell r="R215">
            <v>0</v>
          </cell>
          <cell r="AZ215">
            <v>0</v>
          </cell>
          <cell r="BA215">
            <v>0</v>
          </cell>
          <cell r="BC215" t="str">
            <v>OTHERS</v>
          </cell>
          <cell r="BE215" t="str">
            <v>Oct</v>
          </cell>
        </row>
        <row r="216">
          <cell r="C216" t="str">
            <v>Joban JP</v>
          </cell>
          <cell r="R216">
            <v>0</v>
          </cell>
          <cell r="AZ216">
            <v>0</v>
          </cell>
          <cell r="BA216">
            <v>0</v>
          </cell>
          <cell r="BC216" t="str">
            <v>OTHERS</v>
          </cell>
          <cell r="BE216" t="str">
            <v>Nov</v>
          </cell>
        </row>
        <row r="217">
          <cell r="C217" t="str">
            <v>Joban JP</v>
          </cell>
          <cell r="R217">
            <v>0</v>
          </cell>
          <cell r="AZ217">
            <v>0</v>
          </cell>
          <cell r="BA217">
            <v>0</v>
          </cell>
          <cell r="BC217" t="str">
            <v>OTHERS</v>
          </cell>
          <cell r="BE217" t="str">
            <v>Dec</v>
          </cell>
        </row>
        <row r="218">
          <cell r="C218" t="str">
            <v>Joban JP</v>
          </cell>
          <cell r="R218">
            <v>0</v>
          </cell>
          <cell r="AZ218">
            <v>0</v>
          </cell>
          <cell r="BA218">
            <v>0</v>
          </cell>
          <cell r="BC218" t="str">
            <v>OTHERS</v>
          </cell>
          <cell r="BE218" t="str">
            <v>Jan</v>
          </cell>
        </row>
        <row r="219">
          <cell r="C219" t="str">
            <v>Joban JP</v>
          </cell>
          <cell r="R219">
            <v>0</v>
          </cell>
          <cell r="AZ219">
            <v>0</v>
          </cell>
          <cell r="BA219">
            <v>0</v>
          </cell>
          <cell r="BC219" t="str">
            <v>OTHERS</v>
          </cell>
          <cell r="BE219" t="str">
            <v>Feb</v>
          </cell>
        </row>
        <row r="220">
          <cell r="C220" t="str">
            <v>Joban JP</v>
          </cell>
          <cell r="R220">
            <v>0</v>
          </cell>
          <cell r="AZ220">
            <v>0</v>
          </cell>
          <cell r="BA220">
            <v>0</v>
          </cell>
          <cell r="BC220" t="str">
            <v>OTHERS</v>
          </cell>
          <cell r="BE220" t="str">
            <v>Mar</v>
          </cell>
        </row>
        <row r="221">
          <cell r="C221" t="str">
            <v>Joban JP</v>
          </cell>
          <cell r="R221">
            <v>0</v>
          </cell>
          <cell r="AZ221">
            <v>0</v>
          </cell>
          <cell r="BA221">
            <v>0</v>
          </cell>
          <cell r="BC221" t="str">
            <v>OTHERS</v>
          </cell>
          <cell r="BE221" t="str">
            <v>Apr</v>
          </cell>
        </row>
        <row r="222">
          <cell r="C222" t="str">
            <v>Joban JP</v>
          </cell>
          <cell r="R222">
            <v>0</v>
          </cell>
          <cell r="AZ222">
            <v>0</v>
          </cell>
          <cell r="BA222">
            <v>0</v>
          </cell>
          <cell r="BC222" t="str">
            <v>OTHERS</v>
          </cell>
          <cell r="BE222" t="str">
            <v>May</v>
          </cell>
        </row>
        <row r="223">
          <cell r="C223" t="str">
            <v>Joban JP</v>
          </cell>
          <cell r="R223">
            <v>0</v>
          </cell>
          <cell r="AZ223">
            <v>0</v>
          </cell>
          <cell r="BA223">
            <v>0</v>
          </cell>
          <cell r="BC223" t="str">
            <v>OTHERS</v>
          </cell>
          <cell r="BE223" t="str">
            <v>Jun</v>
          </cell>
        </row>
        <row r="224">
          <cell r="C224" t="str">
            <v>Joban JP</v>
          </cell>
          <cell r="R224">
            <v>0</v>
          </cell>
          <cell r="AZ224">
            <v>0</v>
          </cell>
          <cell r="BA224">
            <v>0</v>
          </cell>
          <cell r="BC224" t="str">
            <v>OTHERS</v>
          </cell>
          <cell r="BE224" t="str">
            <v>Jul</v>
          </cell>
        </row>
        <row r="225">
          <cell r="C225" t="str">
            <v>Joban JP</v>
          </cell>
          <cell r="R225">
            <v>0</v>
          </cell>
          <cell r="AZ225">
            <v>0</v>
          </cell>
          <cell r="BA225">
            <v>0</v>
          </cell>
          <cell r="BC225" t="str">
            <v>OTHERS</v>
          </cell>
          <cell r="BE225" t="str">
            <v>Aug</v>
          </cell>
        </row>
        <row r="226">
          <cell r="C226" t="str">
            <v>Joban JP</v>
          </cell>
          <cell r="R226">
            <v>0</v>
          </cell>
          <cell r="AZ226">
            <v>0</v>
          </cell>
          <cell r="BA226">
            <v>0</v>
          </cell>
          <cell r="BC226" t="str">
            <v>OTHERS</v>
          </cell>
          <cell r="BE226" t="str">
            <v>Sep</v>
          </cell>
        </row>
        <row r="227">
          <cell r="C227" t="str">
            <v>Joban JP</v>
          </cell>
          <cell r="R227">
            <v>0</v>
          </cell>
          <cell r="AZ227">
            <v>0</v>
          </cell>
          <cell r="BA227">
            <v>0</v>
          </cell>
          <cell r="BC227" t="str">
            <v>OTHERS</v>
          </cell>
          <cell r="BE227" t="str">
            <v>Oct</v>
          </cell>
        </row>
        <row r="228">
          <cell r="C228" t="str">
            <v>Joban JP</v>
          </cell>
          <cell r="R228">
            <v>0</v>
          </cell>
          <cell r="AZ228">
            <v>0</v>
          </cell>
          <cell r="BA228">
            <v>0</v>
          </cell>
          <cell r="BC228" t="str">
            <v>OTHERS</v>
          </cell>
          <cell r="BE228" t="str">
            <v>Nov</v>
          </cell>
        </row>
        <row r="229">
          <cell r="C229" t="str">
            <v>Joban JP</v>
          </cell>
          <cell r="R229">
            <v>0</v>
          </cell>
          <cell r="AZ229">
            <v>0</v>
          </cell>
          <cell r="BA229">
            <v>0</v>
          </cell>
          <cell r="BC229" t="str">
            <v>OTHERS</v>
          </cell>
          <cell r="BE229" t="str">
            <v>Dec</v>
          </cell>
        </row>
        <row r="230">
          <cell r="C230" t="str">
            <v>Joban JP</v>
          </cell>
          <cell r="R230">
            <v>0</v>
          </cell>
          <cell r="AZ230">
            <v>0</v>
          </cell>
          <cell r="BA230">
            <v>0</v>
          </cell>
          <cell r="BC230" t="str">
            <v>OTHERS</v>
          </cell>
          <cell r="BE230" t="str">
            <v>Jan</v>
          </cell>
        </row>
        <row r="231">
          <cell r="C231" t="str">
            <v>Joban JP</v>
          </cell>
          <cell r="R231">
            <v>60000</v>
          </cell>
          <cell r="AZ231">
            <v>-30000</v>
          </cell>
          <cell r="BA231">
            <v>-44153.42498511634</v>
          </cell>
          <cell r="BC231" t="str">
            <v>OTHERS</v>
          </cell>
          <cell r="BE231" t="str">
            <v>Feb</v>
          </cell>
        </row>
        <row r="232">
          <cell r="C232" t="str">
            <v>Joban JP</v>
          </cell>
          <cell r="R232">
            <v>0</v>
          </cell>
          <cell r="AZ232">
            <v>0</v>
          </cell>
          <cell r="BA232">
            <v>0</v>
          </cell>
          <cell r="BC232" t="str">
            <v>OTHERS</v>
          </cell>
          <cell r="BE232" t="str">
            <v>Mar</v>
          </cell>
        </row>
        <row r="233">
          <cell r="C233" t="str">
            <v>Joban JP</v>
          </cell>
          <cell r="R233">
            <v>0</v>
          </cell>
          <cell r="AZ233">
            <v>0</v>
          </cell>
          <cell r="BA233">
            <v>0</v>
          </cell>
          <cell r="BC233" t="str">
            <v>OTHERS</v>
          </cell>
          <cell r="BE233" t="str">
            <v>Apr</v>
          </cell>
        </row>
        <row r="234">
          <cell r="C234" t="str">
            <v>Joban JP</v>
          </cell>
          <cell r="R234">
            <v>0</v>
          </cell>
          <cell r="AZ234">
            <v>0</v>
          </cell>
          <cell r="BA234">
            <v>0</v>
          </cell>
          <cell r="BC234" t="str">
            <v>OTHERS</v>
          </cell>
          <cell r="BE234" t="str">
            <v>May</v>
          </cell>
        </row>
        <row r="235">
          <cell r="C235" t="str">
            <v>Joban JP</v>
          </cell>
          <cell r="R235">
            <v>0</v>
          </cell>
          <cell r="AZ235">
            <v>0</v>
          </cell>
          <cell r="BA235">
            <v>0</v>
          </cell>
          <cell r="BC235" t="str">
            <v>OTHERS</v>
          </cell>
          <cell r="BE235" t="str">
            <v>Jun</v>
          </cell>
        </row>
        <row r="236">
          <cell r="C236" t="str">
            <v>Joban JP</v>
          </cell>
          <cell r="R236">
            <v>0</v>
          </cell>
          <cell r="AZ236">
            <v>0</v>
          </cell>
          <cell r="BA236">
            <v>0</v>
          </cell>
          <cell r="BC236" t="str">
            <v>OTHERS</v>
          </cell>
          <cell r="BE236" t="str">
            <v>Jul</v>
          </cell>
        </row>
        <row r="237">
          <cell r="C237" t="str">
            <v>Joban JP</v>
          </cell>
          <cell r="R237">
            <v>0</v>
          </cell>
          <cell r="AZ237">
            <v>0</v>
          </cell>
          <cell r="BA237">
            <v>0</v>
          </cell>
          <cell r="BC237" t="str">
            <v>OTHERS</v>
          </cell>
          <cell r="BE237" t="str">
            <v>Aug</v>
          </cell>
        </row>
        <row r="238">
          <cell r="C238" t="str">
            <v>Joban JP</v>
          </cell>
          <cell r="R238">
            <v>0</v>
          </cell>
          <cell r="AZ238">
            <v>0</v>
          </cell>
          <cell r="BA238">
            <v>0</v>
          </cell>
          <cell r="BC238" t="str">
            <v>OTHERS</v>
          </cell>
          <cell r="BE238" t="str">
            <v>Sep</v>
          </cell>
        </row>
        <row r="239">
          <cell r="C239" t="str">
            <v>Joban JP</v>
          </cell>
          <cell r="R239">
            <v>0</v>
          </cell>
          <cell r="AZ239">
            <v>0</v>
          </cell>
          <cell r="BA239">
            <v>0</v>
          </cell>
          <cell r="BC239" t="str">
            <v>OTHERS</v>
          </cell>
          <cell r="BE239" t="str">
            <v>Oct</v>
          </cell>
        </row>
        <row r="240">
          <cell r="C240" t="str">
            <v>Joban JP</v>
          </cell>
          <cell r="R240">
            <v>0</v>
          </cell>
          <cell r="AZ240">
            <v>0</v>
          </cell>
          <cell r="BA240">
            <v>0</v>
          </cell>
          <cell r="BC240" t="str">
            <v>OTHERS</v>
          </cell>
          <cell r="BE240" t="str">
            <v>Nov</v>
          </cell>
        </row>
        <row r="241">
          <cell r="C241" t="str">
            <v>Joban JP</v>
          </cell>
          <cell r="R241">
            <v>0</v>
          </cell>
          <cell r="AZ241">
            <v>0</v>
          </cell>
          <cell r="BA241">
            <v>0</v>
          </cell>
          <cell r="BC241" t="str">
            <v>OTHERS</v>
          </cell>
          <cell r="BE241" t="str">
            <v>Dec</v>
          </cell>
        </row>
        <row r="242">
          <cell r="C242" t="str">
            <v>Kaneka</v>
          </cell>
          <cell r="R242">
            <v>0</v>
          </cell>
          <cell r="AZ242">
            <v>0</v>
          </cell>
          <cell r="BA242">
            <v>0</v>
          </cell>
          <cell r="BC242" t="str">
            <v>OTHERS</v>
          </cell>
          <cell r="BE242" t="str">
            <v>Jan</v>
          </cell>
        </row>
        <row r="243">
          <cell r="C243" t="str">
            <v>Kaneka</v>
          </cell>
          <cell r="R243">
            <v>0</v>
          </cell>
          <cell r="AZ243">
            <v>0</v>
          </cell>
          <cell r="BA243">
            <v>0</v>
          </cell>
          <cell r="BC243" t="str">
            <v>OTHERS</v>
          </cell>
          <cell r="BE243" t="str">
            <v>Feb</v>
          </cell>
        </row>
        <row r="244">
          <cell r="C244" t="str">
            <v>Kaneka</v>
          </cell>
          <cell r="R244">
            <v>39000</v>
          </cell>
          <cell r="AZ244">
            <v>-15600</v>
          </cell>
          <cell r="BA244">
            <v>-71739.931443018693</v>
          </cell>
          <cell r="BC244" t="str">
            <v>OTHERS</v>
          </cell>
          <cell r="BE244" t="str">
            <v>Mar</v>
          </cell>
        </row>
        <row r="245">
          <cell r="C245" t="str">
            <v>Kaneka</v>
          </cell>
          <cell r="R245">
            <v>0</v>
          </cell>
          <cell r="AZ245">
            <v>0</v>
          </cell>
          <cell r="BA245">
            <v>0</v>
          </cell>
          <cell r="BC245" t="str">
            <v>OTHERS</v>
          </cell>
          <cell r="BE245" t="str">
            <v>Apr</v>
          </cell>
        </row>
        <row r="246">
          <cell r="C246" t="str">
            <v>Kaneka</v>
          </cell>
          <cell r="R246">
            <v>0</v>
          </cell>
          <cell r="AZ246">
            <v>0</v>
          </cell>
          <cell r="BA246">
            <v>0</v>
          </cell>
          <cell r="BC246" t="str">
            <v>OTHERS</v>
          </cell>
          <cell r="BE246" t="str">
            <v>May</v>
          </cell>
        </row>
        <row r="247">
          <cell r="C247" t="str">
            <v>Kaneka</v>
          </cell>
          <cell r="R247">
            <v>0</v>
          </cell>
          <cell r="AZ247">
            <v>0</v>
          </cell>
          <cell r="BA247">
            <v>0</v>
          </cell>
          <cell r="BC247" t="str">
            <v>OTHERS</v>
          </cell>
          <cell r="BE247" t="str">
            <v>Jun</v>
          </cell>
        </row>
        <row r="248">
          <cell r="C248" t="str">
            <v>Kaneka</v>
          </cell>
          <cell r="R248">
            <v>0</v>
          </cell>
          <cell r="AZ248">
            <v>0</v>
          </cell>
          <cell r="BA248">
            <v>0</v>
          </cell>
          <cell r="BC248" t="str">
            <v>OTHERS</v>
          </cell>
          <cell r="BE248" t="str">
            <v>Jul</v>
          </cell>
        </row>
        <row r="249">
          <cell r="C249" t="str">
            <v>Kaneka</v>
          </cell>
          <cell r="R249">
            <v>0</v>
          </cell>
          <cell r="AZ249">
            <v>0</v>
          </cell>
          <cell r="BA249">
            <v>0</v>
          </cell>
          <cell r="BC249" t="str">
            <v>OTHERS</v>
          </cell>
          <cell r="BE249" t="str">
            <v>Aug</v>
          </cell>
        </row>
        <row r="250">
          <cell r="C250" t="str">
            <v>Kaneka</v>
          </cell>
          <cell r="R250">
            <v>0</v>
          </cell>
          <cell r="AZ250">
            <v>0</v>
          </cell>
          <cell r="BA250">
            <v>0</v>
          </cell>
          <cell r="BC250" t="str">
            <v>OTHERS</v>
          </cell>
          <cell r="BE250" t="str">
            <v>Sep</v>
          </cell>
        </row>
        <row r="251">
          <cell r="C251" t="str">
            <v>Kaneka</v>
          </cell>
          <cell r="R251">
            <v>0</v>
          </cell>
          <cell r="AZ251">
            <v>0</v>
          </cell>
          <cell r="BA251">
            <v>0</v>
          </cell>
          <cell r="BC251" t="str">
            <v>OTHERS</v>
          </cell>
          <cell r="BE251" t="str">
            <v>Oct</v>
          </cell>
        </row>
        <row r="252">
          <cell r="C252" t="str">
            <v>Kaneka</v>
          </cell>
          <cell r="R252">
            <v>0</v>
          </cell>
          <cell r="AZ252">
            <v>0</v>
          </cell>
          <cell r="BA252">
            <v>0</v>
          </cell>
          <cell r="BC252" t="str">
            <v>OTHERS</v>
          </cell>
          <cell r="BE252" t="str">
            <v>Nov</v>
          </cell>
        </row>
        <row r="253">
          <cell r="C253" t="str">
            <v>Kaneka</v>
          </cell>
          <cell r="R253">
            <v>0</v>
          </cell>
          <cell r="AZ253">
            <v>0</v>
          </cell>
          <cell r="BA253">
            <v>0</v>
          </cell>
          <cell r="BC253" t="str">
            <v>OTHERS</v>
          </cell>
          <cell r="BE253" t="str">
            <v>Dec</v>
          </cell>
        </row>
        <row r="254">
          <cell r="C254" t="str">
            <v>Kaneka</v>
          </cell>
          <cell r="R254">
            <v>0</v>
          </cell>
          <cell r="AZ254">
            <v>0</v>
          </cell>
          <cell r="BA254">
            <v>0</v>
          </cell>
          <cell r="BC254" t="str">
            <v>OTHERS</v>
          </cell>
          <cell r="BE254" t="str">
            <v>Jan</v>
          </cell>
        </row>
        <row r="255">
          <cell r="C255" t="str">
            <v>Kaneka</v>
          </cell>
          <cell r="R255">
            <v>0</v>
          </cell>
          <cell r="AZ255">
            <v>0</v>
          </cell>
          <cell r="BA255">
            <v>0</v>
          </cell>
          <cell r="BC255" t="str">
            <v>OTHERS</v>
          </cell>
          <cell r="BE255" t="str">
            <v>Feb</v>
          </cell>
        </row>
        <row r="256">
          <cell r="C256" t="str">
            <v>Kaneka</v>
          </cell>
          <cell r="R256">
            <v>26000</v>
          </cell>
          <cell r="AZ256">
            <v>-10400</v>
          </cell>
          <cell r="BA256">
            <v>-54923.089658370933</v>
          </cell>
          <cell r="BC256" t="str">
            <v>OTHERS</v>
          </cell>
          <cell r="BE256" t="str">
            <v>Mar</v>
          </cell>
        </row>
        <row r="257">
          <cell r="C257" t="str">
            <v>Kaneka</v>
          </cell>
          <cell r="R257">
            <v>0</v>
          </cell>
          <cell r="AZ257">
            <v>0</v>
          </cell>
          <cell r="BA257">
            <v>0</v>
          </cell>
          <cell r="BC257" t="str">
            <v>OTHERS</v>
          </cell>
          <cell r="BE257" t="str">
            <v>Apr</v>
          </cell>
        </row>
        <row r="258">
          <cell r="C258" t="str">
            <v>Kaneka</v>
          </cell>
          <cell r="R258">
            <v>0</v>
          </cell>
          <cell r="AZ258">
            <v>0</v>
          </cell>
          <cell r="BA258">
            <v>0</v>
          </cell>
          <cell r="BC258" t="str">
            <v>OTHERS</v>
          </cell>
          <cell r="BE258" t="str">
            <v>May</v>
          </cell>
        </row>
        <row r="259">
          <cell r="C259" t="str">
            <v>Kaneka</v>
          </cell>
          <cell r="R259">
            <v>0</v>
          </cell>
          <cell r="AZ259">
            <v>0</v>
          </cell>
          <cell r="BA259">
            <v>0</v>
          </cell>
          <cell r="BC259" t="str">
            <v>OTHERS</v>
          </cell>
          <cell r="BE259" t="str">
            <v>Jun</v>
          </cell>
        </row>
        <row r="260">
          <cell r="C260" t="str">
            <v>Kaneka</v>
          </cell>
          <cell r="R260">
            <v>0</v>
          </cell>
          <cell r="AZ260">
            <v>0</v>
          </cell>
          <cell r="BA260">
            <v>0</v>
          </cell>
          <cell r="BC260" t="str">
            <v>OTHERS</v>
          </cell>
          <cell r="BE260" t="str">
            <v>Jul</v>
          </cell>
        </row>
        <row r="261">
          <cell r="C261" t="str">
            <v>Kaneka</v>
          </cell>
          <cell r="R261">
            <v>0</v>
          </cell>
          <cell r="AZ261">
            <v>0</v>
          </cell>
          <cell r="BA261">
            <v>0</v>
          </cell>
          <cell r="BC261" t="str">
            <v>OTHERS</v>
          </cell>
          <cell r="BE261" t="str">
            <v>Aug</v>
          </cell>
        </row>
        <row r="262">
          <cell r="C262" t="str">
            <v>Kaneka</v>
          </cell>
          <cell r="R262">
            <v>0</v>
          </cell>
          <cell r="AZ262">
            <v>0</v>
          </cell>
          <cell r="BA262">
            <v>0</v>
          </cell>
          <cell r="BC262" t="str">
            <v>OTHERS</v>
          </cell>
          <cell r="BE262" t="str">
            <v>Sep</v>
          </cell>
        </row>
        <row r="263">
          <cell r="C263" t="str">
            <v>Kaneka</v>
          </cell>
          <cell r="R263">
            <v>0</v>
          </cell>
          <cell r="AZ263">
            <v>0</v>
          </cell>
          <cell r="BA263">
            <v>0</v>
          </cell>
          <cell r="BC263" t="str">
            <v>OTHERS</v>
          </cell>
          <cell r="BE263" t="str">
            <v>Oct</v>
          </cell>
        </row>
        <row r="264">
          <cell r="C264" t="str">
            <v>Kaneka</v>
          </cell>
          <cell r="R264">
            <v>0</v>
          </cell>
          <cell r="AZ264">
            <v>0</v>
          </cell>
          <cell r="BA264">
            <v>0</v>
          </cell>
          <cell r="BC264" t="str">
            <v>OTHERS</v>
          </cell>
          <cell r="BE264" t="str">
            <v>Nov</v>
          </cell>
        </row>
        <row r="265">
          <cell r="C265" t="str">
            <v>Kaneka</v>
          </cell>
          <cell r="R265">
            <v>0</v>
          </cell>
          <cell r="AZ265">
            <v>0</v>
          </cell>
          <cell r="BA265">
            <v>0</v>
          </cell>
          <cell r="BC265" t="str">
            <v>OTHERS</v>
          </cell>
          <cell r="BE265" t="str">
            <v>Dec</v>
          </cell>
        </row>
        <row r="266">
          <cell r="C266" t="str">
            <v>Kansai</v>
          </cell>
          <cell r="R266">
            <v>28000</v>
          </cell>
          <cell r="AZ266">
            <v>-84000</v>
          </cell>
          <cell r="BA266">
            <v>-42639.118928202261</v>
          </cell>
          <cell r="BC266" t="str">
            <v>OTHERS</v>
          </cell>
          <cell r="BE266" t="str">
            <v>Jan</v>
          </cell>
        </row>
        <row r="267">
          <cell r="C267" t="str">
            <v>Kansai</v>
          </cell>
          <cell r="R267">
            <v>0</v>
          </cell>
          <cell r="AZ267">
            <v>0</v>
          </cell>
          <cell r="BA267">
            <v>0</v>
          </cell>
          <cell r="BC267" t="str">
            <v>OTHERS</v>
          </cell>
          <cell r="BE267" t="str">
            <v>Feb</v>
          </cell>
        </row>
        <row r="268">
          <cell r="C268" t="str">
            <v>Kansai</v>
          </cell>
          <cell r="R268">
            <v>0</v>
          </cell>
          <cell r="AZ268">
            <v>0</v>
          </cell>
          <cell r="BA268">
            <v>0</v>
          </cell>
          <cell r="BC268" t="str">
            <v>OTHERS</v>
          </cell>
          <cell r="BE268" t="str">
            <v>Mar</v>
          </cell>
        </row>
        <row r="269">
          <cell r="C269" t="str">
            <v>Kansai</v>
          </cell>
          <cell r="R269">
            <v>28000</v>
          </cell>
          <cell r="AZ269">
            <v>-84000</v>
          </cell>
          <cell r="BA269">
            <v>-42639.118928202261</v>
          </cell>
          <cell r="BC269" t="str">
            <v>OTHERS</v>
          </cell>
          <cell r="BE269" t="str">
            <v>Apr</v>
          </cell>
        </row>
        <row r="270">
          <cell r="C270" t="str">
            <v>Kansai</v>
          </cell>
          <cell r="R270">
            <v>0</v>
          </cell>
          <cell r="AZ270">
            <v>0</v>
          </cell>
          <cell r="BA270">
            <v>0</v>
          </cell>
          <cell r="BC270" t="str">
            <v>OTHERS</v>
          </cell>
          <cell r="BE270" t="str">
            <v>May</v>
          </cell>
        </row>
        <row r="271">
          <cell r="C271" t="str">
            <v>Kansai</v>
          </cell>
          <cell r="R271">
            <v>0</v>
          </cell>
          <cell r="AZ271">
            <v>0</v>
          </cell>
          <cell r="BA271">
            <v>0</v>
          </cell>
          <cell r="BC271" t="str">
            <v>OTHERS</v>
          </cell>
          <cell r="BE271" t="str">
            <v>Jun</v>
          </cell>
        </row>
        <row r="272">
          <cell r="C272" t="str">
            <v>Kansai</v>
          </cell>
          <cell r="R272">
            <v>0</v>
          </cell>
          <cell r="AZ272">
            <v>0</v>
          </cell>
          <cell r="BA272">
            <v>0</v>
          </cell>
          <cell r="BC272" t="str">
            <v>OTHERS</v>
          </cell>
          <cell r="BE272" t="str">
            <v>Jul</v>
          </cell>
        </row>
        <row r="273">
          <cell r="C273" t="str">
            <v>Kansai</v>
          </cell>
          <cell r="R273">
            <v>0</v>
          </cell>
          <cell r="AZ273">
            <v>0</v>
          </cell>
          <cell r="BA273">
            <v>0</v>
          </cell>
          <cell r="BC273" t="str">
            <v>OTHERS</v>
          </cell>
          <cell r="BE273" t="str">
            <v>Aug</v>
          </cell>
        </row>
        <row r="274">
          <cell r="C274" t="str">
            <v>Kansai</v>
          </cell>
          <cell r="R274">
            <v>0</v>
          </cell>
          <cell r="AZ274">
            <v>0</v>
          </cell>
          <cell r="BA274">
            <v>0</v>
          </cell>
          <cell r="BC274" t="str">
            <v>OTHERS</v>
          </cell>
          <cell r="BE274" t="str">
            <v>Sep</v>
          </cell>
        </row>
        <row r="275">
          <cell r="C275" t="str">
            <v>Kansai</v>
          </cell>
          <cell r="R275">
            <v>0</v>
          </cell>
          <cell r="AZ275">
            <v>0</v>
          </cell>
          <cell r="BA275">
            <v>0</v>
          </cell>
          <cell r="BC275" t="str">
            <v>OTHERS</v>
          </cell>
          <cell r="BE275" t="str">
            <v>Oct</v>
          </cell>
        </row>
        <row r="276">
          <cell r="C276" t="str">
            <v>Kansai</v>
          </cell>
          <cell r="R276">
            <v>0</v>
          </cell>
          <cell r="AZ276">
            <v>0</v>
          </cell>
          <cell r="BA276">
            <v>0</v>
          </cell>
          <cell r="BC276" t="str">
            <v>OTHERS</v>
          </cell>
          <cell r="BE276" t="str">
            <v>Nov</v>
          </cell>
        </row>
        <row r="277">
          <cell r="C277" t="str">
            <v>Kansai</v>
          </cell>
          <cell r="R277">
            <v>0</v>
          </cell>
          <cell r="AZ277">
            <v>0</v>
          </cell>
          <cell r="BA277">
            <v>0</v>
          </cell>
          <cell r="BC277" t="str">
            <v>OTHERS</v>
          </cell>
          <cell r="BE277" t="str">
            <v>Dec</v>
          </cell>
        </row>
        <row r="278">
          <cell r="C278" t="str">
            <v>Kansai</v>
          </cell>
          <cell r="R278">
            <v>42000</v>
          </cell>
          <cell r="AZ278">
            <v>-126000</v>
          </cell>
          <cell r="BA278">
            <v>-73008.717308693536</v>
          </cell>
          <cell r="BC278" t="str">
            <v>OTHERS</v>
          </cell>
          <cell r="BE278" t="str">
            <v>Jan</v>
          </cell>
        </row>
        <row r="279">
          <cell r="C279" t="str">
            <v>Kansai</v>
          </cell>
          <cell r="R279">
            <v>0</v>
          </cell>
          <cell r="AZ279">
            <v>0</v>
          </cell>
          <cell r="BA279">
            <v>0</v>
          </cell>
          <cell r="BC279" t="str">
            <v>OTHERS</v>
          </cell>
          <cell r="BE279" t="str">
            <v>Feb</v>
          </cell>
        </row>
        <row r="280">
          <cell r="C280" t="str">
            <v>Kansai</v>
          </cell>
          <cell r="R280">
            <v>0</v>
          </cell>
          <cell r="AZ280">
            <v>0</v>
          </cell>
          <cell r="BA280">
            <v>0</v>
          </cell>
          <cell r="BC280" t="str">
            <v>OTHERS</v>
          </cell>
          <cell r="BE280" t="str">
            <v>Mar</v>
          </cell>
        </row>
        <row r="281">
          <cell r="C281" t="str">
            <v>Kansai</v>
          </cell>
          <cell r="R281">
            <v>42000</v>
          </cell>
          <cell r="AZ281">
            <v>-126000</v>
          </cell>
          <cell r="BA281">
            <v>-73008.717308693536</v>
          </cell>
          <cell r="BC281" t="str">
            <v>OTHERS</v>
          </cell>
          <cell r="BE281" t="str">
            <v>Apr</v>
          </cell>
        </row>
        <row r="282">
          <cell r="C282" t="str">
            <v>Kansai</v>
          </cell>
          <cell r="R282">
            <v>0</v>
          </cell>
          <cell r="AZ282">
            <v>0</v>
          </cell>
          <cell r="BA282">
            <v>0</v>
          </cell>
          <cell r="BC282" t="str">
            <v>OTHERS</v>
          </cell>
          <cell r="BE282" t="str">
            <v>May</v>
          </cell>
        </row>
        <row r="283">
          <cell r="C283" t="str">
            <v>Kansai</v>
          </cell>
          <cell r="R283">
            <v>0</v>
          </cell>
          <cell r="AZ283">
            <v>0</v>
          </cell>
          <cell r="BA283">
            <v>0</v>
          </cell>
          <cell r="BC283" t="str">
            <v>OTHERS</v>
          </cell>
          <cell r="BE283" t="str">
            <v>Jun</v>
          </cell>
        </row>
        <row r="284">
          <cell r="C284" t="str">
            <v>Kansai</v>
          </cell>
          <cell r="R284">
            <v>0</v>
          </cell>
          <cell r="AZ284">
            <v>0</v>
          </cell>
          <cell r="BA284">
            <v>0</v>
          </cell>
          <cell r="BC284" t="str">
            <v>OTHERS</v>
          </cell>
          <cell r="BE284" t="str">
            <v>Jul</v>
          </cell>
        </row>
        <row r="285">
          <cell r="C285" t="str">
            <v>Kansai</v>
          </cell>
          <cell r="R285">
            <v>0</v>
          </cell>
          <cell r="AZ285">
            <v>0</v>
          </cell>
          <cell r="BA285">
            <v>0</v>
          </cell>
          <cell r="BC285" t="str">
            <v>OTHERS</v>
          </cell>
          <cell r="BE285" t="str">
            <v>Aug</v>
          </cell>
        </row>
        <row r="286">
          <cell r="C286" t="str">
            <v>Kansai</v>
          </cell>
          <cell r="R286">
            <v>0</v>
          </cell>
          <cell r="AZ286">
            <v>0</v>
          </cell>
          <cell r="BA286">
            <v>0</v>
          </cell>
          <cell r="BC286" t="str">
            <v>OTHERS</v>
          </cell>
          <cell r="BE286" t="str">
            <v>Sep</v>
          </cell>
        </row>
        <row r="287">
          <cell r="C287" t="str">
            <v>Kansai</v>
          </cell>
          <cell r="R287">
            <v>0</v>
          </cell>
          <cell r="AZ287">
            <v>0</v>
          </cell>
          <cell r="BA287">
            <v>0</v>
          </cell>
          <cell r="BC287" t="str">
            <v>OTHERS</v>
          </cell>
          <cell r="BE287" t="str">
            <v>Oct</v>
          </cell>
        </row>
        <row r="288">
          <cell r="C288" t="str">
            <v>Kansai</v>
          </cell>
          <cell r="R288">
            <v>0</v>
          </cell>
          <cell r="AZ288">
            <v>0</v>
          </cell>
          <cell r="BA288">
            <v>0</v>
          </cell>
          <cell r="BC288" t="str">
            <v>OTHERS</v>
          </cell>
          <cell r="BE288" t="str">
            <v>Nov</v>
          </cell>
        </row>
        <row r="289">
          <cell r="C289" t="str">
            <v>Kansai</v>
          </cell>
          <cell r="R289">
            <v>0</v>
          </cell>
          <cell r="AZ289">
            <v>0</v>
          </cell>
          <cell r="BA289">
            <v>0</v>
          </cell>
          <cell r="BC289" t="str">
            <v>OTHERS</v>
          </cell>
          <cell r="BE289" t="str">
            <v>Dec</v>
          </cell>
        </row>
        <row r="290">
          <cell r="C290" t="str">
            <v>Kobe Steel</v>
          </cell>
          <cell r="R290">
            <v>0</v>
          </cell>
          <cell r="AZ290">
            <v>0</v>
          </cell>
          <cell r="BA290">
            <v>0</v>
          </cell>
          <cell r="BC290" t="str">
            <v>GOLD</v>
          </cell>
          <cell r="BE290" t="str">
            <v>Jan</v>
          </cell>
        </row>
        <row r="291">
          <cell r="C291" t="str">
            <v>Kobe Steel</v>
          </cell>
          <cell r="R291">
            <v>0</v>
          </cell>
          <cell r="AZ291">
            <v>0</v>
          </cell>
          <cell r="BA291">
            <v>0</v>
          </cell>
          <cell r="BC291" t="str">
            <v>GOLD</v>
          </cell>
          <cell r="BE291" t="str">
            <v>Feb</v>
          </cell>
        </row>
        <row r="292">
          <cell r="C292" t="str">
            <v>Kobe Steel</v>
          </cell>
          <cell r="R292">
            <v>28000</v>
          </cell>
          <cell r="AZ292">
            <v>-28000</v>
          </cell>
          <cell r="BA292">
            <v>-53508.87768522578</v>
          </cell>
          <cell r="BC292" t="str">
            <v>GOLD</v>
          </cell>
          <cell r="BE292" t="str">
            <v>Mar</v>
          </cell>
        </row>
        <row r="293">
          <cell r="C293" t="str">
            <v>Kobe Steel</v>
          </cell>
          <cell r="R293">
            <v>0</v>
          </cell>
          <cell r="AZ293">
            <v>0</v>
          </cell>
          <cell r="BA293">
            <v>0</v>
          </cell>
          <cell r="BC293" t="str">
            <v>GOLD</v>
          </cell>
          <cell r="BE293" t="str">
            <v>Apr</v>
          </cell>
        </row>
        <row r="294">
          <cell r="C294" t="str">
            <v>Kobe Steel</v>
          </cell>
          <cell r="R294">
            <v>0</v>
          </cell>
          <cell r="AZ294">
            <v>0</v>
          </cell>
          <cell r="BA294">
            <v>0</v>
          </cell>
          <cell r="BC294" t="str">
            <v>GOLD</v>
          </cell>
          <cell r="BE294" t="str">
            <v>May</v>
          </cell>
        </row>
        <row r="295">
          <cell r="C295" t="str">
            <v>Kobe Steel</v>
          </cell>
          <cell r="R295">
            <v>0</v>
          </cell>
          <cell r="AZ295">
            <v>0</v>
          </cell>
          <cell r="BA295">
            <v>0</v>
          </cell>
          <cell r="BC295" t="str">
            <v>GOLD</v>
          </cell>
          <cell r="BE295" t="str">
            <v>Jun</v>
          </cell>
        </row>
        <row r="296">
          <cell r="C296" t="str">
            <v>Kobe Steel</v>
          </cell>
          <cell r="R296">
            <v>0</v>
          </cell>
          <cell r="AZ296">
            <v>0</v>
          </cell>
          <cell r="BA296">
            <v>0</v>
          </cell>
          <cell r="BC296" t="str">
            <v>GOLD</v>
          </cell>
          <cell r="BE296" t="str">
            <v>Jul</v>
          </cell>
        </row>
        <row r="297">
          <cell r="C297" t="str">
            <v>Kobe Steel</v>
          </cell>
          <cell r="R297">
            <v>0</v>
          </cell>
          <cell r="AZ297">
            <v>0</v>
          </cell>
          <cell r="BA297">
            <v>0</v>
          </cell>
          <cell r="BC297" t="str">
            <v>GOLD</v>
          </cell>
          <cell r="BE297" t="str">
            <v>Aug</v>
          </cell>
        </row>
        <row r="298">
          <cell r="C298" t="str">
            <v>Kobe Steel</v>
          </cell>
          <cell r="R298">
            <v>0</v>
          </cell>
          <cell r="AZ298">
            <v>0</v>
          </cell>
          <cell r="BA298">
            <v>0</v>
          </cell>
          <cell r="BC298" t="str">
            <v>GOLD</v>
          </cell>
          <cell r="BE298" t="str">
            <v>Sep</v>
          </cell>
        </row>
        <row r="299">
          <cell r="C299" t="str">
            <v>Kobe Steel</v>
          </cell>
          <cell r="R299">
            <v>0</v>
          </cell>
          <cell r="AZ299">
            <v>0</v>
          </cell>
          <cell r="BA299">
            <v>0</v>
          </cell>
          <cell r="BC299" t="str">
            <v>GOLD</v>
          </cell>
          <cell r="BE299" t="str">
            <v>Oct</v>
          </cell>
        </row>
        <row r="300">
          <cell r="C300" t="str">
            <v>Kobe Steel</v>
          </cell>
          <cell r="R300">
            <v>0</v>
          </cell>
          <cell r="AZ300">
            <v>0</v>
          </cell>
          <cell r="BA300">
            <v>0</v>
          </cell>
          <cell r="BC300" t="str">
            <v>GOLD</v>
          </cell>
          <cell r="BE300" t="str">
            <v>Nov</v>
          </cell>
        </row>
        <row r="301">
          <cell r="C301" t="str">
            <v>Kobe Steel</v>
          </cell>
          <cell r="R301">
            <v>0</v>
          </cell>
          <cell r="AZ301">
            <v>0</v>
          </cell>
          <cell r="BA301">
            <v>0</v>
          </cell>
          <cell r="BC301" t="str">
            <v>GOLD</v>
          </cell>
          <cell r="BE301" t="str">
            <v>Dec</v>
          </cell>
        </row>
        <row r="302">
          <cell r="C302" t="str">
            <v>Kobe Steel</v>
          </cell>
          <cell r="R302">
            <v>0</v>
          </cell>
          <cell r="AZ302">
            <v>0</v>
          </cell>
          <cell r="BA302">
            <v>0</v>
          </cell>
          <cell r="BC302" t="str">
            <v>GOLD</v>
          </cell>
          <cell r="BE302" t="str">
            <v>Jan</v>
          </cell>
        </row>
        <row r="303">
          <cell r="C303" t="str">
            <v>Kobe Steel</v>
          </cell>
          <cell r="R303">
            <v>0</v>
          </cell>
          <cell r="AZ303">
            <v>0</v>
          </cell>
          <cell r="BA303">
            <v>0</v>
          </cell>
          <cell r="BC303" t="str">
            <v>GOLD</v>
          </cell>
          <cell r="BE303" t="str">
            <v>Feb</v>
          </cell>
        </row>
        <row r="304">
          <cell r="C304" t="str">
            <v>Kobe Steel</v>
          </cell>
          <cell r="R304">
            <v>42000</v>
          </cell>
          <cell r="AZ304">
            <v>-42000</v>
          </cell>
          <cell r="BA304">
            <v>-91620.432659601822</v>
          </cell>
          <cell r="BC304" t="str">
            <v>GOLD</v>
          </cell>
          <cell r="BE304" t="str">
            <v>Mar</v>
          </cell>
        </row>
        <row r="305">
          <cell r="C305" t="str">
            <v>Kobe Steel</v>
          </cell>
          <cell r="R305">
            <v>0</v>
          </cell>
          <cell r="AZ305">
            <v>0</v>
          </cell>
          <cell r="BA305">
            <v>0</v>
          </cell>
          <cell r="BC305" t="str">
            <v>GOLD</v>
          </cell>
          <cell r="BE305" t="str">
            <v>Apr</v>
          </cell>
        </row>
        <row r="306">
          <cell r="C306" t="str">
            <v>Kobe Steel</v>
          </cell>
          <cell r="R306">
            <v>0</v>
          </cell>
          <cell r="AZ306">
            <v>0</v>
          </cell>
          <cell r="BA306">
            <v>0</v>
          </cell>
          <cell r="BC306" t="str">
            <v>GOLD</v>
          </cell>
          <cell r="BE306" t="str">
            <v>May</v>
          </cell>
        </row>
        <row r="307">
          <cell r="C307" t="str">
            <v>Kobe Steel</v>
          </cell>
          <cell r="R307">
            <v>0</v>
          </cell>
          <cell r="AZ307">
            <v>0</v>
          </cell>
          <cell r="BA307">
            <v>0</v>
          </cell>
          <cell r="BC307" t="str">
            <v>GOLD</v>
          </cell>
          <cell r="BE307" t="str">
            <v>Jun</v>
          </cell>
        </row>
        <row r="308">
          <cell r="C308" t="str">
            <v>Kobe Steel</v>
          </cell>
          <cell r="R308">
            <v>0</v>
          </cell>
          <cell r="AZ308">
            <v>0</v>
          </cell>
          <cell r="BA308">
            <v>0</v>
          </cell>
          <cell r="BC308" t="str">
            <v>GOLD</v>
          </cell>
          <cell r="BE308" t="str">
            <v>Jul</v>
          </cell>
        </row>
        <row r="309">
          <cell r="C309" t="str">
            <v>Kobe Steel</v>
          </cell>
          <cell r="R309">
            <v>0</v>
          </cell>
          <cell r="AZ309">
            <v>0</v>
          </cell>
          <cell r="BA309">
            <v>0</v>
          </cell>
          <cell r="BC309" t="str">
            <v>GOLD</v>
          </cell>
          <cell r="BE309" t="str">
            <v>Aug</v>
          </cell>
        </row>
        <row r="310">
          <cell r="C310" t="str">
            <v>Kobe Steel</v>
          </cell>
          <cell r="R310">
            <v>0</v>
          </cell>
          <cell r="AZ310">
            <v>0</v>
          </cell>
          <cell r="BA310">
            <v>0</v>
          </cell>
          <cell r="BC310" t="str">
            <v>GOLD</v>
          </cell>
          <cell r="BE310" t="str">
            <v>Sep</v>
          </cell>
        </row>
        <row r="311">
          <cell r="C311" t="str">
            <v>Kobe Steel</v>
          </cell>
          <cell r="R311">
            <v>0</v>
          </cell>
          <cell r="AZ311">
            <v>0</v>
          </cell>
          <cell r="BA311">
            <v>0</v>
          </cell>
          <cell r="BC311" t="str">
            <v>GOLD</v>
          </cell>
          <cell r="BE311" t="str">
            <v>Oct</v>
          </cell>
        </row>
        <row r="312">
          <cell r="C312" t="str">
            <v>Kobe Steel</v>
          </cell>
          <cell r="R312">
            <v>0</v>
          </cell>
          <cell r="AZ312">
            <v>0</v>
          </cell>
          <cell r="BA312">
            <v>0</v>
          </cell>
          <cell r="BC312" t="str">
            <v>GOLD</v>
          </cell>
          <cell r="BE312" t="str">
            <v>Nov</v>
          </cell>
        </row>
        <row r="313">
          <cell r="C313" t="str">
            <v>Kobe Steel</v>
          </cell>
          <cell r="R313">
            <v>0</v>
          </cell>
          <cell r="AZ313">
            <v>0</v>
          </cell>
          <cell r="BA313">
            <v>0</v>
          </cell>
          <cell r="BC313" t="str">
            <v>GOLD</v>
          </cell>
          <cell r="BE313" t="str">
            <v>Dec</v>
          </cell>
        </row>
        <row r="314">
          <cell r="C314" t="str">
            <v>Kobe Steel</v>
          </cell>
          <cell r="R314">
            <v>0</v>
          </cell>
          <cell r="AZ314">
            <v>0</v>
          </cell>
          <cell r="BA314">
            <v>0</v>
          </cell>
          <cell r="BC314" t="str">
            <v>GOLD</v>
          </cell>
          <cell r="BE314" t="str">
            <v>Jan</v>
          </cell>
        </row>
        <row r="315">
          <cell r="C315" t="str">
            <v>Kobe Steel</v>
          </cell>
          <cell r="R315">
            <v>0</v>
          </cell>
          <cell r="AZ315">
            <v>0</v>
          </cell>
          <cell r="BA315">
            <v>0</v>
          </cell>
          <cell r="BC315" t="str">
            <v>GOLD</v>
          </cell>
          <cell r="BE315" t="str">
            <v>Feb</v>
          </cell>
        </row>
        <row r="316">
          <cell r="C316" t="str">
            <v>Kobe Steel</v>
          </cell>
          <cell r="R316">
            <v>0</v>
          </cell>
          <cell r="AZ316">
            <v>0</v>
          </cell>
          <cell r="BA316">
            <v>0</v>
          </cell>
          <cell r="BC316" t="str">
            <v>GOLD</v>
          </cell>
          <cell r="BE316" t="str">
            <v>Mar</v>
          </cell>
        </row>
        <row r="317">
          <cell r="C317" t="str">
            <v>Kobe Steel</v>
          </cell>
          <cell r="R317">
            <v>28000</v>
          </cell>
          <cell r="AZ317">
            <v>-28000</v>
          </cell>
          <cell r="BA317">
            <v>-40582.200789127572</v>
          </cell>
          <cell r="BC317" t="str">
            <v>GOLD</v>
          </cell>
          <cell r="BE317" t="str">
            <v>Apr</v>
          </cell>
        </row>
        <row r="318">
          <cell r="C318" t="str">
            <v>Kobe Steel</v>
          </cell>
          <cell r="R318">
            <v>0</v>
          </cell>
          <cell r="AZ318">
            <v>0</v>
          </cell>
          <cell r="BA318">
            <v>0</v>
          </cell>
          <cell r="BC318" t="str">
            <v>GOLD</v>
          </cell>
          <cell r="BE318" t="str">
            <v>May</v>
          </cell>
        </row>
        <row r="319">
          <cell r="C319" t="str">
            <v>Kobe Steel</v>
          </cell>
          <cell r="R319">
            <v>28000</v>
          </cell>
          <cell r="AZ319">
            <v>-28000</v>
          </cell>
          <cell r="BA319">
            <v>-40582.200789127572</v>
          </cell>
          <cell r="BC319" t="str">
            <v>GOLD</v>
          </cell>
          <cell r="BE319" t="str">
            <v>Jun</v>
          </cell>
        </row>
        <row r="320">
          <cell r="C320" t="str">
            <v>Kobe Steel</v>
          </cell>
          <cell r="R320">
            <v>0</v>
          </cell>
          <cell r="AZ320">
            <v>0</v>
          </cell>
          <cell r="BA320">
            <v>0</v>
          </cell>
          <cell r="BC320" t="str">
            <v>GOLD</v>
          </cell>
          <cell r="BE320" t="str">
            <v>Jul</v>
          </cell>
        </row>
        <row r="321">
          <cell r="C321" t="str">
            <v>Kobe Steel</v>
          </cell>
          <cell r="R321">
            <v>28000</v>
          </cell>
          <cell r="AZ321">
            <v>-28000</v>
          </cell>
          <cell r="BA321">
            <v>-40582.200789127572</v>
          </cell>
          <cell r="BC321" t="str">
            <v>GOLD</v>
          </cell>
          <cell r="BE321" t="str">
            <v>Aug</v>
          </cell>
        </row>
        <row r="322">
          <cell r="C322" t="str">
            <v>Kobe Steel</v>
          </cell>
          <cell r="R322">
            <v>0</v>
          </cell>
          <cell r="AZ322">
            <v>0</v>
          </cell>
          <cell r="BA322">
            <v>0</v>
          </cell>
          <cell r="BC322" t="str">
            <v>GOLD</v>
          </cell>
          <cell r="BE322" t="str">
            <v>Sep</v>
          </cell>
        </row>
        <row r="323">
          <cell r="C323" t="str">
            <v>Kobe Steel</v>
          </cell>
          <cell r="R323">
            <v>28000</v>
          </cell>
          <cell r="AZ323">
            <v>-28000</v>
          </cell>
          <cell r="BA323">
            <v>-40582.200789127572</v>
          </cell>
          <cell r="BC323" t="str">
            <v>GOLD</v>
          </cell>
          <cell r="BE323" t="str">
            <v>Oct</v>
          </cell>
        </row>
        <row r="324">
          <cell r="C324" t="str">
            <v>Kobe Steel</v>
          </cell>
          <cell r="R324">
            <v>0</v>
          </cell>
          <cell r="AZ324">
            <v>0</v>
          </cell>
          <cell r="BA324">
            <v>0</v>
          </cell>
          <cell r="BC324" t="str">
            <v>GOLD</v>
          </cell>
          <cell r="BE324" t="str">
            <v>Nov</v>
          </cell>
        </row>
        <row r="325">
          <cell r="C325" t="str">
            <v>Kobe Steel</v>
          </cell>
          <cell r="R325">
            <v>28000</v>
          </cell>
          <cell r="AZ325">
            <v>-28000</v>
          </cell>
          <cell r="BA325">
            <v>-40582.200789127572</v>
          </cell>
          <cell r="BC325" t="str">
            <v>GOLD</v>
          </cell>
          <cell r="BE325" t="str">
            <v>Dec</v>
          </cell>
        </row>
        <row r="326">
          <cell r="C326" t="str">
            <v>Kobe Steel</v>
          </cell>
          <cell r="R326">
            <v>0</v>
          </cell>
          <cell r="AZ326">
            <v>0</v>
          </cell>
          <cell r="BA326">
            <v>0</v>
          </cell>
          <cell r="BC326" t="str">
            <v>GOLD</v>
          </cell>
          <cell r="BE326" t="str">
            <v>Jan</v>
          </cell>
        </row>
        <row r="327">
          <cell r="C327" t="str">
            <v>Kobe Steel</v>
          </cell>
          <cell r="R327">
            <v>0</v>
          </cell>
          <cell r="AZ327">
            <v>0</v>
          </cell>
          <cell r="BA327">
            <v>0</v>
          </cell>
          <cell r="BC327" t="str">
            <v>GOLD</v>
          </cell>
          <cell r="BE327" t="str">
            <v>Feb</v>
          </cell>
        </row>
        <row r="328">
          <cell r="C328" t="str">
            <v>Kobe Steel</v>
          </cell>
          <cell r="R328">
            <v>0</v>
          </cell>
          <cell r="AZ328">
            <v>0</v>
          </cell>
          <cell r="BA328">
            <v>0</v>
          </cell>
          <cell r="BC328" t="str">
            <v>GOLD</v>
          </cell>
          <cell r="BE328" t="str">
            <v>Mar</v>
          </cell>
        </row>
        <row r="329">
          <cell r="C329" t="str">
            <v>Kobe Steel</v>
          </cell>
          <cell r="R329">
            <v>42000</v>
          </cell>
          <cell r="AZ329">
            <v>-42000</v>
          </cell>
          <cell r="BA329">
            <v>-69486.76472811382</v>
          </cell>
          <cell r="BC329" t="str">
            <v>GOLD</v>
          </cell>
          <cell r="BE329" t="str">
            <v>Apr</v>
          </cell>
        </row>
        <row r="330">
          <cell r="C330" t="str">
            <v>Kobe Steel</v>
          </cell>
          <cell r="R330">
            <v>0</v>
          </cell>
          <cell r="AZ330">
            <v>0</v>
          </cell>
          <cell r="BA330">
            <v>0</v>
          </cell>
          <cell r="BC330" t="str">
            <v>GOLD</v>
          </cell>
          <cell r="BE330" t="str">
            <v>May</v>
          </cell>
        </row>
        <row r="331">
          <cell r="C331" t="str">
            <v>Kobe Steel</v>
          </cell>
          <cell r="R331">
            <v>42000</v>
          </cell>
          <cell r="AZ331">
            <v>-42000</v>
          </cell>
          <cell r="BA331">
            <v>-69486.76472811382</v>
          </cell>
          <cell r="BC331" t="str">
            <v>GOLD</v>
          </cell>
          <cell r="BE331" t="str">
            <v>Jun</v>
          </cell>
        </row>
        <row r="332">
          <cell r="C332" t="str">
            <v>Kobe Steel</v>
          </cell>
          <cell r="R332">
            <v>0</v>
          </cell>
          <cell r="AZ332">
            <v>0</v>
          </cell>
          <cell r="BA332">
            <v>0</v>
          </cell>
          <cell r="BC332" t="str">
            <v>GOLD</v>
          </cell>
          <cell r="BE332" t="str">
            <v>Jul</v>
          </cell>
        </row>
        <row r="333">
          <cell r="C333" t="str">
            <v>Kobe Steel</v>
          </cell>
          <cell r="R333">
            <v>42000</v>
          </cell>
          <cell r="AZ333">
            <v>-42000</v>
          </cell>
          <cell r="BA333">
            <v>-69486.76472811382</v>
          </cell>
          <cell r="BC333" t="str">
            <v>GOLD</v>
          </cell>
          <cell r="BE333" t="str">
            <v>Aug</v>
          </cell>
        </row>
        <row r="334">
          <cell r="C334" t="str">
            <v>Kobe Steel</v>
          </cell>
          <cell r="R334">
            <v>0</v>
          </cell>
          <cell r="AZ334">
            <v>0</v>
          </cell>
          <cell r="BA334">
            <v>0</v>
          </cell>
          <cell r="BC334" t="str">
            <v>GOLD</v>
          </cell>
          <cell r="BE334" t="str">
            <v>Sep</v>
          </cell>
        </row>
        <row r="335">
          <cell r="C335" t="str">
            <v>Kobe Steel</v>
          </cell>
          <cell r="R335">
            <v>42000</v>
          </cell>
          <cell r="AZ335">
            <v>-42000</v>
          </cell>
          <cell r="BA335">
            <v>-69486.76472811382</v>
          </cell>
          <cell r="BC335" t="str">
            <v>GOLD</v>
          </cell>
          <cell r="BE335" t="str">
            <v>Oct</v>
          </cell>
        </row>
        <row r="336">
          <cell r="C336" t="str">
            <v>Kobe Steel</v>
          </cell>
          <cell r="R336">
            <v>0</v>
          </cell>
          <cell r="AZ336">
            <v>0</v>
          </cell>
          <cell r="BA336">
            <v>0</v>
          </cell>
          <cell r="BC336" t="str">
            <v>GOLD</v>
          </cell>
          <cell r="BE336" t="str">
            <v>Nov</v>
          </cell>
        </row>
        <row r="337">
          <cell r="C337" t="str">
            <v>Kobe Steel</v>
          </cell>
          <cell r="R337">
            <v>42000</v>
          </cell>
          <cell r="AZ337">
            <v>-42000</v>
          </cell>
          <cell r="BA337">
            <v>-69486.76472811382</v>
          </cell>
          <cell r="BC337" t="str">
            <v>GOLD</v>
          </cell>
          <cell r="BE337" t="str">
            <v>Dec</v>
          </cell>
        </row>
        <row r="338">
          <cell r="C338" t="str">
            <v>Nihon Yakin</v>
          </cell>
          <cell r="R338">
            <v>0</v>
          </cell>
          <cell r="AZ338">
            <v>0</v>
          </cell>
          <cell r="BA338">
            <v>0</v>
          </cell>
          <cell r="BC338" t="str">
            <v>OTHERS</v>
          </cell>
          <cell r="BE338" t="str">
            <v>Jan</v>
          </cell>
        </row>
        <row r="339">
          <cell r="C339" t="str">
            <v>Nihon Yakin</v>
          </cell>
          <cell r="R339">
            <v>0</v>
          </cell>
          <cell r="AZ339">
            <v>0</v>
          </cell>
          <cell r="BA339">
            <v>0</v>
          </cell>
          <cell r="BC339" t="str">
            <v>OTHERS</v>
          </cell>
          <cell r="BE339" t="str">
            <v>Feb</v>
          </cell>
        </row>
        <row r="340">
          <cell r="C340" t="str">
            <v>Nihon Yakin</v>
          </cell>
          <cell r="R340">
            <v>12000</v>
          </cell>
          <cell r="AZ340">
            <v>-12000</v>
          </cell>
          <cell r="BA340">
            <v>-9850.3448275862065</v>
          </cell>
          <cell r="BC340" t="str">
            <v>OTHERS</v>
          </cell>
          <cell r="BE340" t="str">
            <v>Mar</v>
          </cell>
        </row>
        <row r="341">
          <cell r="C341" t="str">
            <v>Nihon Yakin</v>
          </cell>
          <cell r="R341">
            <v>0</v>
          </cell>
          <cell r="AZ341">
            <v>0</v>
          </cell>
          <cell r="BA341">
            <v>0</v>
          </cell>
          <cell r="BC341" t="str">
            <v>OTHERS</v>
          </cell>
          <cell r="BE341" t="str">
            <v>Apr</v>
          </cell>
        </row>
        <row r="342">
          <cell r="C342" t="str">
            <v>Nihon Yakin</v>
          </cell>
          <cell r="R342">
            <v>0</v>
          </cell>
          <cell r="AZ342">
            <v>0</v>
          </cell>
          <cell r="BA342">
            <v>0</v>
          </cell>
          <cell r="BC342" t="str">
            <v>OTHERS</v>
          </cell>
          <cell r="BE342" t="str">
            <v>May</v>
          </cell>
        </row>
        <row r="343">
          <cell r="C343" t="str">
            <v>Nihon Yakin</v>
          </cell>
          <cell r="R343">
            <v>0</v>
          </cell>
          <cell r="AZ343">
            <v>0</v>
          </cell>
          <cell r="BA343">
            <v>0</v>
          </cell>
          <cell r="BC343" t="str">
            <v>OTHERS</v>
          </cell>
          <cell r="BE343" t="str">
            <v>Jun</v>
          </cell>
        </row>
        <row r="344">
          <cell r="C344" t="str">
            <v>Nihon Yakin</v>
          </cell>
          <cell r="R344">
            <v>0</v>
          </cell>
          <cell r="AZ344">
            <v>0</v>
          </cell>
          <cell r="BA344">
            <v>0</v>
          </cell>
          <cell r="BC344" t="str">
            <v>OTHERS</v>
          </cell>
          <cell r="BE344" t="str">
            <v>Jul</v>
          </cell>
        </row>
        <row r="345">
          <cell r="C345" t="str">
            <v>Nihon Yakin</v>
          </cell>
          <cell r="R345">
            <v>0</v>
          </cell>
          <cell r="AZ345">
            <v>0</v>
          </cell>
          <cell r="BA345">
            <v>0</v>
          </cell>
          <cell r="BC345" t="str">
            <v>OTHERS</v>
          </cell>
          <cell r="BE345" t="str">
            <v>Aug</v>
          </cell>
        </row>
        <row r="346">
          <cell r="C346" t="str">
            <v>Nihon Yakin</v>
          </cell>
          <cell r="R346">
            <v>0</v>
          </cell>
          <cell r="AZ346">
            <v>0</v>
          </cell>
          <cell r="BA346">
            <v>0</v>
          </cell>
          <cell r="BC346" t="str">
            <v>OTHERS</v>
          </cell>
          <cell r="BE346" t="str">
            <v>Sep</v>
          </cell>
        </row>
        <row r="347">
          <cell r="C347" t="str">
            <v>Nihon Yakin</v>
          </cell>
          <cell r="R347">
            <v>0</v>
          </cell>
          <cell r="AZ347">
            <v>0</v>
          </cell>
          <cell r="BA347">
            <v>0</v>
          </cell>
          <cell r="BC347" t="str">
            <v>OTHERS</v>
          </cell>
          <cell r="BE347" t="str">
            <v>Oct</v>
          </cell>
        </row>
        <row r="348">
          <cell r="C348" t="str">
            <v>Nihon Yakin</v>
          </cell>
          <cell r="R348">
            <v>0</v>
          </cell>
          <cell r="AZ348">
            <v>0</v>
          </cell>
          <cell r="BA348">
            <v>0</v>
          </cell>
          <cell r="BC348" t="str">
            <v>OTHERS</v>
          </cell>
          <cell r="BE348" t="str">
            <v>Nov</v>
          </cell>
        </row>
        <row r="349">
          <cell r="C349" t="str">
            <v>Nihon Yakin</v>
          </cell>
          <cell r="R349">
            <v>0</v>
          </cell>
          <cell r="AZ349">
            <v>0</v>
          </cell>
          <cell r="BA349">
            <v>0</v>
          </cell>
          <cell r="BC349" t="str">
            <v>OTHERS</v>
          </cell>
          <cell r="BE349" t="str">
            <v>Dec</v>
          </cell>
        </row>
        <row r="350">
          <cell r="C350" t="str">
            <v>Shikoku</v>
          </cell>
          <cell r="R350">
            <v>0</v>
          </cell>
          <cell r="AZ350">
            <v>0</v>
          </cell>
          <cell r="BA350">
            <v>0</v>
          </cell>
          <cell r="BC350" t="str">
            <v>GOLD</v>
          </cell>
          <cell r="BE350" t="str">
            <v>Jan</v>
          </cell>
        </row>
        <row r="351">
          <cell r="C351" t="str">
            <v>Shikoku</v>
          </cell>
          <cell r="R351">
            <v>0</v>
          </cell>
          <cell r="AZ351">
            <v>0</v>
          </cell>
          <cell r="BA351">
            <v>0</v>
          </cell>
          <cell r="BC351" t="str">
            <v>GOLD</v>
          </cell>
          <cell r="BE351" t="str">
            <v>Feb</v>
          </cell>
        </row>
        <row r="352">
          <cell r="C352" t="str">
            <v>Shikoku</v>
          </cell>
          <cell r="R352">
            <v>0</v>
          </cell>
          <cell r="AZ352">
            <v>0</v>
          </cell>
          <cell r="BA352">
            <v>0</v>
          </cell>
          <cell r="BC352" t="str">
            <v>GOLD</v>
          </cell>
          <cell r="BE352" t="str">
            <v>Mar</v>
          </cell>
        </row>
        <row r="353">
          <cell r="C353" t="str">
            <v>Shikoku</v>
          </cell>
          <cell r="R353">
            <v>35000</v>
          </cell>
          <cell r="AZ353">
            <v>-157500</v>
          </cell>
          <cell r="BA353">
            <v>-53859.092558983662</v>
          </cell>
          <cell r="BC353" t="str">
            <v>GOLD</v>
          </cell>
          <cell r="BE353" t="str">
            <v>Apr</v>
          </cell>
        </row>
        <row r="354">
          <cell r="C354" t="str">
            <v>Shikoku</v>
          </cell>
          <cell r="R354">
            <v>0</v>
          </cell>
          <cell r="AZ354">
            <v>0</v>
          </cell>
          <cell r="BA354">
            <v>0</v>
          </cell>
          <cell r="BC354" t="str">
            <v>GOLD</v>
          </cell>
          <cell r="BE354" t="str">
            <v>May</v>
          </cell>
        </row>
        <row r="355">
          <cell r="C355" t="str">
            <v>Shikoku</v>
          </cell>
          <cell r="R355">
            <v>0</v>
          </cell>
          <cell r="AZ355">
            <v>0</v>
          </cell>
          <cell r="BA355">
            <v>0</v>
          </cell>
          <cell r="BC355" t="str">
            <v>GOLD</v>
          </cell>
          <cell r="BE355" t="str">
            <v>Jun</v>
          </cell>
        </row>
        <row r="356">
          <cell r="C356" t="str">
            <v>Shikoku</v>
          </cell>
          <cell r="R356">
            <v>0</v>
          </cell>
          <cell r="AZ356">
            <v>0</v>
          </cell>
          <cell r="BA356">
            <v>0</v>
          </cell>
          <cell r="BC356" t="str">
            <v>GOLD</v>
          </cell>
          <cell r="BE356" t="str">
            <v>Jul</v>
          </cell>
        </row>
        <row r="357">
          <cell r="C357" t="str">
            <v>Shikoku</v>
          </cell>
          <cell r="R357">
            <v>35000</v>
          </cell>
          <cell r="AZ357">
            <v>-157500</v>
          </cell>
          <cell r="BA357">
            <v>-53859.092558983662</v>
          </cell>
          <cell r="BC357" t="str">
            <v>GOLD</v>
          </cell>
          <cell r="BE357" t="str">
            <v>Aug</v>
          </cell>
        </row>
        <row r="358">
          <cell r="C358" t="str">
            <v>Shikoku</v>
          </cell>
          <cell r="R358">
            <v>0</v>
          </cell>
          <cell r="AZ358">
            <v>0</v>
          </cell>
          <cell r="BA358">
            <v>0</v>
          </cell>
          <cell r="BC358" t="str">
            <v>GOLD</v>
          </cell>
          <cell r="BE358" t="str">
            <v>Sep</v>
          </cell>
        </row>
        <row r="359">
          <cell r="C359" t="str">
            <v>Shikoku</v>
          </cell>
          <cell r="R359">
            <v>0</v>
          </cell>
          <cell r="AZ359">
            <v>0</v>
          </cell>
          <cell r="BA359">
            <v>0</v>
          </cell>
          <cell r="BC359" t="str">
            <v>GOLD</v>
          </cell>
          <cell r="BE359" t="str">
            <v>Oct</v>
          </cell>
        </row>
        <row r="360">
          <cell r="C360" t="str">
            <v>Shikoku</v>
          </cell>
          <cell r="R360">
            <v>35000</v>
          </cell>
          <cell r="AZ360">
            <v>-157500</v>
          </cell>
          <cell r="BA360">
            <v>-53859.092558983662</v>
          </cell>
          <cell r="BC360" t="str">
            <v>GOLD</v>
          </cell>
          <cell r="BE360" t="str">
            <v>Nov</v>
          </cell>
        </row>
        <row r="361">
          <cell r="C361" t="str">
            <v>Shikoku</v>
          </cell>
          <cell r="R361">
            <v>0</v>
          </cell>
          <cell r="AZ361">
            <v>0</v>
          </cell>
          <cell r="BA361">
            <v>0</v>
          </cell>
          <cell r="BC361" t="str">
            <v>GOLD</v>
          </cell>
          <cell r="BE361" t="str">
            <v>Dec</v>
          </cell>
        </row>
        <row r="362">
          <cell r="C362" t="str">
            <v>Shikoku</v>
          </cell>
          <cell r="R362">
            <v>0</v>
          </cell>
          <cell r="AZ362">
            <v>0</v>
          </cell>
          <cell r="BA362">
            <v>0</v>
          </cell>
          <cell r="BC362" t="str">
            <v>GOLD</v>
          </cell>
          <cell r="BE362" t="str">
            <v>Jan</v>
          </cell>
        </row>
        <row r="363">
          <cell r="C363" t="str">
            <v>Shikoku</v>
          </cell>
          <cell r="R363">
            <v>0</v>
          </cell>
          <cell r="AZ363">
            <v>0</v>
          </cell>
          <cell r="BA363">
            <v>0</v>
          </cell>
          <cell r="BC363" t="str">
            <v>GOLD</v>
          </cell>
          <cell r="BE363" t="str">
            <v>Feb</v>
          </cell>
        </row>
        <row r="364">
          <cell r="C364" t="str">
            <v>Shikoku</v>
          </cell>
          <cell r="R364">
            <v>0</v>
          </cell>
          <cell r="AZ364">
            <v>0</v>
          </cell>
          <cell r="BA364">
            <v>0</v>
          </cell>
          <cell r="BC364" t="str">
            <v>GOLD</v>
          </cell>
          <cell r="BE364" t="str">
            <v>Mar</v>
          </cell>
        </row>
        <row r="365">
          <cell r="C365" t="str">
            <v>Shikoku</v>
          </cell>
          <cell r="R365">
            <v>35000</v>
          </cell>
          <cell r="AZ365">
            <v>-157500</v>
          </cell>
          <cell r="BA365">
            <v>-61637.286751361164</v>
          </cell>
          <cell r="BC365" t="str">
            <v>GOLD</v>
          </cell>
          <cell r="BE365" t="str">
            <v>Apr</v>
          </cell>
        </row>
        <row r="366">
          <cell r="C366" t="str">
            <v>Shikoku</v>
          </cell>
          <cell r="R366">
            <v>0</v>
          </cell>
          <cell r="AZ366">
            <v>0</v>
          </cell>
          <cell r="BA366">
            <v>0</v>
          </cell>
          <cell r="BC366" t="str">
            <v>GOLD</v>
          </cell>
          <cell r="BE366" t="str">
            <v>May</v>
          </cell>
        </row>
        <row r="367">
          <cell r="C367" t="str">
            <v>Shikoku</v>
          </cell>
          <cell r="R367">
            <v>0</v>
          </cell>
          <cell r="AZ367">
            <v>0</v>
          </cell>
          <cell r="BA367">
            <v>0</v>
          </cell>
          <cell r="BC367" t="str">
            <v>GOLD</v>
          </cell>
          <cell r="BE367" t="str">
            <v>Jun</v>
          </cell>
        </row>
        <row r="368">
          <cell r="C368" t="str">
            <v>Shikoku</v>
          </cell>
          <cell r="R368">
            <v>0</v>
          </cell>
          <cell r="AZ368">
            <v>0</v>
          </cell>
          <cell r="BA368">
            <v>0</v>
          </cell>
          <cell r="BC368" t="str">
            <v>GOLD</v>
          </cell>
          <cell r="BE368" t="str">
            <v>Jul</v>
          </cell>
        </row>
        <row r="369">
          <cell r="C369" t="str">
            <v>Shikoku</v>
          </cell>
          <cell r="R369">
            <v>35000</v>
          </cell>
          <cell r="AZ369">
            <v>-157500</v>
          </cell>
          <cell r="BA369">
            <v>-61637.286751361164</v>
          </cell>
          <cell r="BC369" t="str">
            <v>GOLD</v>
          </cell>
          <cell r="BE369" t="str">
            <v>Aug</v>
          </cell>
        </row>
        <row r="370">
          <cell r="C370" t="str">
            <v>Shikoku</v>
          </cell>
          <cell r="R370">
            <v>0</v>
          </cell>
          <cell r="AZ370">
            <v>0</v>
          </cell>
          <cell r="BA370">
            <v>0</v>
          </cell>
          <cell r="BC370" t="str">
            <v>GOLD</v>
          </cell>
          <cell r="BE370" t="str">
            <v>Sep</v>
          </cell>
        </row>
        <row r="371">
          <cell r="C371" t="str">
            <v>Shikoku</v>
          </cell>
          <cell r="R371">
            <v>0</v>
          </cell>
          <cell r="AZ371">
            <v>0</v>
          </cell>
          <cell r="BA371">
            <v>0</v>
          </cell>
          <cell r="BC371" t="str">
            <v>GOLD</v>
          </cell>
          <cell r="BE371" t="str">
            <v>Oct</v>
          </cell>
        </row>
        <row r="372">
          <cell r="C372" t="str">
            <v>Shikoku</v>
          </cell>
          <cell r="R372">
            <v>35000</v>
          </cell>
          <cell r="AZ372">
            <v>-157500</v>
          </cell>
          <cell r="BA372">
            <v>-61637.286751361164</v>
          </cell>
          <cell r="BC372" t="str">
            <v>GOLD</v>
          </cell>
          <cell r="BE372" t="str">
            <v>Nov</v>
          </cell>
        </row>
        <row r="373">
          <cell r="C373" t="str">
            <v>Shikoku</v>
          </cell>
          <cell r="R373">
            <v>0</v>
          </cell>
          <cell r="AZ373">
            <v>0</v>
          </cell>
          <cell r="BA373">
            <v>0</v>
          </cell>
          <cell r="BC373" t="str">
            <v>GOLD</v>
          </cell>
          <cell r="BE373" t="str">
            <v>Dec</v>
          </cell>
        </row>
        <row r="374">
          <cell r="C374" t="str">
            <v>Tepco</v>
          </cell>
          <cell r="R374">
            <v>0</v>
          </cell>
          <cell r="AZ374">
            <v>0</v>
          </cell>
          <cell r="BA374">
            <v>0</v>
          </cell>
          <cell r="BC374" t="str">
            <v>OTHERS</v>
          </cell>
          <cell r="BE374" t="str">
            <v>Jan</v>
          </cell>
        </row>
        <row r="375">
          <cell r="C375" t="str">
            <v>Tepco</v>
          </cell>
          <cell r="R375">
            <v>0</v>
          </cell>
          <cell r="AZ375">
            <v>0</v>
          </cell>
          <cell r="BA375">
            <v>0</v>
          </cell>
          <cell r="BC375" t="str">
            <v>OTHERS</v>
          </cell>
          <cell r="BE375" t="str">
            <v>Feb</v>
          </cell>
        </row>
        <row r="376">
          <cell r="C376" t="str">
            <v>Tepco</v>
          </cell>
          <cell r="R376">
            <v>0</v>
          </cell>
          <cell r="AZ376">
            <v>0</v>
          </cell>
          <cell r="BA376">
            <v>0</v>
          </cell>
          <cell r="BC376" t="str">
            <v>OTHERS</v>
          </cell>
          <cell r="BE376" t="str">
            <v>Mar</v>
          </cell>
        </row>
        <row r="377">
          <cell r="C377" t="str">
            <v>Tepco</v>
          </cell>
          <cell r="R377">
            <v>0</v>
          </cell>
          <cell r="AZ377">
            <v>0</v>
          </cell>
          <cell r="BA377">
            <v>0</v>
          </cell>
          <cell r="BC377" t="str">
            <v>OTHERS</v>
          </cell>
          <cell r="BE377" t="str">
            <v>Apr</v>
          </cell>
        </row>
        <row r="378">
          <cell r="C378" t="str">
            <v>Tepco</v>
          </cell>
          <cell r="R378">
            <v>0</v>
          </cell>
          <cell r="AZ378">
            <v>0</v>
          </cell>
          <cell r="BA378">
            <v>0</v>
          </cell>
          <cell r="BC378" t="str">
            <v>OTHERS</v>
          </cell>
          <cell r="BE378" t="str">
            <v>May</v>
          </cell>
        </row>
        <row r="379">
          <cell r="C379" t="str">
            <v>Tepco</v>
          </cell>
          <cell r="R379">
            <v>49000</v>
          </cell>
          <cell r="AZ379">
            <v>-24500</v>
          </cell>
          <cell r="BA379">
            <v>-69036.594601155244</v>
          </cell>
          <cell r="BC379" t="str">
            <v>OTHERS</v>
          </cell>
          <cell r="BE379" t="str">
            <v>Jun</v>
          </cell>
        </row>
        <row r="380">
          <cell r="C380" t="str">
            <v>Tepco</v>
          </cell>
          <cell r="R380">
            <v>0</v>
          </cell>
          <cell r="AZ380">
            <v>0</v>
          </cell>
          <cell r="BA380">
            <v>0</v>
          </cell>
          <cell r="BC380" t="str">
            <v>OTHERS</v>
          </cell>
          <cell r="BE380" t="str">
            <v>Jul</v>
          </cell>
        </row>
        <row r="381">
          <cell r="C381" t="str">
            <v>Tepco</v>
          </cell>
          <cell r="R381">
            <v>0</v>
          </cell>
          <cell r="AZ381">
            <v>0</v>
          </cell>
          <cell r="BA381">
            <v>0</v>
          </cell>
          <cell r="BC381" t="str">
            <v>OTHERS</v>
          </cell>
          <cell r="BE381" t="str">
            <v>Aug</v>
          </cell>
        </row>
        <row r="382">
          <cell r="C382" t="str">
            <v>Tepco</v>
          </cell>
          <cell r="R382">
            <v>0</v>
          </cell>
          <cell r="AZ382">
            <v>0</v>
          </cell>
          <cell r="BA382">
            <v>0</v>
          </cell>
          <cell r="BC382" t="str">
            <v>OTHERS</v>
          </cell>
          <cell r="BE382" t="str">
            <v>Sep</v>
          </cell>
        </row>
        <row r="383">
          <cell r="C383" t="str">
            <v>Tepco</v>
          </cell>
          <cell r="R383">
            <v>49000</v>
          </cell>
          <cell r="AZ383">
            <v>-24500</v>
          </cell>
          <cell r="BA383">
            <v>-69036.594601155244</v>
          </cell>
          <cell r="BC383" t="str">
            <v>OTHERS</v>
          </cell>
          <cell r="BE383" t="str">
            <v>Oct</v>
          </cell>
        </row>
        <row r="384">
          <cell r="C384" t="str">
            <v>Tepco</v>
          </cell>
          <cell r="R384">
            <v>0</v>
          </cell>
          <cell r="AZ384">
            <v>0</v>
          </cell>
          <cell r="BA384">
            <v>0</v>
          </cell>
          <cell r="BC384" t="str">
            <v>OTHERS</v>
          </cell>
          <cell r="BE384" t="str">
            <v>Nov</v>
          </cell>
        </row>
        <row r="385">
          <cell r="C385" t="str">
            <v>Tepco</v>
          </cell>
          <cell r="R385">
            <v>0</v>
          </cell>
          <cell r="AZ385">
            <v>0</v>
          </cell>
          <cell r="BA385">
            <v>0</v>
          </cell>
          <cell r="BC385" t="str">
            <v>OTHERS</v>
          </cell>
          <cell r="BE385" t="str">
            <v>Dec</v>
          </cell>
        </row>
        <row r="386">
          <cell r="C386" t="str">
            <v>Tepco</v>
          </cell>
          <cell r="R386">
            <v>0</v>
          </cell>
          <cell r="AZ386">
            <v>0</v>
          </cell>
          <cell r="BA386">
            <v>0</v>
          </cell>
          <cell r="BC386" t="str">
            <v>OTHERS</v>
          </cell>
          <cell r="BE386" t="str">
            <v>Jan</v>
          </cell>
        </row>
        <row r="387">
          <cell r="C387" t="str">
            <v>Tepco</v>
          </cell>
          <cell r="R387">
            <v>0</v>
          </cell>
          <cell r="AZ387">
            <v>0</v>
          </cell>
          <cell r="BA387">
            <v>0</v>
          </cell>
          <cell r="BC387" t="str">
            <v>OTHERS</v>
          </cell>
          <cell r="BE387" t="str">
            <v>Feb</v>
          </cell>
        </row>
        <row r="388">
          <cell r="C388" t="str">
            <v>Tepco</v>
          </cell>
          <cell r="R388">
            <v>0</v>
          </cell>
          <cell r="AZ388">
            <v>0</v>
          </cell>
          <cell r="BA388">
            <v>0</v>
          </cell>
          <cell r="BC388" t="str">
            <v>OTHERS</v>
          </cell>
          <cell r="BE388" t="str">
            <v>Mar</v>
          </cell>
        </row>
        <row r="389">
          <cell r="C389" t="str">
            <v>Tepco</v>
          </cell>
          <cell r="R389">
            <v>0</v>
          </cell>
          <cell r="AZ389">
            <v>0</v>
          </cell>
          <cell r="BA389">
            <v>0</v>
          </cell>
          <cell r="BC389" t="str">
            <v>OTHERS</v>
          </cell>
          <cell r="BE389" t="str">
            <v>Apr</v>
          </cell>
        </row>
        <row r="390">
          <cell r="C390" t="str">
            <v>Tepco</v>
          </cell>
          <cell r="R390">
            <v>0</v>
          </cell>
          <cell r="AZ390">
            <v>0</v>
          </cell>
          <cell r="BA390">
            <v>0</v>
          </cell>
          <cell r="BC390" t="str">
            <v>OTHERS</v>
          </cell>
          <cell r="BE390" t="str">
            <v>May</v>
          </cell>
        </row>
        <row r="391">
          <cell r="C391" t="str">
            <v>Tepco</v>
          </cell>
          <cell r="R391">
            <v>21000.000000000004</v>
          </cell>
          <cell r="AZ391">
            <v>-10500.000000000002</v>
          </cell>
          <cell r="BA391">
            <v>-33351.465100337278</v>
          </cell>
          <cell r="BC391" t="str">
            <v>OTHERS</v>
          </cell>
          <cell r="BE391" t="str">
            <v>Jun</v>
          </cell>
        </row>
        <row r="392">
          <cell r="C392" t="str">
            <v>Tepco</v>
          </cell>
          <cell r="R392">
            <v>0</v>
          </cell>
          <cell r="AZ392">
            <v>0</v>
          </cell>
          <cell r="BA392">
            <v>0</v>
          </cell>
          <cell r="BC392" t="str">
            <v>OTHERS</v>
          </cell>
          <cell r="BE392" t="str">
            <v>Jul</v>
          </cell>
        </row>
        <row r="393">
          <cell r="C393" t="str">
            <v>Tepco</v>
          </cell>
          <cell r="R393">
            <v>0</v>
          </cell>
          <cell r="AZ393">
            <v>0</v>
          </cell>
          <cell r="BA393">
            <v>0</v>
          </cell>
          <cell r="BC393" t="str">
            <v>OTHERS</v>
          </cell>
          <cell r="BE393" t="str">
            <v>Aug</v>
          </cell>
        </row>
        <row r="394">
          <cell r="C394" t="str">
            <v>Tepco</v>
          </cell>
          <cell r="R394">
            <v>0</v>
          </cell>
          <cell r="AZ394">
            <v>0</v>
          </cell>
          <cell r="BA394">
            <v>0</v>
          </cell>
          <cell r="BC394" t="str">
            <v>OTHERS</v>
          </cell>
          <cell r="BE394" t="str">
            <v>Sep</v>
          </cell>
        </row>
        <row r="395">
          <cell r="C395" t="str">
            <v>Tepco</v>
          </cell>
          <cell r="R395">
            <v>21000.000000000004</v>
          </cell>
          <cell r="AZ395">
            <v>-10500.000000000002</v>
          </cell>
          <cell r="BA395">
            <v>-33351.465100337278</v>
          </cell>
          <cell r="BC395" t="str">
            <v>OTHERS</v>
          </cell>
          <cell r="BE395" t="str">
            <v>Oct</v>
          </cell>
        </row>
        <row r="396">
          <cell r="C396" t="str">
            <v>Tepco</v>
          </cell>
          <cell r="R396">
            <v>0</v>
          </cell>
          <cell r="AZ396">
            <v>0</v>
          </cell>
          <cell r="BA396">
            <v>0</v>
          </cell>
          <cell r="BC396" t="str">
            <v>OTHERS</v>
          </cell>
          <cell r="BE396" t="str">
            <v>Nov</v>
          </cell>
        </row>
        <row r="397">
          <cell r="C397" t="str">
            <v>Tepco</v>
          </cell>
          <cell r="R397">
            <v>0</v>
          </cell>
          <cell r="AZ397">
            <v>0</v>
          </cell>
          <cell r="BA397">
            <v>0</v>
          </cell>
          <cell r="BC397" t="str">
            <v>OTHERS</v>
          </cell>
          <cell r="BE397" t="str">
            <v>Dec</v>
          </cell>
        </row>
        <row r="398">
          <cell r="C398" t="str">
            <v>Tepco</v>
          </cell>
          <cell r="R398">
            <v>0</v>
          </cell>
          <cell r="AZ398">
            <v>0</v>
          </cell>
          <cell r="BA398">
            <v>0</v>
          </cell>
          <cell r="BC398" t="str">
            <v>OTHERS</v>
          </cell>
          <cell r="BE398" t="str">
            <v>Jan</v>
          </cell>
        </row>
        <row r="399">
          <cell r="C399" t="str">
            <v>Tepco</v>
          </cell>
          <cell r="R399">
            <v>0</v>
          </cell>
          <cell r="AZ399">
            <v>0</v>
          </cell>
          <cell r="BA399">
            <v>0</v>
          </cell>
          <cell r="BC399" t="str">
            <v>OTHERS</v>
          </cell>
          <cell r="BE399" t="str">
            <v>Feb</v>
          </cell>
        </row>
        <row r="400">
          <cell r="C400" t="str">
            <v>Tepco</v>
          </cell>
          <cell r="R400">
            <v>42000</v>
          </cell>
          <cell r="AZ400">
            <v>-21000</v>
          </cell>
          <cell r="BA400">
            <v>-54878.763007771726</v>
          </cell>
          <cell r="BC400" t="str">
            <v>OTHERS</v>
          </cell>
          <cell r="BE400" t="str">
            <v>Mar</v>
          </cell>
        </row>
        <row r="401">
          <cell r="C401" t="str">
            <v>Tepco</v>
          </cell>
          <cell r="R401">
            <v>0</v>
          </cell>
          <cell r="AZ401">
            <v>0</v>
          </cell>
          <cell r="BA401">
            <v>0</v>
          </cell>
          <cell r="BC401" t="str">
            <v>OTHERS</v>
          </cell>
          <cell r="BE401" t="str">
            <v>Apr</v>
          </cell>
        </row>
        <row r="402">
          <cell r="C402" t="str">
            <v>Tepco</v>
          </cell>
          <cell r="R402">
            <v>0</v>
          </cell>
          <cell r="AZ402">
            <v>0</v>
          </cell>
          <cell r="BA402">
            <v>0</v>
          </cell>
          <cell r="BC402" t="str">
            <v>OTHERS</v>
          </cell>
          <cell r="BE402" t="str">
            <v>May</v>
          </cell>
        </row>
        <row r="403">
          <cell r="C403" t="str">
            <v>Tepco</v>
          </cell>
          <cell r="R403">
            <v>0</v>
          </cell>
          <cell r="AZ403">
            <v>0</v>
          </cell>
          <cell r="BA403">
            <v>0</v>
          </cell>
          <cell r="BC403" t="str">
            <v>OTHERS</v>
          </cell>
          <cell r="BE403" t="str">
            <v>Jun</v>
          </cell>
        </row>
        <row r="404">
          <cell r="C404" t="str">
            <v>Tepco</v>
          </cell>
          <cell r="R404">
            <v>0</v>
          </cell>
          <cell r="AZ404">
            <v>0</v>
          </cell>
          <cell r="BA404">
            <v>0</v>
          </cell>
          <cell r="BC404" t="str">
            <v>OTHERS</v>
          </cell>
          <cell r="BE404" t="str">
            <v>Jul</v>
          </cell>
        </row>
        <row r="405">
          <cell r="C405" t="str">
            <v>Tepco</v>
          </cell>
          <cell r="R405">
            <v>0</v>
          </cell>
          <cell r="AZ405">
            <v>0</v>
          </cell>
          <cell r="BA405">
            <v>0</v>
          </cell>
          <cell r="BC405" t="str">
            <v>OTHERS</v>
          </cell>
          <cell r="BE405" t="str">
            <v>Aug</v>
          </cell>
        </row>
        <row r="406">
          <cell r="C406" t="str">
            <v>Tepco</v>
          </cell>
          <cell r="R406">
            <v>0</v>
          </cell>
          <cell r="AZ406">
            <v>0</v>
          </cell>
          <cell r="BA406">
            <v>0</v>
          </cell>
          <cell r="BC406" t="str">
            <v>OTHERS</v>
          </cell>
          <cell r="BE406" t="str">
            <v>Sep</v>
          </cell>
        </row>
        <row r="407">
          <cell r="C407" t="str">
            <v>Tepco</v>
          </cell>
          <cell r="R407">
            <v>0</v>
          </cell>
          <cell r="AZ407">
            <v>0</v>
          </cell>
          <cell r="BA407">
            <v>0</v>
          </cell>
          <cell r="BC407" t="str">
            <v>OTHERS</v>
          </cell>
          <cell r="BE407" t="str">
            <v>Oct</v>
          </cell>
        </row>
        <row r="408">
          <cell r="C408" t="str">
            <v>Tepco</v>
          </cell>
          <cell r="R408">
            <v>0</v>
          </cell>
          <cell r="AZ408">
            <v>0</v>
          </cell>
          <cell r="BA408">
            <v>0</v>
          </cell>
          <cell r="BC408" t="str">
            <v>OTHERS</v>
          </cell>
          <cell r="BE408" t="str">
            <v>Nov</v>
          </cell>
        </row>
        <row r="409">
          <cell r="C409" t="str">
            <v>Tepco</v>
          </cell>
          <cell r="R409">
            <v>0</v>
          </cell>
          <cell r="AZ409">
            <v>0</v>
          </cell>
          <cell r="BA409">
            <v>0</v>
          </cell>
          <cell r="BC409" t="str">
            <v>OTHERS</v>
          </cell>
          <cell r="BE409" t="str">
            <v>Dec</v>
          </cell>
        </row>
        <row r="410">
          <cell r="C410" t="str">
            <v>Tepco</v>
          </cell>
          <cell r="R410">
            <v>0</v>
          </cell>
          <cell r="AZ410">
            <v>0</v>
          </cell>
          <cell r="BA410">
            <v>0</v>
          </cell>
          <cell r="BC410" t="str">
            <v>OTHERS</v>
          </cell>
          <cell r="BE410" t="str">
            <v>Jan</v>
          </cell>
        </row>
        <row r="411">
          <cell r="C411" t="str">
            <v>Tepco</v>
          </cell>
          <cell r="R411">
            <v>0</v>
          </cell>
          <cell r="AZ411">
            <v>0</v>
          </cell>
          <cell r="BA411">
            <v>0</v>
          </cell>
          <cell r="BC411" t="str">
            <v>OTHERS</v>
          </cell>
          <cell r="BE411" t="str">
            <v>Feb</v>
          </cell>
        </row>
        <row r="412">
          <cell r="C412" t="str">
            <v>Tepco</v>
          </cell>
          <cell r="R412">
            <v>28000</v>
          </cell>
          <cell r="AZ412">
            <v>-14000</v>
          </cell>
          <cell r="BA412">
            <v>-41240.63997730289</v>
          </cell>
          <cell r="BC412" t="str">
            <v>OTHERS</v>
          </cell>
          <cell r="BE412" t="str">
            <v>Mar</v>
          </cell>
        </row>
        <row r="413">
          <cell r="C413" t="str">
            <v>Tepco</v>
          </cell>
          <cell r="R413">
            <v>0</v>
          </cell>
          <cell r="AZ413">
            <v>0</v>
          </cell>
          <cell r="BA413">
            <v>0</v>
          </cell>
          <cell r="BC413" t="str">
            <v>OTHERS</v>
          </cell>
          <cell r="BE413" t="str">
            <v>Apr</v>
          </cell>
        </row>
        <row r="414">
          <cell r="C414" t="str">
            <v>Tepco</v>
          </cell>
          <cell r="R414">
            <v>0</v>
          </cell>
          <cell r="AZ414">
            <v>0</v>
          </cell>
          <cell r="BA414">
            <v>0</v>
          </cell>
          <cell r="BC414" t="str">
            <v>OTHERS</v>
          </cell>
          <cell r="BE414" t="str">
            <v>May</v>
          </cell>
        </row>
        <row r="415">
          <cell r="C415" t="str">
            <v>Tepco</v>
          </cell>
          <cell r="R415">
            <v>0</v>
          </cell>
          <cell r="AZ415">
            <v>0</v>
          </cell>
          <cell r="BA415">
            <v>0</v>
          </cell>
          <cell r="BC415" t="str">
            <v>OTHERS</v>
          </cell>
          <cell r="BE415" t="str">
            <v>Jun</v>
          </cell>
        </row>
        <row r="416">
          <cell r="C416" t="str">
            <v>Tepco</v>
          </cell>
          <cell r="R416">
            <v>0</v>
          </cell>
          <cell r="AZ416">
            <v>0</v>
          </cell>
          <cell r="BA416">
            <v>0</v>
          </cell>
          <cell r="BC416" t="str">
            <v>OTHERS</v>
          </cell>
          <cell r="BE416" t="str">
            <v>Jul</v>
          </cell>
        </row>
        <row r="417">
          <cell r="C417" t="str">
            <v>Tepco</v>
          </cell>
          <cell r="R417">
            <v>0</v>
          </cell>
          <cell r="AZ417">
            <v>0</v>
          </cell>
          <cell r="BA417">
            <v>0</v>
          </cell>
          <cell r="BC417" t="str">
            <v>OTHERS</v>
          </cell>
          <cell r="BE417" t="str">
            <v>Aug</v>
          </cell>
        </row>
        <row r="418">
          <cell r="C418" t="str">
            <v>Tepco</v>
          </cell>
          <cell r="R418">
            <v>0</v>
          </cell>
          <cell r="AZ418">
            <v>0</v>
          </cell>
          <cell r="BA418">
            <v>0</v>
          </cell>
          <cell r="BC418" t="str">
            <v>OTHERS</v>
          </cell>
          <cell r="BE418" t="str">
            <v>Sep</v>
          </cell>
        </row>
        <row r="419">
          <cell r="C419" t="str">
            <v>Tepco</v>
          </cell>
          <cell r="R419">
            <v>0</v>
          </cell>
          <cell r="AZ419">
            <v>0</v>
          </cell>
          <cell r="BA419">
            <v>0</v>
          </cell>
          <cell r="BC419" t="str">
            <v>OTHERS</v>
          </cell>
          <cell r="BE419" t="str">
            <v>Oct</v>
          </cell>
        </row>
        <row r="420">
          <cell r="C420" t="str">
            <v>Tepco</v>
          </cell>
          <cell r="R420">
            <v>0</v>
          </cell>
          <cell r="AZ420">
            <v>0</v>
          </cell>
          <cell r="BA420">
            <v>0</v>
          </cell>
          <cell r="BC420" t="str">
            <v>OTHERS</v>
          </cell>
          <cell r="BE420" t="str">
            <v>Nov</v>
          </cell>
        </row>
        <row r="421">
          <cell r="C421" t="str">
            <v>Tepco</v>
          </cell>
          <cell r="R421">
            <v>0</v>
          </cell>
          <cell r="AZ421">
            <v>0</v>
          </cell>
          <cell r="BA421">
            <v>0</v>
          </cell>
          <cell r="BC421" t="str">
            <v>OTHERS</v>
          </cell>
          <cell r="BE421" t="str">
            <v>Dec</v>
          </cell>
        </row>
        <row r="422">
          <cell r="C422" t="str">
            <v>Tohoku</v>
          </cell>
          <cell r="R422">
            <v>0</v>
          </cell>
          <cell r="AZ422">
            <v>0</v>
          </cell>
          <cell r="BA422">
            <v>0</v>
          </cell>
          <cell r="BC422" t="str">
            <v>OTHERS</v>
          </cell>
          <cell r="BE422" t="str">
            <v>Jan</v>
          </cell>
        </row>
        <row r="423">
          <cell r="C423" t="str">
            <v>Tohoku</v>
          </cell>
          <cell r="R423">
            <v>45000</v>
          </cell>
          <cell r="AZ423">
            <v>-90000</v>
          </cell>
          <cell r="BA423">
            <v>-74450.105065836236</v>
          </cell>
          <cell r="BC423" t="str">
            <v>OTHERS</v>
          </cell>
          <cell r="BE423" t="str">
            <v>Feb</v>
          </cell>
        </row>
        <row r="424">
          <cell r="C424" t="str">
            <v>Tohoku</v>
          </cell>
          <cell r="R424">
            <v>0</v>
          </cell>
          <cell r="AZ424">
            <v>0</v>
          </cell>
          <cell r="BA424">
            <v>0</v>
          </cell>
          <cell r="BC424" t="str">
            <v>OTHERS</v>
          </cell>
          <cell r="BE424" t="str">
            <v>Mar</v>
          </cell>
        </row>
        <row r="425">
          <cell r="C425" t="str">
            <v>Tohoku</v>
          </cell>
          <cell r="R425">
            <v>0</v>
          </cell>
          <cell r="AZ425">
            <v>0</v>
          </cell>
          <cell r="BA425">
            <v>0</v>
          </cell>
          <cell r="BC425" t="str">
            <v>OTHERS</v>
          </cell>
          <cell r="BE425" t="str">
            <v>Apr</v>
          </cell>
        </row>
        <row r="426">
          <cell r="C426" t="str">
            <v>Tohoku</v>
          </cell>
          <cell r="R426">
            <v>0</v>
          </cell>
          <cell r="AZ426">
            <v>0</v>
          </cell>
          <cell r="BA426">
            <v>0</v>
          </cell>
          <cell r="BC426" t="str">
            <v>OTHERS</v>
          </cell>
          <cell r="BE426" t="str">
            <v>May</v>
          </cell>
        </row>
        <row r="427">
          <cell r="C427" t="str">
            <v>Tohoku</v>
          </cell>
          <cell r="R427">
            <v>0</v>
          </cell>
          <cell r="AZ427">
            <v>0</v>
          </cell>
          <cell r="BA427">
            <v>0</v>
          </cell>
          <cell r="BC427" t="str">
            <v>OTHERS</v>
          </cell>
          <cell r="BE427" t="str">
            <v>Jun</v>
          </cell>
        </row>
        <row r="428">
          <cell r="C428" t="str">
            <v>Tohoku</v>
          </cell>
          <cell r="R428">
            <v>0</v>
          </cell>
          <cell r="AZ428">
            <v>0</v>
          </cell>
          <cell r="BA428">
            <v>0</v>
          </cell>
          <cell r="BC428" t="str">
            <v>OTHERS</v>
          </cell>
          <cell r="BE428" t="str">
            <v>Jul</v>
          </cell>
        </row>
        <row r="429">
          <cell r="C429" t="str">
            <v>Tohoku</v>
          </cell>
          <cell r="R429">
            <v>0</v>
          </cell>
          <cell r="AZ429">
            <v>0</v>
          </cell>
          <cell r="BA429">
            <v>0</v>
          </cell>
          <cell r="BC429" t="str">
            <v>OTHERS</v>
          </cell>
          <cell r="BE429" t="str">
            <v>Aug</v>
          </cell>
        </row>
        <row r="430">
          <cell r="C430" t="str">
            <v>Tohoku</v>
          </cell>
          <cell r="R430">
            <v>0</v>
          </cell>
          <cell r="AZ430">
            <v>0</v>
          </cell>
          <cell r="BA430">
            <v>0</v>
          </cell>
          <cell r="BC430" t="str">
            <v>OTHERS</v>
          </cell>
          <cell r="BE430" t="str">
            <v>Sep</v>
          </cell>
        </row>
        <row r="431">
          <cell r="C431" t="str">
            <v>Tohoku</v>
          </cell>
          <cell r="R431">
            <v>0</v>
          </cell>
          <cell r="AZ431">
            <v>0</v>
          </cell>
          <cell r="BA431">
            <v>0</v>
          </cell>
          <cell r="BC431" t="str">
            <v>OTHERS</v>
          </cell>
          <cell r="BE431" t="str">
            <v>Oct</v>
          </cell>
        </row>
        <row r="432">
          <cell r="C432" t="str">
            <v>Tohoku</v>
          </cell>
          <cell r="R432">
            <v>0</v>
          </cell>
          <cell r="AZ432">
            <v>0</v>
          </cell>
          <cell r="BA432">
            <v>0</v>
          </cell>
          <cell r="BC432" t="str">
            <v>OTHERS</v>
          </cell>
          <cell r="BE432" t="str">
            <v>Nov</v>
          </cell>
        </row>
        <row r="433">
          <cell r="C433" t="str">
            <v>Tohoku</v>
          </cell>
          <cell r="R433">
            <v>0</v>
          </cell>
          <cell r="AZ433">
            <v>0</v>
          </cell>
          <cell r="BA433">
            <v>0</v>
          </cell>
          <cell r="BC433" t="str">
            <v>OTHERS</v>
          </cell>
          <cell r="BE433" t="str">
            <v>Dec</v>
          </cell>
        </row>
        <row r="434">
          <cell r="C434" t="str">
            <v>Tohoku</v>
          </cell>
          <cell r="R434">
            <v>0</v>
          </cell>
          <cell r="AZ434">
            <v>0</v>
          </cell>
          <cell r="BA434">
            <v>0</v>
          </cell>
          <cell r="BC434" t="str">
            <v>OTHERS</v>
          </cell>
          <cell r="BE434" t="str">
            <v>Jan</v>
          </cell>
        </row>
        <row r="435">
          <cell r="C435" t="str">
            <v>Tohoku</v>
          </cell>
          <cell r="R435">
            <v>30000</v>
          </cell>
          <cell r="AZ435">
            <v>-60000</v>
          </cell>
          <cell r="BA435">
            <v>-43480.929416922401</v>
          </cell>
          <cell r="BC435" t="str">
            <v>OTHERS</v>
          </cell>
          <cell r="BE435" t="str">
            <v>Feb</v>
          </cell>
        </row>
        <row r="436">
          <cell r="C436" t="str">
            <v>Tohoku</v>
          </cell>
          <cell r="R436">
            <v>0</v>
          </cell>
          <cell r="AZ436">
            <v>0</v>
          </cell>
          <cell r="BA436">
            <v>0</v>
          </cell>
          <cell r="BC436" t="str">
            <v>OTHERS</v>
          </cell>
          <cell r="BE436" t="str">
            <v>Mar</v>
          </cell>
        </row>
        <row r="437">
          <cell r="C437" t="str">
            <v>Tohoku</v>
          </cell>
          <cell r="R437">
            <v>0</v>
          </cell>
          <cell r="AZ437">
            <v>0</v>
          </cell>
          <cell r="BA437">
            <v>0</v>
          </cell>
          <cell r="BC437" t="str">
            <v>OTHERS</v>
          </cell>
          <cell r="BE437" t="str">
            <v>Apr</v>
          </cell>
        </row>
        <row r="438">
          <cell r="C438" t="str">
            <v>Tohoku</v>
          </cell>
          <cell r="R438">
            <v>0</v>
          </cell>
          <cell r="AZ438">
            <v>0</v>
          </cell>
          <cell r="BA438">
            <v>0</v>
          </cell>
          <cell r="BC438" t="str">
            <v>OTHERS</v>
          </cell>
          <cell r="BE438" t="str">
            <v>May</v>
          </cell>
        </row>
        <row r="439">
          <cell r="C439" t="str">
            <v>Tohoku</v>
          </cell>
          <cell r="R439">
            <v>0</v>
          </cell>
          <cell r="AZ439">
            <v>0</v>
          </cell>
          <cell r="BA439">
            <v>0</v>
          </cell>
          <cell r="BC439" t="str">
            <v>OTHERS</v>
          </cell>
          <cell r="BE439" t="str">
            <v>Jun</v>
          </cell>
        </row>
        <row r="440">
          <cell r="C440" t="str">
            <v>Tohoku</v>
          </cell>
          <cell r="R440">
            <v>0</v>
          </cell>
          <cell r="AZ440">
            <v>0</v>
          </cell>
          <cell r="BA440">
            <v>0</v>
          </cell>
          <cell r="BC440" t="str">
            <v>OTHERS</v>
          </cell>
          <cell r="BE440" t="str">
            <v>Jul</v>
          </cell>
        </row>
        <row r="441">
          <cell r="C441" t="str">
            <v>Tohoku</v>
          </cell>
          <cell r="R441">
            <v>0</v>
          </cell>
          <cell r="AZ441">
            <v>0</v>
          </cell>
          <cell r="BA441">
            <v>0</v>
          </cell>
          <cell r="BC441" t="str">
            <v>OTHERS</v>
          </cell>
          <cell r="BE441" t="str">
            <v>Aug</v>
          </cell>
        </row>
        <row r="442">
          <cell r="C442" t="str">
            <v>Tohoku</v>
          </cell>
          <cell r="R442">
            <v>0</v>
          </cell>
          <cell r="AZ442">
            <v>0</v>
          </cell>
          <cell r="BA442">
            <v>0</v>
          </cell>
          <cell r="BC442" t="str">
            <v>OTHERS</v>
          </cell>
          <cell r="BE442" t="str">
            <v>Sep</v>
          </cell>
        </row>
        <row r="443">
          <cell r="C443" t="str">
            <v>Tohoku</v>
          </cell>
          <cell r="R443">
            <v>0</v>
          </cell>
          <cell r="AZ443">
            <v>0</v>
          </cell>
          <cell r="BA443">
            <v>0</v>
          </cell>
          <cell r="BC443" t="str">
            <v>OTHERS</v>
          </cell>
          <cell r="BE443" t="str">
            <v>Oct</v>
          </cell>
        </row>
        <row r="444">
          <cell r="C444" t="str">
            <v>Tohoku</v>
          </cell>
          <cell r="R444">
            <v>0</v>
          </cell>
          <cell r="AZ444">
            <v>0</v>
          </cell>
          <cell r="BA444">
            <v>0</v>
          </cell>
          <cell r="BC444" t="str">
            <v>OTHERS</v>
          </cell>
          <cell r="BE444" t="str">
            <v>Nov</v>
          </cell>
        </row>
        <row r="445">
          <cell r="C445" t="str">
            <v>Tohoku</v>
          </cell>
          <cell r="R445">
            <v>0</v>
          </cell>
          <cell r="AZ445">
            <v>0</v>
          </cell>
          <cell r="BA445">
            <v>0</v>
          </cell>
          <cell r="BC445" t="str">
            <v>OTHERS</v>
          </cell>
          <cell r="BE445" t="str">
            <v>Dec</v>
          </cell>
        </row>
        <row r="446">
          <cell r="C446" t="str">
            <v>Tohoku</v>
          </cell>
          <cell r="R446">
            <v>0</v>
          </cell>
          <cell r="AZ446">
            <v>0</v>
          </cell>
          <cell r="BA446">
            <v>0</v>
          </cell>
          <cell r="BC446" t="str">
            <v>OTHERS</v>
          </cell>
          <cell r="BE446" t="str">
            <v>Jan</v>
          </cell>
        </row>
        <row r="447">
          <cell r="C447" t="str">
            <v>Tohoku</v>
          </cell>
          <cell r="R447">
            <v>0</v>
          </cell>
          <cell r="AZ447">
            <v>0</v>
          </cell>
          <cell r="BA447">
            <v>0</v>
          </cell>
          <cell r="BC447" t="str">
            <v>OTHERS</v>
          </cell>
          <cell r="BE447" t="str">
            <v>Feb</v>
          </cell>
        </row>
        <row r="448">
          <cell r="C448" t="str">
            <v>Tohoku</v>
          </cell>
          <cell r="R448">
            <v>0</v>
          </cell>
          <cell r="AZ448">
            <v>0</v>
          </cell>
          <cell r="BA448">
            <v>0</v>
          </cell>
          <cell r="BC448" t="str">
            <v>OTHERS</v>
          </cell>
          <cell r="BE448" t="str">
            <v>Mar</v>
          </cell>
        </row>
        <row r="449">
          <cell r="C449" t="str">
            <v>Tohoku</v>
          </cell>
          <cell r="R449">
            <v>0</v>
          </cell>
          <cell r="AZ449">
            <v>0</v>
          </cell>
          <cell r="BA449">
            <v>0</v>
          </cell>
          <cell r="BC449" t="str">
            <v>OTHERS</v>
          </cell>
          <cell r="BE449" t="str">
            <v>Apr</v>
          </cell>
        </row>
        <row r="450">
          <cell r="C450" t="str">
            <v>Tohoku</v>
          </cell>
          <cell r="R450">
            <v>0</v>
          </cell>
          <cell r="AZ450">
            <v>0</v>
          </cell>
          <cell r="BA450">
            <v>0</v>
          </cell>
          <cell r="BC450" t="str">
            <v>OTHERS</v>
          </cell>
          <cell r="BE450" t="str">
            <v>May</v>
          </cell>
        </row>
        <row r="451">
          <cell r="C451" t="str">
            <v>Tohoku</v>
          </cell>
          <cell r="R451">
            <v>0</v>
          </cell>
          <cell r="AZ451">
            <v>0</v>
          </cell>
          <cell r="BA451">
            <v>0</v>
          </cell>
          <cell r="BC451" t="str">
            <v>OTHERS</v>
          </cell>
          <cell r="BE451" t="str">
            <v>Jun</v>
          </cell>
        </row>
        <row r="452">
          <cell r="C452" t="str">
            <v>Tohoku</v>
          </cell>
          <cell r="R452">
            <v>45000</v>
          </cell>
          <cell r="AZ452">
            <v>-90000</v>
          </cell>
          <cell r="BA452">
            <v>-74520.191322699175</v>
          </cell>
          <cell r="BC452" t="str">
            <v>OTHERS</v>
          </cell>
          <cell r="BE452" t="str">
            <v>Jul</v>
          </cell>
        </row>
        <row r="453">
          <cell r="C453" t="str">
            <v>Tohoku</v>
          </cell>
          <cell r="R453">
            <v>0</v>
          </cell>
          <cell r="AZ453">
            <v>0</v>
          </cell>
          <cell r="BA453">
            <v>0</v>
          </cell>
          <cell r="BC453" t="str">
            <v>OTHERS</v>
          </cell>
          <cell r="BE453" t="str">
            <v>Aug</v>
          </cell>
        </row>
        <row r="454">
          <cell r="C454" t="str">
            <v>Tohoku</v>
          </cell>
          <cell r="R454">
            <v>0</v>
          </cell>
          <cell r="AZ454">
            <v>0</v>
          </cell>
          <cell r="BA454">
            <v>0</v>
          </cell>
          <cell r="BC454" t="str">
            <v>OTHERS</v>
          </cell>
          <cell r="BE454" t="str">
            <v>Sep</v>
          </cell>
        </row>
        <row r="455">
          <cell r="C455" t="str">
            <v>Tohoku</v>
          </cell>
          <cell r="R455">
            <v>45000</v>
          </cell>
          <cell r="AZ455">
            <v>-90000</v>
          </cell>
          <cell r="BA455">
            <v>-74520.191322699175</v>
          </cell>
          <cell r="BC455" t="str">
            <v>OTHERS</v>
          </cell>
          <cell r="BE455" t="str">
            <v>Oct</v>
          </cell>
        </row>
        <row r="456">
          <cell r="C456" t="str">
            <v>Tohoku</v>
          </cell>
          <cell r="R456">
            <v>0</v>
          </cell>
          <cell r="AZ456">
            <v>0</v>
          </cell>
          <cell r="BA456">
            <v>0</v>
          </cell>
          <cell r="BC456" t="str">
            <v>OTHERS</v>
          </cell>
          <cell r="BE456" t="str">
            <v>Nov</v>
          </cell>
        </row>
        <row r="457">
          <cell r="C457" t="str">
            <v>Tohoku</v>
          </cell>
          <cell r="R457">
            <v>0</v>
          </cell>
          <cell r="AZ457">
            <v>0</v>
          </cell>
          <cell r="BA457">
            <v>0</v>
          </cell>
          <cell r="BC457" t="str">
            <v>OTHERS</v>
          </cell>
          <cell r="BE457" t="str">
            <v>Dec</v>
          </cell>
        </row>
        <row r="458">
          <cell r="C458" t="str">
            <v>Tohoku</v>
          </cell>
          <cell r="R458">
            <v>0</v>
          </cell>
          <cell r="AZ458">
            <v>0</v>
          </cell>
          <cell r="BA458">
            <v>0</v>
          </cell>
          <cell r="BC458" t="str">
            <v>OTHERS</v>
          </cell>
          <cell r="BE458" t="str">
            <v>Jan</v>
          </cell>
        </row>
        <row r="459">
          <cell r="C459" t="str">
            <v>Tohoku</v>
          </cell>
          <cell r="R459">
            <v>0</v>
          </cell>
          <cell r="AZ459">
            <v>0</v>
          </cell>
          <cell r="BA459">
            <v>0</v>
          </cell>
          <cell r="BC459" t="str">
            <v>OTHERS</v>
          </cell>
          <cell r="BE459" t="str">
            <v>Feb</v>
          </cell>
        </row>
        <row r="460">
          <cell r="C460" t="str">
            <v>Tohoku</v>
          </cell>
          <cell r="R460">
            <v>0</v>
          </cell>
          <cell r="AZ460">
            <v>0</v>
          </cell>
          <cell r="BA460">
            <v>0</v>
          </cell>
          <cell r="BC460" t="str">
            <v>OTHERS</v>
          </cell>
          <cell r="BE460" t="str">
            <v>Mar</v>
          </cell>
        </row>
        <row r="461">
          <cell r="C461" t="str">
            <v>Tohoku</v>
          </cell>
          <cell r="R461">
            <v>0</v>
          </cell>
          <cell r="AZ461">
            <v>0</v>
          </cell>
          <cell r="BA461">
            <v>0</v>
          </cell>
          <cell r="BC461" t="str">
            <v>OTHERS</v>
          </cell>
          <cell r="BE461" t="str">
            <v>Apr</v>
          </cell>
        </row>
        <row r="462">
          <cell r="C462" t="str">
            <v>Tohoku</v>
          </cell>
          <cell r="R462">
            <v>0</v>
          </cell>
          <cell r="AZ462">
            <v>0</v>
          </cell>
          <cell r="BA462">
            <v>0</v>
          </cell>
          <cell r="BC462" t="str">
            <v>OTHERS</v>
          </cell>
          <cell r="BE462" t="str">
            <v>May</v>
          </cell>
        </row>
        <row r="463">
          <cell r="C463" t="str">
            <v>Tohoku</v>
          </cell>
          <cell r="R463">
            <v>0</v>
          </cell>
          <cell r="AZ463">
            <v>0</v>
          </cell>
          <cell r="BA463">
            <v>0</v>
          </cell>
          <cell r="BC463" t="str">
            <v>OTHERS</v>
          </cell>
          <cell r="BE463" t="str">
            <v>Jun</v>
          </cell>
        </row>
        <row r="464">
          <cell r="C464" t="str">
            <v>Tohoku</v>
          </cell>
          <cell r="R464">
            <v>30000</v>
          </cell>
          <cell r="AZ464">
            <v>-60000</v>
          </cell>
          <cell r="BA464">
            <v>-43410.843160059456</v>
          </cell>
          <cell r="BC464" t="str">
            <v>OTHERS</v>
          </cell>
          <cell r="BE464" t="str">
            <v>Jul</v>
          </cell>
        </row>
        <row r="465">
          <cell r="C465" t="str">
            <v>Tohoku</v>
          </cell>
          <cell r="R465">
            <v>0</v>
          </cell>
          <cell r="AZ465">
            <v>0</v>
          </cell>
          <cell r="BA465">
            <v>0</v>
          </cell>
          <cell r="BC465" t="str">
            <v>OTHERS</v>
          </cell>
          <cell r="BE465" t="str">
            <v>Aug</v>
          </cell>
        </row>
        <row r="466">
          <cell r="C466" t="str">
            <v>Tohoku</v>
          </cell>
          <cell r="R466">
            <v>0</v>
          </cell>
          <cell r="AZ466">
            <v>0</v>
          </cell>
          <cell r="BA466">
            <v>0</v>
          </cell>
          <cell r="BC466" t="str">
            <v>OTHERS</v>
          </cell>
          <cell r="BE466" t="str">
            <v>Sep</v>
          </cell>
        </row>
        <row r="467">
          <cell r="C467" t="str">
            <v>Tohoku</v>
          </cell>
          <cell r="R467">
            <v>30000</v>
          </cell>
          <cell r="AZ467">
            <v>-60000</v>
          </cell>
          <cell r="BA467">
            <v>-43410.843160059456</v>
          </cell>
          <cell r="BC467" t="str">
            <v>OTHERS</v>
          </cell>
          <cell r="BE467" t="str">
            <v>Oct</v>
          </cell>
        </row>
        <row r="468">
          <cell r="C468" t="str">
            <v>Tohoku</v>
          </cell>
          <cell r="R468">
            <v>0</v>
          </cell>
          <cell r="AZ468">
            <v>0</v>
          </cell>
          <cell r="BA468">
            <v>0</v>
          </cell>
          <cell r="BC468" t="str">
            <v>OTHERS</v>
          </cell>
          <cell r="BE468" t="str">
            <v>Nov</v>
          </cell>
        </row>
        <row r="469">
          <cell r="C469" t="str">
            <v>Tohoku</v>
          </cell>
          <cell r="R469">
            <v>0</v>
          </cell>
          <cell r="AZ469">
            <v>0</v>
          </cell>
          <cell r="BA469">
            <v>0</v>
          </cell>
          <cell r="BC469" t="str">
            <v>OTHERS</v>
          </cell>
          <cell r="BE469" t="str">
            <v>Dec</v>
          </cell>
        </row>
        <row r="470">
          <cell r="C470" t="str">
            <v>Tokuyama</v>
          </cell>
          <cell r="R470">
            <v>0</v>
          </cell>
          <cell r="AZ470">
            <v>0</v>
          </cell>
          <cell r="BA470">
            <v>0</v>
          </cell>
          <cell r="BC470" t="str">
            <v>OTHERS</v>
          </cell>
          <cell r="BE470" t="str">
            <v>Jan</v>
          </cell>
        </row>
        <row r="471">
          <cell r="C471" t="str">
            <v>Tokuyama</v>
          </cell>
          <cell r="R471">
            <v>0</v>
          </cell>
          <cell r="AZ471">
            <v>0</v>
          </cell>
          <cell r="BA471">
            <v>0</v>
          </cell>
          <cell r="BC471" t="str">
            <v>OTHERS</v>
          </cell>
          <cell r="BE471" t="str">
            <v>Feb</v>
          </cell>
        </row>
        <row r="472">
          <cell r="C472" t="str">
            <v>Tokuyama</v>
          </cell>
          <cell r="R472">
            <v>50000</v>
          </cell>
          <cell r="AZ472">
            <v>-25000</v>
          </cell>
          <cell r="BA472">
            <v>-83534.482758620696</v>
          </cell>
          <cell r="BC472" t="str">
            <v>OTHERS</v>
          </cell>
          <cell r="BE472" t="str">
            <v>Mar</v>
          </cell>
        </row>
        <row r="473">
          <cell r="C473" t="str">
            <v>Tokuyama</v>
          </cell>
          <cell r="R473">
            <v>0</v>
          </cell>
          <cell r="AZ473">
            <v>0</v>
          </cell>
          <cell r="BA473">
            <v>0</v>
          </cell>
          <cell r="BC473" t="str">
            <v>OTHERS</v>
          </cell>
          <cell r="BE473" t="str">
            <v>Apr</v>
          </cell>
        </row>
        <row r="474">
          <cell r="C474" t="str">
            <v>Tokuyama</v>
          </cell>
          <cell r="R474">
            <v>0</v>
          </cell>
          <cell r="AZ474">
            <v>0</v>
          </cell>
          <cell r="BA474">
            <v>0</v>
          </cell>
          <cell r="BC474" t="str">
            <v>OTHERS</v>
          </cell>
          <cell r="BE474" t="str">
            <v>May</v>
          </cell>
        </row>
        <row r="475">
          <cell r="C475" t="str">
            <v>Tokuyama</v>
          </cell>
          <cell r="R475">
            <v>0</v>
          </cell>
          <cell r="AZ475">
            <v>0</v>
          </cell>
          <cell r="BA475">
            <v>0</v>
          </cell>
          <cell r="BC475" t="str">
            <v>OTHERS</v>
          </cell>
          <cell r="BE475" t="str">
            <v>Jun</v>
          </cell>
        </row>
        <row r="476">
          <cell r="C476" t="str">
            <v>Tokuyama</v>
          </cell>
          <cell r="R476">
            <v>0</v>
          </cell>
          <cell r="AZ476">
            <v>0</v>
          </cell>
          <cell r="BA476">
            <v>0</v>
          </cell>
          <cell r="BC476" t="str">
            <v>OTHERS</v>
          </cell>
          <cell r="BE476" t="str">
            <v>Jul</v>
          </cell>
        </row>
        <row r="477">
          <cell r="C477" t="str">
            <v>Tokuyama</v>
          </cell>
          <cell r="R477">
            <v>0</v>
          </cell>
          <cell r="AZ477">
            <v>0</v>
          </cell>
          <cell r="BA477">
            <v>0</v>
          </cell>
          <cell r="BC477" t="str">
            <v>OTHERS</v>
          </cell>
          <cell r="BE477" t="str">
            <v>Aug</v>
          </cell>
        </row>
        <row r="478">
          <cell r="C478" t="str">
            <v>Tokuyama</v>
          </cell>
          <cell r="R478">
            <v>0</v>
          </cell>
          <cell r="AZ478">
            <v>0</v>
          </cell>
          <cell r="BA478">
            <v>0</v>
          </cell>
          <cell r="BC478" t="str">
            <v>OTHERS</v>
          </cell>
          <cell r="BE478" t="str">
            <v>Sep</v>
          </cell>
        </row>
        <row r="479">
          <cell r="C479" t="str">
            <v>Tokuyama</v>
          </cell>
          <cell r="R479">
            <v>0</v>
          </cell>
          <cell r="AZ479">
            <v>0</v>
          </cell>
          <cell r="BA479">
            <v>0</v>
          </cell>
          <cell r="BC479" t="str">
            <v>OTHERS</v>
          </cell>
          <cell r="BE479" t="str">
            <v>Oct</v>
          </cell>
        </row>
        <row r="480">
          <cell r="C480" t="str">
            <v>Tokuyama</v>
          </cell>
          <cell r="R480">
            <v>0</v>
          </cell>
          <cell r="AZ480">
            <v>0</v>
          </cell>
          <cell r="BA480">
            <v>0</v>
          </cell>
          <cell r="BC480" t="str">
            <v>OTHERS</v>
          </cell>
          <cell r="BE480" t="str">
            <v>Nov</v>
          </cell>
        </row>
        <row r="481">
          <cell r="C481" t="str">
            <v>Tokuyama</v>
          </cell>
          <cell r="R481">
            <v>0</v>
          </cell>
          <cell r="AZ481">
            <v>0</v>
          </cell>
          <cell r="BA481">
            <v>0</v>
          </cell>
          <cell r="BC481" t="str">
            <v>OTHERS</v>
          </cell>
          <cell r="BE481" t="str">
            <v>Dec</v>
          </cell>
        </row>
        <row r="482">
          <cell r="C482" t="str">
            <v>Tokuyama</v>
          </cell>
          <cell r="R482">
            <v>0</v>
          </cell>
          <cell r="AZ482">
            <v>0</v>
          </cell>
          <cell r="BA482">
            <v>0</v>
          </cell>
          <cell r="BC482" t="str">
            <v>OTHERS</v>
          </cell>
          <cell r="BE482" t="str">
            <v>Jan</v>
          </cell>
        </row>
        <row r="483">
          <cell r="C483" t="str">
            <v>Tokuyama</v>
          </cell>
          <cell r="R483">
            <v>0</v>
          </cell>
          <cell r="AZ483">
            <v>0</v>
          </cell>
          <cell r="BA483">
            <v>0</v>
          </cell>
          <cell r="BC483" t="str">
            <v>OTHERS</v>
          </cell>
          <cell r="BE483" t="str">
            <v>Feb</v>
          </cell>
        </row>
        <row r="484">
          <cell r="C484" t="str">
            <v>Tokuyama</v>
          </cell>
          <cell r="R484">
            <v>0</v>
          </cell>
          <cell r="AZ484">
            <v>0</v>
          </cell>
          <cell r="BA484">
            <v>0</v>
          </cell>
          <cell r="BC484" t="str">
            <v>OTHERS</v>
          </cell>
          <cell r="BE484" t="str">
            <v>Mar</v>
          </cell>
        </row>
        <row r="485">
          <cell r="C485" t="str">
            <v>Tokuyama</v>
          </cell>
          <cell r="R485">
            <v>0</v>
          </cell>
          <cell r="AZ485">
            <v>0</v>
          </cell>
          <cell r="BA485">
            <v>0</v>
          </cell>
          <cell r="BC485" t="str">
            <v>OTHERS</v>
          </cell>
          <cell r="BE485" t="str">
            <v>Apr</v>
          </cell>
        </row>
        <row r="486">
          <cell r="C486" t="str">
            <v>Tokuyama</v>
          </cell>
          <cell r="R486">
            <v>0</v>
          </cell>
          <cell r="AZ486">
            <v>0</v>
          </cell>
          <cell r="BA486">
            <v>0</v>
          </cell>
          <cell r="BC486" t="str">
            <v>OTHERS</v>
          </cell>
          <cell r="BE486" t="str">
            <v>May</v>
          </cell>
        </row>
        <row r="487">
          <cell r="C487" t="str">
            <v>Tokuyama</v>
          </cell>
          <cell r="R487">
            <v>0</v>
          </cell>
          <cell r="AZ487">
            <v>0</v>
          </cell>
          <cell r="BA487">
            <v>0</v>
          </cell>
          <cell r="BC487" t="str">
            <v>OTHERS</v>
          </cell>
          <cell r="BE487" t="str">
            <v>Jun</v>
          </cell>
        </row>
        <row r="488">
          <cell r="C488" t="str">
            <v>Tokuyama</v>
          </cell>
          <cell r="R488">
            <v>50000</v>
          </cell>
          <cell r="AZ488">
            <v>-25000</v>
          </cell>
          <cell r="BA488">
            <v>-83534.482758620696</v>
          </cell>
          <cell r="BC488" t="str">
            <v>OTHERS</v>
          </cell>
          <cell r="BE488" t="str">
            <v>Jul</v>
          </cell>
        </row>
        <row r="489">
          <cell r="C489" t="str">
            <v>Tokuyama</v>
          </cell>
          <cell r="R489">
            <v>50000</v>
          </cell>
          <cell r="AZ489">
            <v>-25000</v>
          </cell>
          <cell r="BA489">
            <v>-83534.482758620696</v>
          </cell>
          <cell r="BC489" t="str">
            <v>OTHERS</v>
          </cell>
          <cell r="BE489" t="str">
            <v>Aug</v>
          </cell>
        </row>
        <row r="490">
          <cell r="C490" t="str">
            <v>Tokuyama</v>
          </cell>
          <cell r="R490">
            <v>0</v>
          </cell>
          <cell r="AZ490">
            <v>0</v>
          </cell>
          <cell r="BA490">
            <v>0</v>
          </cell>
          <cell r="BC490" t="str">
            <v>OTHERS</v>
          </cell>
          <cell r="BE490" t="str">
            <v>Sep</v>
          </cell>
        </row>
        <row r="491">
          <cell r="C491" t="str">
            <v>Tokuyama</v>
          </cell>
          <cell r="R491">
            <v>0</v>
          </cell>
          <cell r="AZ491">
            <v>0</v>
          </cell>
          <cell r="BA491">
            <v>0</v>
          </cell>
          <cell r="BC491" t="str">
            <v>OTHERS</v>
          </cell>
          <cell r="BE491" t="str">
            <v>Oct</v>
          </cell>
        </row>
        <row r="492">
          <cell r="C492" t="str">
            <v>Tokuyama</v>
          </cell>
          <cell r="R492">
            <v>0</v>
          </cell>
          <cell r="AZ492">
            <v>0</v>
          </cell>
          <cell r="BA492">
            <v>0</v>
          </cell>
          <cell r="BC492" t="str">
            <v>OTHERS</v>
          </cell>
          <cell r="BE492" t="str">
            <v>Nov</v>
          </cell>
        </row>
        <row r="493">
          <cell r="C493" t="str">
            <v>Tokuyama</v>
          </cell>
          <cell r="R493">
            <v>0</v>
          </cell>
          <cell r="AZ493">
            <v>0</v>
          </cell>
          <cell r="BA493">
            <v>0</v>
          </cell>
          <cell r="BC493" t="str">
            <v>OTHERS</v>
          </cell>
          <cell r="BE493" t="str">
            <v>Dec</v>
          </cell>
        </row>
        <row r="494">
          <cell r="C494" t="str">
            <v>Tosoh (Itochu)</v>
          </cell>
          <cell r="R494">
            <v>24000</v>
          </cell>
          <cell r="AZ494">
            <v>-108000</v>
          </cell>
          <cell r="BA494">
            <v>-52994.542623471258</v>
          </cell>
          <cell r="BC494" t="str">
            <v>OTHERS</v>
          </cell>
          <cell r="BE494" t="str">
            <v>Jan</v>
          </cell>
        </row>
        <row r="495">
          <cell r="C495" t="str">
            <v>Tosoh (Itochu)</v>
          </cell>
          <cell r="R495">
            <v>0</v>
          </cell>
          <cell r="AZ495">
            <v>0</v>
          </cell>
          <cell r="BA495">
            <v>0</v>
          </cell>
          <cell r="BC495" t="str">
            <v>OTHERS</v>
          </cell>
          <cell r="BE495" t="str">
            <v>Feb</v>
          </cell>
        </row>
        <row r="496">
          <cell r="C496" t="str">
            <v>Tosoh (Itochu)</v>
          </cell>
          <cell r="R496">
            <v>0</v>
          </cell>
          <cell r="AZ496">
            <v>0</v>
          </cell>
          <cell r="BA496">
            <v>0</v>
          </cell>
          <cell r="BC496" t="str">
            <v>OTHERS</v>
          </cell>
          <cell r="BE496" t="str">
            <v>Mar</v>
          </cell>
        </row>
        <row r="497">
          <cell r="C497" t="str">
            <v>Tosoh (Itochu)</v>
          </cell>
          <cell r="R497">
            <v>0</v>
          </cell>
          <cell r="AZ497">
            <v>0</v>
          </cell>
          <cell r="BA497">
            <v>0</v>
          </cell>
          <cell r="BC497" t="str">
            <v>OTHERS</v>
          </cell>
          <cell r="BE497" t="str">
            <v>Apr</v>
          </cell>
        </row>
        <row r="498">
          <cell r="C498" t="str">
            <v>Tosoh (Itochu)</v>
          </cell>
          <cell r="R498">
            <v>0</v>
          </cell>
          <cell r="AZ498">
            <v>0</v>
          </cell>
          <cell r="BA498">
            <v>0</v>
          </cell>
          <cell r="BC498" t="str">
            <v>OTHERS</v>
          </cell>
          <cell r="BE498" t="str">
            <v>May</v>
          </cell>
        </row>
        <row r="499">
          <cell r="C499" t="str">
            <v>Tosoh (Itochu)</v>
          </cell>
          <cell r="R499">
            <v>0</v>
          </cell>
          <cell r="AZ499">
            <v>0</v>
          </cell>
          <cell r="BA499">
            <v>0</v>
          </cell>
          <cell r="BC499" t="str">
            <v>OTHERS</v>
          </cell>
          <cell r="BE499" t="str">
            <v>Jun</v>
          </cell>
        </row>
        <row r="500">
          <cell r="C500" t="str">
            <v>Tosoh (Itochu)</v>
          </cell>
          <cell r="R500">
            <v>0</v>
          </cell>
          <cell r="AZ500">
            <v>0</v>
          </cell>
          <cell r="BA500">
            <v>0</v>
          </cell>
          <cell r="BC500" t="str">
            <v>OTHERS</v>
          </cell>
          <cell r="BE500" t="str">
            <v>Jul</v>
          </cell>
        </row>
        <row r="501">
          <cell r="C501" t="str">
            <v>Tosoh (Itochu)</v>
          </cell>
          <cell r="R501">
            <v>0</v>
          </cell>
          <cell r="AZ501">
            <v>0</v>
          </cell>
          <cell r="BA501">
            <v>0</v>
          </cell>
          <cell r="BC501" t="str">
            <v>OTHERS</v>
          </cell>
          <cell r="BE501" t="str">
            <v>Aug</v>
          </cell>
        </row>
        <row r="502">
          <cell r="C502" t="str">
            <v>Tosoh (Itochu)</v>
          </cell>
          <cell r="R502">
            <v>0</v>
          </cell>
          <cell r="AZ502">
            <v>0</v>
          </cell>
          <cell r="BA502">
            <v>0</v>
          </cell>
          <cell r="BC502" t="str">
            <v>OTHERS</v>
          </cell>
          <cell r="BE502" t="str">
            <v>Sep</v>
          </cell>
        </row>
        <row r="503">
          <cell r="C503" t="str">
            <v>Tosoh (Itochu)</v>
          </cell>
          <cell r="R503">
            <v>0</v>
          </cell>
          <cell r="AZ503">
            <v>0</v>
          </cell>
          <cell r="BA503">
            <v>0</v>
          </cell>
          <cell r="BC503" t="str">
            <v>OTHERS</v>
          </cell>
          <cell r="BE503" t="str">
            <v>Oct</v>
          </cell>
        </row>
        <row r="504">
          <cell r="C504" t="str">
            <v>Tosoh (Itochu)</v>
          </cell>
          <cell r="R504">
            <v>0</v>
          </cell>
          <cell r="AZ504">
            <v>0</v>
          </cell>
          <cell r="BA504">
            <v>0</v>
          </cell>
          <cell r="BC504" t="str">
            <v>OTHERS</v>
          </cell>
          <cell r="BE504" t="str">
            <v>Nov</v>
          </cell>
        </row>
        <row r="505">
          <cell r="C505" t="str">
            <v>Tosoh (Itochu)</v>
          </cell>
          <cell r="R505">
            <v>0</v>
          </cell>
          <cell r="AZ505">
            <v>0</v>
          </cell>
          <cell r="BA505">
            <v>0</v>
          </cell>
          <cell r="BC505" t="str">
            <v>OTHERS</v>
          </cell>
          <cell r="BE505" t="str">
            <v>Dec</v>
          </cell>
        </row>
        <row r="506">
          <cell r="C506" t="str">
            <v>Tosoh (Itochu)</v>
          </cell>
          <cell r="R506">
            <v>16000</v>
          </cell>
          <cell r="AZ506">
            <v>-72000</v>
          </cell>
          <cell r="BA506">
            <v>-30950.284962735641</v>
          </cell>
          <cell r="BC506" t="str">
            <v>OTHERS</v>
          </cell>
          <cell r="BE506" t="str">
            <v>Jan</v>
          </cell>
        </row>
        <row r="507">
          <cell r="C507" t="str">
            <v>Tosoh (Itochu)</v>
          </cell>
          <cell r="R507">
            <v>0</v>
          </cell>
          <cell r="AZ507">
            <v>0</v>
          </cell>
          <cell r="BA507">
            <v>0</v>
          </cell>
          <cell r="BC507" t="str">
            <v>OTHERS</v>
          </cell>
          <cell r="BE507" t="str">
            <v>Feb</v>
          </cell>
        </row>
        <row r="508">
          <cell r="C508" t="str">
            <v>Tosoh (Itochu)</v>
          </cell>
          <cell r="R508">
            <v>0</v>
          </cell>
          <cell r="AZ508">
            <v>0</v>
          </cell>
          <cell r="BA508">
            <v>0</v>
          </cell>
          <cell r="BC508" t="str">
            <v>OTHERS</v>
          </cell>
          <cell r="BE508" t="str">
            <v>Mar</v>
          </cell>
        </row>
        <row r="509">
          <cell r="C509" t="str">
            <v>Tosoh (Itochu)</v>
          </cell>
          <cell r="R509">
            <v>0</v>
          </cell>
          <cell r="AZ509">
            <v>0</v>
          </cell>
          <cell r="BA509">
            <v>0</v>
          </cell>
          <cell r="BC509" t="str">
            <v>OTHERS</v>
          </cell>
          <cell r="BE509" t="str">
            <v>Apr</v>
          </cell>
        </row>
        <row r="510">
          <cell r="C510" t="str">
            <v>Tosoh (Itochu)</v>
          </cell>
          <cell r="R510">
            <v>0</v>
          </cell>
          <cell r="AZ510">
            <v>0</v>
          </cell>
          <cell r="BA510">
            <v>0</v>
          </cell>
          <cell r="BC510" t="str">
            <v>OTHERS</v>
          </cell>
          <cell r="BE510" t="str">
            <v>May</v>
          </cell>
        </row>
        <row r="511">
          <cell r="C511" t="str">
            <v>Tosoh (Itochu)</v>
          </cell>
          <cell r="R511">
            <v>0</v>
          </cell>
          <cell r="AZ511">
            <v>0</v>
          </cell>
          <cell r="BA511">
            <v>0</v>
          </cell>
          <cell r="BC511" t="str">
            <v>OTHERS</v>
          </cell>
          <cell r="BE511" t="str">
            <v>Jun</v>
          </cell>
        </row>
        <row r="512">
          <cell r="C512" t="str">
            <v>Tosoh (Itochu)</v>
          </cell>
          <cell r="R512">
            <v>0</v>
          </cell>
          <cell r="AZ512">
            <v>0</v>
          </cell>
          <cell r="BA512">
            <v>0</v>
          </cell>
          <cell r="BC512" t="str">
            <v>OTHERS</v>
          </cell>
          <cell r="BE512" t="str">
            <v>Jul</v>
          </cell>
        </row>
        <row r="513">
          <cell r="C513" t="str">
            <v>Tosoh (Itochu)</v>
          </cell>
          <cell r="R513">
            <v>0</v>
          </cell>
          <cell r="AZ513">
            <v>0</v>
          </cell>
          <cell r="BA513">
            <v>0</v>
          </cell>
          <cell r="BC513" t="str">
            <v>OTHERS</v>
          </cell>
          <cell r="BE513" t="str">
            <v>Aug</v>
          </cell>
        </row>
        <row r="514">
          <cell r="C514" t="str">
            <v>Tosoh (Itochu)</v>
          </cell>
          <cell r="R514">
            <v>0</v>
          </cell>
          <cell r="AZ514">
            <v>0</v>
          </cell>
          <cell r="BA514">
            <v>0</v>
          </cell>
          <cell r="BC514" t="str">
            <v>OTHERS</v>
          </cell>
          <cell r="BE514" t="str">
            <v>Sep</v>
          </cell>
        </row>
        <row r="515">
          <cell r="C515" t="str">
            <v>Tosoh (Itochu)</v>
          </cell>
          <cell r="R515">
            <v>0</v>
          </cell>
          <cell r="AZ515">
            <v>0</v>
          </cell>
          <cell r="BA515">
            <v>0</v>
          </cell>
          <cell r="BC515" t="str">
            <v>OTHERS</v>
          </cell>
          <cell r="BE515" t="str">
            <v>Oct</v>
          </cell>
        </row>
        <row r="516">
          <cell r="C516" t="str">
            <v>Tosoh (Itochu)</v>
          </cell>
          <cell r="R516">
            <v>0</v>
          </cell>
          <cell r="AZ516">
            <v>0</v>
          </cell>
          <cell r="BA516">
            <v>0</v>
          </cell>
          <cell r="BC516" t="str">
            <v>OTHERS</v>
          </cell>
          <cell r="BE516" t="str">
            <v>Nov</v>
          </cell>
        </row>
        <row r="517">
          <cell r="C517" t="str">
            <v>Tosoh (Itochu)</v>
          </cell>
          <cell r="R517">
            <v>0</v>
          </cell>
          <cell r="AZ517">
            <v>0</v>
          </cell>
          <cell r="BA517">
            <v>0</v>
          </cell>
          <cell r="BC517" t="str">
            <v>OTHERS</v>
          </cell>
          <cell r="BE517" t="str">
            <v>Dec</v>
          </cell>
        </row>
        <row r="518">
          <cell r="C518" t="str">
            <v>Tosoh (Itochu)</v>
          </cell>
          <cell r="R518">
            <v>0</v>
          </cell>
          <cell r="AZ518">
            <v>0</v>
          </cell>
          <cell r="BA518">
            <v>0</v>
          </cell>
          <cell r="BC518" t="str">
            <v>OTHERS</v>
          </cell>
          <cell r="BE518" t="str">
            <v>Jan</v>
          </cell>
        </row>
        <row r="519">
          <cell r="C519" t="str">
            <v>Tosoh (Itochu)</v>
          </cell>
          <cell r="R519">
            <v>42000</v>
          </cell>
          <cell r="AZ519">
            <v>-189000</v>
          </cell>
          <cell r="BA519">
            <v>0</v>
          </cell>
          <cell r="BC519" t="str">
            <v>OTHERS</v>
          </cell>
          <cell r="BE519" t="str">
            <v>Feb</v>
          </cell>
        </row>
        <row r="520">
          <cell r="C520" t="str">
            <v>Tosoh (Itochu)</v>
          </cell>
          <cell r="R520">
            <v>0</v>
          </cell>
          <cell r="AZ520">
            <v>0</v>
          </cell>
          <cell r="BA520">
            <v>0</v>
          </cell>
          <cell r="BC520" t="str">
            <v>OTHERS</v>
          </cell>
          <cell r="BE520" t="str">
            <v>Mar</v>
          </cell>
        </row>
        <row r="521">
          <cell r="C521" t="str">
            <v>Tosoh (Itochu)</v>
          </cell>
          <cell r="R521">
            <v>0</v>
          </cell>
          <cell r="AZ521">
            <v>0</v>
          </cell>
          <cell r="BA521">
            <v>0</v>
          </cell>
          <cell r="BC521" t="str">
            <v>OTHERS</v>
          </cell>
          <cell r="BE521" t="str">
            <v>Apr</v>
          </cell>
        </row>
        <row r="522">
          <cell r="C522" t="str">
            <v>Tosoh (Itochu)</v>
          </cell>
          <cell r="R522">
            <v>0</v>
          </cell>
          <cell r="AZ522">
            <v>0</v>
          </cell>
          <cell r="BA522">
            <v>0</v>
          </cell>
          <cell r="BC522" t="str">
            <v>OTHERS</v>
          </cell>
          <cell r="BE522" t="str">
            <v>May</v>
          </cell>
        </row>
        <row r="523">
          <cell r="C523" t="str">
            <v>Tosoh (Itochu)</v>
          </cell>
          <cell r="R523">
            <v>0</v>
          </cell>
          <cell r="AZ523">
            <v>0</v>
          </cell>
          <cell r="BA523">
            <v>0</v>
          </cell>
          <cell r="BC523" t="str">
            <v>OTHERS</v>
          </cell>
          <cell r="BE523" t="str">
            <v>Jun</v>
          </cell>
        </row>
        <row r="524">
          <cell r="C524" t="str">
            <v>Tosoh (Itochu)</v>
          </cell>
          <cell r="R524">
            <v>0</v>
          </cell>
          <cell r="AZ524">
            <v>0</v>
          </cell>
          <cell r="BA524">
            <v>0</v>
          </cell>
          <cell r="BC524" t="str">
            <v>OTHERS</v>
          </cell>
          <cell r="BE524" t="str">
            <v>Jul</v>
          </cell>
        </row>
        <row r="525">
          <cell r="C525" t="str">
            <v>Tosoh (Itochu)</v>
          </cell>
          <cell r="R525">
            <v>0</v>
          </cell>
          <cell r="AZ525">
            <v>0</v>
          </cell>
          <cell r="BA525">
            <v>0</v>
          </cell>
          <cell r="BC525" t="str">
            <v>OTHERS</v>
          </cell>
          <cell r="BE525" t="str">
            <v>Aug</v>
          </cell>
        </row>
        <row r="526">
          <cell r="C526" t="str">
            <v>Tosoh (Itochu)</v>
          </cell>
          <cell r="R526">
            <v>0</v>
          </cell>
          <cell r="AZ526">
            <v>0</v>
          </cell>
          <cell r="BA526">
            <v>0</v>
          </cell>
          <cell r="BC526" t="str">
            <v>OTHERS</v>
          </cell>
          <cell r="BE526" t="str">
            <v>Sep</v>
          </cell>
        </row>
        <row r="527">
          <cell r="C527" t="str">
            <v>Tosoh (Itochu)</v>
          </cell>
          <cell r="R527">
            <v>0</v>
          </cell>
          <cell r="AZ527">
            <v>0</v>
          </cell>
          <cell r="BA527">
            <v>0</v>
          </cell>
          <cell r="BC527" t="str">
            <v>OTHERS</v>
          </cell>
          <cell r="BE527" t="str">
            <v>Oct</v>
          </cell>
        </row>
        <row r="528">
          <cell r="C528" t="str">
            <v>Tosoh (Itochu)</v>
          </cell>
          <cell r="R528">
            <v>0</v>
          </cell>
          <cell r="AZ528">
            <v>0</v>
          </cell>
          <cell r="BA528">
            <v>0</v>
          </cell>
          <cell r="BC528" t="str">
            <v>OTHERS</v>
          </cell>
          <cell r="BE528" t="str">
            <v>Nov</v>
          </cell>
        </row>
        <row r="529">
          <cell r="C529" t="str">
            <v>Tosoh (Itochu)</v>
          </cell>
          <cell r="R529">
            <v>0</v>
          </cell>
          <cell r="AZ529">
            <v>0</v>
          </cell>
          <cell r="BA529">
            <v>0</v>
          </cell>
          <cell r="BC529" t="str">
            <v>OTHERS</v>
          </cell>
          <cell r="BE529" t="str">
            <v>Dec</v>
          </cell>
        </row>
        <row r="530">
          <cell r="C530" t="str">
            <v>Tosoh (Itochu)</v>
          </cell>
          <cell r="R530">
            <v>0</v>
          </cell>
          <cell r="AZ530">
            <v>0</v>
          </cell>
          <cell r="BA530">
            <v>0</v>
          </cell>
          <cell r="BC530" t="str">
            <v>OTHERS</v>
          </cell>
          <cell r="BE530" t="str">
            <v>Jan</v>
          </cell>
        </row>
        <row r="531">
          <cell r="C531" t="str">
            <v>Tosoh (Itochu)</v>
          </cell>
          <cell r="R531">
            <v>0</v>
          </cell>
          <cell r="AZ531">
            <v>0</v>
          </cell>
          <cell r="BA531">
            <v>0</v>
          </cell>
          <cell r="BC531" t="str">
            <v>OTHERS</v>
          </cell>
          <cell r="BE531" t="str">
            <v>Feb</v>
          </cell>
        </row>
        <row r="532">
          <cell r="C532" t="str">
            <v>Tosoh (Itochu)</v>
          </cell>
          <cell r="R532">
            <v>0</v>
          </cell>
          <cell r="AZ532">
            <v>0</v>
          </cell>
          <cell r="BA532">
            <v>0</v>
          </cell>
          <cell r="BC532" t="str">
            <v>OTHERS</v>
          </cell>
          <cell r="BE532" t="str">
            <v>Mar</v>
          </cell>
        </row>
        <row r="533">
          <cell r="C533" t="str">
            <v>Tosoh (Itochu)</v>
          </cell>
          <cell r="R533">
            <v>24000</v>
          </cell>
          <cell r="AZ533">
            <v>-108000</v>
          </cell>
          <cell r="BA533">
            <v>-40388.585094237758</v>
          </cell>
          <cell r="BC533" t="str">
            <v>OTHERS</v>
          </cell>
          <cell r="BE533" t="str">
            <v>Apr</v>
          </cell>
        </row>
        <row r="534">
          <cell r="C534" t="str">
            <v>Tosoh (Itochu)</v>
          </cell>
          <cell r="R534">
            <v>0</v>
          </cell>
          <cell r="AZ534">
            <v>0</v>
          </cell>
          <cell r="BA534">
            <v>0</v>
          </cell>
          <cell r="BC534" t="str">
            <v>OTHERS</v>
          </cell>
          <cell r="BE534" t="str">
            <v>May</v>
          </cell>
        </row>
        <row r="535">
          <cell r="C535" t="str">
            <v>Tosoh (Itochu)</v>
          </cell>
          <cell r="R535">
            <v>24000</v>
          </cell>
          <cell r="AZ535">
            <v>-108000</v>
          </cell>
          <cell r="BA535">
            <v>-40388.585094237758</v>
          </cell>
          <cell r="BC535" t="str">
            <v>OTHERS</v>
          </cell>
          <cell r="BE535" t="str">
            <v>Jun</v>
          </cell>
        </row>
        <row r="536">
          <cell r="C536" t="str">
            <v>Tosoh (Itochu)</v>
          </cell>
          <cell r="R536">
            <v>0</v>
          </cell>
          <cell r="AZ536">
            <v>0</v>
          </cell>
          <cell r="BA536">
            <v>0</v>
          </cell>
          <cell r="BC536" t="str">
            <v>OTHERS</v>
          </cell>
          <cell r="BE536" t="str">
            <v>Jul</v>
          </cell>
        </row>
        <row r="537">
          <cell r="C537" t="str">
            <v>Tosoh (Itochu)</v>
          </cell>
          <cell r="R537">
            <v>24000</v>
          </cell>
          <cell r="AZ537">
            <v>-108000</v>
          </cell>
          <cell r="BA537">
            <v>-40388.585094237758</v>
          </cell>
          <cell r="BC537" t="str">
            <v>OTHERS</v>
          </cell>
          <cell r="BE537" t="str">
            <v>Aug</v>
          </cell>
        </row>
        <row r="538">
          <cell r="C538" t="str">
            <v>Tosoh (Itochu)</v>
          </cell>
          <cell r="R538">
            <v>0</v>
          </cell>
          <cell r="AZ538">
            <v>0</v>
          </cell>
          <cell r="BA538">
            <v>0</v>
          </cell>
          <cell r="BC538" t="str">
            <v>OTHERS</v>
          </cell>
          <cell r="BE538" t="str">
            <v>Sep</v>
          </cell>
        </row>
        <row r="539">
          <cell r="C539" t="str">
            <v>Tosoh (Itochu)</v>
          </cell>
          <cell r="R539">
            <v>0</v>
          </cell>
          <cell r="AZ539">
            <v>0</v>
          </cell>
          <cell r="BA539">
            <v>0</v>
          </cell>
          <cell r="BC539" t="str">
            <v>OTHERS</v>
          </cell>
          <cell r="BE539" t="str">
            <v>Oct</v>
          </cell>
        </row>
        <row r="540">
          <cell r="C540" t="str">
            <v>Tosoh (Itochu)</v>
          </cell>
          <cell r="R540">
            <v>0</v>
          </cell>
          <cell r="AZ540">
            <v>0</v>
          </cell>
          <cell r="BA540">
            <v>0</v>
          </cell>
          <cell r="BC540" t="str">
            <v>OTHERS</v>
          </cell>
          <cell r="BE540" t="str">
            <v>Nov</v>
          </cell>
        </row>
        <row r="541">
          <cell r="C541" t="str">
            <v>Tosoh (Itochu)</v>
          </cell>
          <cell r="R541">
            <v>0</v>
          </cell>
          <cell r="AZ541">
            <v>0</v>
          </cell>
          <cell r="BA541">
            <v>0</v>
          </cell>
          <cell r="BC541" t="str">
            <v>OTHERS</v>
          </cell>
          <cell r="BE541" t="str">
            <v>Dec</v>
          </cell>
        </row>
        <row r="542">
          <cell r="C542" t="str">
            <v>Tosoh (Itochu)</v>
          </cell>
          <cell r="R542">
            <v>0</v>
          </cell>
          <cell r="AZ542">
            <v>0</v>
          </cell>
          <cell r="BA542">
            <v>0</v>
          </cell>
          <cell r="BC542" t="str">
            <v>OTHERS</v>
          </cell>
          <cell r="BE542" t="str">
            <v>Jan</v>
          </cell>
        </row>
        <row r="543">
          <cell r="C543" t="str">
            <v>Tosoh (Itochu)</v>
          </cell>
          <cell r="R543">
            <v>0</v>
          </cell>
          <cell r="AZ543">
            <v>0</v>
          </cell>
          <cell r="BA543">
            <v>0</v>
          </cell>
          <cell r="BC543" t="str">
            <v>OTHERS</v>
          </cell>
          <cell r="BE543" t="str">
            <v>Feb</v>
          </cell>
        </row>
        <row r="544">
          <cell r="C544" t="str">
            <v>Tosoh (Itochu)</v>
          </cell>
          <cell r="R544">
            <v>0</v>
          </cell>
          <cell r="AZ544">
            <v>0</v>
          </cell>
          <cell r="BA544">
            <v>0</v>
          </cell>
          <cell r="BC544" t="str">
            <v>OTHERS</v>
          </cell>
          <cell r="BE544" t="str">
            <v>Mar</v>
          </cell>
        </row>
        <row r="545">
          <cell r="C545" t="str">
            <v>Tosoh (Itochu)</v>
          </cell>
          <cell r="R545">
            <v>16000</v>
          </cell>
          <cell r="AZ545">
            <v>-72000</v>
          </cell>
          <cell r="BA545">
            <v>-23446.721133245515</v>
          </cell>
          <cell r="BC545" t="str">
            <v>OTHERS</v>
          </cell>
          <cell r="BE545" t="str">
            <v>Apr</v>
          </cell>
        </row>
        <row r="546">
          <cell r="C546" t="str">
            <v>Tosoh (Itochu)</v>
          </cell>
          <cell r="R546">
            <v>0</v>
          </cell>
          <cell r="AZ546">
            <v>0</v>
          </cell>
          <cell r="BA546">
            <v>0</v>
          </cell>
          <cell r="BC546" t="str">
            <v>OTHERS</v>
          </cell>
          <cell r="BE546" t="str">
            <v>May</v>
          </cell>
        </row>
        <row r="547">
          <cell r="C547" t="str">
            <v>Tosoh (Itochu)</v>
          </cell>
          <cell r="R547">
            <v>16000</v>
          </cell>
          <cell r="AZ547">
            <v>-72000</v>
          </cell>
          <cell r="BA547">
            <v>-23446.721133245515</v>
          </cell>
          <cell r="BC547" t="str">
            <v>OTHERS</v>
          </cell>
          <cell r="BE547" t="str">
            <v>Jun</v>
          </cell>
        </row>
        <row r="548">
          <cell r="C548" t="str">
            <v>Tosoh (Itochu)</v>
          </cell>
          <cell r="R548">
            <v>0</v>
          </cell>
          <cell r="AZ548">
            <v>0</v>
          </cell>
          <cell r="BA548">
            <v>0</v>
          </cell>
          <cell r="BC548" t="str">
            <v>OTHERS</v>
          </cell>
          <cell r="BE548" t="str">
            <v>Jul</v>
          </cell>
        </row>
        <row r="549">
          <cell r="C549" t="str">
            <v>Tosoh (Itochu)</v>
          </cell>
          <cell r="R549">
            <v>16000</v>
          </cell>
          <cell r="AZ549">
            <v>-72000</v>
          </cell>
          <cell r="BA549">
            <v>-23446.721133245515</v>
          </cell>
          <cell r="BC549" t="str">
            <v>OTHERS</v>
          </cell>
          <cell r="BE549" t="str">
            <v>Aug</v>
          </cell>
        </row>
        <row r="550">
          <cell r="C550" t="str">
            <v>Tosoh (Itochu)</v>
          </cell>
          <cell r="R550">
            <v>0</v>
          </cell>
          <cell r="AZ550">
            <v>0</v>
          </cell>
          <cell r="BA550">
            <v>0</v>
          </cell>
          <cell r="BC550" t="str">
            <v>OTHERS</v>
          </cell>
          <cell r="BE550" t="str">
            <v>Sep</v>
          </cell>
        </row>
        <row r="551">
          <cell r="C551" t="str">
            <v>Tosoh (Itochu)</v>
          </cell>
          <cell r="R551">
            <v>0</v>
          </cell>
          <cell r="AZ551">
            <v>0</v>
          </cell>
          <cell r="BA551">
            <v>0</v>
          </cell>
          <cell r="BC551" t="str">
            <v>OTHERS</v>
          </cell>
          <cell r="BE551" t="str">
            <v>Oct</v>
          </cell>
        </row>
        <row r="552">
          <cell r="C552" t="str">
            <v>Tosoh (Itochu)</v>
          </cell>
          <cell r="R552">
            <v>0</v>
          </cell>
          <cell r="AZ552">
            <v>0</v>
          </cell>
          <cell r="BA552">
            <v>0</v>
          </cell>
          <cell r="BC552" t="str">
            <v>OTHERS</v>
          </cell>
          <cell r="BE552" t="str">
            <v>Nov</v>
          </cell>
        </row>
        <row r="553">
          <cell r="C553" t="str">
            <v>Tosoh (Itochu)</v>
          </cell>
          <cell r="R553">
            <v>0</v>
          </cell>
          <cell r="AZ553">
            <v>0</v>
          </cell>
          <cell r="BA553">
            <v>0</v>
          </cell>
          <cell r="BC553" t="str">
            <v>OTHERS</v>
          </cell>
          <cell r="BE553" t="str">
            <v>Dec</v>
          </cell>
        </row>
        <row r="554">
          <cell r="C554" t="str">
            <v>Tosoh (Itochu)</v>
          </cell>
          <cell r="R554">
            <v>0</v>
          </cell>
          <cell r="AZ554">
            <v>0</v>
          </cell>
          <cell r="BA554">
            <v>0</v>
          </cell>
          <cell r="BC554" t="str">
            <v>OTHERS</v>
          </cell>
          <cell r="BE554" t="str">
            <v>Jan</v>
          </cell>
        </row>
        <row r="555">
          <cell r="C555" t="str">
            <v>Tosoh (Itochu)</v>
          </cell>
          <cell r="R555">
            <v>0</v>
          </cell>
          <cell r="AZ555">
            <v>0</v>
          </cell>
          <cell r="BA555">
            <v>0</v>
          </cell>
          <cell r="BC555" t="str">
            <v>OTHERS</v>
          </cell>
          <cell r="BE555" t="str">
            <v>Feb</v>
          </cell>
        </row>
        <row r="556">
          <cell r="C556" t="str">
            <v>Tosoh (Itochu)</v>
          </cell>
          <cell r="R556">
            <v>0</v>
          </cell>
          <cell r="AZ556">
            <v>0</v>
          </cell>
          <cell r="BA556">
            <v>0</v>
          </cell>
          <cell r="BC556" t="str">
            <v>OTHERS</v>
          </cell>
          <cell r="BE556" t="str">
            <v>Mar</v>
          </cell>
        </row>
        <row r="557">
          <cell r="C557" t="str">
            <v>Tosoh (Itochu)</v>
          </cell>
          <cell r="R557">
            <v>0</v>
          </cell>
          <cell r="AZ557">
            <v>0</v>
          </cell>
          <cell r="BA557">
            <v>0</v>
          </cell>
          <cell r="BC557" t="str">
            <v>OTHERS</v>
          </cell>
          <cell r="BE557" t="str">
            <v>Apr</v>
          </cell>
        </row>
        <row r="558">
          <cell r="C558" t="str">
            <v>Tosoh (Itochu)</v>
          </cell>
          <cell r="R558">
            <v>0</v>
          </cell>
          <cell r="AZ558">
            <v>0</v>
          </cell>
          <cell r="BA558">
            <v>0</v>
          </cell>
          <cell r="BC558" t="str">
            <v>OTHERS</v>
          </cell>
          <cell r="BE558" t="str">
            <v>May</v>
          </cell>
        </row>
        <row r="559">
          <cell r="C559" t="str">
            <v>Tosoh (Itochu)</v>
          </cell>
          <cell r="R559">
            <v>0</v>
          </cell>
          <cell r="AZ559">
            <v>0</v>
          </cell>
          <cell r="BA559">
            <v>0</v>
          </cell>
          <cell r="BC559" t="str">
            <v>OTHERS</v>
          </cell>
          <cell r="BE559" t="str">
            <v>Jun</v>
          </cell>
        </row>
        <row r="560">
          <cell r="C560" t="str">
            <v>Tosoh (Itochu)</v>
          </cell>
          <cell r="R560">
            <v>0</v>
          </cell>
          <cell r="AZ560">
            <v>0</v>
          </cell>
          <cell r="BA560">
            <v>0</v>
          </cell>
          <cell r="BC560" t="str">
            <v>OTHERS</v>
          </cell>
          <cell r="BE560" t="str">
            <v>Jul</v>
          </cell>
        </row>
        <row r="561">
          <cell r="C561" t="str">
            <v>Tosoh (Itochu)</v>
          </cell>
          <cell r="R561">
            <v>0</v>
          </cell>
          <cell r="AZ561">
            <v>0</v>
          </cell>
          <cell r="BA561">
            <v>0</v>
          </cell>
          <cell r="BC561" t="str">
            <v>OTHERS</v>
          </cell>
          <cell r="BE561" t="str">
            <v>Aug</v>
          </cell>
        </row>
        <row r="562">
          <cell r="C562" t="str">
            <v>Tosoh (Itochu)</v>
          </cell>
          <cell r="R562">
            <v>24000</v>
          </cell>
          <cell r="AZ562">
            <v>-108000</v>
          </cell>
          <cell r="BA562">
            <v>-39794.635313440136</v>
          </cell>
          <cell r="BC562" t="str">
            <v>OTHERS</v>
          </cell>
          <cell r="BE562" t="str">
            <v>Sep</v>
          </cell>
        </row>
        <row r="563">
          <cell r="C563" t="str">
            <v>Tosoh (Itochu)</v>
          </cell>
          <cell r="R563">
            <v>24000</v>
          </cell>
          <cell r="AZ563">
            <v>-108000</v>
          </cell>
          <cell r="BA563">
            <v>-39794.635313440136</v>
          </cell>
          <cell r="BC563" t="str">
            <v>OTHERS</v>
          </cell>
          <cell r="BE563" t="str">
            <v>Oct</v>
          </cell>
        </row>
        <row r="564">
          <cell r="C564" t="str">
            <v>Tosoh (Itochu)</v>
          </cell>
          <cell r="R564">
            <v>24000</v>
          </cell>
          <cell r="AZ564">
            <v>-108000</v>
          </cell>
          <cell r="BA564">
            <v>-39794.635313440136</v>
          </cell>
          <cell r="BC564" t="str">
            <v>OTHERS</v>
          </cell>
          <cell r="BE564" t="str">
            <v>Nov</v>
          </cell>
        </row>
        <row r="565">
          <cell r="C565" t="str">
            <v>Tosoh (Itochu)</v>
          </cell>
          <cell r="R565">
            <v>0</v>
          </cell>
          <cell r="AZ565">
            <v>0</v>
          </cell>
          <cell r="BA565">
            <v>0</v>
          </cell>
          <cell r="BC565" t="str">
            <v>OTHERS</v>
          </cell>
          <cell r="BE565" t="str">
            <v>Dec</v>
          </cell>
        </row>
        <row r="566">
          <cell r="C566" t="str">
            <v>Tosoh (Itochu)</v>
          </cell>
          <cell r="R566">
            <v>0</v>
          </cell>
          <cell r="AZ566">
            <v>0</v>
          </cell>
          <cell r="BA566">
            <v>0</v>
          </cell>
          <cell r="BC566" t="str">
            <v>OTHERS</v>
          </cell>
          <cell r="BE566" t="str">
            <v>Jan</v>
          </cell>
        </row>
        <row r="567">
          <cell r="C567" t="str">
            <v>Tosoh (Itochu)</v>
          </cell>
          <cell r="R567">
            <v>0</v>
          </cell>
          <cell r="AZ567">
            <v>0</v>
          </cell>
          <cell r="BA567">
            <v>0</v>
          </cell>
          <cell r="BC567" t="str">
            <v>OTHERS</v>
          </cell>
          <cell r="BE567" t="str">
            <v>Feb</v>
          </cell>
        </row>
        <row r="568">
          <cell r="C568" t="str">
            <v>Tosoh (Itochu)</v>
          </cell>
          <cell r="R568">
            <v>0</v>
          </cell>
          <cell r="AZ568">
            <v>0</v>
          </cell>
          <cell r="BA568">
            <v>0</v>
          </cell>
          <cell r="BC568" t="str">
            <v>OTHERS</v>
          </cell>
          <cell r="BE568" t="str">
            <v>Mar</v>
          </cell>
        </row>
        <row r="569">
          <cell r="C569" t="str">
            <v>Tosoh (Itochu)</v>
          </cell>
          <cell r="R569">
            <v>0</v>
          </cell>
          <cell r="AZ569">
            <v>0</v>
          </cell>
          <cell r="BA569">
            <v>0</v>
          </cell>
          <cell r="BC569" t="str">
            <v>OTHERS</v>
          </cell>
          <cell r="BE569" t="str">
            <v>Apr</v>
          </cell>
        </row>
        <row r="570">
          <cell r="C570" t="str">
            <v>Tosoh (Itochu)</v>
          </cell>
          <cell r="R570">
            <v>0</v>
          </cell>
          <cell r="AZ570">
            <v>0</v>
          </cell>
          <cell r="BA570">
            <v>0</v>
          </cell>
          <cell r="BC570" t="str">
            <v>OTHERS</v>
          </cell>
          <cell r="BE570" t="str">
            <v>May</v>
          </cell>
        </row>
        <row r="571">
          <cell r="C571" t="str">
            <v>Tosoh (Itochu)</v>
          </cell>
          <cell r="R571">
            <v>0</v>
          </cell>
          <cell r="AZ571">
            <v>0</v>
          </cell>
          <cell r="BA571">
            <v>0</v>
          </cell>
          <cell r="BC571" t="str">
            <v>OTHERS</v>
          </cell>
          <cell r="BE571" t="str">
            <v>Jun</v>
          </cell>
        </row>
        <row r="572">
          <cell r="C572" t="str">
            <v>Tosoh (Itochu)</v>
          </cell>
          <cell r="R572">
            <v>0</v>
          </cell>
          <cell r="AZ572">
            <v>0</v>
          </cell>
          <cell r="BA572">
            <v>0</v>
          </cell>
          <cell r="BC572" t="str">
            <v>OTHERS</v>
          </cell>
          <cell r="BE572" t="str">
            <v>Jul</v>
          </cell>
        </row>
        <row r="573">
          <cell r="C573" t="str">
            <v>Tosoh (Itochu)</v>
          </cell>
          <cell r="R573">
            <v>0</v>
          </cell>
          <cell r="AZ573">
            <v>0</v>
          </cell>
          <cell r="BA573">
            <v>0</v>
          </cell>
          <cell r="BC573" t="str">
            <v>OTHERS</v>
          </cell>
          <cell r="BE573" t="str">
            <v>Aug</v>
          </cell>
        </row>
        <row r="574">
          <cell r="C574" t="str">
            <v>Tosoh (Itochu)</v>
          </cell>
          <cell r="R574">
            <v>16000</v>
          </cell>
          <cell r="AZ574">
            <v>-72000</v>
          </cell>
          <cell r="BA574">
            <v>-23101.916410697784</v>
          </cell>
          <cell r="BC574" t="str">
            <v>OTHERS</v>
          </cell>
          <cell r="BE574" t="str">
            <v>Sep</v>
          </cell>
        </row>
        <row r="575">
          <cell r="C575" t="str">
            <v>Tosoh (Itochu)</v>
          </cell>
          <cell r="R575">
            <v>16000</v>
          </cell>
          <cell r="AZ575">
            <v>-72000</v>
          </cell>
          <cell r="BA575">
            <v>-23101.916410697784</v>
          </cell>
          <cell r="BC575" t="str">
            <v>OTHERS</v>
          </cell>
          <cell r="BE575" t="str">
            <v>Oct</v>
          </cell>
        </row>
        <row r="576">
          <cell r="C576" t="str">
            <v>Tosoh (Itochu)</v>
          </cell>
          <cell r="R576">
            <v>16000</v>
          </cell>
          <cell r="AZ576">
            <v>-72000</v>
          </cell>
          <cell r="BA576">
            <v>-23101.916410697784</v>
          </cell>
          <cell r="BC576" t="str">
            <v>OTHERS</v>
          </cell>
          <cell r="BE576" t="str">
            <v>Nov</v>
          </cell>
        </row>
        <row r="577">
          <cell r="C577" t="str">
            <v>Tosoh (Itochu)</v>
          </cell>
          <cell r="R577">
            <v>0</v>
          </cell>
          <cell r="AZ577">
            <v>0</v>
          </cell>
          <cell r="BA577">
            <v>0</v>
          </cell>
          <cell r="BC577" t="str">
            <v>OTHERS</v>
          </cell>
          <cell r="BE577" t="str">
            <v>Dec</v>
          </cell>
        </row>
        <row r="578">
          <cell r="C578" t="str">
            <v>Tosoh (Marubeni)</v>
          </cell>
          <cell r="R578">
            <v>24000</v>
          </cell>
          <cell r="AZ578">
            <v>-108000</v>
          </cell>
          <cell r="BA578">
            <v>-36676.690210471657</v>
          </cell>
          <cell r="BC578" t="str">
            <v>OTHERS</v>
          </cell>
          <cell r="BE578" t="str">
            <v>Jan</v>
          </cell>
        </row>
        <row r="579">
          <cell r="C579" t="str">
            <v>Tosoh (Marubeni)</v>
          </cell>
          <cell r="R579">
            <v>0</v>
          </cell>
          <cell r="AZ579">
            <v>0</v>
          </cell>
          <cell r="BA579">
            <v>0</v>
          </cell>
          <cell r="BC579" t="str">
            <v>OTHERS</v>
          </cell>
          <cell r="BE579" t="str">
            <v>Feb</v>
          </cell>
        </row>
        <row r="580">
          <cell r="C580" t="str">
            <v>Tosoh (Marubeni)</v>
          </cell>
          <cell r="R580">
            <v>0</v>
          </cell>
          <cell r="AZ580">
            <v>0</v>
          </cell>
          <cell r="BA580">
            <v>0</v>
          </cell>
          <cell r="BC580" t="str">
            <v>OTHERS</v>
          </cell>
          <cell r="BE580" t="str">
            <v>Mar</v>
          </cell>
        </row>
        <row r="581">
          <cell r="C581" t="str">
            <v>Tosoh (Marubeni)</v>
          </cell>
          <cell r="R581">
            <v>0</v>
          </cell>
          <cell r="AZ581">
            <v>0</v>
          </cell>
          <cell r="BA581">
            <v>0</v>
          </cell>
          <cell r="BC581" t="str">
            <v>OTHERS</v>
          </cell>
          <cell r="BE581" t="str">
            <v>Apr</v>
          </cell>
        </row>
        <row r="582">
          <cell r="C582" t="str">
            <v>Tosoh (Marubeni)</v>
          </cell>
          <cell r="R582">
            <v>0</v>
          </cell>
          <cell r="AZ582">
            <v>0</v>
          </cell>
          <cell r="BA582">
            <v>0</v>
          </cell>
          <cell r="BC582" t="str">
            <v>OTHERS</v>
          </cell>
          <cell r="BE582" t="str">
            <v>May</v>
          </cell>
        </row>
        <row r="583">
          <cell r="C583" t="str">
            <v>Tosoh (Marubeni)</v>
          </cell>
          <cell r="R583">
            <v>0</v>
          </cell>
          <cell r="AZ583">
            <v>0</v>
          </cell>
          <cell r="BA583">
            <v>0</v>
          </cell>
          <cell r="BC583" t="str">
            <v>OTHERS</v>
          </cell>
          <cell r="BE583" t="str">
            <v>Jun</v>
          </cell>
        </row>
        <row r="584">
          <cell r="C584" t="str">
            <v>Tosoh (Marubeni)</v>
          </cell>
          <cell r="R584">
            <v>0</v>
          </cell>
          <cell r="AZ584">
            <v>0</v>
          </cell>
          <cell r="BA584">
            <v>0</v>
          </cell>
          <cell r="BC584" t="str">
            <v>OTHERS</v>
          </cell>
          <cell r="BE584" t="str">
            <v>Jul</v>
          </cell>
        </row>
        <row r="585">
          <cell r="C585" t="str">
            <v>Tosoh (Marubeni)</v>
          </cell>
          <cell r="R585">
            <v>0</v>
          </cell>
          <cell r="AZ585">
            <v>0</v>
          </cell>
          <cell r="BA585">
            <v>0</v>
          </cell>
          <cell r="BC585" t="str">
            <v>OTHERS</v>
          </cell>
          <cell r="BE585" t="str">
            <v>Aug</v>
          </cell>
        </row>
        <row r="586">
          <cell r="C586" t="str">
            <v>Tosoh (Marubeni)</v>
          </cell>
          <cell r="R586">
            <v>0</v>
          </cell>
          <cell r="AZ586">
            <v>0</v>
          </cell>
          <cell r="BA586">
            <v>0</v>
          </cell>
          <cell r="BC586" t="str">
            <v>OTHERS</v>
          </cell>
          <cell r="BE586" t="str">
            <v>Sep</v>
          </cell>
        </row>
        <row r="587">
          <cell r="C587" t="str">
            <v>Tosoh (Marubeni)</v>
          </cell>
          <cell r="R587">
            <v>0</v>
          </cell>
          <cell r="AZ587">
            <v>0</v>
          </cell>
          <cell r="BA587">
            <v>0</v>
          </cell>
          <cell r="BC587" t="str">
            <v>OTHERS</v>
          </cell>
          <cell r="BE587" t="str">
            <v>Oct</v>
          </cell>
        </row>
        <row r="588">
          <cell r="C588" t="str">
            <v>Tosoh (Marubeni)</v>
          </cell>
          <cell r="R588">
            <v>0</v>
          </cell>
          <cell r="AZ588">
            <v>0</v>
          </cell>
          <cell r="BA588">
            <v>0</v>
          </cell>
          <cell r="BC588" t="str">
            <v>OTHERS</v>
          </cell>
          <cell r="BE588" t="str">
            <v>Nov</v>
          </cell>
        </row>
        <row r="589">
          <cell r="C589" t="str">
            <v>Tosoh (Marubeni)</v>
          </cell>
          <cell r="R589">
            <v>0</v>
          </cell>
          <cell r="AZ589">
            <v>0</v>
          </cell>
          <cell r="BA589">
            <v>0</v>
          </cell>
          <cell r="BC589" t="str">
            <v>OTHERS</v>
          </cell>
          <cell r="BE589" t="str">
            <v>Dec</v>
          </cell>
        </row>
        <row r="590">
          <cell r="C590" t="str">
            <v>Tosoh (Marubeni)</v>
          </cell>
          <cell r="R590">
            <v>4000</v>
          </cell>
          <cell r="AZ590">
            <v>-18000</v>
          </cell>
          <cell r="BA590">
            <v>-5593.0862300748995</v>
          </cell>
          <cell r="BC590" t="str">
            <v>OTHERS</v>
          </cell>
          <cell r="BE590" t="str">
            <v>Jan</v>
          </cell>
        </row>
        <row r="591">
          <cell r="C591" t="str">
            <v>Tosoh (Marubeni)</v>
          </cell>
          <cell r="R591">
            <v>0</v>
          </cell>
          <cell r="AZ591">
            <v>0</v>
          </cell>
          <cell r="BA591">
            <v>0</v>
          </cell>
          <cell r="BC591" t="str">
            <v>OTHERS</v>
          </cell>
          <cell r="BE591" t="str">
            <v>Feb</v>
          </cell>
        </row>
        <row r="592">
          <cell r="C592" t="str">
            <v>Tosoh (Marubeni)</v>
          </cell>
          <cell r="R592">
            <v>0</v>
          </cell>
          <cell r="AZ592">
            <v>0</v>
          </cell>
          <cell r="BA592">
            <v>0</v>
          </cell>
          <cell r="BC592" t="str">
            <v>OTHERS</v>
          </cell>
          <cell r="BE592" t="str">
            <v>Mar</v>
          </cell>
        </row>
        <row r="593">
          <cell r="C593" t="str">
            <v>Tosoh (Marubeni)</v>
          </cell>
          <cell r="R593">
            <v>0</v>
          </cell>
          <cell r="AZ593">
            <v>0</v>
          </cell>
          <cell r="BA593">
            <v>0</v>
          </cell>
          <cell r="BC593" t="str">
            <v>OTHERS</v>
          </cell>
          <cell r="BE593" t="str">
            <v>Apr</v>
          </cell>
        </row>
        <row r="594">
          <cell r="C594" t="str">
            <v>Tosoh (Marubeni)</v>
          </cell>
          <cell r="R594">
            <v>0</v>
          </cell>
          <cell r="AZ594">
            <v>0</v>
          </cell>
          <cell r="BA594">
            <v>0</v>
          </cell>
          <cell r="BC594" t="str">
            <v>OTHERS</v>
          </cell>
          <cell r="BE594" t="str">
            <v>May</v>
          </cell>
        </row>
        <row r="595">
          <cell r="C595" t="str">
            <v>Tosoh (Marubeni)</v>
          </cell>
          <cell r="R595">
            <v>0</v>
          </cell>
          <cell r="AZ595">
            <v>0</v>
          </cell>
          <cell r="BA595">
            <v>0</v>
          </cell>
          <cell r="BC595" t="str">
            <v>OTHERS</v>
          </cell>
          <cell r="BE595" t="str">
            <v>Jun</v>
          </cell>
        </row>
        <row r="596">
          <cell r="C596" t="str">
            <v>Tosoh (Marubeni)</v>
          </cell>
          <cell r="R596">
            <v>0</v>
          </cell>
          <cell r="AZ596">
            <v>0</v>
          </cell>
          <cell r="BA596">
            <v>0</v>
          </cell>
          <cell r="BC596" t="str">
            <v>OTHERS</v>
          </cell>
          <cell r="BE596" t="str">
            <v>Jul</v>
          </cell>
        </row>
        <row r="597">
          <cell r="C597" t="str">
            <v>Tosoh (Marubeni)</v>
          </cell>
          <cell r="R597">
            <v>0</v>
          </cell>
          <cell r="AZ597">
            <v>0</v>
          </cell>
          <cell r="BA597">
            <v>0</v>
          </cell>
          <cell r="BC597" t="str">
            <v>OTHERS</v>
          </cell>
          <cell r="BE597" t="str">
            <v>Aug</v>
          </cell>
        </row>
        <row r="598">
          <cell r="C598" t="str">
            <v>Tosoh (Marubeni)</v>
          </cell>
          <cell r="R598">
            <v>0</v>
          </cell>
          <cell r="AZ598">
            <v>0</v>
          </cell>
          <cell r="BA598">
            <v>0</v>
          </cell>
          <cell r="BC598" t="str">
            <v>OTHERS</v>
          </cell>
          <cell r="BE598" t="str">
            <v>Sep</v>
          </cell>
        </row>
        <row r="599">
          <cell r="C599" t="str">
            <v>Tosoh (Marubeni)</v>
          </cell>
          <cell r="R599">
            <v>0</v>
          </cell>
          <cell r="AZ599">
            <v>0</v>
          </cell>
          <cell r="BA599">
            <v>0</v>
          </cell>
          <cell r="BC599" t="str">
            <v>OTHERS</v>
          </cell>
          <cell r="BE599" t="str">
            <v>Oct</v>
          </cell>
        </row>
        <row r="600">
          <cell r="C600" t="str">
            <v>Tosoh (Marubeni)</v>
          </cell>
          <cell r="R600">
            <v>0</v>
          </cell>
          <cell r="AZ600">
            <v>0</v>
          </cell>
          <cell r="BA600">
            <v>0</v>
          </cell>
          <cell r="BC600" t="str">
            <v>OTHERS</v>
          </cell>
          <cell r="BE600" t="str">
            <v>Nov</v>
          </cell>
        </row>
        <row r="601">
          <cell r="C601" t="str">
            <v>Tosoh (Marubeni)</v>
          </cell>
          <cell r="R601">
            <v>0</v>
          </cell>
          <cell r="AZ601">
            <v>0</v>
          </cell>
          <cell r="BA601">
            <v>0</v>
          </cell>
          <cell r="BC601" t="str">
            <v>OTHERS</v>
          </cell>
          <cell r="BE601" t="str">
            <v>Dec</v>
          </cell>
        </row>
        <row r="602">
          <cell r="C602" t="str">
            <v>Tosoh (Marubeni)</v>
          </cell>
          <cell r="R602">
            <v>12000.000000000002</v>
          </cell>
          <cell r="AZ602">
            <v>-54000.000000000007</v>
          </cell>
          <cell r="BA602">
            <v>-18076.68025236683</v>
          </cell>
          <cell r="BC602" t="str">
            <v>OTHERS</v>
          </cell>
          <cell r="BE602" t="str">
            <v>Jan</v>
          </cell>
        </row>
        <row r="603">
          <cell r="C603" t="str">
            <v>Tosoh (Marubeni)</v>
          </cell>
          <cell r="R603">
            <v>0</v>
          </cell>
          <cell r="AZ603">
            <v>0</v>
          </cell>
          <cell r="BA603">
            <v>0</v>
          </cell>
          <cell r="BC603" t="str">
            <v>OTHERS</v>
          </cell>
          <cell r="BE603" t="str">
            <v>Feb</v>
          </cell>
        </row>
        <row r="604">
          <cell r="C604" t="str">
            <v>Tosoh (Marubeni)</v>
          </cell>
          <cell r="R604">
            <v>0</v>
          </cell>
          <cell r="AZ604">
            <v>0</v>
          </cell>
          <cell r="BA604">
            <v>0</v>
          </cell>
          <cell r="BC604" t="str">
            <v>OTHERS</v>
          </cell>
          <cell r="BE604" t="str">
            <v>Mar</v>
          </cell>
        </row>
        <row r="605">
          <cell r="C605" t="str">
            <v>Tosoh (Marubeni)</v>
          </cell>
          <cell r="R605">
            <v>0</v>
          </cell>
          <cell r="AZ605">
            <v>0</v>
          </cell>
          <cell r="BA605">
            <v>0</v>
          </cell>
          <cell r="BC605" t="str">
            <v>OTHERS</v>
          </cell>
          <cell r="BE605" t="str">
            <v>Apr</v>
          </cell>
        </row>
        <row r="606">
          <cell r="C606" t="str">
            <v>Tosoh (Marubeni)</v>
          </cell>
          <cell r="R606">
            <v>0</v>
          </cell>
          <cell r="AZ606">
            <v>0</v>
          </cell>
          <cell r="BA606">
            <v>0</v>
          </cell>
          <cell r="BC606" t="str">
            <v>OTHERS</v>
          </cell>
          <cell r="BE606" t="str">
            <v>May</v>
          </cell>
        </row>
        <row r="607">
          <cell r="C607" t="str">
            <v>Tosoh (Marubeni)</v>
          </cell>
          <cell r="R607">
            <v>0</v>
          </cell>
          <cell r="AZ607">
            <v>0</v>
          </cell>
          <cell r="BA607">
            <v>0</v>
          </cell>
          <cell r="BC607" t="str">
            <v>OTHERS</v>
          </cell>
          <cell r="BE607" t="str">
            <v>Jun</v>
          </cell>
        </row>
        <row r="608">
          <cell r="C608" t="str">
            <v>Tosoh (Marubeni)</v>
          </cell>
          <cell r="R608">
            <v>0</v>
          </cell>
          <cell r="AZ608">
            <v>0</v>
          </cell>
          <cell r="BA608">
            <v>0</v>
          </cell>
          <cell r="BC608" t="str">
            <v>OTHERS</v>
          </cell>
          <cell r="BE608" t="str">
            <v>Jul</v>
          </cell>
        </row>
        <row r="609">
          <cell r="C609" t="str">
            <v>Tosoh (Marubeni)</v>
          </cell>
          <cell r="R609">
            <v>0</v>
          </cell>
          <cell r="AZ609">
            <v>0</v>
          </cell>
          <cell r="BA609">
            <v>0</v>
          </cell>
          <cell r="BC609" t="str">
            <v>OTHERS</v>
          </cell>
          <cell r="BE609" t="str">
            <v>Aug</v>
          </cell>
        </row>
        <row r="610">
          <cell r="C610" t="str">
            <v>Tosoh (Marubeni)</v>
          </cell>
          <cell r="R610">
            <v>0</v>
          </cell>
          <cell r="AZ610">
            <v>0</v>
          </cell>
          <cell r="BA610">
            <v>0</v>
          </cell>
          <cell r="BC610" t="str">
            <v>OTHERS</v>
          </cell>
          <cell r="BE610" t="str">
            <v>Sep</v>
          </cell>
        </row>
        <row r="611">
          <cell r="C611" t="str">
            <v>Tosoh (Marubeni)</v>
          </cell>
          <cell r="R611">
            <v>0</v>
          </cell>
          <cell r="AZ611">
            <v>0</v>
          </cell>
          <cell r="BA611">
            <v>0</v>
          </cell>
          <cell r="BC611" t="str">
            <v>OTHERS</v>
          </cell>
          <cell r="BE611" t="str">
            <v>Oct</v>
          </cell>
        </row>
        <row r="612">
          <cell r="C612" t="str">
            <v>Tosoh (Marubeni)</v>
          </cell>
          <cell r="R612">
            <v>0</v>
          </cell>
          <cell r="AZ612">
            <v>0</v>
          </cell>
          <cell r="BA612">
            <v>0</v>
          </cell>
          <cell r="BC612" t="str">
            <v>OTHERS</v>
          </cell>
          <cell r="BE612" t="str">
            <v>Nov</v>
          </cell>
        </row>
        <row r="613">
          <cell r="C613" t="str">
            <v>Tosoh (Marubeni)</v>
          </cell>
          <cell r="R613">
            <v>0</v>
          </cell>
          <cell r="AZ613">
            <v>0</v>
          </cell>
          <cell r="BA613">
            <v>0</v>
          </cell>
          <cell r="BC613" t="str">
            <v>OTHERS</v>
          </cell>
          <cell r="BE613" t="str">
            <v>Dec</v>
          </cell>
        </row>
        <row r="614">
          <cell r="C614" t="str">
            <v>UBE</v>
          </cell>
          <cell r="R614">
            <v>0</v>
          </cell>
          <cell r="AZ614">
            <v>0</v>
          </cell>
          <cell r="BA614">
            <v>0</v>
          </cell>
          <cell r="BC614" t="str">
            <v>OTHERS</v>
          </cell>
          <cell r="BE614" t="str">
            <v>Jan</v>
          </cell>
        </row>
        <row r="615">
          <cell r="C615" t="str">
            <v>UBE</v>
          </cell>
          <cell r="R615">
            <v>0</v>
          </cell>
          <cell r="AZ615">
            <v>0</v>
          </cell>
          <cell r="BA615">
            <v>0</v>
          </cell>
          <cell r="BC615" t="str">
            <v>OTHERS</v>
          </cell>
          <cell r="BE615" t="str">
            <v>Feb</v>
          </cell>
        </row>
        <row r="616">
          <cell r="C616" t="str">
            <v>UBE</v>
          </cell>
          <cell r="R616">
            <v>31500</v>
          </cell>
          <cell r="AZ616">
            <v>-94500</v>
          </cell>
          <cell r="BA616">
            <v>-65516.724745221843</v>
          </cell>
          <cell r="BC616" t="str">
            <v>OTHERS</v>
          </cell>
          <cell r="BE616" t="str">
            <v>Mar</v>
          </cell>
        </row>
        <row r="617">
          <cell r="C617" t="str">
            <v>UBE</v>
          </cell>
          <cell r="R617">
            <v>0</v>
          </cell>
          <cell r="AZ617">
            <v>0</v>
          </cell>
          <cell r="BA617">
            <v>0</v>
          </cell>
          <cell r="BC617" t="str">
            <v>OTHERS</v>
          </cell>
          <cell r="BE617" t="str">
            <v>Apr</v>
          </cell>
        </row>
        <row r="618">
          <cell r="C618" t="str">
            <v>UBE</v>
          </cell>
          <cell r="R618">
            <v>0</v>
          </cell>
          <cell r="AZ618">
            <v>0</v>
          </cell>
          <cell r="BA618">
            <v>0</v>
          </cell>
          <cell r="BC618" t="str">
            <v>OTHERS</v>
          </cell>
          <cell r="BE618" t="str">
            <v>May</v>
          </cell>
        </row>
        <row r="619">
          <cell r="C619" t="str">
            <v>UBE</v>
          </cell>
          <cell r="R619">
            <v>0</v>
          </cell>
          <cell r="AZ619">
            <v>0</v>
          </cell>
          <cell r="BA619">
            <v>0</v>
          </cell>
          <cell r="BC619" t="str">
            <v>OTHERS</v>
          </cell>
          <cell r="BE619" t="str">
            <v>Jun</v>
          </cell>
        </row>
        <row r="620">
          <cell r="C620" t="str">
            <v>UBE</v>
          </cell>
          <cell r="R620">
            <v>0</v>
          </cell>
          <cell r="AZ620">
            <v>0</v>
          </cell>
          <cell r="BA620">
            <v>0</v>
          </cell>
          <cell r="BC620" t="str">
            <v>OTHERS</v>
          </cell>
          <cell r="BE620" t="str">
            <v>Jul</v>
          </cell>
        </row>
        <row r="621">
          <cell r="C621" t="str">
            <v>UBE</v>
          </cell>
          <cell r="R621">
            <v>0</v>
          </cell>
          <cell r="AZ621">
            <v>0</v>
          </cell>
          <cell r="BA621">
            <v>0</v>
          </cell>
          <cell r="BC621" t="str">
            <v>OTHERS</v>
          </cell>
          <cell r="BE621" t="str">
            <v>Aug</v>
          </cell>
        </row>
        <row r="622">
          <cell r="C622" t="str">
            <v>UBE</v>
          </cell>
          <cell r="R622">
            <v>0</v>
          </cell>
          <cell r="AZ622">
            <v>0</v>
          </cell>
          <cell r="BA622">
            <v>0</v>
          </cell>
          <cell r="BC622" t="str">
            <v>OTHERS</v>
          </cell>
          <cell r="BE622" t="str">
            <v>Sep</v>
          </cell>
        </row>
        <row r="623">
          <cell r="C623" t="str">
            <v>UBE</v>
          </cell>
          <cell r="R623">
            <v>0</v>
          </cell>
          <cell r="AZ623">
            <v>0</v>
          </cell>
          <cell r="BA623">
            <v>0</v>
          </cell>
          <cell r="BC623" t="str">
            <v>OTHERS</v>
          </cell>
          <cell r="BE623" t="str">
            <v>Oct</v>
          </cell>
        </row>
        <row r="624">
          <cell r="C624" t="str">
            <v>UBE</v>
          </cell>
          <cell r="R624">
            <v>0</v>
          </cell>
          <cell r="AZ624">
            <v>0</v>
          </cell>
          <cell r="BA624">
            <v>0</v>
          </cell>
          <cell r="BC624" t="str">
            <v>OTHERS</v>
          </cell>
          <cell r="BE624" t="str">
            <v>Nov</v>
          </cell>
        </row>
        <row r="625">
          <cell r="C625" t="str">
            <v>UBE</v>
          </cell>
          <cell r="R625">
            <v>0</v>
          </cell>
          <cell r="AZ625">
            <v>0</v>
          </cell>
          <cell r="BA625">
            <v>0</v>
          </cell>
          <cell r="BC625" t="str">
            <v>OTHERS</v>
          </cell>
          <cell r="BE625" t="str">
            <v>Dec</v>
          </cell>
        </row>
        <row r="626">
          <cell r="C626" t="str">
            <v>UBE</v>
          </cell>
          <cell r="R626">
            <v>0</v>
          </cell>
          <cell r="AZ626">
            <v>0</v>
          </cell>
          <cell r="BA626">
            <v>0</v>
          </cell>
          <cell r="BC626" t="str">
            <v>OTHERS</v>
          </cell>
          <cell r="BE626" t="str">
            <v>Jan</v>
          </cell>
        </row>
        <row r="627">
          <cell r="C627" t="str">
            <v>UBE</v>
          </cell>
          <cell r="R627">
            <v>0</v>
          </cell>
          <cell r="AZ627">
            <v>0</v>
          </cell>
          <cell r="BA627">
            <v>0</v>
          </cell>
          <cell r="BC627" t="str">
            <v>OTHERS</v>
          </cell>
          <cell r="BE627" t="str">
            <v>Feb</v>
          </cell>
        </row>
        <row r="628">
          <cell r="C628" t="str">
            <v>UBE</v>
          </cell>
          <cell r="R628">
            <v>31500</v>
          </cell>
          <cell r="AZ628">
            <v>-94500</v>
          </cell>
          <cell r="BA628">
            <v>-57248.972629971155</v>
          </cell>
          <cell r="BC628" t="str">
            <v>OTHERS</v>
          </cell>
          <cell r="BE628" t="str">
            <v>Mar</v>
          </cell>
        </row>
        <row r="629">
          <cell r="C629" t="str">
            <v>UBE</v>
          </cell>
          <cell r="R629">
            <v>0</v>
          </cell>
          <cell r="AZ629">
            <v>0</v>
          </cell>
          <cell r="BA629">
            <v>0</v>
          </cell>
          <cell r="BC629" t="str">
            <v>OTHERS</v>
          </cell>
          <cell r="BE629" t="str">
            <v>Apr</v>
          </cell>
        </row>
        <row r="630">
          <cell r="C630" t="str">
            <v>UBE</v>
          </cell>
          <cell r="R630">
            <v>0</v>
          </cell>
          <cell r="AZ630">
            <v>0</v>
          </cell>
          <cell r="BA630">
            <v>0</v>
          </cell>
          <cell r="BC630" t="str">
            <v>OTHERS</v>
          </cell>
          <cell r="BE630" t="str">
            <v>May</v>
          </cell>
        </row>
        <row r="631">
          <cell r="C631" t="str">
            <v>UBE</v>
          </cell>
          <cell r="R631">
            <v>0</v>
          </cell>
          <cell r="AZ631">
            <v>0</v>
          </cell>
          <cell r="BA631">
            <v>0</v>
          </cell>
          <cell r="BC631" t="str">
            <v>OTHERS</v>
          </cell>
          <cell r="BE631" t="str">
            <v>Jun</v>
          </cell>
        </row>
        <row r="632">
          <cell r="C632" t="str">
            <v>UBE</v>
          </cell>
          <cell r="R632">
            <v>0</v>
          </cell>
          <cell r="AZ632">
            <v>0</v>
          </cell>
          <cell r="BA632">
            <v>0</v>
          </cell>
          <cell r="BC632" t="str">
            <v>OTHERS</v>
          </cell>
          <cell r="BE632" t="str">
            <v>Jul</v>
          </cell>
        </row>
        <row r="633">
          <cell r="C633" t="str">
            <v>UBE</v>
          </cell>
          <cell r="R633">
            <v>0</v>
          </cell>
          <cell r="AZ633">
            <v>0</v>
          </cell>
          <cell r="BA633">
            <v>0</v>
          </cell>
          <cell r="BC633" t="str">
            <v>OTHERS</v>
          </cell>
          <cell r="BE633" t="str">
            <v>Aug</v>
          </cell>
        </row>
        <row r="634">
          <cell r="C634" t="str">
            <v>UBE</v>
          </cell>
          <cell r="R634">
            <v>0</v>
          </cell>
          <cell r="AZ634">
            <v>0</v>
          </cell>
          <cell r="BA634">
            <v>0</v>
          </cell>
          <cell r="BC634" t="str">
            <v>OTHERS</v>
          </cell>
          <cell r="BE634" t="str">
            <v>Sep</v>
          </cell>
        </row>
        <row r="635">
          <cell r="C635" t="str">
            <v>UBE</v>
          </cell>
          <cell r="R635">
            <v>0</v>
          </cell>
          <cell r="AZ635">
            <v>0</v>
          </cell>
          <cell r="BA635">
            <v>0</v>
          </cell>
          <cell r="BC635" t="str">
            <v>OTHERS</v>
          </cell>
          <cell r="BE635" t="str">
            <v>Oct</v>
          </cell>
        </row>
        <row r="636">
          <cell r="C636" t="str">
            <v>UBE</v>
          </cell>
          <cell r="R636">
            <v>0</v>
          </cell>
          <cell r="AZ636">
            <v>0</v>
          </cell>
          <cell r="BA636">
            <v>0</v>
          </cell>
          <cell r="BC636" t="str">
            <v>OTHERS</v>
          </cell>
          <cell r="BE636" t="str">
            <v>Nov</v>
          </cell>
        </row>
        <row r="637">
          <cell r="C637" t="str">
            <v>UBE</v>
          </cell>
          <cell r="R637">
            <v>0</v>
          </cell>
          <cell r="AZ637">
            <v>0</v>
          </cell>
          <cell r="BA637">
            <v>0</v>
          </cell>
          <cell r="BC637" t="str">
            <v>OTHERS</v>
          </cell>
          <cell r="BE637" t="str">
            <v>Dec</v>
          </cell>
        </row>
        <row r="638">
          <cell r="C638" t="str">
            <v>Other</v>
          </cell>
          <cell r="R638">
            <v>0</v>
          </cell>
          <cell r="AZ638">
            <v>0</v>
          </cell>
          <cell r="BA638">
            <v>0</v>
          </cell>
          <cell r="BC638" t="str">
            <v>OTHERS</v>
          </cell>
          <cell r="BE638" t="str">
            <v>Jan</v>
          </cell>
        </row>
        <row r="639">
          <cell r="C639" t="str">
            <v>Other</v>
          </cell>
          <cell r="R639">
            <v>0</v>
          </cell>
          <cell r="AZ639">
            <v>0</v>
          </cell>
          <cell r="BA639">
            <v>0</v>
          </cell>
          <cell r="BC639" t="str">
            <v>OTHERS</v>
          </cell>
          <cell r="BE639" t="str">
            <v>Feb</v>
          </cell>
        </row>
        <row r="640">
          <cell r="C640" t="str">
            <v>Other</v>
          </cell>
          <cell r="R640">
            <v>0</v>
          </cell>
          <cell r="AZ640">
            <v>0</v>
          </cell>
          <cell r="BA640">
            <v>0</v>
          </cell>
          <cell r="BC640" t="str">
            <v>OTHERS</v>
          </cell>
          <cell r="BE640" t="str">
            <v>Mar</v>
          </cell>
        </row>
        <row r="641">
          <cell r="C641" t="str">
            <v>Other</v>
          </cell>
          <cell r="R641">
            <v>0</v>
          </cell>
          <cell r="AZ641">
            <v>0</v>
          </cell>
          <cell r="BA641">
            <v>0</v>
          </cell>
          <cell r="BC641" t="str">
            <v>OTHERS</v>
          </cell>
          <cell r="BE641" t="str">
            <v>Apr</v>
          </cell>
        </row>
        <row r="642">
          <cell r="C642" t="str">
            <v>Other</v>
          </cell>
          <cell r="R642">
            <v>0</v>
          </cell>
          <cell r="AZ642">
            <v>0</v>
          </cell>
          <cell r="BA642">
            <v>0</v>
          </cell>
          <cell r="BC642" t="str">
            <v>OTHERS</v>
          </cell>
          <cell r="BE642" t="str">
            <v>May</v>
          </cell>
        </row>
        <row r="643">
          <cell r="C643" t="str">
            <v>Other</v>
          </cell>
          <cell r="R643">
            <v>0</v>
          </cell>
          <cell r="AZ643">
            <v>0</v>
          </cell>
          <cell r="BA643">
            <v>0</v>
          </cell>
          <cell r="BC643" t="str">
            <v>OTHERS</v>
          </cell>
          <cell r="BE643" t="str">
            <v>Jun</v>
          </cell>
        </row>
        <row r="644">
          <cell r="C644" t="str">
            <v>Other</v>
          </cell>
          <cell r="R644">
            <v>0</v>
          </cell>
          <cell r="AZ644">
            <v>0</v>
          </cell>
          <cell r="BA644">
            <v>0</v>
          </cell>
          <cell r="BC644" t="str">
            <v>OTHERS</v>
          </cell>
          <cell r="BE644" t="str">
            <v>Jul</v>
          </cell>
        </row>
        <row r="645">
          <cell r="C645" t="str">
            <v>Other</v>
          </cell>
          <cell r="R645">
            <v>0</v>
          </cell>
          <cell r="AZ645">
            <v>0</v>
          </cell>
          <cell r="BA645">
            <v>0</v>
          </cell>
          <cell r="BC645" t="str">
            <v>OTHERS</v>
          </cell>
          <cell r="BE645" t="str">
            <v>Aug</v>
          </cell>
        </row>
        <row r="646">
          <cell r="C646" t="str">
            <v>Other</v>
          </cell>
          <cell r="R646">
            <v>0</v>
          </cell>
          <cell r="AZ646">
            <v>0</v>
          </cell>
          <cell r="BA646">
            <v>0</v>
          </cell>
          <cell r="BC646" t="str">
            <v>OTHERS</v>
          </cell>
          <cell r="BE646" t="str">
            <v>Sep</v>
          </cell>
        </row>
        <row r="647">
          <cell r="C647" t="str">
            <v>Other</v>
          </cell>
          <cell r="R647">
            <v>0</v>
          </cell>
          <cell r="AZ647">
            <v>0</v>
          </cell>
          <cell r="BA647">
            <v>0</v>
          </cell>
          <cell r="BC647" t="str">
            <v>OTHERS</v>
          </cell>
          <cell r="BE647" t="str">
            <v>Oct</v>
          </cell>
        </row>
        <row r="648">
          <cell r="C648" t="str">
            <v>Other</v>
          </cell>
          <cell r="R648">
            <v>0</v>
          </cell>
          <cell r="AZ648">
            <v>0</v>
          </cell>
          <cell r="BA648">
            <v>0</v>
          </cell>
          <cell r="BC648" t="str">
            <v>OTHERS</v>
          </cell>
          <cell r="BE648" t="str">
            <v>Nov</v>
          </cell>
        </row>
        <row r="649">
          <cell r="C649" t="str">
            <v>Other</v>
          </cell>
          <cell r="R649">
            <v>0</v>
          </cell>
          <cell r="AZ649">
            <v>0</v>
          </cell>
          <cell r="BA649">
            <v>0</v>
          </cell>
          <cell r="BC649" t="str">
            <v>OTHERS</v>
          </cell>
          <cell r="BE649" t="str">
            <v>Dec</v>
          </cell>
        </row>
        <row r="650">
          <cell r="C650" t="str">
            <v>ENEL</v>
          </cell>
          <cell r="R650">
            <v>0</v>
          </cell>
          <cell r="AZ650">
            <v>0</v>
          </cell>
          <cell r="BA650">
            <v>0</v>
          </cell>
          <cell r="BC650" t="str">
            <v>PLATINUM</v>
          </cell>
          <cell r="BE650" t="str">
            <v>Jan</v>
          </cell>
        </row>
        <row r="651">
          <cell r="C651" t="str">
            <v>ENEL</v>
          </cell>
          <cell r="R651">
            <v>0</v>
          </cell>
          <cell r="AZ651">
            <v>0</v>
          </cell>
          <cell r="BA651">
            <v>0</v>
          </cell>
          <cell r="BC651" t="str">
            <v>PLATINUM</v>
          </cell>
          <cell r="BE651" t="str">
            <v>Feb</v>
          </cell>
        </row>
        <row r="652">
          <cell r="C652" t="str">
            <v>ENEL</v>
          </cell>
          <cell r="R652">
            <v>0</v>
          </cell>
          <cell r="AZ652">
            <v>0</v>
          </cell>
          <cell r="BA652">
            <v>0</v>
          </cell>
          <cell r="BC652" t="str">
            <v>PLATINUM</v>
          </cell>
          <cell r="BE652" t="str">
            <v>Mar</v>
          </cell>
        </row>
        <row r="653">
          <cell r="C653" t="str">
            <v>ENEL</v>
          </cell>
          <cell r="R653">
            <v>0</v>
          </cell>
          <cell r="AZ653">
            <v>0</v>
          </cell>
          <cell r="BA653">
            <v>0</v>
          </cell>
          <cell r="BC653" t="str">
            <v>PLATINUM</v>
          </cell>
          <cell r="BE653" t="str">
            <v>Apr</v>
          </cell>
        </row>
        <row r="654">
          <cell r="C654" t="str">
            <v>ENEL</v>
          </cell>
          <cell r="R654">
            <v>0</v>
          </cell>
          <cell r="AZ654">
            <v>0</v>
          </cell>
          <cell r="BA654">
            <v>0</v>
          </cell>
          <cell r="BC654" t="str">
            <v>PLATINUM</v>
          </cell>
          <cell r="BE654" t="str">
            <v>May</v>
          </cell>
        </row>
        <row r="655">
          <cell r="C655" t="str">
            <v>ENEL</v>
          </cell>
          <cell r="R655">
            <v>0</v>
          </cell>
          <cell r="AZ655">
            <v>0</v>
          </cell>
          <cell r="BA655">
            <v>0</v>
          </cell>
          <cell r="BC655" t="str">
            <v>PLATINUM</v>
          </cell>
          <cell r="BE655" t="str">
            <v>Jun</v>
          </cell>
        </row>
        <row r="656">
          <cell r="C656" t="str">
            <v>ENEL</v>
          </cell>
          <cell r="R656">
            <v>0</v>
          </cell>
          <cell r="AZ656">
            <v>0</v>
          </cell>
          <cell r="BA656">
            <v>0</v>
          </cell>
          <cell r="BC656" t="str">
            <v>PLATINUM</v>
          </cell>
          <cell r="BE656" t="str">
            <v>Jul</v>
          </cell>
        </row>
        <row r="657">
          <cell r="C657" t="str">
            <v>ENEL</v>
          </cell>
          <cell r="R657">
            <v>0</v>
          </cell>
          <cell r="AZ657">
            <v>0</v>
          </cell>
          <cell r="BA657">
            <v>0</v>
          </cell>
          <cell r="BC657" t="str">
            <v>PLATINUM</v>
          </cell>
          <cell r="BE657" t="str">
            <v>Aug</v>
          </cell>
        </row>
        <row r="658">
          <cell r="C658" t="str">
            <v>ENEL</v>
          </cell>
          <cell r="R658">
            <v>0</v>
          </cell>
          <cell r="AZ658">
            <v>0</v>
          </cell>
          <cell r="BA658">
            <v>0</v>
          </cell>
          <cell r="BC658" t="str">
            <v>PLATINUM</v>
          </cell>
          <cell r="BE658" t="str">
            <v>Sep</v>
          </cell>
        </row>
        <row r="659">
          <cell r="C659" t="str">
            <v>ENEL</v>
          </cell>
          <cell r="R659">
            <v>0</v>
          </cell>
          <cell r="AZ659">
            <v>0</v>
          </cell>
          <cell r="BA659">
            <v>0</v>
          </cell>
          <cell r="BC659" t="str">
            <v>PLATINUM</v>
          </cell>
          <cell r="BE659" t="str">
            <v>Oct</v>
          </cell>
        </row>
        <row r="660">
          <cell r="C660" t="str">
            <v>ENEL</v>
          </cell>
          <cell r="R660">
            <v>0</v>
          </cell>
          <cell r="AZ660">
            <v>0</v>
          </cell>
          <cell r="BA660">
            <v>0</v>
          </cell>
          <cell r="BC660" t="str">
            <v>PLATINUM</v>
          </cell>
          <cell r="BE660" t="str">
            <v>Nov</v>
          </cell>
        </row>
        <row r="661">
          <cell r="C661" t="str">
            <v>ENEL</v>
          </cell>
          <cell r="R661">
            <v>0</v>
          </cell>
          <cell r="AZ661">
            <v>0</v>
          </cell>
          <cell r="BA661">
            <v>0</v>
          </cell>
          <cell r="BC661" t="str">
            <v>PLATINUM</v>
          </cell>
          <cell r="BE661" t="str">
            <v>Dec</v>
          </cell>
        </row>
        <row r="662">
          <cell r="C662" t="str">
            <v>ENEL</v>
          </cell>
          <cell r="R662">
            <v>0</v>
          </cell>
          <cell r="AZ662">
            <v>0</v>
          </cell>
          <cell r="BA662">
            <v>0</v>
          </cell>
          <cell r="BC662" t="str">
            <v>PLATINUM</v>
          </cell>
          <cell r="BE662" t="str">
            <v>Jan</v>
          </cell>
        </row>
        <row r="663">
          <cell r="C663" t="str">
            <v>ENEL</v>
          </cell>
          <cell r="R663">
            <v>0</v>
          </cell>
          <cell r="AZ663">
            <v>0</v>
          </cell>
          <cell r="BA663">
            <v>0</v>
          </cell>
          <cell r="BC663" t="str">
            <v>PLATINUM</v>
          </cell>
          <cell r="BE663" t="str">
            <v>Feb</v>
          </cell>
        </row>
        <row r="664">
          <cell r="C664" t="str">
            <v>ENEL</v>
          </cell>
          <cell r="R664">
            <v>0</v>
          </cell>
          <cell r="AZ664">
            <v>0</v>
          </cell>
          <cell r="BA664">
            <v>0</v>
          </cell>
          <cell r="BC664" t="str">
            <v>PLATINUM</v>
          </cell>
          <cell r="BE664" t="str">
            <v>Mar</v>
          </cell>
        </row>
        <row r="665">
          <cell r="C665" t="str">
            <v>ENEL</v>
          </cell>
          <cell r="R665">
            <v>0</v>
          </cell>
          <cell r="AZ665">
            <v>0</v>
          </cell>
          <cell r="BA665">
            <v>0</v>
          </cell>
          <cell r="BC665" t="str">
            <v>PLATINUM</v>
          </cell>
          <cell r="BE665" t="str">
            <v>Apr</v>
          </cell>
        </row>
        <row r="666">
          <cell r="C666" t="str">
            <v>ENEL</v>
          </cell>
          <cell r="R666">
            <v>0</v>
          </cell>
          <cell r="AZ666">
            <v>0</v>
          </cell>
          <cell r="BA666">
            <v>0</v>
          </cell>
          <cell r="BC666" t="str">
            <v>PLATINUM</v>
          </cell>
          <cell r="BE666" t="str">
            <v>May</v>
          </cell>
        </row>
        <row r="667">
          <cell r="C667" t="str">
            <v>ENEL</v>
          </cell>
          <cell r="R667">
            <v>0</v>
          </cell>
          <cell r="AZ667">
            <v>0</v>
          </cell>
          <cell r="BA667">
            <v>0</v>
          </cell>
          <cell r="BC667" t="str">
            <v>PLATINUM</v>
          </cell>
          <cell r="BE667" t="str">
            <v>Jun</v>
          </cell>
        </row>
        <row r="668">
          <cell r="C668" t="str">
            <v>ENEL</v>
          </cell>
          <cell r="R668">
            <v>0</v>
          </cell>
          <cell r="AZ668">
            <v>0</v>
          </cell>
          <cell r="BA668">
            <v>0</v>
          </cell>
          <cell r="BC668" t="str">
            <v>PLATINUM</v>
          </cell>
          <cell r="BE668" t="str">
            <v>Jul</v>
          </cell>
        </row>
        <row r="669">
          <cell r="C669" t="str">
            <v>ENEL</v>
          </cell>
          <cell r="R669">
            <v>0</v>
          </cell>
          <cell r="AZ669">
            <v>0</v>
          </cell>
          <cell r="BA669">
            <v>0</v>
          </cell>
          <cell r="BC669" t="str">
            <v>PLATINUM</v>
          </cell>
          <cell r="BE669" t="str">
            <v>Aug</v>
          </cell>
        </row>
        <row r="670">
          <cell r="C670" t="str">
            <v>ENEL</v>
          </cell>
          <cell r="R670">
            <v>0</v>
          </cell>
          <cell r="AZ670">
            <v>0</v>
          </cell>
          <cell r="BA670">
            <v>0</v>
          </cell>
          <cell r="BC670" t="str">
            <v>PLATINUM</v>
          </cell>
          <cell r="BE670" t="str">
            <v>Sep</v>
          </cell>
        </row>
        <row r="671">
          <cell r="C671" t="str">
            <v>ENEL</v>
          </cell>
          <cell r="R671">
            <v>0</v>
          </cell>
          <cell r="AZ671">
            <v>0</v>
          </cell>
          <cell r="BA671">
            <v>0</v>
          </cell>
          <cell r="BC671" t="str">
            <v>PLATINUM</v>
          </cell>
          <cell r="BE671" t="str">
            <v>Oct</v>
          </cell>
        </row>
        <row r="672">
          <cell r="C672" t="str">
            <v>ENEL</v>
          </cell>
          <cell r="R672">
            <v>0</v>
          </cell>
          <cell r="AZ672">
            <v>0</v>
          </cell>
          <cell r="BA672">
            <v>0</v>
          </cell>
          <cell r="BC672" t="str">
            <v>PLATINUM</v>
          </cell>
          <cell r="BE672" t="str">
            <v>Nov</v>
          </cell>
        </row>
        <row r="673">
          <cell r="C673" t="str">
            <v>ENEL</v>
          </cell>
          <cell r="R673">
            <v>0</v>
          </cell>
          <cell r="AZ673">
            <v>0</v>
          </cell>
          <cell r="BA673">
            <v>0</v>
          </cell>
          <cell r="BC673" t="str">
            <v>PLATINUM</v>
          </cell>
          <cell r="BE673" t="str">
            <v>Dec</v>
          </cell>
        </row>
        <row r="674">
          <cell r="C674" t="str">
            <v>ENEL</v>
          </cell>
          <cell r="R674">
            <v>0</v>
          </cell>
          <cell r="AZ674">
            <v>0</v>
          </cell>
          <cell r="BA674">
            <v>0</v>
          </cell>
          <cell r="BC674" t="str">
            <v>PLATINUM</v>
          </cell>
          <cell r="BE674" t="str">
            <v>Jan</v>
          </cell>
        </row>
        <row r="675">
          <cell r="C675" t="str">
            <v>ENEL</v>
          </cell>
          <cell r="R675">
            <v>0</v>
          </cell>
          <cell r="AZ675">
            <v>0</v>
          </cell>
          <cell r="BA675">
            <v>0</v>
          </cell>
          <cell r="BC675" t="str">
            <v>PLATINUM</v>
          </cell>
          <cell r="BE675" t="str">
            <v>Feb</v>
          </cell>
        </row>
        <row r="676">
          <cell r="C676" t="str">
            <v>ENEL</v>
          </cell>
          <cell r="R676">
            <v>0</v>
          </cell>
          <cell r="AZ676">
            <v>0</v>
          </cell>
          <cell r="BA676">
            <v>0</v>
          </cell>
          <cell r="BC676" t="str">
            <v>PLATINUM</v>
          </cell>
          <cell r="BE676" t="str">
            <v>Mar</v>
          </cell>
        </row>
        <row r="677">
          <cell r="C677" t="str">
            <v>ENEL</v>
          </cell>
          <cell r="R677">
            <v>0</v>
          </cell>
          <cell r="AZ677">
            <v>0</v>
          </cell>
          <cell r="BA677">
            <v>0</v>
          </cell>
          <cell r="BC677" t="str">
            <v>PLATINUM</v>
          </cell>
          <cell r="BE677" t="str">
            <v>Apr</v>
          </cell>
        </row>
        <row r="678">
          <cell r="C678" t="str">
            <v>ENEL</v>
          </cell>
          <cell r="R678">
            <v>0</v>
          </cell>
          <cell r="AZ678">
            <v>0</v>
          </cell>
          <cell r="BA678">
            <v>0</v>
          </cell>
          <cell r="BC678" t="str">
            <v>PLATINUM</v>
          </cell>
          <cell r="BE678" t="str">
            <v>May</v>
          </cell>
        </row>
        <row r="679">
          <cell r="C679" t="str">
            <v>ENEL</v>
          </cell>
          <cell r="R679">
            <v>0</v>
          </cell>
          <cell r="AZ679">
            <v>0</v>
          </cell>
          <cell r="BA679">
            <v>0</v>
          </cell>
          <cell r="BC679" t="str">
            <v>PLATINUM</v>
          </cell>
          <cell r="BE679" t="str">
            <v>Jun</v>
          </cell>
        </row>
        <row r="680">
          <cell r="C680" t="str">
            <v>ENEL</v>
          </cell>
          <cell r="R680">
            <v>0</v>
          </cell>
          <cell r="AZ680">
            <v>0</v>
          </cell>
          <cell r="BA680">
            <v>0</v>
          </cell>
          <cell r="BC680" t="str">
            <v>PLATINUM</v>
          </cell>
          <cell r="BE680" t="str">
            <v>Jul</v>
          </cell>
        </row>
        <row r="681">
          <cell r="C681" t="str">
            <v>ENEL</v>
          </cell>
          <cell r="R681">
            <v>0</v>
          </cell>
          <cell r="AZ681">
            <v>0</v>
          </cell>
          <cell r="BA681">
            <v>0</v>
          </cell>
          <cell r="BC681" t="str">
            <v>PLATINUM</v>
          </cell>
          <cell r="BE681" t="str">
            <v>Aug</v>
          </cell>
        </row>
        <row r="682">
          <cell r="C682" t="str">
            <v>ENEL</v>
          </cell>
          <cell r="R682">
            <v>0</v>
          </cell>
          <cell r="AZ682">
            <v>0</v>
          </cell>
          <cell r="BA682">
            <v>0</v>
          </cell>
          <cell r="BC682" t="str">
            <v>PLATINUM</v>
          </cell>
          <cell r="BE682" t="str">
            <v>Sep</v>
          </cell>
        </row>
        <row r="683">
          <cell r="C683" t="str">
            <v>ENEL</v>
          </cell>
          <cell r="R683">
            <v>0</v>
          </cell>
          <cell r="AZ683">
            <v>0</v>
          </cell>
          <cell r="BA683">
            <v>0</v>
          </cell>
          <cell r="BC683" t="str">
            <v>PLATINUM</v>
          </cell>
          <cell r="BE683" t="str">
            <v>Oct</v>
          </cell>
        </row>
        <row r="684">
          <cell r="C684" t="str">
            <v>ENEL</v>
          </cell>
          <cell r="R684">
            <v>0</v>
          </cell>
          <cell r="AZ684">
            <v>0</v>
          </cell>
          <cell r="BA684">
            <v>0</v>
          </cell>
          <cell r="BC684" t="str">
            <v>PLATINUM</v>
          </cell>
          <cell r="BE684" t="str">
            <v>Nov</v>
          </cell>
        </row>
        <row r="685">
          <cell r="C685" t="str">
            <v>ENEL</v>
          </cell>
          <cell r="R685">
            <v>0</v>
          </cell>
          <cell r="AZ685">
            <v>0</v>
          </cell>
          <cell r="BA685">
            <v>0</v>
          </cell>
          <cell r="BC685" t="str">
            <v>PLATINUM</v>
          </cell>
          <cell r="BE685" t="str">
            <v>Dec</v>
          </cell>
        </row>
        <row r="686">
          <cell r="C686" t="str">
            <v>ENEL</v>
          </cell>
          <cell r="R686">
            <v>0</v>
          </cell>
          <cell r="AZ686">
            <v>0</v>
          </cell>
          <cell r="BA686">
            <v>0</v>
          </cell>
          <cell r="BC686" t="str">
            <v>PLATINUM</v>
          </cell>
          <cell r="BE686" t="str">
            <v>Jan</v>
          </cell>
        </row>
        <row r="687">
          <cell r="C687" t="str">
            <v>ENEL</v>
          </cell>
          <cell r="R687">
            <v>0</v>
          </cell>
          <cell r="AZ687">
            <v>0</v>
          </cell>
          <cell r="BA687">
            <v>0</v>
          </cell>
          <cell r="BC687" t="str">
            <v>PLATINUM</v>
          </cell>
          <cell r="BE687" t="str">
            <v>Feb</v>
          </cell>
        </row>
        <row r="688">
          <cell r="C688" t="str">
            <v>ENEL</v>
          </cell>
          <cell r="R688">
            <v>0</v>
          </cell>
          <cell r="AZ688">
            <v>0</v>
          </cell>
          <cell r="BA688">
            <v>0</v>
          </cell>
          <cell r="BC688" t="str">
            <v>PLATINUM</v>
          </cell>
          <cell r="BE688" t="str">
            <v>Mar</v>
          </cell>
        </row>
        <row r="689">
          <cell r="C689" t="str">
            <v>ENEL</v>
          </cell>
          <cell r="R689">
            <v>0</v>
          </cell>
          <cell r="AZ689">
            <v>0</v>
          </cell>
          <cell r="BA689">
            <v>0</v>
          </cell>
          <cell r="BC689" t="str">
            <v>PLATINUM</v>
          </cell>
          <cell r="BE689" t="str">
            <v>Apr</v>
          </cell>
        </row>
        <row r="690">
          <cell r="C690" t="str">
            <v>ENEL</v>
          </cell>
          <cell r="R690">
            <v>0</v>
          </cell>
          <cell r="AZ690">
            <v>0</v>
          </cell>
          <cell r="BA690">
            <v>0</v>
          </cell>
          <cell r="BC690" t="str">
            <v>PLATINUM</v>
          </cell>
          <cell r="BE690" t="str">
            <v>May</v>
          </cell>
        </row>
        <row r="691">
          <cell r="C691" t="str">
            <v>ENEL</v>
          </cell>
          <cell r="R691">
            <v>0</v>
          </cell>
          <cell r="AZ691">
            <v>0</v>
          </cell>
          <cell r="BA691">
            <v>0</v>
          </cell>
          <cell r="BC691" t="str">
            <v>PLATINUM</v>
          </cell>
          <cell r="BE691" t="str">
            <v>Jun</v>
          </cell>
        </row>
        <row r="692">
          <cell r="C692" t="str">
            <v>ENEL</v>
          </cell>
          <cell r="R692">
            <v>0</v>
          </cell>
          <cell r="AZ692">
            <v>0</v>
          </cell>
          <cell r="BA692">
            <v>0</v>
          </cell>
          <cell r="BC692" t="str">
            <v>PLATINUM</v>
          </cell>
          <cell r="BE692" t="str">
            <v>Jul</v>
          </cell>
        </row>
        <row r="693">
          <cell r="C693" t="str">
            <v>ENEL</v>
          </cell>
          <cell r="R693">
            <v>0</v>
          </cell>
          <cell r="AZ693">
            <v>0</v>
          </cell>
          <cell r="BA693">
            <v>0</v>
          </cell>
          <cell r="BC693" t="str">
            <v>PLATINUM</v>
          </cell>
          <cell r="BE693" t="str">
            <v>Aug</v>
          </cell>
        </row>
        <row r="694">
          <cell r="C694" t="str">
            <v>ENEL</v>
          </cell>
          <cell r="R694">
            <v>0</v>
          </cell>
          <cell r="AZ694">
            <v>0</v>
          </cell>
          <cell r="BA694">
            <v>0</v>
          </cell>
          <cell r="BC694" t="str">
            <v>PLATINUM</v>
          </cell>
          <cell r="BE694" t="str">
            <v>Sep</v>
          </cell>
        </row>
        <row r="695">
          <cell r="C695" t="str">
            <v>ENEL</v>
          </cell>
          <cell r="R695">
            <v>0</v>
          </cell>
          <cell r="AZ695">
            <v>0</v>
          </cell>
          <cell r="BA695">
            <v>0</v>
          </cell>
          <cell r="BC695" t="str">
            <v>PLATINUM</v>
          </cell>
          <cell r="BE695" t="str">
            <v>Oct</v>
          </cell>
        </row>
        <row r="696">
          <cell r="C696" t="str">
            <v>ENEL</v>
          </cell>
          <cell r="R696">
            <v>0</v>
          </cell>
          <cell r="AZ696">
            <v>0</v>
          </cell>
          <cell r="BA696">
            <v>0</v>
          </cell>
          <cell r="BC696" t="str">
            <v>PLATINUM</v>
          </cell>
          <cell r="BE696" t="str">
            <v>Nov</v>
          </cell>
        </row>
        <row r="697">
          <cell r="C697" t="str">
            <v>ENEL</v>
          </cell>
          <cell r="R697">
            <v>0</v>
          </cell>
          <cell r="AZ697">
            <v>0</v>
          </cell>
          <cell r="BA697">
            <v>0</v>
          </cell>
          <cell r="BC697" t="str">
            <v>PLATINUM</v>
          </cell>
          <cell r="BE697" t="str">
            <v>Dec</v>
          </cell>
        </row>
        <row r="698">
          <cell r="C698" t="str">
            <v>ENEL</v>
          </cell>
          <cell r="R698">
            <v>28000</v>
          </cell>
          <cell r="AZ698">
            <v>-86800</v>
          </cell>
          <cell r="BA698">
            <v>-18595.107753492641</v>
          </cell>
          <cell r="BC698" t="str">
            <v>PLATINUM</v>
          </cell>
          <cell r="BE698" t="str">
            <v>Jan</v>
          </cell>
        </row>
        <row r="699">
          <cell r="C699" t="str">
            <v>ENEL</v>
          </cell>
          <cell r="R699">
            <v>28000</v>
          </cell>
          <cell r="AZ699">
            <v>-86800</v>
          </cell>
          <cell r="BA699">
            <v>-18595.107753492641</v>
          </cell>
          <cell r="BC699" t="str">
            <v>PLATINUM</v>
          </cell>
          <cell r="BE699" t="str">
            <v>Feb</v>
          </cell>
        </row>
        <row r="700">
          <cell r="C700" t="str">
            <v>ENEL</v>
          </cell>
          <cell r="R700">
            <v>28000</v>
          </cell>
          <cell r="AZ700">
            <v>-86800</v>
          </cell>
          <cell r="BA700">
            <v>-18595.107753492641</v>
          </cell>
          <cell r="BC700" t="str">
            <v>PLATINUM</v>
          </cell>
          <cell r="BE700" t="str">
            <v>Mar</v>
          </cell>
        </row>
        <row r="701">
          <cell r="C701" t="str">
            <v>ENEL</v>
          </cell>
          <cell r="R701">
            <v>0</v>
          </cell>
          <cell r="AZ701">
            <v>0</v>
          </cell>
          <cell r="BA701">
            <v>0</v>
          </cell>
          <cell r="BC701" t="str">
            <v>PLATINUM</v>
          </cell>
          <cell r="BE701" t="str">
            <v>Apr</v>
          </cell>
        </row>
        <row r="702">
          <cell r="C702" t="str">
            <v>ENEL</v>
          </cell>
          <cell r="R702">
            <v>28000</v>
          </cell>
          <cell r="AZ702">
            <v>-86800</v>
          </cell>
          <cell r="BA702">
            <v>-18595.107753492641</v>
          </cell>
          <cell r="BC702" t="str">
            <v>PLATINUM</v>
          </cell>
          <cell r="BE702" t="str">
            <v>May</v>
          </cell>
        </row>
        <row r="703">
          <cell r="C703" t="str">
            <v>ENEL</v>
          </cell>
          <cell r="R703">
            <v>0</v>
          </cell>
          <cell r="AZ703">
            <v>0</v>
          </cell>
          <cell r="BA703">
            <v>0</v>
          </cell>
          <cell r="BC703" t="str">
            <v>PLATINUM</v>
          </cell>
          <cell r="BE703" t="str">
            <v>Jun</v>
          </cell>
        </row>
        <row r="704">
          <cell r="C704" t="str">
            <v>ENEL</v>
          </cell>
          <cell r="R704">
            <v>0</v>
          </cell>
          <cell r="AZ704">
            <v>0</v>
          </cell>
          <cell r="BA704">
            <v>0</v>
          </cell>
          <cell r="BC704" t="str">
            <v>PLATINUM</v>
          </cell>
          <cell r="BE704" t="str">
            <v>Jul</v>
          </cell>
        </row>
        <row r="705">
          <cell r="C705" t="str">
            <v>ENEL</v>
          </cell>
          <cell r="R705">
            <v>0</v>
          </cell>
          <cell r="AZ705">
            <v>0</v>
          </cell>
          <cell r="BA705">
            <v>0</v>
          </cell>
          <cell r="BC705" t="str">
            <v>PLATINUM</v>
          </cell>
          <cell r="BE705" t="str">
            <v>Aug</v>
          </cell>
        </row>
        <row r="706">
          <cell r="C706" t="str">
            <v>ENEL</v>
          </cell>
          <cell r="R706">
            <v>0</v>
          </cell>
          <cell r="AZ706">
            <v>0</v>
          </cell>
          <cell r="BA706">
            <v>0</v>
          </cell>
          <cell r="BC706" t="str">
            <v>PLATINUM</v>
          </cell>
          <cell r="BE706" t="str">
            <v>Sep</v>
          </cell>
        </row>
        <row r="707">
          <cell r="C707" t="str">
            <v>ENEL</v>
          </cell>
          <cell r="R707">
            <v>0</v>
          </cell>
          <cell r="AZ707">
            <v>0</v>
          </cell>
          <cell r="BA707">
            <v>0</v>
          </cell>
          <cell r="BC707" t="str">
            <v>PLATINUM</v>
          </cell>
          <cell r="BE707" t="str">
            <v>Oct</v>
          </cell>
        </row>
        <row r="708">
          <cell r="C708" t="str">
            <v>ENEL</v>
          </cell>
          <cell r="R708">
            <v>0</v>
          </cell>
          <cell r="AZ708">
            <v>0</v>
          </cell>
          <cell r="BA708">
            <v>0</v>
          </cell>
          <cell r="BC708" t="str">
            <v>PLATINUM</v>
          </cell>
          <cell r="BE708" t="str">
            <v>Nov</v>
          </cell>
        </row>
        <row r="709">
          <cell r="C709" t="str">
            <v>ENEL</v>
          </cell>
          <cell r="R709">
            <v>0</v>
          </cell>
          <cell r="AZ709">
            <v>0</v>
          </cell>
          <cell r="BA709">
            <v>0</v>
          </cell>
          <cell r="BC709" t="str">
            <v>PLATINUM</v>
          </cell>
          <cell r="BE709" t="str">
            <v>Dec</v>
          </cell>
        </row>
        <row r="710">
          <cell r="C710" t="str">
            <v>ENEL</v>
          </cell>
          <cell r="R710">
            <v>42000</v>
          </cell>
          <cell r="AZ710">
            <v>-130200</v>
          </cell>
          <cell r="BA710">
            <v>-31441.430708045824</v>
          </cell>
          <cell r="BC710" t="str">
            <v>PLATINUM</v>
          </cell>
          <cell r="BE710" t="str">
            <v>Jan</v>
          </cell>
        </row>
        <row r="711">
          <cell r="C711" t="str">
            <v>ENEL</v>
          </cell>
          <cell r="R711">
            <v>42000</v>
          </cell>
          <cell r="AZ711">
            <v>-130200</v>
          </cell>
          <cell r="BA711">
            <v>-31441.430708045824</v>
          </cell>
          <cell r="BC711" t="str">
            <v>PLATINUM</v>
          </cell>
          <cell r="BE711" t="str">
            <v>Feb</v>
          </cell>
        </row>
        <row r="712">
          <cell r="C712" t="str">
            <v>ENEL</v>
          </cell>
          <cell r="R712">
            <v>42000</v>
          </cell>
          <cell r="AZ712">
            <v>-130200</v>
          </cell>
          <cell r="BA712">
            <v>-31441.430708045824</v>
          </cell>
          <cell r="BC712" t="str">
            <v>PLATINUM</v>
          </cell>
          <cell r="BE712" t="str">
            <v>Mar</v>
          </cell>
        </row>
        <row r="713">
          <cell r="C713" t="str">
            <v>ENEL</v>
          </cell>
          <cell r="R713">
            <v>0</v>
          </cell>
          <cell r="AZ713">
            <v>0</v>
          </cell>
          <cell r="BA713">
            <v>0</v>
          </cell>
          <cell r="BC713" t="str">
            <v>PLATINUM</v>
          </cell>
          <cell r="BE713" t="str">
            <v>Apr</v>
          </cell>
        </row>
        <row r="714">
          <cell r="C714" t="str">
            <v>ENEL</v>
          </cell>
          <cell r="R714">
            <v>42000</v>
          </cell>
          <cell r="AZ714">
            <v>-130200</v>
          </cell>
          <cell r="BA714">
            <v>-31441.430708045824</v>
          </cell>
          <cell r="BC714" t="str">
            <v>PLATINUM</v>
          </cell>
          <cell r="BE714" t="str">
            <v>May</v>
          </cell>
        </row>
        <row r="715">
          <cell r="C715" t="str">
            <v>ENEL</v>
          </cell>
          <cell r="R715">
            <v>0</v>
          </cell>
          <cell r="AZ715">
            <v>0</v>
          </cell>
          <cell r="BA715">
            <v>0</v>
          </cell>
          <cell r="BC715" t="str">
            <v>PLATINUM</v>
          </cell>
          <cell r="BE715" t="str">
            <v>Jun</v>
          </cell>
        </row>
        <row r="716">
          <cell r="C716" t="str">
            <v>ENEL</v>
          </cell>
          <cell r="R716">
            <v>0</v>
          </cell>
          <cell r="AZ716">
            <v>0</v>
          </cell>
          <cell r="BA716">
            <v>0</v>
          </cell>
          <cell r="BC716" t="str">
            <v>PLATINUM</v>
          </cell>
          <cell r="BE716" t="str">
            <v>Jul</v>
          </cell>
        </row>
        <row r="717">
          <cell r="C717" t="str">
            <v>ENEL</v>
          </cell>
          <cell r="R717">
            <v>0</v>
          </cell>
          <cell r="AZ717">
            <v>0</v>
          </cell>
          <cell r="BA717">
            <v>0</v>
          </cell>
          <cell r="BC717" t="str">
            <v>PLATINUM</v>
          </cell>
          <cell r="BE717" t="str">
            <v>Aug</v>
          </cell>
        </row>
        <row r="718">
          <cell r="C718" t="str">
            <v>ENEL</v>
          </cell>
          <cell r="R718">
            <v>0</v>
          </cell>
          <cell r="AZ718">
            <v>0</v>
          </cell>
          <cell r="BA718">
            <v>0</v>
          </cell>
          <cell r="BC718" t="str">
            <v>PLATINUM</v>
          </cell>
          <cell r="BE718" t="str">
            <v>Sep</v>
          </cell>
        </row>
        <row r="719">
          <cell r="C719" t="str">
            <v>ENEL</v>
          </cell>
          <cell r="R719">
            <v>0</v>
          </cell>
          <cell r="AZ719">
            <v>0</v>
          </cell>
          <cell r="BA719">
            <v>0</v>
          </cell>
          <cell r="BC719" t="str">
            <v>PLATINUM</v>
          </cell>
          <cell r="BE719" t="str">
            <v>Oct</v>
          </cell>
        </row>
        <row r="720">
          <cell r="C720" t="str">
            <v>ENEL</v>
          </cell>
          <cell r="R720">
            <v>0</v>
          </cell>
          <cell r="AZ720">
            <v>0</v>
          </cell>
          <cell r="BA720">
            <v>0</v>
          </cell>
          <cell r="BC720" t="str">
            <v>PLATINUM</v>
          </cell>
          <cell r="BE720" t="str">
            <v>Nov</v>
          </cell>
        </row>
        <row r="721">
          <cell r="C721" t="str">
            <v>ENEL</v>
          </cell>
          <cell r="R721">
            <v>0</v>
          </cell>
          <cell r="AZ721">
            <v>0</v>
          </cell>
          <cell r="BA721">
            <v>0</v>
          </cell>
          <cell r="BC721" t="str">
            <v>PLATINUM</v>
          </cell>
          <cell r="BE721" t="str">
            <v>Dec</v>
          </cell>
        </row>
        <row r="722">
          <cell r="C722" t="str">
            <v>ENEL</v>
          </cell>
          <cell r="R722">
            <v>0</v>
          </cell>
          <cell r="AZ722">
            <v>0</v>
          </cell>
          <cell r="BA722">
            <v>0</v>
          </cell>
          <cell r="BC722" t="str">
            <v>PLATINUM</v>
          </cell>
          <cell r="BE722" t="str">
            <v>Jan</v>
          </cell>
        </row>
        <row r="723">
          <cell r="C723" t="str">
            <v>ENEL</v>
          </cell>
          <cell r="R723">
            <v>0</v>
          </cell>
          <cell r="AZ723">
            <v>0</v>
          </cell>
          <cell r="BA723">
            <v>0</v>
          </cell>
          <cell r="BC723" t="str">
            <v>PLATINUM</v>
          </cell>
          <cell r="BE723" t="str">
            <v>Feb</v>
          </cell>
        </row>
        <row r="724">
          <cell r="C724" t="str">
            <v>ENEL</v>
          </cell>
          <cell r="R724">
            <v>0</v>
          </cell>
          <cell r="AZ724">
            <v>0</v>
          </cell>
          <cell r="BA724">
            <v>0</v>
          </cell>
          <cell r="BC724" t="str">
            <v>PLATINUM</v>
          </cell>
          <cell r="BE724" t="str">
            <v>Mar</v>
          </cell>
        </row>
        <row r="725">
          <cell r="C725" t="str">
            <v>ENEL</v>
          </cell>
          <cell r="R725">
            <v>0</v>
          </cell>
          <cell r="AZ725">
            <v>0</v>
          </cell>
          <cell r="BA725">
            <v>0</v>
          </cell>
          <cell r="BC725" t="str">
            <v>PLATINUM</v>
          </cell>
          <cell r="BE725" t="str">
            <v>Apr</v>
          </cell>
        </row>
        <row r="726">
          <cell r="C726" t="str">
            <v>ENEL</v>
          </cell>
          <cell r="R726">
            <v>0</v>
          </cell>
          <cell r="AZ726">
            <v>0</v>
          </cell>
          <cell r="BA726">
            <v>0</v>
          </cell>
          <cell r="BC726" t="str">
            <v>PLATINUM</v>
          </cell>
          <cell r="BE726" t="str">
            <v>May</v>
          </cell>
        </row>
        <row r="727">
          <cell r="C727" t="str">
            <v>ENEL</v>
          </cell>
          <cell r="R727">
            <v>28000</v>
          </cell>
          <cell r="AZ727">
            <v>-86800</v>
          </cell>
          <cell r="BA727">
            <v>-18595.107753492641</v>
          </cell>
          <cell r="BC727" t="str">
            <v>PLATINUM</v>
          </cell>
          <cell r="BE727" t="str">
            <v>Jun</v>
          </cell>
        </row>
        <row r="728">
          <cell r="C728" t="str">
            <v>ENEL</v>
          </cell>
          <cell r="R728">
            <v>28000</v>
          </cell>
          <cell r="AZ728">
            <v>-86800</v>
          </cell>
          <cell r="BA728">
            <v>-18595.107753492641</v>
          </cell>
          <cell r="BC728" t="str">
            <v>PLATINUM</v>
          </cell>
          <cell r="BE728" t="str">
            <v>Jul</v>
          </cell>
        </row>
        <row r="729">
          <cell r="C729" t="str">
            <v>ENEL</v>
          </cell>
          <cell r="R729">
            <v>28000</v>
          </cell>
          <cell r="AZ729">
            <v>-86800</v>
          </cell>
          <cell r="BA729">
            <v>-18595.107753492641</v>
          </cell>
          <cell r="BC729" t="str">
            <v>PLATINUM</v>
          </cell>
          <cell r="BE729" t="str">
            <v>Aug</v>
          </cell>
        </row>
        <row r="730">
          <cell r="C730" t="str">
            <v>ENEL</v>
          </cell>
          <cell r="R730">
            <v>28000</v>
          </cell>
          <cell r="AZ730">
            <v>-86800</v>
          </cell>
          <cell r="BA730">
            <v>-18595.107753492641</v>
          </cell>
          <cell r="BC730" t="str">
            <v>PLATINUM</v>
          </cell>
          <cell r="BE730" t="str">
            <v>Sep</v>
          </cell>
        </row>
        <row r="731">
          <cell r="C731" t="str">
            <v>ENEL</v>
          </cell>
          <cell r="R731">
            <v>28000</v>
          </cell>
          <cell r="AZ731">
            <v>-86800</v>
          </cell>
          <cell r="BA731">
            <v>-18595.107753492641</v>
          </cell>
          <cell r="BC731" t="str">
            <v>PLATINUM</v>
          </cell>
          <cell r="BE731" t="str">
            <v>Oct</v>
          </cell>
        </row>
        <row r="732">
          <cell r="C732" t="str">
            <v>ENEL</v>
          </cell>
          <cell r="R732">
            <v>28000</v>
          </cell>
          <cell r="AZ732">
            <v>-86800</v>
          </cell>
          <cell r="BA732">
            <v>-18595.107753492641</v>
          </cell>
          <cell r="BC732" t="str">
            <v>PLATINUM</v>
          </cell>
          <cell r="BE732" t="str">
            <v>Nov</v>
          </cell>
        </row>
        <row r="733">
          <cell r="C733" t="str">
            <v>ENEL</v>
          </cell>
          <cell r="R733">
            <v>28000</v>
          </cell>
          <cell r="AZ733">
            <v>-86800</v>
          </cell>
          <cell r="BA733">
            <v>-18595.107753492641</v>
          </cell>
          <cell r="BC733" t="str">
            <v>PLATINUM</v>
          </cell>
          <cell r="BE733" t="str">
            <v>Dec</v>
          </cell>
        </row>
        <row r="734">
          <cell r="C734" t="str">
            <v>ENEL</v>
          </cell>
          <cell r="R734">
            <v>0</v>
          </cell>
          <cell r="AZ734">
            <v>0</v>
          </cell>
          <cell r="BA734">
            <v>0</v>
          </cell>
          <cell r="BC734" t="str">
            <v>PLATINUM</v>
          </cell>
          <cell r="BE734" t="str">
            <v>Jan</v>
          </cell>
        </row>
        <row r="735">
          <cell r="C735" t="str">
            <v>ENEL</v>
          </cell>
          <cell r="R735">
            <v>0</v>
          </cell>
          <cell r="AZ735">
            <v>0</v>
          </cell>
          <cell r="BA735">
            <v>0</v>
          </cell>
          <cell r="BC735" t="str">
            <v>PLATINUM</v>
          </cell>
          <cell r="BE735" t="str">
            <v>Feb</v>
          </cell>
        </row>
        <row r="736">
          <cell r="C736" t="str">
            <v>ENEL</v>
          </cell>
          <cell r="R736">
            <v>0</v>
          </cell>
          <cell r="AZ736">
            <v>0</v>
          </cell>
          <cell r="BA736">
            <v>0</v>
          </cell>
          <cell r="BC736" t="str">
            <v>PLATINUM</v>
          </cell>
          <cell r="BE736" t="str">
            <v>Mar</v>
          </cell>
        </row>
        <row r="737">
          <cell r="C737" t="str">
            <v>ENEL</v>
          </cell>
          <cell r="R737">
            <v>0</v>
          </cell>
          <cell r="AZ737">
            <v>0</v>
          </cell>
          <cell r="BA737">
            <v>0</v>
          </cell>
          <cell r="BC737" t="str">
            <v>PLATINUM</v>
          </cell>
          <cell r="BE737" t="str">
            <v>Apr</v>
          </cell>
        </row>
        <row r="738">
          <cell r="C738" t="str">
            <v>ENEL</v>
          </cell>
          <cell r="R738">
            <v>0</v>
          </cell>
          <cell r="AZ738">
            <v>0</v>
          </cell>
          <cell r="BA738">
            <v>0</v>
          </cell>
          <cell r="BC738" t="str">
            <v>PLATINUM</v>
          </cell>
          <cell r="BE738" t="str">
            <v>May</v>
          </cell>
        </row>
        <row r="739">
          <cell r="C739" t="str">
            <v>ENEL</v>
          </cell>
          <cell r="R739">
            <v>42000</v>
          </cell>
          <cell r="AZ739">
            <v>-130200</v>
          </cell>
          <cell r="BA739">
            <v>-31441.430708045824</v>
          </cell>
          <cell r="BC739" t="str">
            <v>PLATINUM</v>
          </cell>
          <cell r="BE739" t="str">
            <v>Jun</v>
          </cell>
        </row>
        <row r="740">
          <cell r="C740" t="str">
            <v>ENEL</v>
          </cell>
          <cell r="R740">
            <v>42000</v>
          </cell>
          <cell r="AZ740">
            <v>-130200</v>
          </cell>
          <cell r="BA740">
            <v>-31441.430708045824</v>
          </cell>
          <cell r="BC740" t="str">
            <v>PLATINUM</v>
          </cell>
          <cell r="BE740" t="str">
            <v>Jul</v>
          </cell>
        </row>
        <row r="741">
          <cell r="C741" t="str">
            <v>ENEL</v>
          </cell>
          <cell r="R741">
            <v>42000</v>
          </cell>
          <cell r="AZ741">
            <v>-130200</v>
          </cell>
          <cell r="BA741">
            <v>-31441.430708045824</v>
          </cell>
          <cell r="BC741" t="str">
            <v>PLATINUM</v>
          </cell>
          <cell r="BE741" t="str">
            <v>Aug</v>
          </cell>
        </row>
        <row r="742">
          <cell r="C742" t="str">
            <v>ENEL</v>
          </cell>
          <cell r="R742">
            <v>42000</v>
          </cell>
          <cell r="AZ742">
            <v>-130200</v>
          </cell>
          <cell r="BA742">
            <v>-31441.430708045824</v>
          </cell>
          <cell r="BC742" t="str">
            <v>PLATINUM</v>
          </cell>
          <cell r="BE742" t="str">
            <v>Sep</v>
          </cell>
        </row>
        <row r="743">
          <cell r="C743" t="str">
            <v>ENEL</v>
          </cell>
          <cell r="R743">
            <v>42000</v>
          </cell>
          <cell r="AZ743">
            <v>-130200</v>
          </cell>
          <cell r="BA743">
            <v>-31441.430708045824</v>
          </cell>
          <cell r="BC743" t="str">
            <v>PLATINUM</v>
          </cell>
          <cell r="BE743" t="str">
            <v>Oct</v>
          </cell>
        </row>
        <row r="744">
          <cell r="C744" t="str">
            <v>ENEL</v>
          </cell>
          <cell r="R744">
            <v>42000</v>
          </cell>
          <cell r="AZ744">
            <v>-130200</v>
          </cell>
          <cell r="BA744">
            <v>-31441.430708045824</v>
          </cell>
          <cell r="BC744" t="str">
            <v>PLATINUM</v>
          </cell>
          <cell r="BE744" t="str">
            <v>Nov</v>
          </cell>
        </row>
        <row r="745">
          <cell r="C745" t="str">
            <v>ENEL</v>
          </cell>
          <cell r="R745">
            <v>42000</v>
          </cell>
          <cell r="AZ745">
            <v>-130200</v>
          </cell>
          <cell r="BA745">
            <v>-31441.430708045824</v>
          </cell>
          <cell r="BC745" t="str">
            <v>PLATINUM</v>
          </cell>
          <cell r="BE745" t="str">
            <v>Dec</v>
          </cell>
        </row>
        <row r="746">
          <cell r="C746" t="str">
            <v>ENEL</v>
          </cell>
          <cell r="R746">
            <v>0</v>
          </cell>
          <cell r="AZ746">
            <v>0</v>
          </cell>
          <cell r="BA746">
            <v>0</v>
          </cell>
          <cell r="BC746" t="str">
            <v>PLATINUM</v>
          </cell>
          <cell r="BE746" t="str">
            <v>Jan</v>
          </cell>
        </row>
        <row r="747">
          <cell r="C747" t="str">
            <v>ENEL</v>
          </cell>
          <cell r="R747">
            <v>0</v>
          </cell>
          <cell r="AZ747">
            <v>0</v>
          </cell>
          <cell r="BA747">
            <v>0</v>
          </cell>
          <cell r="BC747" t="str">
            <v>PLATINUM</v>
          </cell>
          <cell r="BE747" t="str">
            <v>Feb</v>
          </cell>
        </row>
        <row r="748">
          <cell r="C748" t="str">
            <v>ENEL</v>
          </cell>
          <cell r="R748">
            <v>0</v>
          </cell>
          <cell r="AZ748">
            <v>0</v>
          </cell>
          <cell r="BA748">
            <v>0</v>
          </cell>
          <cell r="BC748" t="str">
            <v>PLATINUM</v>
          </cell>
          <cell r="BE748" t="str">
            <v>Mar</v>
          </cell>
        </row>
        <row r="749">
          <cell r="C749" t="str">
            <v>ENEL</v>
          </cell>
          <cell r="R749">
            <v>0</v>
          </cell>
          <cell r="AZ749">
            <v>0</v>
          </cell>
          <cell r="BA749">
            <v>0</v>
          </cell>
          <cell r="BC749" t="str">
            <v>PLATINUM</v>
          </cell>
          <cell r="BE749" t="str">
            <v>Apr</v>
          </cell>
        </row>
        <row r="750">
          <cell r="C750" t="str">
            <v>ENEL</v>
          </cell>
          <cell r="R750">
            <v>0</v>
          </cell>
          <cell r="AZ750">
            <v>0</v>
          </cell>
          <cell r="BA750">
            <v>0</v>
          </cell>
          <cell r="BC750" t="str">
            <v>PLATINUM</v>
          </cell>
          <cell r="BE750" t="str">
            <v>May</v>
          </cell>
        </row>
        <row r="751">
          <cell r="C751" t="str">
            <v>ENEL</v>
          </cell>
          <cell r="R751">
            <v>0</v>
          </cell>
          <cell r="AZ751">
            <v>0</v>
          </cell>
          <cell r="BA751">
            <v>0</v>
          </cell>
          <cell r="BC751" t="str">
            <v>PLATINUM</v>
          </cell>
          <cell r="BE751" t="str">
            <v>Jun</v>
          </cell>
        </row>
        <row r="752">
          <cell r="C752" t="str">
            <v>ENEL</v>
          </cell>
          <cell r="R752">
            <v>0</v>
          </cell>
          <cell r="AZ752">
            <v>0</v>
          </cell>
          <cell r="BA752">
            <v>0</v>
          </cell>
          <cell r="BC752" t="str">
            <v>PLATINUM</v>
          </cell>
          <cell r="BE752" t="str">
            <v>Jul</v>
          </cell>
        </row>
        <row r="753">
          <cell r="C753" t="str">
            <v>ENEL</v>
          </cell>
          <cell r="R753">
            <v>0</v>
          </cell>
          <cell r="AZ753">
            <v>0</v>
          </cell>
          <cell r="BA753">
            <v>0</v>
          </cell>
          <cell r="BC753" t="str">
            <v>PLATINUM</v>
          </cell>
          <cell r="BE753" t="str">
            <v>Aug</v>
          </cell>
        </row>
        <row r="754">
          <cell r="C754" t="str">
            <v>ENEL</v>
          </cell>
          <cell r="R754">
            <v>0</v>
          </cell>
          <cell r="AZ754">
            <v>0</v>
          </cell>
          <cell r="BA754">
            <v>0</v>
          </cell>
          <cell r="BC754" t="str">
            <v>PLATINUM</v>
          </cell>
          <cell r="BE754" t="str">
            <v>Sep</v>
          </cell>
        </row>
        <row r="755">
          <cell r="C755" t="str">
            <v>ENEL</v>
          </cell>
          <cell r="R755">
            <v>0</v>
          </cell>
          <cell r="AZ755">
            <v>0</v>
          </cell>
          <cell r="BA755">
            <v>0</v>
          </cell>
          <cell r="BC755" t="str">
            <v>PLATINUM</v>
          </cell>
          <cell r="BE755" t="str">
            <v>Oct</v>
          </cell>
        </row>
        <row r="756">
          <cell r="C756" t="str">
            <v>ENEL</v>
          </cell>
          <cell r="R756">
            <v>42000</v>
          </cell>
          <cell r="AZ756">
            <v>-130200</v>
          </cell>
          <cell r="BA756">
            <v>-57136.088046373181</v>
          </cell>
          <cell r="BC756" t="str">
            <v>PLATINUM</v>
          </cell>
          <cell r="BE756" t="str">
            <v>Nov</v>
          </cell>
        </row>
        <row r="757">
          <cell r="C757" t="str">
            <v>ENEL</v>
          </cell>
          <cell r="R757">
            <v>42000</v>
          </cell>
          <cell r="AZ757">
            <v>-130200</v>
          </cell>
          <cell r="BA757">
            <v>-57136.088046373181</v>
          </cell>
          <cell r="BC757" t="str">
            <v>PLATINUM</v>
          </cell>
          <cell r="BE757" t="str">
            <v>Dec</v>
          </cell>
        </row>
        <row r="758">
          <cell r="C758" t="str">
            <v>ENEL</v>
          </cell>
          <cell r="R758">
            <v>0</v>
          </cell>
          <cell r="AZ758">
            <v>0</v>
          </cell>
          <cell r="BA758">
            <v>0</v>
          </cell>
          <cell r="BC758" t="str">
            <v>PLATINUM</v>
          </cell>
          <cell r="BE758" t="str">
            <v>Jan</v>
          </cell>
        </row>
        <row r="759">
          <cell r="C759" t="str">
            <v>ENEL</v>
          </cell>
          <cell r="R759">
            <v>0</v>
          </cell>
          <cell r="AZ759">
            <v>0</v>
          </cell>
          <cell r="BA759">
            <v>0</v>
          </cell>
          <cell r="BC759" t="str">
            <v>PLATINUM</v>
          </cell>
          <cell r="BE759" t="str">
            <v>Feb</v>
          </cell>
        </row>
        <row r="760">
          <cell r="C760" t="str">
            <v>ENEL</v>
          </cell>
          <cell r="R760">
            <v>0</v>
          </cell>
          <cell r="AZ760">
            <v>0</v>
          </cell>
          <cell r="BA760">
            <v>0</v>
          </cell>
          <cell r="BC760" t="str">
            <v>PLATINUM</v>
          </cell>
          <cell r="BE760" t="str">
            <v>Mar</v>
          </cell>
        </row>
        <row r="761">
          <cell r="C761" t="str">
            <v>ENEL</v>
          </cell>
          <cell r="R761">
            <v>0</v>
          </cell>
          <cell r="AZ761">
            <v>0</v>
          </cell>
          <cell r="BA761">
            <v>0</v>
          </cell>
          <cell r="BC761" t="str">
            <v>PLATINUM</v>
          </cell>
          <cell r="BE761" t="str">
            <v>Apr</v>
          </cell>
        </row>
        <row r="762">
          <cell r="C762" t="str">
            <v>ENEL</v>
          </cell>
          <cell r="R762">
            <v>0</v>
          </cell>
          <cell r="AZ762">
            <v>0</v>
          </cell>
          <cell r="BA762">
            <v>0</v>
          </cell>
          <cell r="BC762" t="str">
            <v>PLATINUM</v>
          </cell>
          <cell r="BE762" t="str">
            <v>May</v>
          </cell>
        </row>
        <row r="763">
          <cell r="C763" t="str">
            <v>ENEL</v>
          </cell>
          <cell r="R763">
            <v>0</v>
          </cell>
          <cell r="AZ763">
            <v>0</v>
          </cell>
          <cell r="BA763">
            <v>0</v>
          </cell>
          <cell r="BC763" t="str">
            <v>PLATINUM</v>
          </cell>
          <cell r="BE763" t="str">
            <v>Jun</v>
          </cell>
        </row>
        <row r="764">
          <cell r="C764" t="str">
            <v>ENEL</v>
          </cell>
          <cell r="R764">
            <v>0</v>
          </cell>
          <cell r="AZ764">
            <v>0</v>
          </cell>
          <cell r="BA764">
            <v>0</v>
          </cell>
          <cell r="BC764" t="str">
            <v>PLATINUM</v>
          </cell>
          <cell r="BE764" t="str">
            <v>Jul</v>
          </cell>
        </row>
        <row r="765">
          <cell r="C765" t="str">
            <v>ENEL</v>
          </cell>
          <cell r="R765">
            <v>0</v>
          </cell>
          <cell r="AZ765">
            <v>0</v>
          </cell>
          <cell r="BA765">
            <v>0</v>
          </cell>
          <cell r="BC765" t="str">
            <v>PLATINUM</v>
          </cell>
          <cell r="BE765" t="str">
            <v>Aug</v>
          </cell>
        </row>
        <row r="766">
          <cell r="C766" t="str">
            <v>ENEL</v>
          </cell>
          <cell r="R766">
            <v>0</v>
          </cell>
          <cell r="AZ766">
            <v>0</v>
          </cell>
          <cell r="BA766">
            <v>0</v>
          </cell>
          <cell r="BC766" t="str">
            <v>PLATINUM</v>
          </cell>
          <cell r="BE766" t="str">
            <v>Sep</v>
          </cell>
        </row>
        <row r="767">
          <cell r="C767" t="str">
            <v>ENEL</v>
          </cell>
          <cell r="R767">
            <v>0</v>
          </cell>
          <cell r="AZ767">
            <v>0</v>
          </cell>
          <cell r="BA767">
            <v>0</v>
          </cell>
          <cell r="BC767" t="str">
            <v>PLATINUM</v>
          </cell>
          <cell r="BE767" t="str">
            <v>Oct</v>
          </cell>
        </row>
        <row r="768">
          <cell r="C768" t="str">
            <v>ENEL</v>
          </cell>
          <cell r="R768">
            <v>28000</v>
          </cell>
          <cell r="AZ768">
            <v>-86800</v>
          </cell>
          <cell r="BA768">
            <v>-42936.988876703748</v>
          </cell>
          <cell r="BC768" t="str">
            <v>PLATINUM</v>
          </cell>
          <cell r="BE768" t="str">
            <v>Nov</v>
          </cell>
        </row>
        <row r="769">
          <cell r="C769" t="str">
            <v>ENEL</v>
          </cell>
          <cell r="R769">
            <v>28000</v>
          </cell>
          <cell r="AZ769">
            <v>-86800</v>
          </cell>
          <cell r="BA769">
            <v>-42936.988876703748</v>
          </cell>
          <cell r="BC769" t="str">
            <v>PLATINUM</v>
          </cell>
          <cell r="BE769" t="str">
            <v>Dec</v>
          </cell>
        </row>
        <row r="770">
          <cell r="C770" t="str">
            <v>ENEL</v>
          </cell>
          <cell r="R770">
            <v>0</v>
          </cell>
          <cell r="AZ770">
            <v>0</v>
          </cell>
          <cell r="BA770">
            <v>0</v>
          </cell>
          <cell r="BC770" t="str">
            <v>PLATINUM</v>
          </cell>
          <cell r="BE770" t="str">
            <v>Jan</v>
          </cell>
        </row>
        <row r="771">
          <cell r="C771" t="str">
            <v>ENEL</v>
          </cell>
          <cell r="R771">
            <v>0</v>
          </cell>
          <cell r="AZ771">
            <v>0</v>
          </cell>
          <cell r="BA771">
            <v>0</v>
          </cell>
          <cell r="BC771" t="str">
            <v>PLATINUM</v>
          </cell>
          <cell r="BE771" t="str">
            <v>Feb</v>
          </cell>
        </row>
        <row r="772">
          <cell r="C772" t="str">
            <v>ENEL</v>
          </cell>
          <cell r="R772">
            <v>0</v>
          </cell>
          <cell r="AZ772">
            <v>0</v>
          </cell>
          <cell r="BA772">
            <v>0</v>
          </cell>
          <cell r="BC772" t="str">
            <v>PLATINUM</v>
          </cell>
          <cell r="BE772" t="str">
            <v>Mar</v>
          </cell>
        </row>
        <row r="773">
          <cell r="C773" t="str">
            <v>ENEL</v>
          </cell>
          <cell r="R773">
            <v>0</v>
          </cell>
          <cell r="AZ773">
            <v>0</v>
          </cell>
          <cell r="BA773">
            <v>0</v>
          </cell>
          <cell r="BC773" t="str">
            <v>PLATINUM</v>
          </cell>
          <cell r="BE773" t="str">
            <v>Apr</v>
          </cell>
        </row>
        <row r="774">
          <cell r="C774" t="str">
            <v>ENEL</v>
          </cell>
          <cell r="R774">
            <v>0</v>
          </cell>
          <cell r="AZ774">
            <v>0</v>
          </cell>
          <cell r="BA774">
            <v>0</v>
          </cell>
          <cell r="BC774" t="str">
            <v>PLATINUM</v>
          </cell>
          <cell r="BE774" t="str">
            <v>May</v>
          </cell>
        </row>
        <row r="775">
          <cell r="C775" t="str">
            <v>ENEL</v>
          </cell>
          <cell r="R775">
            <v>0</v>
          </cell>
          <cell r="AZ775">
            <v>0</v>
          </cell>
          <cell r="BA775">
            <v>0</v>
          </cell>
          <cell r="BC775" t="str">
            <v>PLATINUM</v>
          </cell>
          <cell r="BE775" t="str">
            <v>Jun</v>
          </cell>
        </row>
        <row r="776">
          <cell r="C776" t="str">
            <v>ENEL</v>
          </cell>
          <cell r="R776">
            <v>0</v>
          </cell>
          <cell r="AZ776">
            <v>0</v>
          </cell>
          <cell r="BA776">
            <v>0</v>
          </cell>
          <cell r="BC776" t="str">
            <v>PLATINUM</v>
          </cell>
          <cell r="BE776" t="str">
            <v>Jul</v>
          </cell>
        </row>
        <row r="777">
          <cell r="C777" t="str">
            <v>ENEL</v>
          </cell>
          <cell r="R777">
            <v>0</v>
          </cell>
          <cell r="AZ777">
            <v>0</v>
          </cell>
          <cell r="BA777">
            <v>0</v>
          </cell>
          <cell r="BC777" t="str">
            <v>PLATINUM</v>
          </cell>
          <cell r="BE777" t="str">
            <v>Aug</v>
          </cell>
        </row>
        <row r="778">
          <cell r="C778" t="str">
            <v>ENEL</v>
          </cell>
          <cell r="R778">
            <v>0</v>
          </cell>
          <cell r="AZ778">
            <v>0</v>
          </cell>
          <cell r="BA778">
            <v>0</v>
          </cell>
          <cell r="BC778" t="str">
            <v>PLATINUM</v>
          </cell>
          <cell r="BE778" t="str">
            <v>Sep</v>
          </cell>
        </row>
        <row r="779">
          <cell r="C779" t="str">
            <v>ENEL</v>
          </cell>
          <cell r="R779">
            <v>0</v>
          </cell>
          <cell r="AZ779">
            <v>0</v>
          </cell>
          <cell r="BA779">
            <v>0</v>
          </cell>
          <cell r="BC779" t="str">
            <v>PLATINUM</v>
          </cell>
          <cell r="BE779" t="str">
            <v>Oct</v>
          </cell>
        </row>
        <row r="780">
          <cell r="C780" t="str">
            <v>ENEL</v>
          </cell>
          <cell r="R780">
            <v>0</v>
          </cell>
          <cell r="AZ780">
            <v>0</v>
          </cell>
          <cell r="BA780">
            <v>0</v>
          </cell>
          <cell r="BC780" t="str">
            <v>PLATINUM</v>
          </cell>
          <cell r="BE780" t="str">
            <v>Nov</v>
          </cell>
        </row>
        <row r="781">
          <cell r="C781" t="str">
            <v>ENEL</v>
          </cell>
          <cell r="R781">
            <v>0</v>
          </cell>
          <cell r="AZ781">
            <v>0</v>
          </cell>
          <cell r="BA781">
            <v>0</v>
          </cell>
          <cell r="BC781" t="str">
            <v>PLATINUM</v>
          </cell>
          <cell r="BE781" t="str">
            <v>Dec</v>
          </cell>
        </row>
        <row r="782">
          <cell r="C782" t="str">
            <v>ENEL</v>
          </cell>
          <cell r="R782">
            <v>0</v>
          </cell>
          <cell r="AZ782">
            <v>0</v>
          </cell>
          <cell r="BA782">
            <v>0</v>
          </cell>
          <cell r="BC782" t="str">
            <v>PLATINUM</v>
          </cell>
          <cell r="BE782" t="str">
            <v>Jan</v>
          </cell>
        </row>
        <row r="783">
          <cell r="C783" t="str">
            <v>ENEL</v>
          </cell>
          <cell r="R783">
            <v>0</v>
          </cell>
          <cell r="AZ783">
            <v>0</v>
          </cell>
          <cell r="BA783">
            <v>0</v>
          </cell>
          <cell r="BC783" t="str">
            <v>PLATINUM</v>
          </cell>
          <cell r="BE783" t="str">
            <v>Feb</v>
          </cell>
        </row>
        <row r="784">
          <cell r="C784" t="str">
            <v>ENEL</v>
          </cell>
          <cell r="R784">
            <v>0</v>
          </cell>
          <cell r="AZ784">
            <v>0</v>
          </cell>
          <cell r="BA784">
            <v>0</v>
          </cell>
          <cell r="BC784" t="str">
            <v>PLATINUM</v>
          </cell>
          <cell r="BE784" t="str">
            <v>Mar</v>
          </cell>
        </row>
        <row r="785">
          <cell r="C785" t="str">
            <v>ENEL</v>
          </cell>
          <cell r="R785">
            <v>0</v>
          </cell>
          <cell r="AZ785">
            <v>0</v>
          </cell>
          <cell r="BA785">
            <v>0</v>
          </cell>
          <cell r="BC785" t="str">
            <v>PLATINUM</v>
          </cell>
          <cell r="BE785" t="str">
            <v>Apr</v>
          </cell>
        </row>
        <row r="786">
          <cell r="C786" t="str">
            <v>ENEL</v>
          </cell>
          <cell r="R786">
            <v>0</v>
          </cell>
          <cell r="AZ786">
            <v>0</v>
          </cell>
          <cell r="BA786">
            <v>0</v>
          </cell>
          <cell r="BC786" t="str">
            <v>PLATINUM</v>
          </cell>
          <cell r="BE786" t="str">
            <v>May</v>
          </cell>
        </row>
        <row r="787">
          <cell r="C787" t="str">
            <v>ENEL</v>
          </cell>
          <cell r="R787">
            <v>0</v>
          </cell>
          <cell r="AZ787">
            <v>0</v>
          </cell>
          <cell r="BA787">
            <v>0</v>
          </cell>
          <cell r="BC787" t="str">
            <v>PLATINUM</v>
          </cell>
          <cell r="BE787" t="str">
            <v>Jun</v>
          </cell>
        </row>
        <row r="788">
          <cell r="C788" t="str">
            <v>ENEL</v>
          </cell>
          <cell r="R788">
            <v>0</v>
          </cell>
          <cell r="AZ788">
            <v>0</v>
          </cell>
          <cell r="BA788">
            <v>0</v>
          </cell>
          <cell r="BC788" t="str">
            <v>PLATINUM</v>
          </cell>
          <cell r="BE788" t="str">
            <v>Jul</v>
          </cell>
        </row>
        <row r="789">
          <cell r="C789" t="str">
            <v>ENEL</v>
          </cell>
          <cell r="R789">
            <v>0</v>
          </cell>
          <cell r="AZ789">
            <v>0</v>
          </cell>
          <cell r="BA789">
            <v>0</v>
          </cell>
          <cell r="BC789" t="str">
            <v>PLATINUM</v>
          </cell>
          <cell r="BE789" t="str">
            <v>Aug</v>
          </cell>
        </row>
        <row r="790">
          <cell r="C790" t="str">
            <v>ENEL</v>
          </cell>
          <cell r="R790">
            <v>0</v>
          </cell>
          <cell r="AZ790">
            <v>0</v>
          </cell>
          <cell r="BA790">
            <v>0</v>
          </cell>
          <cell r="BC790" t="str">
            <v>PLATINUM</v>
          </cell>
          <cell r="BE790" t="str">
            <v>Sep</v>
          </cell>
        </row>
        <row r="791">
          <cell r="C791" t="str">
            <v>ENEL</v>
          </cell>
          <cell r="R791">
            <v>0</v>
          </cell>
          <cell r="AZ791">
            <v>0</v>
          </cell>
          <cell r="BA791">
            <v>0</v>
          </cell>
          <cell r="BC791" t="str">
            <v>PLATINUM</v>
          </cell>
          <cell r="BE791" t="str">
            <v>Oct</v>
          </cell>
        </row>
        <row r="792">
          <cell r="C792" t="str">
            <v>ENEL</v>
          </cell>
          <cell r="R792">
            <v>0</v>
          </cell>
          <cell r="AZ792">
            <v>0</v>
          </cell>
          <cell r="BA792">
            <v>0</v>
          </cell>
          <cell r="BC792" t="str">
            <v>PLATINUM</v>
          </cell>
          <cell r="BE792" t="str">
            <v>Nov</v>
          </cell>
        </row>
        <row r="793">
          <cell r="C793" t="str">
            <v>ENEL</v>
          </cell>
          <cell r="R793">
            <v>0</v>
          </cell>
          <cell r="AZ793">
            <v>0</v>
          </cell>
          <cell r="BA793">
            <v>0</v>
          </cell>
          <cell r="BC793" t="str">
            <v>PLATINUM</v>
          </cell>
          <cell r="BE793" t="str">
            <v>Dec</v>
          </cell>
        </row>
        <row r="794">
          <cell r="C794" t="str">
            <v>ENEL</v>
          </cell>
          <cell r="R794">
            <v>0</v>
          </cell>
          <cell r="AZ794">
            <v>0</v>
          </cell>
          <cell r="BA794">
            <v>0</v>
          </cell>
          <cell r="BC794" t="str">
            <v>PLATINUM</v>
          </cell>
          <cell r="BE794" t="str">
            <v>Jan</v>
          </cell>
        </row>
        <row r="795">
          <cell r="C795" t="str">
            <v>ENEL</v>
          </cell>
          <cell r="R795">
            <v>0</v>
          </cell>
          <cell r="AZ795">
            <v>0</v>
          </cell>
          <cell r="BA795">
            <v>0</v>
          </cell>
          <cell r="BC795" t="str">
            <v>PLATINUM</v>
          </cell>
          <cell r="BE795" t="str">
            <v>Feb</v>
          </cell>
        </row>
        <row r="796">
          <cell r="C796" t="str">
            <v>ENEL</v>
          </cell>
          <cell r="R796">
            <v>0</v>
          </cell>
          <cell r="AZ796">
            <v>0</v>
          </cell>
          <cell r="BA796">
            <v>0</v>
          </cell>
          <cell r="BC796" t="str">
            <v>PLATINUM</v>
          </cell>
          <cell r="BE796" t="str">
            <v>Mar</v>
          </cell>
        </row>
        <row r="797">
          <cell r="C797" t="str">
            <v>ENEL</v>
          </cell>
          <cell r="R797">
            <v>0</v>
          </cell>
          <cell r="AZ797">
            <v>0</v>
          </cell>
          <cell r="BA797">
            <v>0</v>
          </cell>
          <cell r="BC797" t="str">
            <v>PLATINUM</v>
          </cell>
          <cell r="BE797" t="str">
            <v>Apr</v>
          </cell>
        </row>
        <row r="798">
          <cell r="C798" t="str">
            <v>ENEL</v>
          </cell>
          <cell r="R798">
            <v>0</v>
          </cell>
          <cell r="AZ798">
            <v>0</v>
          </cell>
          <cell r="BA798">
            <v>0</v>
          </cell>
          <cell r="BC798" t="str">
            <v>PLATINUM</v>
          </cell>
          <cell r="BE798" t="str">
            <v>May</v>
          </cell>
        </row>
        <row r="799">
          <cell r="C799" t="str">
            <v>ENEL</v>
          </cell>
          <cell r="R799">
            <v>0</v>
          </cell>
          <cell r="AZ799">
            <v>0</v>
          </cell>
          <cell r="BA799">
            <v>0</v>
          </cell>
          <cell r="BC799" t="str">
            <v>PLATINUM</v>
          </cell>
          <cell r="BE799" t="str">
            <v>Jun</v>
          </cell>
        </row>
        <row r="800">
          <cell r="C800" t="str">
            <v>ENEL</v>
          </cell>
          <cell r="R800">
            <v>0</v>
          </cell>
          <cell r="AZ800">
            <v>0</v>
          </cell>
          <cell r="BA800">
            <v>0</v>
          </cell>
          <cell r="BC800" t="str">
            <v>PLATINUM</v>
          </cell>
          <cell r="BE800" t="str">
            <v>Jul</v>
          </cell>
        </row>
        <row r="801">
          <cell r="C801" t="str">
            <v>ENEL</v>
          </cell>
          <cell r="R801">
            <v>0</v>
          </cell>
          <cell r="AZ801">
            <v>0</v>
          </cell>
          <cell r="BA801">
            <v>0</v>
          </cell>
          <cell r="BC801" t="str">
            <v>PLATINUM</v>
          </cell>
          <cell r="BE801" t="str">
            <v>Aug</v>
          </cell>
        </row>
        <row r="802">
          <cell r="C802" t="str">
            <v>ENEL</v>
          </cell>
          <cell r="R802">
            <v>0</v>
          </cell>
          <cell r="AZ802">
            <v>0</v>
          </cell>
          <cell r="BA802">
            <v>0</v>
          </cell>
          <cell r="BC802" t="str">
            <v>PLATINUM</v>
          </cell>
          <cell r="BE802" t="str">
            <v>Sep</v>
          </cell>
        </row>
        <row r="803">
          <cell r="C803" t="str">
            <v>ENEL</v>
          </cell>
          <cell r="R803">
            <v>0</v>
          </cell>
          <cell r="AZ803">
            <v>0</v>
          </cell>
          <cell r="BA803">
            <v>0</v>
          </cell>
          <cell r="BC803" t="str">
            <v>PLATINUM</v>
          </cell>
          <cell r="BE803" t="str">
            <v>Oct</v>
          </cell>
        </row>
        <row r="804">
          <cell r="C804" t="str">
            <v>ENEL</v>
          </cell>
          <cell r="R804">
            <v>0</v>
          </cell>
          <cell r="AZ804">
            <v>0</v>
          </cell>
          <cell r="BA804">
            <v>0</v>
          </cell>
          <cell r="BC804" t="str">
            <v>PLATINUM</v>
          </cell>
          <cell r="BE804" t="str">
            <v>Nov</v>
          </cell>
        </row>
        <row r="805">
          <cell r="C805" t="str">
            <v>ENEL</v>
          </cell>
          <cell r="R805">
            <v>0</v>
          </cell>
          <cell r="AZ805">
            <v>0</v>
          </cell>
          <cell r="BA805">
            <v>0</v>
          </cell>
          <cell r="BC805" t="str">
            <v>PLATINUM</v>
          </cell>
          <cell r="BE805" t="str">
            <v>Dec</v>
          </cell>
        </row>
        <row r="806">
          <cell r="C806" t="str">
            <v>ENEL</v>
          </cell>
          <cell r="R806">
            <v>0</v>
          </cell>
          <cell r="AZ806">
            <v>0</v>
          </cell>
          <cell r="BA806">
            <v>0</v>
          </cell>
          <cell r="BC806" t="str">
            <v>PLATINUM</v>
          </cell>
          <cell r="BE806" t="str">
            <v>Jan</v>
          </cell>
        </row>
        <row r="807">
          <cell r="C807" t="str">
            <v>ENEL</v>
          </cell>
          <cell r="R807">
            <v>0</v>
          </cell>
          <cell r="AZ807">
            <v>0</v>
          </cell>
          <cell r="BA807">
            <v>0</v>
          </cell>
          <cell r="BC807" t="str">
            <v>PLATINUM</v>
          </cell>
          <cell r="BE807" t="str">
            <v>Feb</v>
          </cell>
        </row>
        <row r="808">
          <cell r="C808" t="str">
            <v>ENEL</v>
          </cell>
          <cell r="R808">
            <v>0</v>
          </cell>
          <cell r="AZ808">
            <v>0</v>
          </cell>
          <cell r="BA808">
            <v>0</v>
          </cell>
          <cell r="BC808" t="str">
            <v>PLATINUM</v>
          </cell>
          <cell r="BE808" t="str">
            <v>Mar</v>
          </cell>
        </row>
        <row r="809">
          <cell r="C809" t="str">
            <v>ENEL</v>
          </cell>
          <cell r="R809">
            <v>0</v>
          </cell>
          <cell r="AZ809">
            <v>0</v>
          </cell>
          <cell r="BA809">
            <v>0</v>
          </cell>
          <cell r="BC809" t="str">
            <v>PLATINUM</v>
          </cell>
          <cell r="BE809" t="str">
            <v>Apr</v>
          </cell>
        </row>
        <row r="810">
          <cell r="C810" t="str">
            <v>ENEL</v>
          </cell>
          <cell r="R810">
            <v>0</v>
          </cell>
          <cell r="AZ810">
            <v>0</v>
          </cell>
          <cell r="BA810">
            <v>0</v>
          </cell>
          <cell r="BC810" t="str">
            <v>PLATINUM</v>
          </cell>
          <cell r="BE810" t="str">
            <v>May</v>
          </cell>
        </row>
        <row r="811">
          <cell r="C811" t="str">
            <v>ENEL</v>
          </cell>
          <cell r="R811">
            <v>0</v>
          </cell>
          <cell r="AZ811">
            <v>0</v>
          </cell>
          <cell r="BA811">
            <v>0</v>
          </cell>
          <cell r="BC811" t="str">
            <v>PLATINUM</v>
          </cell>
          <cell r="BE811" t="str">
            <v>Jun</v>
          </cell>
        </row>
        <row r="812">
          <cell r="C812" t="str">
            <v>ENEL</v>
          </cell>
          <cell r="R812">
            <v>0</v>
          </cell>
          <cell r="AZ812">
            <v>0</v>
          </cell>
          <cell r="BA812">
            <v>0</v>
          </cell>
          <cell r="BC812" t="str">
            <v>PLATINUM</v>
          </cell>
          <cell r="BE812" t="str">
            <v>Jul</v>
          </cell>
        </row>
        <row r="813">
          <cell r="C813" t="str">
            <v>ENEL</v>
          </cell>
          <cell r="R813">
            <v>0</v>
          </cell>
          <cell r="AZ813">
            <v>0</v>
          </cell>
          <cell r="BA813">
            <v>0</v>
          </cell>
          <cell r="BC813" t="str">
            <v>PLATINUM</v>
          </cell>
          <cell r="BE813" t="str">
            <v>Aug</v>
          </cell>
        </row>
        <row r="814">
          <cell r="C814" t="str">
            <v>ENEL</v>
          </cell>
          <cell r="R814">
            <v>0</v>
          </cell>
          <cell r="AZ814">
            <v>0</v>
          </cell>
          <cell r="BA814">
            <v>0</v>
          </cell>
          <cell r="BC814" t="str">
            <v>PLATINUM</v>
          </cell>
          <cell r="BE814" t="str">
            <v>Sep</v>
          </cell>
        </row>
        <row r="815">
          <cell r="C815" t="str">
            <v>ENEL</v>
          </cell>
          <cell r="R815">
            <v>0</v>
          </cell>
          <cell r="AZ815">
            <v>0</v>
          </cell>
          <cell r="BA815">
            <v>0</v>
          </cell>
          <cell r="BC815" t="str">
            <v>PLATINUM</v>
          </cell>
          <cell r="BE815" t="str">
            <v>Oct</v>
          </cell>
        </row>
        <row r="816">
          <cell r="C816" t="str">
            <v>ENEL</v>
          </cell>
          <cell r="R816">
            <v>0</v>
          </cell>
          <cell r="AZ816">
            <v>0</v>
          </cell>
          <cell r="BA816">
            <v>0</v>
          </cell>
          <cell r="BC816" t="str">
            <v>PLATINUM</v>
          </cell>
          <cell r="BE816" t="str">
            <v>Nov</v>
          </cell>
        </row>
        <row r="817">
          <cell r="C817" t="str">
            <v>ENEL</v>
          </cell>
          <cell r="R817">
            <v>0</v>
          </cell>
          <cell r="AZ817">
            <v>0</v>
          </cell>
          <cell r="BA817">
            <v>0</v>
          </cell>
          <cell r="BC817" t="str">
            <v>PLATINUM</v>
          </cell>
          <cell r="BE817" t="str">
            <v>Dec</v>
          </cell>
        </row>
        <row r="818">
          <cell r="C818" t="str">
            <v>Tirreno</v>
          </cell>
          <cell r="R818">
            <v>36000</v>
          </cell>
          <cell r="AZ818">
            <v>-72000</v>
          </cell>
          <cell r="BA818">
            <v>-61992.773889250027</v>
          </cell>
          <cell r="BC818" t="str">
            <v>GOLD</v>
          </cell>
          <cell r="BE818" t="str">
            <v>Jan</v>
          </cell>
        </row>
        <row r="819">
          <cell r="C819" t="str">
            <v>Tirreno</v>
          </cell>
          <cell r="R819">
            <v>0</v>
          </cell>
          <cell r="AZ819">
            <v>0</v>
          </cell>
          <cell r="BA819">
            <v>0</v>
          </cell>
          <cell r="BC819" t="str">
            <v>GOLD</v>
          </cell>
          <cell r="BE819" t="str">
            <v>Feb</v>
          </cell>
        </row>
        <row r="820">
          <cell r="C820" t="str">
            <v>Tirreno</v>
          </cell>
          <cell r="R820">
            <v>0</v>
          </cell>
          <cell r="AZ820">
            <v>0</v>
          </cell>
          <cell r="BA820">
            <v>0</v>
          </cell>
          <cell r="BC820" t="str">
            <v>GOLD</v>
          </cell>
          <cell r="BE820" t="str">
            <v>Mar</v>
          </cell>
        </row>
        <row r="821">
          <cell r="C821" t="str">
            <v>Tirreno</v>
          </cell>
          <cell r="R821">
            <v>0</v>
          </cell>
          <cell r="AZ821">
            <v>0</v>
          </cell>
          <cell r="BA821">
            <v>0</v>
          </cell>
          <cell r="BC821" t="str">
            <v>GOLD</v>
          </cell>
          <cell r="BE821" t="str">
            <v>Apr</v>
          </cell>
        </row>
        <row r="822">
          <cell r="C822" t="str">
            <v>Tirreno</v>
          </cell>
          <cell r="R822">
            <v>0</v>
          </cell>
          <cell r="AZ822">
            <v>0</v>
          </cell>
          <cell r="BA822">
            <v>0</v>
          </cell>
          <cell r="BC822" t="str">
            <v>GOLD</v>
          </cell>
          <cell r="BE822" t="str">
            <v>May</v>
          </cell>
        </row>
        <row r="823">
          <cell r="C823" t="str">
            <v>Tirreno</v>
          </cell>
          <cell r="R823">
            <v>0</v>
          </cell>
          <cell r="AZ823">
            <v>0</v>
          </cell>
          <cell r="BA823">
            <v>0</v>
          </cell>
          <cell r="BC823" t="str">
            <v>GOLD</v>
          </cell>
          <cell r="BE823" t="str">
            <v>Jun</v>
          </cell>
        </row>
        <row r="824">
          <cell r="C824" t="str">
            <v>Tirreno</v>
          </cell>
          <cell r="R824">
            <v>0</v>
          </cell>
          <cell r="AZ824">
            <v>0</v>
          </cell>
          <cell r="BA824">
            <v>0</v>
          </cell>
          <cell r="BC824" t="str">
            <v>GOLD</v>
          </cell>
          <cell r="BE824" t="str">
            <v>Jul</v>
          </cell>
        </row>
        <row r="825">
          <cell r="C825" t="str">
            <v>Tirreno</v>
          </cell>
          <cell r="R825">
            <v>0</v>
          </cell>
          <cell r="AZ825">
            <v>0</v>
          </cell>
          <cell r="BA825">
            <v>0</v>
          </cell>
          <cell r="BC825" t="str">
            <v>GOLD</v>
          </cell>
          <cell r="BE825" t="str">
            <v>Aug</v>
          </cell>
        </row>
        <row r="826">
          <cell r="C826" t="str">
            <v>Tirreno</v>
          </cell>
          <cell r="R826">
            <v>0</v>
          </cell>
          <cell r="AZ826">
            <v>0</v>
          </cell>
          <cell r="BA826">
            <v>0</v>
          </cell>
          <cell r="BC826" t="str">
            <v>GOLD</v>
          </cell>
          <cell r="BE826" t="str">
            <v>Sep</v>
          </cell>
        </row>
        <row r="827">
          <cell r="C827" t="str">
            <v>Tirreno</v>
          </cell>
          <cell r="R827">
            <v>0</v>
          </cell>
          <cell r="AZ827">
            <v>0</v>
          </cell>
          <cell r="BA827">
            <v>0</v>
          </cell>
          <cell r="BC827" t="str">
            <v>GOLD</v>
          </cell>
          <cell r="BE827" t="str">
            <v>Oct</v>
          </cell>
        </row>
        <row r="828">
          <cell r="C828" t="str">
            <v>Tirreno</v>
          </cell>
          <cell r="R828">
            <v>0</v>
          </cell>
          <cell r="AZ828">
            <v>0</v>
          </cell>
          <cell r="BA828">
            <v>0</v>
          </cell>
          <cell r="BC828" t="str">
            <v>GOLD</v>
          </cell>
          <cell r="BE828" t="str">
            <v>Nov</v>
          </cell>
        </row>
        <row r="829">
          <cell r="C829" t="str">
            <v>Tirreno</v>
          </cell>
          <cell r="R829">
            <v>0</v>
          </cell>
          <cell r="AZ829">
            <v>0</v>
          </cell>
          <cell r="BA829">
            <v>0</v>
          </cell>
          <cell r="BC829" t="str">
            <v>GOLD</v>
          </cell>
          <cell r="BE829" t="str">
            <v>Dec</v>
          </cell>
        </row>
        <row r="830">
          <cell r="C830" t="str">
            <v>Tirreno</v>
          </cell>
          <cell r="R830">
            <v>24000</v>
          </cell>
          <cell r="AZ830">
            <v>-48000</v>
          </cell>
          <cell r="BA830">
            <v>-36205.501972818936</v>
          </cell>
          <cell r="BC830" t="str">
            <v>GOLD</v>
          </cell>
          <cell r="BE830" t="str">
            <v>Jan</v>
          </cell>
        </row>
        <row r="831">
          <cell r="C831" t="str">
            <v>Tirreno</v>
          </cell>
          <cell r="R831">
            <v>0</v>
          </cell>
          <cell r="AZ831">
            <v>0</v>
          </cell>
          <cell r="BA831">
            <v>0</v>
          </cell>
          <cell r="BC831" t="str">
            <v>GOLD</v>
          </cell>
          <cell r="BE831" t="str">
            <v>Feb</v>
          </cell>
        </row>
        <row r="832">
          <cell r="C832" t="str">
            <v>Tirreno</v>
          </cell>
          <cell r="R832">
            <v>0</v>
          </cell>
          <cell r="AZ832">
            <v>0</v>
          </cell>
          <cell r="BA832">
            <v>0</v>
          </cell>
          <cell r="BC832" t="str">
            <v>GOLD</v>
          </cell>
          <cell r="BE832" t="str">
            <v>Mar</v>
          </cell>
        </row>
        <row r="833">
          <cell r="C833" t="str">
            <v>Tirreno</v>
          </cell>
          <cell r="R833">
            <v>0</v>
          </cell>
          <cell r="AZ833">
            <v>0</v>
          </cell>
          <cell r="BA833">
            <v>0</v>
          </cell>
          <cell r="BC833" t="str">
            <v>GOLD</v>
          </cell>
          <cell r="BE833" t="str">
            <v>Apr</v>
          </cell>
        </row>
        <row r="834">
          <cell r="C834" t="str">
            <v>Tirreno</v>
          </cell>
          <cell r="R834">
            <v>0</v>
          </cell>
          <cell r="AZ834">
            <v>0</v>
          </cell>
          <cell r="BA834">
            <v>0</v>
          </cell>
          <cell r="BC834" t="str">
            <v>GOLD</v>
          </cell>
          <cell r="BE834" t="str">
            <v>May</v>
          </cell>
        </row>
        <row r="835">
          <cell r="C835" t="str">
            <v>Tirreno</v>
          </cell>
          <cell r="R835">
            <v>0</v>
          </cell>
          <cell r="AZ835">
            <v>0</v>
          </cell>
          <cell r="BA835">
            <v>0</v>
          </cell>
          <cell r="BC835" t="str">
            <v>GOLD</v>
          </cell>
          <cell r="BE835" t="str">
            <v>Jun</v>
          </cell>
        </row>
        <row r="836">
          <cell r="C836" t="str">
            <v>Tirreno</v>
          </cell>
          <cell r="R836">
            <v>0</v>
          </cell>
          <cell r="AZ836">
            <v>0</v>
          </cell>
          <cell r="BA836">
            <v>0</v>
          </cell>
          <cell r="BC836" t="str">
            <v>GOLD</v>
          </cell>
          <cell r="BE836" t="str">
            <v>Jul</v>
          </cell>
        </row>
        <row r="837">
          <cell r="C837" t="str">
            <v>Tirreno</v>
          </cell>
          <cell r="R837">
            <v>0</v>
          </cell>
          <cell r="AZ837">
            <v>0</v>
          </cell>
          <cell r="BA837">
            <v>0</v>
          </cell>
          <cell r="BC837" t="str">
            <v>GOLD</v>
          </cell>
          <cell r="BE837" t="str">
            <v>Aug</v>
          </cell>
        </row>
        <row r="838">
          <cell r="C838" t="str">
            <v>Tirreno</v>
          </cell>
          <cell r="R838">
            <v>0</v>
          </cell>
          <cell r="AZ838">
            <v>0</v>
          </cell>
          <cell r="BA838">
            <v>0</v>
          </cell>
          <cell r="BC838" t="str">
            <v>GOLD</v>
          </cell>
          <cell r="BE838" t="str">
            <v>Sep</v>
          </cell>
        </row>
        <row r="839">
          <cell r="C839" t="str">
            <v>Tirreno</v>
          </cell>
          <cell r="R839">
            <v>0</v>
          </cell>
          <cell r="AZ839">
            <v>0</v>
          </cell>
          <cell r="BA839">
            <v>0</v>
          </cell>
          <cell r="BC839" t="str">
            <v>GOLD</v>
          </cell>
          <cell r="BE839" t="str">
            <v>Oct</v>
          </cell>
        </row>
        <row r="840">
          <cell r="C840" t="str">
            <v>Tirreno</v>
          </cell>
          <cell r="R840">
            <v>0</v>
          </cell>
          <cell r="AZ840">
            <v>0</v>
          </cell>
          <cell r="BA840">
            <v>0</v>
          </cell>
          <cell r="BC840" t="str">
            <v>GOLD</v>
          </cell>
          <cell r="BE840" t="str">
            <v>Nov</v>
          </cell>
        </row>
        <row r="841">
          <cell r="C841" t="str">
            <v>Tirreno</v>
          </cell>
          <cell r="R841">
            <v>0</v>
          </cell>
          <cell r="AZ841">
            <v>0</v>
          </cell>
          <cell r="BA841">
            <v>0</v>
          </cell>
          <cell r="BC841" t="str">
            <v>GOLD</v>
          </cell>
          <cell r="BE841" t="str">
            <v>Dec</v>
          </cell>
        </row>
        <row r="842">
          <cell r="C842" t="str">
            <v>Tirreno</v>
          </cell>
          <cell r="R842">
            <v>0</v>
          </cell>
          <cell r="AZ842">
            <v>0</v>
          </cell>
          <cell r="BA842">
            <v>0</v>
          </cell>
          <cell r="BC842" t="str">
            <v>GOLD</v>
          </cell>
          <cell r="BE842" t="str">
            <v>Jan</v>
          </cell>
        </row>
        <row r="843">
          <cell r="C843" t="str">
            <v>Tirreno</v>
          </cell>
          <cell r="R843">
            <v>0</v>
          </cell>
          <cell r="AZ843">
            <v>0</v>
          </cell>
          <cell r="BA843">
            <v>0</v>
          </cell>
          <cell r="BC843" t="str">
            <v>GOLD</v>
          </cell>
          <cell r="BE843" t="str">
            <v>Feb</v>
          </cell>
        </row>
        <row r="844">
          <cell r="C844" t="str">
            <v>Tirreno</v>
          </cell>
          <cell r="R844">
            <v>0</v>
          </cell>
          <cell r="AZ844">
            <v>0</v>
          </cell>
          <cell r="BA844">
            <v>0</v>
          </cell>
          <cell r="BC844" t="str">
            <v>GOLD</v>
          </cell>
          <cell r="BE844" t="str">
            <v>Mar</v>
          </cell>
        </row>
        <row r="845">
          <cell r="C845" t="str">
            <v>Tirreno</v>
          </cell>
          <cell r="R845">
            <v>30000</v>
          </cell>
          <cell r="AZ845">
            <v>-60000</v>
          </cell>
          <cell r="BA845">
            <v>-52490.198531030481</v>
          </cell>
          <cell r="BC845" t="str">
            <v>GOLD</v>
          </cell>
          <cell r="BE845" t="str">
            <v>Apr</v>
          </cell>
        </row>
        <row r="846">
          <cell r="C846" t="str">
            <v>Tirreno</v>
          </cell>
          <cell r="R846">
            <v>0</v>
          </cell>
          <cell r="AZ846">
            <v>0</v>
          </cell>
          <cell r="BA846">
            <v>0</v>
          </cell>
          <cell r="BC846" t="str">
            <v>GOLD</v>
          </cell>
          <cell r="BE846" t="str">
            <v>May</v>
          </cell>
        </row>
        <row r="847">
          <cell r="C847" t="str">
            <v>Tirreno</v>
          </cell>
          <cell r="R847">
            <v>0</v>
          </cell>
          <cell r="AZ847">
            <v>0</v>
          </cell>
          <cell r="BA847">
            <v>0</v>
          </cell>
          <cell r="BC847" t="str">
            <v>GOLD</v>
          </cell>
          <cell r="BE847" t="str">
            <v>Jun</v>
          </cell>
        </row>
        <row r="848">
          <cell r="C848" t="str">
            <v>Tirreno</v>
          </cell>
          <cell r="R848">
            <v>0</v>
          </cell>
          <cell r="AZ848">
            <v>0</v>
          </cell>
          <cell r="BA848">
            <v>0</v>
          </cell>
          <cell r="BC848" t="str">
            <v>GOLD</v>
          </cell>
          <cell r="BE848" t="str">
            <v>Jul</v>
          </cell>
        </row>
        <row r="849">
          <cell r="C849" t="str">
            <v>Tirreno</v>
          </cell>
          <cell r="R849">
            <v>0</v>
          </cell>
          <cell r="AZ849">
            <v>0</v>
          </cell>
          <cell r="BA849">
            <v>0</v>
          </cell>
          <cell r="BC849" t="str">
            <v>GOLD</v>
          </cell>
          <cell r="BE849" t="str">
            <v>Aug</v>
          </cell>
        </row>
        <row r="850">
          <cell r="C850" t="str">
            <v>Tirreno</v>
          </cell>
          <cell r="R850">
            <v>0</v>
          </cell>
          <cell r="AZ850">
            <v>0</v>
          </cell>
          <cell r="BA850">
            <v>0</v>
          </cell>
          <cell r="BC850" t="str">
            <v>GOLD</v>
          </cell>
          <cell r="BE850" t="str">
            <v>Sep</v>
          </cell>
        </row>
        <row r="851">
          <cell r="C851" t="str">
            <v>Tirreno</v>
          </cell>
          <cell r="R851">
            <v>0</v>
          </cell>
          <cell r="AZ851">
            <v>0</v>
          </cell>
          <cell r="BA851">
            <v>0</v>
          </cell>
          <cell r="BC851" t="str">
            <v>GOLD</v>
          </cell>
          <cell r="BE851" t="str">
            <v>Oct</v>
          </cell>
        </row>
        <row r="852">
          <cell r="C852" t="str">
            <v>Tirreno</v>
          </cell>
          <cell r="R852">
            <v>0</v>
          </cell>
          <cell r="AZ852">
            <v>0</v>
          </cell>
          <cell r="BA852">
            <v>0</v>
          </cell>
          <cell r="BC852" t="str">
            <v>GOLD</v>
          </cell>
          <cell r="BE852" t="str">
            <v>Nov</v>
          </cell>
        </row>
        <row r="853">
          <cell r="C853" t="str">
            <v>Tirreno</v>
          </cell>
          <cell r="R853">
            <v>0</v>
          </cell>
          <cell r="AZ853">
            <v>0</v>
          </cell>
          <cell r="BA853">
            <v>0</v>
          </cell>
          <cell r="BC853" t="str">
            <v>GOLD</v>
          </cell>
          <cell r="BE853" t="str">
            <v>Dec</v>
          </cell>
        </row>
        <row r="854">
          <cell r="C854" t="str">
            <v>Tirreno</v>
          </cell>
          <cell r="R854">
            <v>0</v>
          </cell>
          <cell r="AZ854">
            <v>0</v>
          </cell>
          <cell r="BA854">
            <v>0</v>
          </cell>
          <cell r="BC854" t="str">
            <v>GOLD</v>
          </cell>
          <cell r="BE854" t="str">
            <v>Jan</v>
          </cell>
        </row>
        <row r="855">
          <cell r="C855" t="str">
            <v>Tirreno</v>
          </cell>
          <cell r="R855">
            <v>0</v>
          </cell>
          <cell r="AZ855">
            <v>0</v>
          </cell>
          <cell r="BA855">
            <v>0</v>
          </cell>
          <cell r="BC855" t="str">
            <v>GOLD</v>
          </cell>
          <cell r="BE855" t="str">
            <v>Feb</v>
          </cell>
        </row>
        <row r="856">
          <cell r="C856" t="str">
            <v>Tirreno</v>
          </cell>
          <cell r="R856">
            <v>0</v>
          </cell>
          <cell r="AZ856">
            <v>0</v>
          </cell>
          <cell r="BA856">
            <v>0</v>
          </cell>
          <cell r="BC856" t="str">
            <v>GOLD</v>
          </cell>
          <cell r="BE856" t="str">
            <v>Mar</v>
          </cell>
        </row>
        <row r="857">
          <cell r="C857" t="str">
            <v>Tirreno</v>
          </cell>
          <cell r="R857">
            <v>30000</v>
          </cell>
          <cell r="AZ857">
            <v>-60000</v>
          </cell>
          <cell r="BA857">
            <v>-45708.077331038483</v>
          </cell>
          <cell r="BC857" t="str">
            <v>GOLD</v>
          </cell>
          <cell r="BE857" t="str">
            <v>Apr</v>
          </cell>
        </row>
        <row r="858">
          <cell r="C858" t="str">
            <v>Tirreno</v>
          </cell>
          <cell r="R858">
            <v>0</v>
          </cell>
          <cell r="AZ858">
            <v>0</v>
          </cell>
          <cell r="BA858">
            <v>0</v>
          </cell>
          <cell r="BC858" t="str">
            <v>GOLD</v>
          </cell>
          <cell r="BE858" t="str">
            <v>May</v>
          </cell>
        </row>
        <row r="859">
          <cell r="C859" t="str">
            <v>Tirreno</v>
          </cell>
          <cell r="R859">
            <v>0</v>
          </cell>
          <cell r="AZ859">
            <v>0</v>
          </cell>
          <cell r="BA859">
            <v>0</v>
          </cell>
          <cell r="BC859" t="str">
            <v>GOLD</v>
          </cell>
          <cell r="BE859" t="str">
            <v>Jun</v>
          </cell>
        </row>
        <row r="860">
          <cell r="C860" t="str">
            <v>Tirreno</v>
          </cell>
          <cell r="R860">
            <v>0</v>
          </cell>
          <cell r="AZ860">
            <v>0</v>
          </cell>
          <cell r="BA860">
            <v>0</v>
          </cell>
          <cell r="BC860" t="str">
            <v>GOLD</v>
          </cell>
          <cell r="BE860" t="str">
            <v>Jul</v>
          </cell>
        </row>
        <row r="861">
          <cell r="C861" t="str">
            <v>Tirreno</v>
          </cell>
          <cell r="R861">
            <v>0</v>
          </cell>
          <cell r="AZ861">
            <v>0</v>
          </cell>
          <cell r="BA861">
            <v>0</v>
          </cell>
          <cell r="BC861" t="str">
            <v>GOLD</v>
          </cell>
          <cell r="BE861" t="str">
            <v>Aug</v>
          </cell>
        </row>
        <row r="862">
          <cell r="C862" t="str">
            <v>Tirreno</v>
          </cell>
          <cell r="R862">
            <v>0</v>
          </cell>
          <cell r="AZ862">
            <v>0</v>
          </cell>
          <cell r="BA862">
            <v>0</v>
          </cell>
          <cell r="BC862" t="str">
            <v>GOLD</v>
          </cell>
          <cell r="BE862" t="str">
            <v>Sep</v>
          </cell>
        </row>
        <row r="863">
          <cell r="C863" t="str">
            <v>Tirreno</v>
          </cell>
          <cell r="R863">
            <v>0</v>
          </cell>
          <cell r="AZ863">
            <v>0</v>
          </cell>
          <cell r="BA863">
            <v>0</v>
          </cell>
          <cell r="BC863" t="str">
            <v>GOLD</v>
          </cell>
          <cell r="BE863" t="str">
            <v>Oct</v>
          </cell>
        </row>
        <row r="864">
          <cell r="C864" t="str">
            <v>Tirreno</v>
          </cell>
          <cell r="R864">
            <v>0</v>
          </cell>
          <cell r="AZ864">
            <v>0</v>
          </cell>
          <cell r="BA864">
            <v>0</v>
          </cell>
          <cell r="BC864" t="str">
            <v>GOLD</v>
          </cell>
          <cell r="BE864" t="str">
            <v>Nov</v>
          </cell>
        </row>
        <row r="865">
          <cell r="C865" t="str">
            <v>Tirreno</v>
          </cell>
          <cell r="R865">
            <v>0</v>
          </cell>
          <cell r="AZ865">
            <v>0</v>
          </cell>
          <cell r="BA865">
            <v>0</v>
          </cell>
          <cell r="BC865" t="str">
            <v>GOLD</v>
          </cell>
          <cell r="BE865" t="str">
            <v>Dec</v>
          </cell>
        </row>
        <row r="866">
          <cell r="C866" t="str">
            <v>Tirreno</v>
          </cell>
          <cell r="R866">
            <v>0</v>
          </cell>
          <cell r="AZ866">
            <v>0</v>
          </cell>
          <cell r="BA866">
            <v>0</v>
          </cell>
          <cell r="BC866" t="str">
            <v>GOLD</v>
          </cell>
          <cell r="BE866" t="str">
            <v>Jan</v>
          </cell>
        </row>
        <row r="867">
          <cell r="C867" t="str">
            <v>Tirreno</v>
          </cell>
          <cell r="R867">
            <v>0</v>
          </cell>
          <cell r="AZ867">
            <v>0</v>
          </cell>
          <cell r="BA867">
            <v>0</v>
          </cell>
          <cell r="BC867" t="str">
            <v>GOLD</v>
          </cell>
          <cell r="BE867" t="str">
            <v>Feb</v>
          </cell>
        </row>
        <row r="868">
          <cell r="C868" t="str">
            <v>Tirreno</v>
          </cell>
          <cell r="R868">
            <v>0</v>
          </cell>
          <cell r="AZ868">
            <v>0</v>
          </cell>
          <cell r="BA868">
            <v>0</v>
          </cell>
          <cell r="BC868" t="str">
            <v>GOLD</v>
          </cell>
          <cell r="BE868" t="str">
            <v>Mar</v>
          </cell>
        </row>
        <row r="869">
          <cell r="C869" t="str">
            <v>Tirreno</v>
          </cell>
          <cell r="R869">
            <v>0</v>
          </cell>
          <cell r="AZ869">
            <v>0</v>
          </cell>
          <cell r="BA869">
            <v>0</v>
          </cell>
          <cell r="BC869" t="str">
            <v>GOLD</v>
          </cell>
          <cell r="BE869" t="str">
            <v>Apr</v>
          </cell>
        </row>
        <row r="870">
          <cell r="C870" t="str">
            <v>Tirreno</v>
          </cell>
          <cell r="R870">
            <v>0</v>
          </cell>
          <cell r="AZ870">
            <v>0</v>
          </cell>
          <cell r="BA870">
            <v>0</v>
          </cell>
          <cell r="BC870" t="str">
            <v>GOLD</v>
          </cell>
          <cell r="BE870" t="str">
            <v>May</v>
          </cell>
        </row>
        <row r="871">
          <cell r="C871" t="str">
            <v>Tirreno</v>
          </cell>
          <cell r="R871">
            <v>0</v>
          </cell>
          <cell r="AZ871">
            <v>0</v>
          </cell>
          <cell r="BA871">
            <v>0</v>
          </cell>
          <cell r="BC871" t="str">
            <v>GOLD</v>
          </cell>
          <cell r="BE871" t="str">
            <v>Jun</v>
          </cell>
        </row>
        <row r="872">
          <cell r="C872" t="str">
            <v>Tirreno</v>
          </cell>
          <cell r="R872">
            <v>0</v>
          </cell>
          <cell r="AZ872">
            <v>0</v>
          </cell>
          <cell r="BA872">
            <v>0</v>
          </cell>
          <cell r="BC872" t="str">
            <v>GOLD</v>
          </cell>
          <cell r="BE872" t="str">
            <v>Jul</v>
          </cell>
        </row>
        <row r="873">
          <cell r="C873" t="str">
            <v>Tirreno</v>
          </cell>
          <cell r="R873">
            <v>0</v>
          </cell>
          <cell r="AZ873">
            <v>0</v>
          </cell>
          <cell r="BA873">
            <v>0</v>
          </cell>
          <cell r="BC873" t="str">
            <v>GOLD</v>
          </cell>
          <cell r="BE873" t="str">
            <v>Aug</v>
          </cell>
        </row>
        <row r="874">
          <cell r="C874" t="str">
            <v>Tirreno</v>
          </cell>
          <cell r="R874">
            <v>0</v>
          </cell>
          <cell r="AZ874">
            <v>0</v>
          </cell>
          <cell r="BA874">
            <v>0</v>
          </cell>
          <cell r="BC874" t="str">
            <v>GOLD</v>
          </cell>
          <cell r="BE874" t="str">
            <v>Sep</v>
          </cell>
        </row>
        <row r="875">
          <cell r="C875" t="str">
            <v>Tirreno</v>
          </cell>
          <cell r="R875">
            <v>0</v>
          </cell>
          <cell r="AZ875">
            <v>0</v>
          </cell>
          <cell r="BA875">
            <v>0</v>
          </cell>
          <cell r="BC875" t="str">
            <v>GOLD</v>
          </cell>
          <cell r="BE875" t="str">
            <v>Oct</v>
          </cell>
        </row>
        <row r="876">
          <cell r="C876" t="str">
            <v>Tirreno</v>
          </cell>
          <cell r="R876">
            <v>0</v>
          </cell>
          <cell r="AZ876">
            <v>0</v>
          </cell>
          <cell r="BA876">
            <v>0</v>
          </cell>
          <cell r="BC876" t="str">
            <v>GOLD</v>
          </cell>
          <cell r="BE876" t="str">
            <v>Nov</v>
          </cell>
        </row>
        <row r="877">
          <cell r="C877" t="str">
            <v>Tirreno</v>
          </cell>
          <cell r="R877">
            <v>0</v>
          </cell>
          <cell r="AZ877">
            <v>0</v>
          </cell>
          <cell r="BA877">
            <v>0</v>
          </cell>
          <cell r="BC877" t="str">
            <v>GOLD</v>
          </cell>
          <cell r="BE877" t="str">
            <v>Dec</v>
          </cell>
        </row>
        <row r="878">
          <cell r="C878" t="str">
            <v>Tirreno</v>
          </cell>
          <cell r="R878">
            <v>0</v>
          </cell>
          <cell r="AZ878">
            <v>0</v>
          </cell>
          <cell r="BA878">
            <v>0</v>
          </cell>
          <cell r="BC878" t="str">
            <v>GOLD</v>
          </cell>
          <cell r="BE878" t="str">
            <v>Jan</v>
          </cell>
        </row>
        <row r="879">
          <cell r="C879" t="str">
            <v>Tirreno</v>
          </cell>
          <cell r="R879">
            <v>0</v>
          </cell>
          <cell r="AZ879">
            <v>0</v>
          </cell>
          <cell r="BA879">
            <v>0</v>
          </cell>
          <cell r="BC879" t="str">
            <v>GOLD</v>
          </cell>
          <cell r="BE879" t="str">
            <v>Feb</v>
          </cell>
        </row>
        <row r="880">
          <cell r="C880" t="str">
            <v>Tirreno</v>
          </cell>
          <cell r="R880">
            <v>0</v>
          </cell>
          <cell r="AZ880">
            <v>0</v>
          </cell>
          <cell r="BA880">
            <v>0</v>
          </cell>
          <cell r="BC880" t="str">
            <v>GOLD</v>
          </cell>
          <cell r="BE880" t="str">
            <v>Mar</v>
          </cell>
        </row>
        <row r="881">
          <cell r="C881" t="str">
            <v>Tirreno</v>
          </cell>
          <cell r="R881">
            <v>0</v>
          </cell>
          <cell r="AZ881">
            <v>0</v>
          </cell>
          <cell r="BA881">
            <v>0</v>
          </cell>
          <cell r="BC881" t="str">
            <v>GOLD</v>
          </cell>
          <cell r="BE881" t="str">
            <v>Apr</v>
          </cell>
        </row>
        <row r="882">
          <cell r="C882" t="str">
            <v>Tirreno</v>
          </cell>
          <cell r="R882">
            <v>0</v>
          </cell>
          <cell r="AZ882">
            <v>0</v>
          </cell>
          <cell r="BA882">
            <v>0</v>
          </cell>
          <cell r="BC882" t="str">
            <v>GOLD</v>
          </cell>
          <cell r="BE882" t="str">
            <v>May</v>
          </cell>
        </row>
        <row r="883">
          <cell r="C883" t="str">
            <v>Tirreno</v>
          </cell>
          <cell r="R883">
            <v>0</v>
          </cell>
          <cell r="AZ883">
            <v>0</v>
          </cell>
          <cell r="BA883">
            <v>0</v>
          </cell>
          <cell r="BC883" t="str">
            <v>GOLD</v>
          </cell>
          <cell r="BE883" t="str">
            <v>Jun</v>
          </cell>
        </row>
        <row r="884">
          <cell r="C884" t="str">
            <v>Tirreno</v>
          </cell>
          <cell r="R884">
            <v>0</v>
          </cell>
          <cell r="AZ884">
            <v>0</v>
          </cell>
          <cell r="BA884">
            <v>0</v>
          </cell>
          <cell r="BC884" t="str">
            <v>GOLD</v>
          </cell>
          <cell r="BE884" t="str">
            <v>Jul</v>
          </cell>
        </row>
        <row r="885">
          <cell r="C885" t="str">
            <v>Tirreno</v>
          </cell>
          <cell r="R885">
            <v>0</v>
          </cell>
          <cell r="AZ885">
            <v>0</v>
          </cell>
          <cell r="BA885">
            <v>0</v>
          </cell>
          <cell r="BC885" t="str">
            <v>GOLD</v>
          </cell>
          <cell r="BE885" t="str">
            <v>Aug</v>
          </cell>
        </row>
        <row r="886">
          <cell r="C886" t="str">
            <v>Tirreno</v>
          </cell>
          <cell r="R886">
            <v>0</v>
          </cell>
          <cell r="AZ886">
            <v>0</v>
          </cell>
          <cell r="BA886">
            <v>0</v>
          </cell>
          <cell r="BC886" t="str">
            <v>GOLD</v>
          </cell>
          <cell r="BE886" t="str">
            <v>Sep</v>
          </cell>
        </row>
        <row r="887">
          <cell r="C887" t="str">
            <v>Tirreno</v>
          </cell>
          <cell r="R887">
            <v>0</v>
          </cell>
          <cell r="AZ887">
            <v>0</v>
          </cell>
          <cell r="BA887">
            <v>0</v>
          </cell>
          <cell r="BC887" t="str">
            <v>GOLD</v>
          </cell>
          <cell r="BE887" t="str">
            <v>Oct</v>
          </cell>
        </row>
        <row r="888">
          <cell r="C888" t="str">
            <v>Tirreno</v>
          </cell>
          <cell r="R888">
            <v>0</v>
          </cell>
          <cell r="AZ888">
            <v>0</v>
          </cell>
          <cell r="BA888">
            <v>0</v>
          </cell>
          <cell r="BC888" t="str">
            <v>GOLD</v>
          </cell>
          <cell r="BE888" t="str">
            <v>Nov</v>
          </cell>
        </row>
        <row r="889">
          <cell r="C889" t="str">
            <v>Tirreno</v>
          </cell>
          <cell r="R889">
            <v>0</v>
          </cell>
          <cell r="AZ889">
            <v>0</v>
          </cell>
          <cell r="BA889">
            <v>0</v>
          </cell>
          <cell r="BC889" t="str">
            <v>GOLD</v>
          </cell>
          <cell r="BE889" t="str">
            <v>Dec</v>
          </cell>
        </row>
        <row r="890">
          <cell r="C890" t="str">
            <v>Tirreno</v>
          </cell>
          <cell r="R890">
            <v>0</v>
          </cell>
          <cell r="AZ890">
            <v>0</v>
          </cell>
          <cell r="BA890">
            <v>0</v>
          </cell>
          <cell r="BC890" t="str">
            <v>GOLD</v>
          </cell>
          <cell r="BE890" t="str">
            <v>Jan</v>
          </cell>
        </row>
        <row r="891">
          <cell r="C891" t="str">
            <v>Tirreno</v>
          </cell>
          <cell r="R891">
            <v>0</v>
          </cell>
          <cell r="AZ891">
            <v>0</v>
          </cell>
          <cell r="BA891">
            <v>0</v>
          </cell>
          <cell r="BC891" t="str">
            <v>GOLD</v>
          </cell>
          <cell r="BE891" t="str">
            <v>Feb</v>
          </cell>
        </row>
        <row r="892">
          <cell r="C892" t="str">
            <v>Tirreno</v>
          </cell>
          <cell r="R892">
            <v>0</v>
          </cell>
          <cell r="AZ892">
            <v>0</v>
          </cell>
          <cell r="BA892">
            <v>0</v>
          </cell>
          <cell r="BC892" t="str">
            <v>GOLD</v>
          </cell>
          <cell r="BE892" t="str">
            <v>Mar</v>
          </cell>
        </row>
        <row r="893">
          <cell r="C893" t="str">
            <v>Tirreno</v>
          </cell>
          <cell r="R893">
            <v>0</v>
          </cell>
          <cell r="AZ893">
            <v>0</v>
          </cell>
          <cell r="BA893">
            <v>0</v>
          </cell>
          <cell r="BC893" t="str">
            <v>GOLD</v>
          </cell>
          <cell r="BE893" t="str">
            <v>Apr</v>
          </cell>
        </row>
        <row r="894">
          <cell r="C894" t="str">
            <v>Tirreno</v>
          </cell>
          <cell r="R894">
            <v>0</v>
          </cell>
          <cell r="AZ894">
            <v>0</v>
          </cell>
          <cell r="BA894">
            <v>0</v>
          </cell>
          <cell r="BC894" t="str">
            <v>GOLD</v>
          </cell>
          <cell r="BE894" t="str">
            <v>May</v>
          </cell>
        </row>
        <row r="895">
          <cell r="C895" t="str">
            <v>Tirreno</v>
          </cell>
          <cell r="R895">
            <v>0</v>
          </cell>
          <cell r="AZ895">
            <v>0</v>
          </cell>
          <cell r="BA895">
            <v>0</v>
          </cell>
          <cell r="BC895" t="str">
            <v>GOLD</v>
          </cell>
          <cell r="BE895" t="str">
            <v>Jun</v>
          </cell>
        </row>
        <row r="896">
          <cell r="C896" t="str">
            <v>Tirreno</v>
          </cell>
          <cell r="R896">
            <v>0</v>
          </cell>
          <cell r="AZ896">
            <v>0</v>
          </cell>
          <cell r="BA896">
            <v>0</v>
          </cell>
          <cell r="BC896" t="str">
            <v>GOLD</v>
          </cell>
          <cell r="BE896" t="str">
            <v>Jul</v>
          </cell>
        </row>
        <row r="897">
          <cell r="C897" t="str">
            <v>Tirreno</v>
          </cell>
          <cell r="R897">
            <v>0</v>
          </cell>
          <cell r="AZ897">
            <v>0</v>
          </cell>
          <cell r="BA897">
            <v>0</v>
          </cell>
          <cell r="BC897" t="str">
            <v>GOLD</v>
          </cell>
          <cell r="BE897" t="str">
            <v>Aug</v>
          </cell>
        </row>
        <row r="898">
          <cell r="C898" t="str">
            <v>Tirreno</v>
          </cell>
          <cell r="R898">
            <v>0</v>
          </cell>
          <cell r="AZ898">
            <v>0</v>
          </cell>
          <cell r="BA898">
            <v>0</v>
          </cell>
          <cell r="BC898" t="str">
            <v>GOLD</v>
          </cell>
          <cell r="BE898" t="str">
            <v>Sep</v>
          </cell>
        </row>
        <row r="899">
          <cell r="C899" t="str">
            <v>Tirreno</v>
          </cell>
          <cell r="R899">
            <v>0</v>
          </cell>
          <cell r="AZ899">
            <v>0</v>
          </cell>
          <cell r="BA899">
            <v>0</v>
          </cell>
          <cell r="BC899" t="str">
            <v>GOLD</v>
          </cell>
          <cell r="BE899" t="str">
            <v>Oct</v>
          </cell>
        </row>
        <row r="900">
          <cell r="C900" t="str">
            <v>Tirreno</v>
          </cell>
          <cell r="R900">
            <v>0</v>
          </cell>
          <cell r="AZ900">
            <v>0</v>
          </cell>
          <cell r="BA900">
            <v>0</v>
          </cell>
          <cell r="BC900" t="str">
            <v>GOLD</v>
          </cell>
          <cell r="BE900" t="str">
            <v>Nov</v>
          </cell>
        </row>
        <row r="901">
          <cell r="C901" t="str">
            <v>Tirreno</v>
          </cell>
          <cell r="R901">
            <v>0</v>
          </cell>
          <cell r="AZ901">
            <v>0</v>
          </cell>
          <cell r="BA901">
            <v>0</v>
          </cell>
          <cell r="BC901" t="str">
            <v>GOLD</v>
          </cell>
          <cell r="BE901" t="str">
            <v>Dec</v>
          </cell>
        </row>
        <row r="902">
          <cell r="C902" t="str">
            <v>Other</v>
          </cell>
          <cell r="R902">
            <v>0</v>
          </cell>
          <cell r="AZ902">
            <v>0</v>
          </cell>
          <cell r="BA902">
            <v>0</v>
          </cell>
          <cell r="BC902" t="str">
            <v>OTHERS</v>
          </cell>
          <cell r="BE902" t="str">
            <v>Jan</v>
          </cell>
        </row>
        <row r="903">
          <cell r="C903" t="str">
            <v>Other</v>
          </cell>
          <cell r="R903">
            <v>0</v>
          </cell>
          <cell r="AZ903">
            <v>0</v>
          </cell>
          <cell r="BA903">
            <v>0</v>
          </cell>
          <cell r="BC903" t="str">
            <v>OTHERS</v>
          </cell>
          <cell r="BE903" t="str">
            <v>Feb</v>
          </cell>
        </row>
        <row r="904">
          <cell r="C904" t="str">
            <v>Other</v>
          </cell>
          <cell r="R904">
            <v>0</v>
          </cell>
          <cell r="AZ904">
            <v>0</v>
          </cell>
          <cell r="BA904">
            <v>0</v>
          </cell>
          <cell r="BC904" t="str">
            <v>OTHERS</v>
          </cell>
          <cell r="BE904" t="str">
            <v>Mar</v>
          </cell>
        </row>
        <row r="905">
          <cell r="C905" t="str">
            <v>Other</v>
          </cell>
          <cell r="R905">
            <v>0</v>
          </cell>
          <cell r="AZ905">
            <v>0</v>
          </cell>
          <cell r="BA905">
            <v>0</v>
          </cell>
          <cell r="BC905" t="str">
            <v>OTHERS</v>
          </cell>
          <cell r="BE905" t="str">
            <v>Apr</v>
          </cell>
        </row>
        <row r="906">
          <cell r="C906" t="str">
            <v>Other</v>
          </cell>
          <cell r="R906">
            <v>0</v>
          </cell>
          <cell r="AZ906">
            <v>0</v>
          </cell>
          <cell r="BA906">
            <v>0</v>
          </cell>
          <cell r="BC906" t="str">
            <v>OTHERS</v>
          </cell>
          <cell r="BE906" t="str">
            <v>May</v>
          </cell>
        </row>
        <row r="907">
          <cell r="C907" t="str">
            <v>Other</v>
          </cell>
          <cell r="R907">
            <v>0</v>
          </cell>
          <cell r="AZ907">
            <v>0</v>
          </cell>
          <cell r="BA907">
            <v>0</v>
          </cell>
          <cell r="BC907" t="str">
            <v>OTHERS</v>
          </cell>
          <cell r="BE907" t="str">
            <v>Jun</v>
          </cell>
        </row>
        <row r="908">
          <cell r="C908" t="str">
            <v>Other</v>
          </cell>
          <cell r="R908">
            <v>0</v>
          </cell>
          <cell r="AZ908">
            <v>0</v>
          </cell>
          <cell r="BA908">
            <v>0</v>
          </cell>
          <cell r="BC908" t="str">
            <v>OTHERS</v>
          </cell>
          <cell r="BE908" t="str">
            <v>Jul</v>
          </cell>
        </row>
        <row r="909">
          <cell r="C909" t="str">
            <v>Other</v>
          </cell>
          <cell r="R909">
            <v>0</v>
          </cell>
          <cell r="AZ909">
            <v>0</v>
          </cell>
          <cell r="BA909">
            <v>0</v>
          </cell>
          <cell r="BC909" t="str">
            <v>OTHERS</v>
          </cell>
          <cell r="BE909" t="str">
            <v>Aug</v>
          </cell>
        </row>
        <row r="910">
          <cell r="C910" t="str">
            <v>Other</v>
          </cell>
          <cell r="R910">
            <v>0</v>
          </cell>
          <cell r="AZ910">
            <v>0</v>
          </cell>
          <cell r="BA910">
            <v>0</v>
          </cell>
          <cell r="BC910" t="str">
            <v>OTHERS</v>
          </cell>
          <cell r="BE910" t="str">
            <v>Sep</v>
          </cell>
        </row>
        <row r="911">
          <cell r="C911" t="str">
            <v>Other</v>
          </cell>
          <cell r="R911">
            <v>0</v>
          </cell>
          <cell r="AZ911">
            <v>0</v>
          </cell>
          <cell r="BA911">
            <v>0</v>
          </cell>
          <cell r="BC911" t="str">
            <v>OTHERS</v>
          </cell>
          <cell r="BE911" t="str">
            <v>Oct</v>
          </cell>
        </row>
        <row r="912">
          <cell r="C912" t="str">
            <v>Other</v>
          </cell>
          <cell r="R912">
            <v>0</v>
          </cell>
          <cell r="AZ912">
            <v>0</v>
          </cell>
          <cell r="BA912">
            <v>0</v>
          </cell>
          <cell r="BC912" t="str">
            <v>OTHERS</v>
          </cell>
          <cell r="BE912" t="str">
            <v>Nov</v>
          </cell>
        </row>
        <row r="913">
          <cell r="C913" t="str">
            <v>Other</v>
          </cell>
          <cell r="R913">
            <v>0</v>
          </cell>
          <cell r="AZ913">
            <v>0</v>
          </cell>
          <cell r="BA913">
            <v>0</v>
          </cell>
          <cell r="BC913" t="str">
            <v>OTHERS</v>
          </cell>
          <cell r="BE913" t="str">
            <v>Dec</v>
          </cell>
        </row>
        <row r="914">
          <cell r="C914" t="str">
            <v>Other</v>
          </cell>
          <cell r="R914">
            <v>0</v>
          </cell>
          <cell r="AZ914">
            <v>0</v>
          </cell>
          <cell r="BA914">
            <v>0</v>
          </cell>
          <cell r="BC914" t="str">
            <v>OTHERS</v>
          </cell>
          <cell r="BE914" t="str">
            <v>Jan</v>
          </cell>
        </row>
        <row r="915">
          <cell r="C915" t="str">
            <v>Other</v>
          </cell>
          <cell r="R915">
            <v>0</v>
          </cell>
          <cell r="AZ915">
            <v>0</v>
          </cell>
          <cell r="BA915">
            <v>0</v>
          </cell>
          <cell r="BC915" t="str">
            <v>OTHERS</v>
          </cell>
          <cell r="BE915" t="str">
            <v>Feb</v>
          </cell>
        </row>
        <row r="916">
          <cell r="C916" t="str">
            <v>Other</v>
          </cell>
          <cell r="R916">
            <v>0</v>
          </cell>
          <cell r="AZ916">
            <v>0</v>
          </cell>
          <cell r="BA916">
            <v>0</v>
          </cell>
          <cell r="BC916" t="str">
            <v>OTHERS</v>
          </cell>
          <cell r="BE916" t="str">
            <v>Mar</v>
          </cell>
        </row>
        <row r="917">
          <cell r="C917" t="str">
            <v>Other</v>
          </cell>
          <cell r="R917">
            <v>0</v>
          </cell>
          <cell r="AZ917">
            <v>0</v>
          </cell>
          <cell r="BA917">
            <v>0</v>
          </cell>
          <cell r="BC917" t="str">
            <v>OTHERS</v>
          </cell>
          <cell r="BE917" t="str">
            <v>Apr</v>
          </cell>
        </row>
        <row r="918">
          <cell r="C918" t="str">
            <v>Other</v>
          </cell>
          <cell r="R918">
            <v>0</v>
          </cell>
          <cell r="AZ918">
            <v>0</v>
          </cell>
          <cell r="BA918">
            <v>0</v>
          </cell>
          <cell r="BC918" t="str">
            <v>OTHERS</v>
          </cell>
          <cell r="BE918" t="str">
            <v>May</v>
          </cell>
        </row>
        <row r="919">
          <cell r="C919" t="str">
            <v>Other</v>
          </cell>
          <cell r="R919">
            <v>0</v>
          </cell>
          <cell r="AZ919">
            <v>0</v>
          </cell>
          <cell r="BA919">
            <v>0</v>
          </cell>
          <cell r="BC919" t="str">
            <v>OTHERS</v>
          </cell>
          <cell r="BE919" t="str">
            <v>Jun</v>
          </cell>
        </row>
        <row r="920">
          <cell r="C920" t="str">
            <v>Other</v>
          </cell>
          <cell r="R920">
            <v>0</v>
          </cell>
          <cell r="AZ920">
            <v>0</v>
          </cell>
          <cell r="BA920">
            <v>0</v>
          </cell>
          <cell r="BC920" t="str">
            <v>OTHERS</v>
          </cell>
          <cell r="BE920" t="str">
            <v>Jul</v>
          </cell>
        </row>
        <row r="921">
          <cell r="C921" t="str">
            <v>Other</v>
          </cell>
          <cell r="R921">
            <v>0</v>
          </cell>
          <cell r="AZ921">
            <v>0</v>
          </cell>
          <cell r="BA921">
            <v>0</v>
          </cell>
          <cell r="BC921" t="str">
            <v>OTHERS</v>
          </cell>
          <cell r="BE921" t="str">
            <v>Aug</v>
          </cell>
        </row>
        <row r="922">
          <cell r="C922" t="str">
            <v>Other</v>
          </cell>
          <cell r="R922">
            <v>0</v>
          </cell>
          <cell r="AZ922">
            <v>0</v>
          </cell>
          <cell r="BA922">
            <v>0</v>
          </cell>
          <cell r="BC922" t="str">
            <v>OTHERS</v>
          </cell>
          <cell r="BE922" t="str">
            <v>Sep</v>
          </cell>
        </row>
        <row r="923">
          <cell r="C923" t="str">
            <v>Other</v>
          </cell>
          <cell r="R923">
            <v>0</v>
          </cell>
          <cell r="AZ923">
            <v>0</v>
          </cell>
          <cell r="BA923">
            <v>0</v>
          </cell>
          <cell r="BC923" t="str">
            <v>OTHERS</v>
          </cell>
          <cell r="BE923" t="str">
            <v>Oct</v>
          </cell>
        </row>
        <row r="924">
          <cell r="C924" t="str">
            <v>Other</v>
          </cell>
          <cell r="R924">
            <v>0</v>
          </cell>
          <cell r="AZ924">
            <v>0</v>
          </cell>
          <cell r="BA924">
            <v>0</v>
          </cell>
          <cell r="BC924" t="str">
            <v>OTHERS</v>
          </cell>
          <cell r="BE924" t="str">
            <v>Nov</v>
          </cell>
        </row>
        <row r="925">
          <cell r="C925" t="str">
            <v>Other</v>
          </cell>
          <cell r="R925">
            <v>0</v>
          </cell>
          <cell r="AZ925">
            <v>0</v>
          </cell>
          <cell r="BA925">
            <v>0</v>
          </cell>
          <cell r="BC925" t="str">
            <v>OTHERS</v>
          </cell>
          <cell r="BE925" t="str">
            <v>Dec</v>
          </cell>
        </row>
        <row r="926">
          <cell r="C926" t="str">
            <v>Glencore</v>
          </cell>
          <cell r="R926">
            <v>0</v>
          </cell>
          <cell r="AZ926">
            <v>0</v>
          </cell>
          <cell r="BA926">
            <v>0</v>
          </cell>
          <cell r="BC926" t="str">
            <v>OTHERS</v>
          </cell>
          <cell r="BE926" t="str">
            <v>Jan</v>
          </cell>
        </row>
        <row r="927">
          <cell r="C927" t="str">
            <v>Glencore</v>
          </cell>
          <cell r="R927">
            <v>0</v>
          </cell>
          <cell r="AZ927">
            <v>0</v>
          </cell>
          <cell r="BA927">
            <v>0</v>
          </cell>
          <cell r="BC927" t="str">
            <v>OTHERS</v>
          </cell>
          <cell r="BE927" t="str">
            <v>Feb</v>
          </cell>
        </row>
        <row r="928">
          <cell r="C928" t="str">
            <v>Glencore</v>
          </cell>
          <cell r="R928">
            <v>0</v>
          </cell>
          <cell r="AZ928">
            <v>0</v>
          </cell>
          <cell r="BA928">
            <v>0</v>
          </cell>
          <cell r="BC928" t="str">
            <v>OTHERS</v>
          </cell>
          <cell r="BE928" t="str">
            <v>Mar</v>
          </cell>
        </row>
        <row r="929">
          <cell r="C929" t="str">
            <v>Glencore</v>
          </cell>
          <cell r="R929">
            <v>0</v>
          </cell>
          <cell r="AZ929">
            <v>0</v>
          </cell>
          <cell r="BA929">
            <v>0</v>
          </cell>
          <cell r="BC929" t="str">
            <v>OTHERS</v>
          </cell>
          <cell r="BE929" t="str">
            <v>Apr</v>
          </cell>
        </row>
        <row r="930">
          <cell r="C930" t="str">
            <v>Glencore</v>
          </cell>
          <cell r="R930">
            <v>0</v>
          </cell>
          <cell r="AZ930">
            <v>0</v>
          </cell>
          <cell r="BA930">
            <v>0</v>
          </cell>
          <cell r="BC930" t="str">
            <v>OTHERS</v>
          </cell>
          <cell r="BE930" t="str">
            <v>May</v>
          </cell>
        </row>
        <row r="931">
          <cell r="C931" t="str">
            <v>Glencore</v>
          </cell>
          <cell r="R931">
            <v>0</v>
          </cell>
          <cell r="AZ931">
            <v>0</v>
          </cell>
          <cell r="BA931">
            <v>0</v>
          </cell>
          <cell r="BC931" t="str">
            <v>OTHERS</v>
          </cell>
          <cell r="BE931" t="str">
            <v>Jun</v>
          </cell>
        </row>
        <row r="932">
          <cell r="C932" t="str">
            <v>Glencore</v>
          </cell>
          <cell r="R932">
            <v>0</v>
          </cell>
          <cell r="AZ932">
            <v>0</v>
          </cell>
          <cell r="BA932">
            <v>0</v>
          </cell>
          <cell r="BC932" t="str">
            <v>OTHERS</v>
          </cell>
          <cell r="BE932" t="str">
            <v>Jul</v>
          </cell>
        </row>
        <row r="933">
          <cell r="C933" t="str">
            <v>Glencore</v>
          </cell>
          <cell r="R933">
            <v>0</v>
          </cell>
          <cell r="AZ933">
            <v>0</v>
          </cell>
          <cell r="BA933">
            <v>0</v>
          </cell>
          <cell r="BC933" t="str">
            <v>OTHERS</v>
          </cell>
          <cell r="BE933" t="str">
            <v>Aug</v>
          </cell>
        </row>
        <row r="934">
          <cell r="C934" t="str">
            <v>Glencore</v>
          </cell>
          <cell r="R934">
            <v>0</v>
          </cell>
          <cell r="AZ934">
            <v>0</v>
          </cell>
          <cell r="BA934">
            <v>0</v>
          </cell>
          <cell r="BC934" t="str">
            <v>OTHERS</v>
          </cell>
          <cell r="BE934" t="str">
            <v>Sep</v>
          </cell>
        </row>
        <row r="935">
          <cell r="C935" t="str">
            <v>Glencore</v>
          </cell>
          <cell r="R935">
            <v>0</v>
          </cell>
          <cell r="AZ935">
            <v>0</v>
          </cell>
          <cell r="BA935">
            <v>0</v>
          </cell>
          <cell r="BC935" t="str">
            <v>OTHERS</v>
          </cell>
          <cell r="BE935" t="str">
            <v>Oct</v>
          </cell>
        </row>
        <row r="936">
          <cell r="C936" t="str">
            <v>Glencore</v>
          </cell>
          <cell r="R936">
            <v>0</v>
          </cell>
          <cell r="AZ936">
            <v>0</v>
          </cell>
          <cell r="BA936">
            <v>0</v>
          </cell>
          <cell r="BC936" t="str">
            <v>OTHERS</v>
          </cell>
          <cell r="BE936" t="str">
            <v>Nov</v>
          </cell>
        </row>
        <row r="937">
          <cell r="C937" t="str">
            <v>Glencore</v>
          </cell>
          <cell r="R937">
            <v>0</v>
          </cell>
          <cell r="AZ937">
            <v>0</v>
          </cell>
          <cell r="BA937">
            <v>0</v>
          </cell>
          <cell r="BC937" t="str">
            <v>OTHERS</v>
          </cell>
          <cell r="BE937" t="str">
            <v>Dec</v>
          </cell>
        </row>
        <row r="938">
          <cell r="C938" t="str">
            <v>Glencore</v>
          </cell>
          <cell r="R938">
            <v>0</v>
          </cell>
          <cell r="AZ938">
            <v>0</v>
          </cell>
          <cell r="BA938">
            <v>0</v>
          </cell>
          <cell r="BC938" t="str">
            <v>OTHERS</v>
          </cell>
          <cell r="BE938" t="str">
            <v>Jan</v>
          </cell>
        </row>
        <row r="939">
          <cell r="C939" t="str">
            <v>Glencore</v>
          </cell>
          <cell r="R939">
            <v>0</v>
          </cell>
          <cell r="AZ939">
            <v>0</v>
          </cell>
          <cell r="BA939">
            <v>0</v>
          </cell>
          <cell r="BC939" t="str">
            <v>OTHERS</v>
          </cell>
          <cell r="BE939" t="str">
            <v>Feb</v>
          </cell>
        </row>
        <row r="940">
          <cell r="C940" t="str">
            <v>Glencore</v>
          </cell>
          <cell r="R940">
            <v>0</v>
          </cell>
          <cell r="AZ940">
            <v>0</v>
          </cell>
          <cell r="BA940">
            <v>0</v>
          </cell>
          <cell r="BC940" t="str">
            <v>OTHERS</v>
          </cell>
          <cell r="BE940" t="str">
            <v>Mar</v>
          </cell>
        </row>
        <row r="941">
          <cell r="C941" t="str">
            <v>Glencore</v>
          </cell>
          <cell r="R941">
            <v>0</v>
          </cell>
          <cell r="AZ941">
            <v>0</v>
          </cell>
          <cell r="BA941">
            <v>0</v>
          </cell>
          <cell r="BC941" t="str">
            <v>OTHERS</v>
          </cell>
          <cell r="BE941" t="str">
            <v>Apr</v>
          </cell>
        </row>
        <row r="942">
          <cell r="C942" t="str">
            <v>Glencore</v>
          </cell>
          <cell r="R942">
            <v>0</v>
          </cell>
          <cell r="AZ942">
            <v>0</v>
          </cell>
          <cell r="BA942">
            <v>0</v>
          </cell>
          <cell r="BC942" t="str">
            <v>OTHERS</v>
          </cell>
          <cell r="BE942" t="str">
            <v>May</v>
          </cell>
        </row>
        <row r="943">
          <cell r="C943" t="str">
            <v>Glencore</v>
          </cell>
          <cell r="R943">
            <v>0</v>
          </cell>
          <cell r="AZ943">
            <v>0</v>
          </cell>
          <cell r="BA943">
            <v>0</v>
          </cell>
          <cell r="BC943" t="str">
            <v>OTHERS</v>
          </cell>
          <cell r="BE943" t="str">
            <v>Jun</v>
          </cell>
        </row>
        <row r="944">
          <cell r="C944" t="str">
            <v>Glencore</v>
          </cell>
          <cell r="R944">
            <v>0</v>
          </cell>
          <cell r="AZ944">
            <v>0</v>
          </cell>
          <cell r="BA944">
            <v>0</v>
          </cell>
          <cell r="BC944" t="str">
            <v>OTHERS</v>
          </cell>
          <cell r="BE944" t="str">
            <v>Jul</v>
          </cell>
        </row>
        <row r="945">
          <cell r="C945" t="str">
            <v>Glencore</v>
          </cell>
          <cell r="R945">
            <v>0</v>
          </cell>
          <cell r="AZ945">
            <v>0</v>
          </cell>
          <cell r="BA945">
            <v>0</v>
          </cell>
          <cell r="BC945" t="str">
            <v>OTHERS</v>
          </cell>
          <cell r="BE945" t="str">
            <v>Aug</v>
          </cell>
        </row>
        <row r="946">
          <cell r="C946" t="str">
            <v>Glencore</v>
          </cell>
          <cell r="R946">
            <v>0</v>
          </cell>
          <cell r="AZ946">
            <v>0</v>
          </cell>
          <cell r="BA946">
            <v>0</v>
          </cell>
          <cell r="BC946" t="str">
            <v>OTHERS</v>
          </cell>
          <cell r="BE946" t="str">
            <v>Sep</v>
          </cell>
        </row>
        <row r="947">
          <cell r="C947" t="str">
            <v>Glencore</v>
          </cell>
          <cell r="R947">
            <v>0</v>
          </cell>
          <cell r="AZ947">
            <v>0</v>
          </cell>
          <cell r="BA947">
            <v>0</v>
          </cell>
          <cell r="BC947" t="str">
            <v>OTHERS</v>
          </cell>
          <cell r="BE947" t="str">
            <v>Oct</v>
          </cell>
        </row>
        <row r="948">
          <cell r="C948" t="str">
            <v>Glencore</v>
          </cell>
          <cell r="R948">
            <v>0</v>
          </cell>
          <cell r="AZ948">
            <v>0</v>
          </cell>
          <cell r="BA948">
            <v>0</v>
          </cell>
          <cell r="BC948" t="str">
            <v>OTHERS</v>
          </cell>
          <cell r="BE948" t="str">
            <v>Nov</v>
          </cell>
        </row>
        <row r="949">
          <cell r="C949" t="str">
            <v>Glencore</v>
          </cell>
          <cell r="R949">
            <v>0</v>
          </cell>
          <cell r="AZ949">
            <v>0</v>
          </cell>
          <cell r="BA949">
            <v>0</v>
          </cell>
          <cell r="BC949" t="str">
            <v>OTHERS</v>
          </cell>
          <cell r="BE949" t="str">
            <v>Dec</v>
          </cell>
        </row>
        <row r="950">
          <cell r="C950" t="str">
            <v>Glencore</v>
          </cell>
          <cell r="R950">
            <v>0</v>
          </cell>
          <cell r="AZ950">
            <v>0</v>
          </cell>
          <cell r="BA950">
            <v>0</v>
          </cell>
          <cell r="BC950" t="str">
            <v>OTHERS</v>
          </cell>
          <cell r="BE950" t="str">
            <v>Jan</v>
          </cell>
        </row>
        <row r="951">
          <cell r="C951" t="str">
            <v>Glencore</v>
          </cell>
          <cell r="R951">
            <v>0</v>
          </cell>
          <cell r="AZ951">
            <v>0</v>
          </cell>
          <cell r="BA951">
            <v>0</v>
          </cell>
          <cell r="BC951" t="str">
            <v>OTHERS</v>
          </cell>
          <cell r="BE951" t="str">
            <v>Feb</v>
          </cell>
        </row>
        <row r="952">
          <cell r="C952" t="str">
            <v>Glencore</v>
          </cell>
          <cell r="R952">
            <v>0</v>
          </cell>
          <cell r="AZ952">
            <v>0</v>
          </cell>
          <cell r="BA952">
            <v>0</v>
          </cell>
          <cell r="BC952" t="str">
            <v>OTHERS</v>
          </cell>
          <cell r="BE952" t="str">
            <v>Mar</v>
          </cell>
        </row>
        <row r="953">
          <cell r="C953" t="str">
            <v>Glencore</v>
          </cell>
          <cell r="R953">
            <v>0</v>
          </cell>
          <cell r="AZ953">
            <v>0</v>
          </cell>
          <cell r="BA953">
            <v>0</v>
          </cell>
          <cell r="BC953" t="str">
            <v>OTHERS</v>
          </cell>
          <cell r="BE953" t="str">
            <v>Apr</v>
          </cell>
        </row>
        <row r="954">
          <cell r="C954" t="str">
            <v>Glencore</v>
          </cell>
          <cell r="R954">
            <v>0</v>
          </cell>
          <cell r="AZ954">
            <v>0</v>
          </cell>
          <cell r="BA954">
            <v>0</v>
          </cell>
          <cell r="BC954" t="str">
            <v>OTHERS</v>
          </cell>
          <cell r="BE954" t="str">
            <v>May</v>
          </cell>
        </row>
        <row r="955">
          <cell r="C955" t="str">
            <v>Glencore</v>
          </cell>
          <cell r="R955">
            <v>0</v>
          </cell>
          <cell r="AZ955">
            <v>0</v>
          </cell>
          <cell r="BA955">
            <v>0</v>
          </cell>
          <cell r="BC955" t="str">
            <v>OTHERS</v>
          </cell>
          <cell r="BE955" t="str">
            <v>Jun</v>
          </cell>
        </row>
        <row r="956">
          <cell r="C956" t="str">
            <v>Glencore</v>
          </cell>
          <cell r="R956">
            <v>0</v>
          </cell>
          <cell r="AZ956">
            <v>0</v>
          </cell>
          <cell r="BA956">
            <v>0</v>
          </cell>
          <cell r="BC956" t="str">
            <v>OTHERS</v>
          </cell>
          <cell r="BE956" t="str">
            <v>Jul</v>
          </cell>
        </row>
        <row r="957">
          <cell r="C957" t="str">
            <v>Glencore</v>
          </cell>
          <cell r="R957">
            <v>0</v>
          </cell>
          <cell r="AZ957">
            <v>0</v>
          </cell>
          <cell r="BA957">
            <v>0</v>
          </cell>
          <cell r="BC957" t="str">
            <v>OTHERS</v>
          </cell>
          <cell r="BE957" t="str">
            <v>Aug</v>
          </cell>
        </row>
        <row r="958">
          <cell r="C958" t="str">
            <v>Glencore</v>
          </cell>
          <cell r="R958">
            <v>0</v>
          </cell>
          <cell r="AZ958">
            <v>0</v>
          </cell>
          <cell r="BA958">
            <v>0</v>
          </cell>
          <cell r="BC958" t="str">
            <v>OTHERS</v>
          </cell>
          <cell r="BE958" t="str">
            <v>Sep</v>
          </cell>
        </row>
        <row r="959">
          <cell r="C959" t="str">
            <v>Glencore</v>
          </cell>
          <cell r="R959">
            <v>0</v>
          </cell>
          <cell r="AZ959">
            <v>0</v>
          </cell>
          <cell r="BA959">
            <v>0</v>
          </cell>
          <cell r="BC959" t="str">
            <v>OTHERS</v>
          </cell>
          <cell r="BE959" t="str">
            <v>Oct</v>
          </cell>
        </row>
        <row r="960">
          <cell r="C960" t="str">
            <v>Glencore</v>
          </cell>
          <cell r="R960">
            <v>0</v>
          </cell>
          <cell r="AZ960">
            <v>0</v>
          </cell>
          <cell r="BA960">
            <v>0</v>
          </cell>
          <cell r="BC960" t="str">
            <v>OTHERS</v>
          </cell>
          <cell r="BE960" t="str">
            <v>Nov</v>
          </cell>
        </row>
        <row r="961">
          <cell r="C961" t="str">
            <v>Glencore</v>
          </cell>
          <cell r="R961">
            <v>0</v>
          </cell>
          <cell r="AZ961">
            <v>0</v>
          </cell>
          <cell r="BA961">
            <v>0</v>
          </cell>
          <cell r="BC961" t="str">
            <v>OTHERS</v>
          </cell>
          <cell r="BE961" t="str">
            <v>Dec</v>
          </cell>
        </row>
        <row r="962">
          <cell r="C962" t="str">
            <v>Other</v>
          </cell>
          <cell r="R962">
            <v>0</v>
          </cell>
          <cell r="AZ962">
            <v>0</v>
          </cell>
          <cell r="BA962">
            <v>0</v>
          </cell>
          <cell r="BC962" t="str">
            <v>OTHERS</v>
          </cell>
          <cell r="BE962" t="str">
            <v>Jan</v>
          </cell>
        </row>
        <row r="963">
          <cell r="C963" t="str">
            <v>Other</v>
          </cell>
          <cell r="R963">
            <v>0</v>
          </cell>
          <cell r="AZ963">
            <v>0</v>
          </cell>
          <cell r="BA963">
            <v>0</v>
          </cell>
          <cell r="BC963" t="str">
            <v>OTHERS</v>
          </cell>
          <cell r="BE963" t="str">
            <v>Feb</v>
          </cell>
        </row>
        <row r="964">
          <cell r="C964" t="str">
            <v>Other</v>
          </cell>
          <cell r="R964">
            <v>0</v>
          </cell>
          <cell r="AZ964">
            <v>0</v>
          </cell>
          <cell r="BA964">
            <v>0</v>
          </cell>
          <cell r="BC964" t="str">
            <v>OTHERS</v>
          </cell>
          <cell r="BE964" t="str">
            <v>Mar</v>
          </cell>
        </row>
        <row r="965">
          <cell r="C965" t="str">
            <v>Other</v>
          </cell>
          <cell r="R965">
            <v>0</v>
          </cell>
          <cell r="AZ965">
            <v>0</v>
          </cell>
          <cell r="BA965">
            <v>0</v>
          </cell>
          <cell r="BC965" t="str">
            <v>OTHERS</v>
          </cell>
          <cell r="BE965" t="str">
            <v>Apr</v>
          </cell>
        </row>
        <row r="966">
          <cell r="C966" t="str">
            <v>Other</v>
          </cell>
          <cell r="R966">
            <v>0</v>
          </cell>
          <cell r="AZ966">
            <v>0</v>
          </cell>
          <cell r="BA966">
            <v>0</v>
          </cell>
          <cell r="BC966" t="str">
            <v>OTHERS</v>
          </cell>
          <cell r="BE966" t="str">
            <v>May</v>
          </cell>
        </row>
        <row r="967">
          <cell r="C967" t="str">
            <v>Other</v>
          </cell>
          <cell r="R967">
            <v>0</v>
          </cell>
          <cell r="AZ967">
            <v>0</v>
          </cell>
          <cell r="BA967">
            <v>0</v>
          </cell>
          <cell r="BC967" t="str">
            <v>OTHERS</v>
          </cell>
          <cell r="BE967" t="str">
            <v>Jun</v>
          </cell>
        </row>
        <row r="968">
          <cell r="C968" t="str">
            <v>Other</v>
          </cell>
          <cell r="R968">
            <v>0</v>
          </cell>
          <cell r="AZ968">
            <v>0</v>
          </cell>
          <cell r="BA968">
            <v>0</v>
          </cell>
          <cell r="BC968" t="str">
            <v>OTHERS</v>
          </cell>
          <cell r="BE968" t="str">
            <v>Jul</v>
          </cell>
        </row>
        <row r="969">
          <cell r="C969" t="str">
            <v>Other</v>
          </cell>
          <cell r="R969">
            <v>0</v>
          </cell>
          <cell r="AZ969">
            <v>0</v>
          </cell>
          <cell r="BA969">
            <v>0</v>
          </cell>
          <cell r="BC969" t="str">
            <v>OTHERS</v>
          </cell>
          <cell r="BE969" t="str">
            <v>Aug</v>
          </cell>
        </row>
        <row r="970">
          <cell r="C970" t="str">
            <v>Other</v>
          </cell>
          <cell r="R970">
            <v>0</v>
          </cell>
          <cell r="AZ970">
            <v>0</v>
          </cell>
          <cell r="BA970">
            <v>0</v>
          </cell>
          <cell r="BC970" t="str">
            <v>OTHERS</v>
          </cell>
          <cell r="BE970" t="str">
            <v>Sep</v>
          </cell>
        </row>
        <row r="971">
          <cell r="C971" t="str">
            <v>Other</v>
          </cell>
          <cell r="R971">
            <v>0</v>
          </cell>
          <cell r="AZ971">
            <v>0</v>
          </cell>
          <cell r="BA971">
            <v>0</v>
          </cell>
          <cell r="BC971" t="str">
            <v>OTHERS</v>
          </cell>
          <cell r="BE971" t="str">
            <v>Oct</v>
          </cell>
        </row>
        <row r="972">
          <cell r="C972" t="str">
            <v>Other</v>
          </cell>
          <cell r="R972">
            <v>0</v>
          </cell>
          <cell r="AZ972">
            <v>0</v>
          </cell>
          <cell r="BA972">
            <v>0</v>
          </cell>
          <cell r="BC972" t="str">
            <v>OTHERS</v>
          </cell>
          <cell r="BE972" t="str">
            <v>Nov</v>
          </cell>
        </row>
        <row r="973">
          <cell r="C973" t="str">
            <v>Other</v>
          </cell>
          <cell r="R973">
            <v>0</v>
          </cell>
          <cell r="AZ973">
            <v>0</v>
          </cell>
          <cell r="BA973">
            <v>0</v>
          </cell>
          <cell r="BC973" t="str">
            <v>OTHERS</v>
          </cell>
          <cell r="BE973" t="str">
            <v>Dec</v>
          </cell>
        </row>
        <row r="974">
          <cell r="C974" t="str">
            <v>NZ Steel</v>
          </cell>
          <cell r="R974">
            <v>0</v>
          </cell>
          <cell r="AZ974">
            <v>0</v>
          </cell>
          <cell r="BA974">
            <v>0</v>
          </cell>
          <cell r="BC974" t="str">
            <v>OTHERS</v>
          </cell>
          <cell r="BE974" t="str">
            <v>Jan</v>
          </cell>
        </row>
        <row r="975">
          <cell r="C975" t="str">
            <v>NZ Steel</v>
          </cell>
          <cell r="R975">
            <v>0</v>
          </cell>
          <cell r="AZ975">
            <v>0</v>
          </cell>
          <cell r="BA975">
            <v>0</v>
          </cell>
          <cell r="BC975" t="str">
            <v>OTHERS</v>
          </cell>
          <cell r="BE975" t="str">
            <v>Feb</v>
          </cell>
        </row>
        <row r="976">
          <cell r="C976" t="str">
            <v>NZ Steel</v>
          </cell>
          <cell r="R976">
            <v>0</v>
          </cell>
          <cell r="AZ976">
            <v>0</v>
          </cell>
          <cell r="BA976">
            <v>0</v>
          </cell>
          <cell r="BC976" t="str">
            <v>OTHERS</v>
          </cell>
          <cell r="BE976" t="str">
            <v>Mar</v>
          </cell>
        </row>
        <row r="977">
          <cell r="C977" t="str">
            <v>NZ Steel</v>
          </cell>
          <cell r="R977">
            <v>30000</v>
          </cell>
          <cell r="AZ977">
            <v>-30000</v>
          </cell>
          <cell r="BA977">
            <v>-23538.123575036268</v>
          </cell>
          <cell r="BC977" t="str">
            <v>OTHERS</v>
          </cell>
          <cell r="BE977" t="str">
            <v>Apr</v>
          </cell>
        </row>
        <row r="978">
          <cell r="C978" t="str">
            <v>NZ Steel</v>
          </cell>
          <cell r="R978">
            <v>0</v>
          </cell>
          <cell r="AZ978">
            <v>0</v>
          </cell>
          <cell r="BA978">
            <v>0</v>
          </cell>
          <cell r="BC978" t="str">
            <v>OTHERS</v>
          </cell>
          <cell r="BE978" t="str">
            <v>May</v>
          </cell>
        </row>
        <row r="979">
          <cell r="C979" t="str">
            <v>NZ Steel</v>
          </cell>
          <cell r="R979">
            <v>0</v>
          </cell>
          <cell r="AZ979">
            <v>0</v>
          </cell>
          <cell r="BA979">
            <v>0</v>
          </cell>
          <cell r="BC979" t="str">
            <v>OTHERS</v>
          </cell>
          <cell r="BE979" t="str">
            <v>Jun</v>
          </cell>
        </row>
        <row r="980">
          <cell r="C980" t="str">
            <v>NZ Steel</v>
          </cell>
          <cell r="R980">
            <v>0</v>
          </cell>
          <cell r="AZ980">
            <v>0</v>
          </cell>
          <cell r="BA980">
            <v>0</v>
          </cell>
          <cell r="BC980" t="str">
            <v>OTHERS</v>
          </cell>
          <cell r="BE980" t="str">
            <v>Jul</v>
          </cell>
        </row>
        <row r="981">
          <cell r="C981" t="str">
            <v>NZ Steel</v>
          </cell>
          <cell r="R981">
            <v>0</v>
          </cell>
          <cell r="AZ981">
            <v>0</v>
          </cell>
          <cell r="BA981">
            <v>0</v>
          </cell>
          <cell r="BC981" t="str">
            <v>OTHERS</v>
          </cell>
          <cell r="BE981" t="str">
            <v>Aug</v>
          </cell>
        </row>
        <row r="982">
          <cell r="C982" t="str">
            <v>NZ Steel</v>
          </cell>
          <cell r="R982">
            <v>0</v>
          </cell>
          <cell r="AZ982">
            <v>0</v>
          </cell>
          <cell r="BA982">
            <v>0</v>
          </cell>
          <cell r="BC982" t="str">
            <v>OTHERS</v>
          </cell>
          <cell r="BE982" t="str">
            <v>Sep</v>
          </cell>
        </row>
        <row r="983">
          <cell r="C983" t="str">
            <v>NZ Steel</v>
          </cell>
          <cell r="R983">
            <v>0</v>
          </cell>
          <cell r="AZ983">
            <v>0</v>
          </cell>
          <cell r="BA983">
            <v>0</v>
          </cell>
          <cell r="BC983" t="str">
            <v>OTHERS</v>
          </cell>
          <cell r="BE983" t="str">
            <v>Oct</v>
          </cell>
        </row>
        <row r="984">
          <cell r="C984" t="str">
            <v>NZ Steel</v>
          </cell>
          <cell r="R984">
            <v>0</v>
          </cell>
          <cell r="AZ984">
            <v>0</v>
          </cell>
          <cell r="BA984">
            <v>0</v>
          </cell>
          <cell r="BC984" t="str">
            <v>OTHERS</v>
          </cell>
          <cell r="BE984" t="str">
            <v>Nov</v>
          </cell>
        </row>
        <row r="985">
          <cell r="C985" t="str">
            <v>NZ Steel</v>
          </cell>
          <cell r="R985">
            <v>0</v>
          </cell>
          <cell r="AZ985">
            <v>0</v>
          </cell>
          <cell r="BA985">
            <v>0</v>
          </cell>
          <cell r="BC985" t="str">
            <v>OTHERS</v>
          </cell>
          <cell r="BE985" t="str">
            <v>Dec</v>
          </cell>
        </row>
        <row r="986">
          <cell r="C986" t="str">
            <v>PLN Cilacap</v>
          </cell>
          <cell r="R986">
            <v>7500</v>
          </cell>
          <cell r="AZ986">
            <v>-26250</v>
          </cell>
          <cell r="BA986">
            <v>-13558.928571428571</v>
          </cell>
          <cell r="BC986" t="str">
            <v>OTHERS</v>
          </cell>
          <cell r="BE986" t="str">
            <v>Jan</v>
          </cell>
        </row>
        <row r="987">
          <cell r="C987" t="str">
            <v>PLN Cilacap</v>
          </cell>
          <cell r="R987">
            <v>7500</v>
          </cell>
          <cell r="AZ987">
            <v>-26250</v>
          </cell>
          <cell r="BA987">
            <v>-13558.928571428571</v>
          </cell>
          <cell r="BC987" t="str">
            <v>OTHERS</v>
          </cell>
          <cell r="BE987" t="str">
            <v>Feb</v>
          </cell>
        </row>
        <row r="988">
          <cell r="C988" t="str">
            <v>PLN Cilacap</v>
          </cell>
          <cell r="R988">
            <v>7500</v>
          </cell>
          <cell r="AZ988">
            <v>-26250</v>
          </cell>
          <cell r="BA988">
            <v>-13558.928571428571</v>
          </cell>
          <cell r="BC988" t="str">
            <v>OTHERS</v>
          </cell>
          <cell r="BE988" t="str">
            <v>Mar</v>
          </cell>
        </row>
        <row r="989">
          <cell r="C989" t="str">
            <v>PLN Cilacap</v>
          </cell>
          <cell r="R989">
            <v>7500</v>
          </cell>
          <cell r="AZ989">
            <v>-26250</v>
          </cell>
          <cell r="BA989">
            <v>-13558.928571428571</v>
          </cell>
          <cell r="BC989" t="str">
            <v>OTHERS</v>
          </cell>
          <cell r="BE989" t="str">
            <v>Apr</v>
          </cell>
        </row>
        <row r="990">
          <cell r="C990" t="str">
            <v>PLN Cilacap</v>
          </cell>
          <cell r="R990">
            <v>7500</v>
          </cell>
          <cell r="AZ990">
            <v>-26250</v>
          </cell>
          <cell r="BA990">
            <v>-13558.928571428571</v>
          </cell>
          <cell r="BC990" t="str">
            <v>OTHERS</v>
          </cell>
          <cell r="BE990" t="str">
            <v>May</v>
          </cell>
        </row>
        <row r="991">
          <cell r="C991" t="str">
            <v>PLN Cilacap</v>
          </cell>
          <cell r="R991">
            <v>7500</v>
          </cell>
          <cell r="AZ991">
            <v>-26250</v>
          </cell>
          <cell r="BA991">
            <v>-13558.928571428571</v>
          </cell>
          <cell r="BC991" t="str">
            <v>OTHERS</v>
          </cell>
          <cell r="BE991" t="str">
            <v>Jun</v>
          </cell>
        </row>
        <row r="992">
          <cell r="C992" t="str">
            <v>PLN Cilacap</v>
          </cell>
          <cell r="R992">
            <v>7500</v>
          </cell>
          <cell r="AZ992">
            <v>-26250</v>
          </cell>
          <cell r="BA992">
            <v>-13558.928571428571</v>
          </cell>
          <cell r="BC992" t="str">
            <v>OTHERS</v>
          </cell>
          <cell r="BE992" t="str">
            <v>Jul</v>
          </cell>
        </row>
        <row r="993">
          <cell r="C993" t="str">
            <v>PLN Cilacap</v>
          </cell>
          <cell r="R993">
            <v>7500</v>
          </cell>
          <cell r="AZ993">
            <v>-26250</v>
          </cell>
          <cell r="BA993">
            <v>-13558.928571428571</v>
          </cell>
          <cell r="BC993" t="str">
            <v>OTHERS</v>
          </cell>
          <cell r="BE993" t="str">
            <v>Aug</v>
          </cell>
        </row>
        <row r="994">
          <cell r="C994" t="str">
            <v>PLN Cilacap</v>
          </cell>
          <cell r="R994">
            <v>7500</v>
          </cell>
          <cell r="AZ994">
            <v>-26250</v>
          </cell>
          <cell r="BA994">
            <v>-13558.928571428571</v>
          </cell>
          <cell r="BC994" t="str">
            <v>OTHERS</v>
          </cell>
          <cell r="BE994" t="str">
            <v>Sep</v>
          </cell>
        </row>
        <row r="995">
          <cell r="C995" t="str">
            <v>PLN Cilacap</v>
          </cell>
          <cell r="R995">
            <v>7500</v>
          </cell>
          <cell r="AZ995">
            <v>-26250</v>
          </cell>
          <cell r="BA995">
            <v>-13558.928571428571</v>
          </cell>
          <cell r="BC995" t="str">
            <v>OTHERS</v>
          </cell>
          <cell r="BE995" t="str">
            <v>Oct</v>
          </cell>
        </row>
        <row r="996">
          <cell r="C996" t="str">
            <v>PLN Cilacap</v>
          </cell>
          <cell r="R996">
            <v>7500</v>
          </cell>
          <cell r="AZ996">
            <v>-26250</v>
          </cell>
          <cell r="BA996">
            <v>-13558.928571428571</v>
          </cell>
          <cell r="BC996" t="str">
            <v>OTHERS</v>
          </cell>
          <cell r="BE996" t="str">
            <v>Nov</v>
          </cell>
        </row>
        <row r="997">
          <cell r="C997" t="str">
            <v>PLN Cilacap</v>
          </cell>
          <cell r="R997">
            <v>7500</v>
          </cell>
          <cell r="AZ997">
            <v>-26250</v>
          </cell>
          <cell r="BA997">
            <v>-13558.928571428571</v>
          </cell>
          <cell r="BC997" t="str">
            <v>OTHERS</v>
          </cell>
          <cell r="BE997" t="str">
            <v>Dec</v>
          </cell>
        </row>
        <row r="998">
          <cell r="C998" t="str">
            <v>PLN Cilacap</v>
          </cell>
          <cell r="R998">
            <v>7500</v>
          </cell>
          <cell r="AZ998">
            <v>-26250</v>
          </cell>
          <cell r="BA998">
            <v>-13558.928571428571</v>
          </cell>
          <cell r="BC998" t="str">
            <v>OTHERS</v>
          </cell>
          <cell r="BE998" t="str">
            <v>Jan</v>
          </cell>
        </row>
        <row r="999">
          <cell r="C999" t="str">
            <v>PLN Cilacap</v>
          </cell>
          <cell r="R999">
            <v>7500</v>
          </cell>
          <cell r="AZ999">
            <v>-26250</v>
          </cell>
          <cell r="BA999">
            <v>-13558.928571428571</v>
          </cell>
          <cell r="BC999" t="str">
            <v>OTHERS</v>
          </cell>
          <cell r="BE999" t="str">
            <v>Feb</v>
          </cell>
        </row>
        <row r="1000">
          <cell r="C1000" t="str">
            <v>PLN Cilacap</v>
          </cell>
          <cell r="R1000">
            <v>7500</v>
          </cell>
          <cell r="AZ1000">
            <v>-26250</v>
          </cell>
          <cell r="BA1000">
            <v>-13558.928571428571</v>
          </cell>
          <cell r="BC1000" t="str">
            <v>OTHERS</v>
          </cell>
          <cell r="BE1000" t="str">
            <v>Mar</v>
          </cell>
        </row>
        <row r="1001">
          <cell r="C1001" t="str">
            <v>PLN Cilacap</v>
          </cell>
          <cell r="R1001">
            <v>7500</v>
          </cell>
          <cell r="AZ1001">
            <v>-26250</v>
          </cell>
          <cell r="BA1001">
            <v>-13558.928571428571</v>
          </cell>
          <cell r="BC1001" t="str">
            <v>OTHERS</v>
          </cell>
          <cell r="BE1001" t="str">
            <v>Apr</v>
          </cell>
        </row>
        <row r="1002">
          <cell r="C1002" t="str">
            <v>PLN Cilacap</v>
          </cell>
          <cell r="R1002">
            <v>7500</v>
          </cell>
          <cell r="AZ1002">
            <v>-26250</v>
          </cell>
          <cell r="BA1002">
            <v>-13558.928571428571</v>
          </cell>
          <cell r="BC1002" t="str">
            <v>OTHERS</v>
          </cell>
          <cell r="BE1002" t="str">
            <v>May</v>
          </cell>
        </row>
        <row r="1003">
          <cell r="C1003" t="str">
            <v>PLN Cilacap</v>
          </cell>
          <cell r="R1003">
            <v>7500</v>
          </cell>
          <cell r="AZ1003">
            <v>-26250</v>
          </cell>
          <cell r="BA1003">
            <v>-13558.928571428571</v>
          </cell>
          <cell r="BC1003" t="str">
            <v>OTHERS</v>
          </cell>
          <cell r="BE1003" t="str">
            <v>Jun</v>
          </cell>
        </row>
        <row r="1004">
          <cell r="C1004" t="str">
            <v>PLN Cilacap</v>
          </cell>
          <cell r="R1004">
            <v>7500</v>
          </cell>
          <cell r="AZ1004">
            <v>-26250</v>
          </cell>
          <cell r="BA1004">
            <v>-13558.928571428571</v>
          </cell>
          <cell r="BC1004" t="str">
            <v>OTHERS</v>
          </cell>
          <cell r="BE1004" t="str">
            <v>Jul</v>
          </cell>
        </row>
        <row r="1005">
          <cell r="C1005" t="str">
            <v>PLN Cilacap</v>
          </cell>
          <cell r="R1005">
            <v>7500</v>
          </cell>
          <cell r="AZ1005">
            <v>-26250</v>
          </cell>
          <cell r="BA1005">
            <v>-13558.928571428571</v>
          </cell>
          <cell r="BC1005" t="str">
            <v>OTHERS</v>
          </cell>
          <cell r="BE1005" t="str">
            <v>Aug</v>
          </cell>
        </row>
        <row r="1006">
          <cell r="C1006" t="str">
            <v>PLN Cilacap</v>
          </cell>
          <cell r="R1006">
            <v>7500</v>
          </cell>
          <cell r="AZ1006">
            <v>-26250</v>
          </cell>
          <cell r="BA1006">
            <v>-13558.928571428571</v>
          </cell>
          <cell r="BC1006" t="str">
            <v>OTHERS</v>
          </cell>
          <cell r="BE1006" t="str">
            <v>Sep</v>
          </cell>
        </row>
        <row r="1007">
          <cell r="C1007" t="str">
            <v>PLN Cilacap</v>
          </cell>
          <cell r="R1007">
            <v>7500</v>
          </cell>
          <cell r="AZ1007">
            <v>-26250</v>
          </cell>
          <cell r="BA1007">
            <v>-13558.928571428571</v>
          </cell>
          <cell r="BC1007" t="str">
            <v>OTHERS</v>
          </cell>
          <cell r="BE1007" t="str">
            <v>Oct</v>
          </cell>
        </row>
        <row r="1008">
          <cell r="C1008" t="str">
            <v>PLN Cilacap</v>
          </cell>
          <cell r="R1008">
            <v>7500</v>
          </cell>
          <cell r="AZ1008">
            <v>-26250</v>
          </cell>
          <cell r="BA1008">
            <v>-13558.928571428571</v>
          </cell>
          <cell r="BC1008" t="str">
            <v>OTHERS</v>
          </cell>
          <cell r="BE1008" t="str">
            <v>Nov</v>
          </cell>
        </row>
        <row r="1009">
          <cell r="C1009" t="str">
            <v>PLN Cilacap</v>
          </cell>
          <cell r="R1009">
            <v>7500</v>
          </cell>
          <cell r="AZ1009">
            <v>-26250</v>
          </cell>
          <cell r="BA1009">
            <v>-13558.928571428571</v>
          </cell>
          <cell r="BC1009" t="str">
            <v>OTHERS</v>
          </cell>
          <cell r="BE1009" t="str">
            <v>Dec</v>
          </cell>
        </row>
        <row r="1010">
          <cell r="C1010" t="str">
            <v>PLN Cilacap</v>
          </cell>
          <cell r="R1010">
            <v>7500</v>
          </cell>
          <cell r="AZ1010">
            <v>-26250</v>
          </cell>
          <cell r="BA1010">
            <v>-13558.928571428571</v>
          </cell>
          <cell r="BC1010" t="str">
            <v>OTHERS</v>
          </cell>
          <cell r="BE1010" t="str">
            <v>Jan</v>
          </cell>
        </row>
        <row r="1011">
          <cell r="C1011" t="str">
            <v>PLN Cilacap</v>
          </cell>
          <cell r="R1011">
            <v>7500</v>
          </cell>
          <cell r="AZ1011">
            <v>-26250</v>
          </cell>
          <cell r="BA1011">
            <v>-13558.928571428571</v>
          </cell>
          <cell r="BC1011" t="str">
            <v>OTHERS</v>
          </cell>
          <cell r="BE1011" t="str">
            <v>Feb</v>
          </cell>
        </row>
        <row r="1012">
          <cell r="C1012" t="str">
            <v>PLN Cilacap</v>
          </cell>
          <cell r="R1012">
            <v>7500</v>
          </cell>
          <cell r="AZ1012">
            <v>-26250</v>
          </cell>
          <cell r="BA1012">
            <v>-13558.928571428571</v>
          </cell>
          <cell r="BC1012" t="str">
            <v>OTHERS</v>
          </cell>
          <cell r="BE1012" t="str">
            <v>Mar</v>
          </cell>
        </row>
        <row r="1013">
          <cell r="C1013" t="str">
            <v>PLN Cilacap</v>
          </cell>
          <cell r="R1013">
            <v>7500</v>
          </cell>
          <cell r="AZ1013">
            <v>-26250</v>
          </cell>
          <cell r="BA1013">
            <v>-13558.928571428571</v>
          </cell>
          <cell r="BC1013" t="str">
            <v>OTHERS</v>
          </cell>
          <cell r="BE1013" t="str">
            <v>Apr</v>
          </cell>
        </row>
        <row r="1014">
          <cell r="C1014" t="str">
            <v>PLN Cilacap</v>
          </cell>
          <cell r="R1014">
            <v>7500</v>
          </cell>
          <cell r="AZ1014">
            <v>-26250</v>
          </cell>
          <cell r="BA1014">
            <v>-13558.928571428571</v>
          </cell>
          <cell r="BC1014" t="str">
            <v>OTHERS</v>
          </cell>
          <cell r="BE1014" t="str">
            <v>May</v>
          </cell>
        </row>
        <row r="1015">
          <cell r="C1015" t="str">
            <v>PLN Cilacap</v>
          </cell>
          <cell r="R1015">
            <v>7500</v>
          </cell>
          <cell r="AZ1015">
            <v>-26250</v>
          </cell>
          <cell r="BA1015">
            <v>-13558.928571428571</v>
          </cell>
          <cell r="BC1015" t="str">
            <v>OTHERS</v>
          </cell>
          <cell r="BE1015" t="str">
            <v>Jun</v>
          </cell>
        </row>
        <row r="1016">
          <cell r="C1016" t="str">
            <v>PLN Cilacap</v>
          </cell>
          <cell r="R1016">
            <v>7500</v>
          </cell>
          <cell r="AZ1016">
            <v>-26250</v>
          </cell>
          <cell r="BA1016">
            <v>-13558.928571428571</v>
          </cell>
          <cell r="BC1016" t="str">
            <v>OTHERS</v>
          </cell>
          <cell r="BE1016" t="str">
            <v>Jul</v>
          </cell>
        </row>
        <row r="1017">
          <cell r="C1017" t="str">
            <v>PLN Cilacap</v>
          </cell>
          <cell r="R1017">
            <v>7500</v>
          </cell>
          <cell r="AZ1017">
            <v>-26250</v>
          </cell>
          <cell r="BA1017">
            <v>-13558.928571428571</v>
          </cell>
          <cell r="BC1017" t="str">
            <v>OTHERS</v>
          </cell>
          <cell r="BE1017" t="str">
            <v>Aug</v>
          </cell>
        </row>
        <row r="1018">
          <cell r="C1018" t="str">
            <v>PLN Cilacap</v>
          </cell>
          <cell r="R1018">
            <v>7500</v>
          </cell>
          <cell r="AZ1018">
            <v>-26250</v>
          </cell>
          <cell r="BA1018">
            <v>-13558.928571428571</v>
          </cell>
          <cell r="BC1018" t="str">
            <v>OTHERS</v>
          </cell>
          <cell r="BE1018" t="str">
            <v>Sep</v>
          </cell>
        </row>
        <row r="1019">
          <cell r="C1019" t="str">
            <v>PLN Cilacap</v>
          </cell>
          <cell r="R1019">
            <v>7500</v>
          </cell>
          <cell r="AZ1019">
            <v>-26250</v>
          </cell>
          <cell r="BA1019">
            <v>-13558.928571428571</v>
          </cell>
          <cell r="BC1019" t="str">
            <v>OTHERS</v>
          </cell>
          <cell r="BE1019" t="str">
            <v>Oct</v>
          </cell>
        </row>
        <row r="1020">
          <cell r="C1020" t="str">
            <v>PLN Cilacap</v>
          </cell>
          <cell r="R1020">
            <v>7500</v>
          </cell>
          <cell r="AZ1020">
            <v>-26250</v>
          </cell>
          <cell r="BA1020">
            <v>-13558.928571428571</v>
          </cell>
          <cell r="BC1020" t="str">
            <v>OTHERS</v>
          </cell>
          <cell r="BE1020" t="str">
            <v>Nov</v>
          </cell>
        </row>
        <row r="1021">
          <cell r="C1021" t="str">
            <v>PLN Cilacap</v>
          </cell>
          <cell r="R1021">
            <v>7500</v>
          </cell>
          <cell r="AZ1021">
            <v>-26250</v>
          </cell>
          <cell r="BA1021">
            <v>-13558.928571428571</v>
          </cell>
          <cell r="BC1021" t="str">
            <v>OTHERS</v>
          </cell>
          <cell r="BE1021" t="str">
            <v>Dec</v>
          </cell>
        </row>
        <row r="1022">
          <cell r="C1022" t="str">
            <v>PLN Cilacap</v>
          </cell>
          <cell r="R1022">
            <v>7500</v>
          </cell>
          <cell r="AZ1022">
            <v>-26250</v>
          </cell>
          <cell r="BA1022">
            <v>-13558.928571428571</v>
          </cell>
          <cell r="BC1022" t="str">
            <v>OTHERS</v>
          </cell>
          <cell r="BE1022" t="str">
            <v>Jan</v>
          </cell>
        </row>
        <row r="1023">
          <cell r="C1023" t="str">
            <v>PLN Cilacap</v>
          </cell>
          <cell r="R1023">
            <v>7500</v>
          </cell>
          <cell r="AZ1023">
            <v>-26250</v>
          </cell>
          <cell r="BA1023">
            <v>-13558.928571428571</v>
          </cell>
          <cell r="BC1023" t="str">
            <v>OTHERS</v>
          </cell>
          <cell r="BE1023" t="str">
            <v>Feb</v>
          </cell>
        </row>
        <row r="1024">
          <cell r="C1024" t="str">
            <v>PLN Cilacap</v>
          </cell>
          <cell r="R1024">
            <v>7500</v>
          </cell>
          <cell r="AZ1024">
            <v>-26250</v>
          </cell>
          <cell r="BA1024">
            <v>-13558.928571428571</v>
          </cell>
          <cell r="BC1024" t="str">
            <v>OTHERS</v>
          </cell>
          <cell r="BE1024" t="str">
            <v>Mar</v>
          </cell>
        </row>
        <row r="1025">
          <cell r="C1025" t="str">
            <v>PLN Cilacap</v>
          </cell>
          <cell r="R1025">
            <v>7500</v>
          </cell>
          <cell r="AZ1025">
            <v>-26250</v>
          </cell>
          <cell r="BA1025">
            <v>-13558.928571428571</v>
          </cell>
          <cell r="BC1025" t="str">
            <v>OTHERS</v>
          </cell>
          <cell r="BE1025" t="str">
            <v>Apr</v>
          </cell>
        </row>
        <row r="1026">
          <cell r="C1026" t="str">
            <v>PLN Cilacap</v>
          </cell>
          <cell r="R1026">
            <v>7500</v>
          </cell>
          <cell r="AZ1026">
            <v>-26250</v>
          </cell>
          <cell r="BA1026">
            <v>-13558.928571428571</v>
          </cell>
          <cell r="BC1026" t="str">
            <v>OTHERS</v>
          </cell>
          <cell r="BE1026" t="str">
            <v>May</v>
          </cell>
        </row>
        <row r="1027">
          <cell r="C1027" t="str">
            <v>PLN Cilacap</v>
          </cell>
          <cell r="R1027">
            <v>7500</v>
          </cell>
          <cell r="AZ1027">
            <v>-26250</v>
          </cell>
          <cell r="BA1027">
            <v>-13558.928571428571</v>
          </cell>
          <cell r="BC1027" t="str">
            <v>OTHERS</v>
          </cell>
          <cell r="BE1027" t="str">
            <v>Jun</v>
          </cell>
        </row>
        <row r="1028">
          <cell r="C1028" t="str">
            <v>PLN Cilacap</v>
          </cell>
          <cell r="R1028">
            <v>7500</v>
          </cell>
          <cell r="AZ1028">
            <v>-26250</v>
          </cell>
          <cell r="BA1028">
            <v>-13558.928571428571</v>
          </cell>
          <cell r="BC1028" t="str">
            <v>OTHERS</v>
          </cell>
          <cell r="BE1028" t="str">
            <v>Jul</v>
          </cell>
        </row>
        <row r="1029">
          <cell r="C1029" t="str">
            <v>PLN Cilacap</v>
          </cell>
          <cell r="R1029">
            <v>7500</v>
          </cell>
          <cell r="AZ1029">
            <v>-26250</v>
          </cell>
          <cell r="BA1029">
            <v>-13558.928571428571</v>
          </cell>
          <cell r="BC1029" t="str">
            <v>OTHERS</v>
          </cell>
          <cell r="BE1029" t="str">
            <v>Aug</v>
          </cell>
        </row>
        <row r="1030">
          <cell r="C1030" t="str">
            <v>PLN Cilacap</v>
          </cell>
          <cell r="R1030">
            <v>7500</v>
          </cell>
          <cell r="AZ1030">
            <v>-26250</v>
          </cell>
          <cell r="BA1030">
            <v>-13558.928571428571</v>
          </cell>
          <cell r="BC1030" t="str">
            <v>OTHERS</v>
          </cell>
          <cell r="BE1030" t="str">
            <v>Sep</v>
          </cell>
        </row>
        <row r="1031">
          <cell r="C1031" t="str">
            <v>PLN Cilacap</v>
          </cell>
          <cell r="R1031">
            <v>7500</v>
          </cell>
          <cell r="AZ1031">
            <v>-26250</v>
          </cell>
          <cell r="BA1031">
            <v>-13558.928571428571</v>
          </cell>
          <cell r="BC1031" t="str">
            <v>OTHERS</v>
          </cell>
          <cell r="BE1031" t="str">
            <v>Oct</v>
          </cell>
        </row>
        <row r="1032">
          <cell r="C1032" t="str">
            <v>PLN Cilacap</v>
          </cell>
          <cell r="R1032">
            <v>7500</v>
          </cell>
          <cell r="AZ1032">
            <v>-26250</v>
          </cell>
          <cell r="BA1032">
            <v>-13558.928571428571</v>
          </cell>
          <cell r="BC1032" t="str">
            <v>OTHERS</v>
          </cell>
          <cell r="BE1032" t="str">
            <v>Nov</v>
          </cell>
        </row>
        <row r="1033">
          <cell r="C1033" t="str">
            <v>PLN Cilacap</v>
          </cell>
          <cell r="R1033">
            <v>7500</v>
          </cell>
          <cell r="AZ1033">
            <v>-26250</v>
          </cell>
          <cell r="BA1033">
            <v>-13558.928571428571</v>
          </cell>
          <cell r="BC1033" t="str">
            <v>OTHERS</v>
          </cell>
          <cell r="BE1033" t="str">
            <v>Dec</v>
          </cell>
        </row>
        <row r="1034">
          <cell r="C1034" t="str">
            <v>PLN Cilacap</v>
          </cell>
          <cell r="R1034">
            <v>7500</v>
          </cell>
          <cell r="AZ1034">
            <v>-26250</v>
          </cell>
          <cell r="BA1034">
            <v>-13558.928571428571</v>
          </cell>
          <cell r="BC1034" t="str">
            <v>OTHERS</v>
          </cell>
          <cell r="BE1034" t="str">
            <v>Jan</v>
          </cell>
        </row>
        <row r="1035">
          <cell r="C1035" t="str">
            <v>PLN Cilacap</v>
          </cell>
          <cell r="R1035">
            <v>7500</v>
          </cell>
          <cell r="AZ1035">
            <v>-26250</v>
          </cell>
          <cell r="BA1035">
            <v>-13558.928571428571</v>
          </cell>
          <cell r="BC1035" t="str">
            <v>OTHERS</v>
          </cell>
          <cell r="BE1035" t="str">
            <v>Feb</v>
          </cell>
        </row>
        <row r="1036">
          <cell r="C1036" t="str">
            <v>PLN Cilacap</v>
          </cell>
          <cell r="R1036">
            <v>0</v>
          </cell>
          <cell r="AZ1036">
            <v>0</v>
          </cell>
          <cell r="BA1036">
            <v>0</v>
          </cell>
          <cell r="BC1036" t="str">
            <v>OTHERS</v>
          </cell>
          <cell r="BE1036" t="str">
            <v>Mar</v>
          </cell>
        </row>
        <row r="1037">
          <cell r="C1037" t="str">
            <v>PLN Cilacap</v>
          </cell>
          <cell r="R1037">
            <v>7500</v>
          </cell>
          <cell r="AZ1037">
            <v>-26250</v>
          </cell>
          <cell r="BA1037">
            <v>-13558.928571428571</v>
          </cell>
          <cell r="BC1037" t="str">
            <v>OTHERS</v>
          </cell>
          <cell r="BE1037" t="str">
            <v>Apr</v>
          </cell>
        </row>
        <row r="1038">
          <cell r="C1038" t="str">
            <v>PLN Cilacap</v>
          </cell>
          <cell r="R1038">
            <v>7500</v>
          </cell>
          <cell r="AZ1038">
            <v>-26250</v>
          </cell>
          <cell r="BA1038">
            <v>-13558.928571428571</v>
          </cell>
          <cell r="BC1038" t="str">
            <v>OTHERS</v>
          </cell>
          <cell r="BE1038" t="str">
            <v>May</v>
          </cell>
        </row>
        <row r="1039">
          <cell r="C1039" t="str">
            <v>PLN Cilacap</v>
          </cell>
          <cell r="R1039">
            <v>7500</v>
          </cell>
          <cell r="AZ1039">
            <v>-26250</v>
          </cell>
          <cell r="BA1039">
            <v>-13558.928571428571</v>
          </cell>
          <cell r="BC1039" t="str">
            <v>OTHERS</v>
          </cell>
          <cell r="BE1039" t="str">
            <v>Jun</v>
          </cell>
        </row>
        <row r="1040">
          <cell r="C1040" t="str">
            <v>PLN Cilacap</v>
          </cell>
          <cell r="R1040">
            <v>7500</v>
          </cell>
          <cell r="AZ1040">
            <v>-26250</v>
          </cell>
          <cell r="BA1040">
            <v>-13558.928571428571</v>
          </cell>
          <cell r="BC1040" t="str">
            <v>OTHERS</v>
          </cell>
          <cell r="BE1040" t="str">
            <v>Jul</v>
          </cell>
        </row>
        <row r="1041">
          <cell r="C1041" t="str">
            <v>PLN Cilacap</v>
          </cell>
          <cell r="R1041">
            <v>7500</v>
          </cell>
          <cell r="AZ1041">
            <v>-26250</v>
          </cell>
          <cell r="BA1041">
            <v>-13558.928571428571</v>
          </cell>
          <cell r="BC1041" t="str">
            <v>OTHERS</v>
          </cell>
          <cell r="BE1041" t="str">
            <v>Aug</v>
          </cell>
        </row>
        <row r="1042">
          <cell r="C1042" t="str">
            <v>PLN Cilacap</v>
          </cell>
          <cell r="R1042">
            <v>7500</v>
          </cell>
          <cell r="AZ1042">
            <v>-26250</v>
          </cell>
          <cell r="BA1042">
            <v>-13558.928571428571</v>
          </cell>
          <cell r="BC1042" t="str">
            <v>OTHERS</v>
          </cell>
          <cell r="BE1042" t="str">
            <v>Sep</v>
          </cell>
        </row>
        <row r="1043">
          <cell r="C1043" t="str">
            <v>PLN Cilacap</v>
          </cell>
          <cell r="R1043">
            <v>7500</v>
          </cell>
          <cell r="AZ1043">
            <v>-26250</v>
          </cell>
          <cell r="BA1043">
            <v>-13558.928571428571</v>
          </cell>
          <cell r="BC1043" t="str">
            <v>OTHERS</v>
          </cell>
          <cell r="BE1043" t="str">
            <v>Oct</v>
          </cell>
        </row>
        <row r="1044">
          <cell r="C1044" t="str">
            <v>PLN Cilacap</v>
          </cell>
          <cell r="R1044">
            <v>7500</v>
          </cell>
          <cell r="AZ1044">
            <v>-26250</v>
          </cell>
          <cell r="BA1044">
            <v>-13558.928571428571</v>
          </cell>
          <cell r="BC1044" t="str">
            <v>OTHERS</v>
          </cell>
          <cell r="BE1044" t="str">
            <v>Nov</v>
          </cell>
        </row>
        <row r="1045">
          <cell r="C1045" t="str">
            <v>PLN Cilacap</v>
          </cell>
          <cell r="R1045">
            <v>7500</v>
          </cell>
          <cell r="AZ1045">
            <v>-26250</v>
          </cell>
          <cell r="BA1045">
            <v>-13558.928571428571</v>
          </cell>
          <cell r="BC1045" t="str">
            <v>OTHERS</v>
          </cell>
          <cell r="BE1045" t="str">
            <v>Dec</v>
          </cell>
        </row>
        <row r="1046">
          <cell r="C1046" t="str">
            <v>PLN Cilacap</v>
          </cell>
          <cell r="R1046">
            <v>0</v>
          </cell>
          <cell r="AZ1046">
            <v>0</v>
          </cell>
          <cell r="BA1046">
            <v>0</v>
          </cell>
          <cell r="BC1046" t="str">
            <v>OTHERS</v>
          </cell>
          <cell r="BE1046" t="str">
            <v>Jan</v>
          </cell>
        </row>
        <row r="1047">
          <cell r="C1047" t="str">
            <v>PLN Cilacap</v>
          </cell>
          <cell r="R1047">
            <v>0</v>
          </cell>
          <cell r="AZ1047">
            <v>0</v>
          </cell>
          <cell r="BA1047">
            <v>0</v>
          </cell>
          <cell r="BC1047" t="str">
            <v>OTHERS</v>
          </cell>
          <cell r="BE1047" t="str">
            <v>Feb</v>
          </cell>
        </row>
        <row r="1048">
          <cell r="C1048" t="str">
            <v>PLN Cilacap</v>
          </cell>
          <cell r="R1048">
            <v>0</v>
          </cell>
          <cell r="AZ1048">
            <v>0</v>
          </cell>
          <cell r="BA1048">
            <v>0</v>
          </cell>
          <cell r="BC1048" t="str">
            <v>OTHERS</v>
          </cell>
          <cell r="BE1048" t="str">
            <v>Mar</v>
          </cell>
        </row>
        <row r="1049">
          <cell r="C1049" t="str">
            <v>PLN Cilacap</v>
          </cell>
          <cell r="R1049">
            <v>0</v>
          </cell>
          <cell r="AZ1049">
            <v>0</v>
          </cell>
          <cell r="BA1049">
            <v>0</v>
          </cell>
          <cell r="BC1049" t="str">
            <v>OTHERS</v>
          </cell>
          <cell r="BE1049" t="str">
            <v>Apr</v>
          </cell>
        </row>
        <row r="1050">
          <cell r="C1050" t="str">
            <v>PLN Cilacap</v>
          </cell>
          <cell r="R1050">
            <v>7500</v>
          </cell>
          <cell r="AZ1050">
            <v>-26250</v>
          </cell>
          <cell r="BA1050">
            <v>-13558.928571428571</v>
          </cell>
          <cell r="BC1050" t="str">
            <v>OTHERS</v>
          </cell>
          <cell r="BE1050" t="str">
            <v>May</v>
          </cell>
        </row>
        <row r="1051">
          <cell r="C1051" t="str">
            <v>PLN Cilacap</v>
          </cell>
          <cell r="R1051">
            <v>7500</v>
          </cell>
          <cell r="AZ1051">
            <v>-26250</v>
          </cell>
          <cell r="BA1051">
            <v>-13558.928571428571</v>
          </cell>
          <cell r="BC1051" t="str">
            <v>OTHERS</v>
          </cell>
          <cell r="BE1051" t="str">
            <v>Jun</v>
          </cell>
        </row>
        <row r="1052">
          <cell r="C1052" t="str">
            <v>PLN Cilacap</v>
          </cell>
          <cell r="R1052">
            <v>7500</v>
          </cell>
          <cell r="AZ1052">
            <v>-26250</v>
          </cell>
          <cell r="BA1052">
            <v>-13558.928571428571</v>
          </cell>
          <cell r="BC1052" t="str">
            <v>OTHERS</v>
          </cell>
          <cell r="BE1052" t="str">
            <v>Jul</v>
          </cell>
        </row>
        <row r="1053">
          <cell r="C1053" t="str">
            <v>PLN Cilacap</v>
          </cell>
          <cell r="R1053">
            <v>7500</v>
          </cell>
          <cell r="AZ1053">
            <v>-26250</v>
          </cell>
          <cell r="BA1053">
            <v>-13558.928571428571</v>
          </cell>
          <cell r="BC1053" t="str">
            <v>OTHERS</v>
          </cell>
          <cell r="BE1053" t="str">
            <v>Aug</v>
          </cell>
        </row>
        <row r="1054">
          <cell r="C1054" t="str">
            <v>PLN Cilacap</v>
          </cell>
          <cell r="R1054">
            <v>7500</v>
          </cell>
          <cell r="AZ1054">
            <v>-26250</v>
          </cell>
          <cell r="BA1054">
            <v>-13558.928571428571</v>
          </cell>
          <cell r="BC1054" t="str">
            <v>OTHERS</v>
          </cell>
          <cell r="BE1054" t="str">
            <v>Sep</v>
          </cell>
        </row>
        <row r="1055">
          <cell r="C1055" t="str">
            <v>PLN Cilacap</v>
          </cell>
          <cell r="R1055">
            <v>7500</v>
          </cell>
          <cell r="AZ1055">
            <v>-26250</v>
          </cell>
          <cell r="BA1055">
            <v>-13558.928571428571</v>
          </cell>
          <cell r="BC1055" t="str">
            <v>OTHERS</v>
          </cell>
          <cell r="BE1055" t="str">
            <v>Oct</v>
          </cell>
        </row>
        <row r="1056">
          <cell r="C1056" t="str">
            <v>PLN Cilacap</v>
          </cell>
          <cell r="R1056">
            <v>7500</v>
          </cell>
          <cell r="AZ1056">
            <v>-26250</v>
          </cell>
          <cell r="BA1056">
            <v>-13558.928571428571</v>
          </cell>
          <cell r="BC1056" t="str">
            <v>OTHERS</v>
          </cell>
          <cell r="BE1056" t="str">
            <v>Nov</v>
          </cell>
        </row>
        <row r="1057">
          <cell r="C1057" t="str">
            <v>PLN Cilacap</v>
          </cell>
          <cell r="R1057">
            <v>0</v>
          </cell>
          <cell r="AZ1057">
            <v>0</v>
          </cell>
          <cell r="BA1057">
            <v>0</v>
          </cell>
          <cell r="BC1057" t="str">
            <v>OTHERS</v>
          </cell>
          <cell r="BE1057" t="str">
            <v>Dec</v>
          </cell>
        </row>
        <row r="1058">
          <cell r="C1058" t="str">
            <v>Tj Jati B</v>
          </cell>
          <cell r="R1058">
            <v>40800</v>
          </cell>
          <cell r="AZ1058">
            <v>-183600</v>
          </cell>
          <cell r="BA1058">
            <v>-33772.367576374745</v>
          </cell>
          <cell r="BC1058" t="str">
            <v>PLATINUM</v>
          </cell>
          <cell r="BE1058" t="str">
            <v>Jan</v>
          </cell>
        </row>
        <row r="1059">
          <cell r="C1059" t="str">
            <v>Tj Jati B</v>
          </cell>
          <cell r="R1059">
            <v>0</v>
          </cell>
          <cell r="AZ1059">
            <v>0</v>
          </cell>
          <cell r="BA1059">
            <v>0</v>
          </cell>
          <cell r="BC1059" t="str">
            <v>PLATINUM</v>
          </cell>
          <cell r="BE1059" t="str">
            <v>Feb</v>
          </cell>
        </row>
        <row r="1060">
          <cell r="C1060" t="str">
            <v>Tj Jati B</v>
          </cell>
          <cell r="R1060">
            <v>40800</v>
          </cell>
          <cell r="AZ1060">
            <v>-183600</v>
          </cell>
          <cell r="BA1060">
            <v>-33772.367576374745</v>
          </cell>
          <cell r="BC1060" t="str">
            <v>PLATINUM</v>
          </cell>
          <cell r="BE1060" t="str">
            <v>Mar</v>
          </cell>
        </row>
        <row r="1061">
          <cell r="C1061" t="str">
            <v>Tj Jati B</v>
          </cell>
          <cell r="R1061">
            <v>0</v>
          </cell>
          <cell r="AZ1061">
            <v>0</v>
          </cell>
          <cell r="BA1061">
            <v>0</v>
          </cell>
          <cell r="BC1061" t="str">
            <v>PLATINUM</v>
          </cell>
          <cell r="BE1061" t="str">
            <v>Apr</v>
          </cell>
        </row>
        <row r="1062">
          <cell r="C1062" t="str">
            <v>Tj Jati B</v>
          </cell>
          <cell r="R1062">
            <v>0</v>
          </cell>
          <cell r="AZ1062">
            <v>0</v>
          </cell>
          <cell r="BA1062">
            <v>0</v>
          </cell>
          <cell r="BC1062" t="str">
            <v>PLATINUM</v>
          </cell>
          <cell r="BE1062" t="str">
            <v>May</v>
          </cell>
        </row>
        <row r="1063">
          <cell r="C1063" t="str">
            <v>Tj Jati B</v>
          </cell>
          <cell r="R1063">
            <v>0</v>
          </cell>
          <cell r="AZ1063">
            <v>0</v>
          </cell>
          <cell r="BA1063">
            <v>0</v>
          </cell>
          <cell r="BC1063" t="str">
            <v>PLATINUM</v>
          </cell>
          <cell r="BE1063" t="str">
            <v>Jun</v>
          </cell>
        </row>
        <row r="1064">
          <cell r="C1064" t="str">
            <v>Tj Jati B</v>
          </cell>
          <cell r="R1064">
            <v>0</v>
          </cell>
          <cell r="AZ1064">
            <v>0</v>
          </cell>
          <cell r="BA1064">
            <v>0</v>
          </cell>
          <cell r="BC1064" t="str">
            <v>PLATINUM</v>
          </cell>
          <cell r="BE1064" t="str">
            <v>Jul</v>
          </cell>
        </row>
        <row r="1065">
          <cell r="C1065" t="str">
            <v>Tj Jati B</v>
          </cell>
          <cell r="R1065">
            <v>0</v>
          </cell>
          <cell r="AZ1065">
            <v>0</v>
          </cell>
          <cell r="BA1065">
            <v>0</v>
          </cell>
          <cell r="BC1065" t="str">
            <v>PLATINUM</v>
          </cell>
          <cell r="BE1065" t="str">
            <v>Aug</v>
          </cell>
        </row>
        <row r="1066">
          <cell r="C1066" t="str">
            <v>Tj Jati B</v>
          </cell>
          <cell r="R1066">
            <v>0</v>
          </cell>
          <cell r="AZ1066">
            <v>0</v>
          </cell>
          <cell r="BA1066">
            <v>0</v>
          </cell>
          <cell r="BC1066" t="str">
            <v>PLATINUM</v>
          </cell>
          <cell r="BE1066" t="str">
            <v>Sep</v>
          </cell>
        </row>
        <row r="1067">
          <cell r="C1067" t="str">
            <v>Tj Jati B</v>
          </cell>
          <cell r="R1067">
            <v>0</v>
          </cell>
          <cell r="AZ1067">
            <v>0</v>
          </cell>
          <cell r="BA1067">
            <v>0</v>
          </cell>
          <cell r="BC1067" t="str">
            <v>PLATINUM</v>
          </cell>
          <cell r="BE1067" t="str">
            <v>Oct</v>
          </cell>
        </row>
        <row r="1068">
          <cell r="C1068" t="str">
            <v>Tj Jati B</v>
          </cell>
          <cell r="R1068">
            <v>0</v>
          </cell>
          <cell r="AZ1068">
            <v>0</v>
          </cell>
          <cell r="BA1068">
            <v>0</v>
          </cell>
          <cell r="BC1068" t="str">
            <v>PLATINUM</v>
          </cell>
          <cell r="BE1068" t="str">
            <v>Nov</v>
          </cell>
        </row>
        <row r="1069">
          <cell r="C1069" t="str">
            <v>Tj Jati B</v>
          </cell>
          <cell r="R1069">
            <v>0</v>
          </cell>
          <cell r="AZ1069">
            <v>0</v>
          </cell>
          <cell r="BA1069">
            <v>0</v>
          </cell>
          <cell r="BC1069" t="str">
            <v>PLATINUM</v>
          </cell>
          <cell r="BE1069" t="str">
            <v>Dec</v>
          </cell>
        </row>
        <row r="1070">
          <cell r="C1070" t="str">
            <v>Tj Jati B</v>
          </cell>
          <cell r="R1070">
            <v>27200</v>
          </cell>
          <cell r="AZ1070">
            <v>-122400</v>
          </cell>
          <cell r="BA1070">
            <v>-25379.472423625255</v>
          </cell>
          <cell r="BC1070" t="str">
            <v>PLATINUM</v>
          </cell>
          <cell r="BE1070" t="str">
            <v>Jan</v>
          </cell>
        </row>
        <row r="1071">
          <cell r="C1071" t="str">
            <v>Tj Jati B</v>
          </cell>
          <cell r="R1071">
            <v>0</v>
          </cell>
          <cell r="AZ1071">
            <v>0</v>
          </cell>
          <cell r="BA1071">
            <v>0</v>
          </cell>
          <cell r="BC1071" t="str">
            <v>PLATINUM</v>
          </cell>
          <cell r="BE1071" t="str">
            <v>Feb</v>
          </cell>
        </row>
        <row r="1072">
          <cell r="C1072" t="str">
            <v>Tj Jati B</v>
          </cell>
          <cell r="R1072">
            <v>27200</v>
          </cell>
          <cell r="AZ1072">
            <v>-122400</v>
          </cell>
          <cell r="BA1072">
            <v>-25379.472423625255</v>
          </cell>
          <cell r="BC1072" t="str">
            <v>PLATINUM</v>
          </cell>
          <cell r="BE1072" t="str">
            <v>Mar</v>
          </cell>
        </row>
        <row r="1073">
          <cell r="C1073" t="str">
            <v>Tj Jati B</v>
          </cell>
          <cell r="R1073">
            <v>0</v>
          </cell>
          <cell r="AZ1073">
            <v>0</v>
          </cell>
          <cell r="BA1073">
            <v>0</v>
          </cell>
          <cell r="BC1073" t="str">
            <v>PLATINUM</v>
          </cell>
          <cell r="BE1073" t="str">
            <v>Apr</v>
          </cell>
        </row>
        <row r="1074">
          <cell r="C1074" t="str">
            <v>Tj Jati B</v>
          </cell>
          <cell r="R1074">
            <v>0</v>
          </cell>
          <cell r="AZ1074">
            <v>0</v>
          </cell>
          <cell r="BA1074">
            <v>0</v>
          </cell>
          <cell r="BC1074" t="str">
            <v>PLATINUM</v>
          </cell>
          <cell r="BE1074" t="str">
            <v>May</v>
          </cell>
        </row>
        <row r="1075">
          <cell r="C1075" t="str">
            <v>Tj Jati B</v>
          </cell>
          <cell r="R1075">
            <v>0</v>
          </cell>
          <cell r="AZ1075">
            <v>0</v>
          </cell>
          <cell r="BA1075">
            <v>0</v>
          </cell>
          <cell r="BC1075" t="str">
            <v>PLATINUM</v>
          </cell>
          <cell r="BE1075" t="str">
            <v>Jun</v>
          </cell>
        </row>
        <row r="1076">
          <cell r="C1076" t="str">
            <v>Tj Jati B</v>
          </cell>
          <cell r="R1076">
            <v>0</v>
          </cell>
          <cell r="AZ1076">
            <v>0</v>
          </cell>
          <cell r="BA1076">
            <v>0</v>
          </cell>
          <cell r="BC1076" t="str">
            <v>PLATINUM</v>
          </cell>
          <cell r="BE1076" t="str">
            <v>Jul</v>
          </cell>
        </row>
        <row r="1077">
          <cell r="C1077" t="str">
            <v>Tj Jati B</v>
          </cell>
          <cell r="R1077">
            <v>0</v>
          </cell>
          <cell r="AZ1077">
            <v>0</v>
          </cell>
          <cell r="BA1077">
            <v>0</v>
          </cell>
          <cell r="BC1077" t="str">
            <v>PLATINUM</v>
          </cell>
          <cell r="BE1077" t="str">
            <v>Aug</v>
          </cell>
        </row>
        <row r="1078">
          <cell r="C1078" t="str">
            <v>Tj Jati B</v>
          </cell>
          <cell r="R1078">
            <v>0</v>
          </cell>
          <cell r="AZ1078">
            <v>0</v>
          </cell>
          <cell r="BA1078">
            <v>0</v>
          </cell>
          <cell r="BC1078" t="str">
            <v>PLATINUM</v>
          </cell>
          <cell r="BE1078" t="str">
            <v>Sep</v>
          </cell>
        </row>
        <row r="1079">
          <cell r="C1079" t="str">
            <v>Tj Jati B</v>
          </cell>
          <cell r="R1079">
            <v>0</v>
          </cell>
          <cell r="AZ1079">
            <v>0</v>
          </cell>
          <cell r="BA1079">
            <v>0</v>
          </cell>
          <cell r="BC1079" t="str">
            <v>PLATINUM</v>
          </cell>
          <cell r="BE1079" t="str">
            <v>Oct</v>
          </cell>
        </row>
        <row r="1080">
          <cell r="C1080" t="str">
            <v>Tj Jati B</v>
          </cell>
          <cell r="R1080">
            <v>0</v>
          </cell>
          <cell r="AZ1080">
            <v>0</v>
          </cell>
          <cell r="BA1080">
            <v>0</v>
          </cell>
          <cell r="BC1080" t="str">
            <v>PLATINUM</v>
          </cell>
          <cell r="BE1080" t="str">
            <v>Nov</v>
          </cell>
        </row>
        <row r="1081">
          <cell r="C1081" t="str">
            <v>Tj Jati B</v>
          </cell>
          <cell r="R1081">
            <v>0</v>
          </cell>
          <cell r="AZ1081">
            <v>0</v>
          </cell>
          <cell r="BA1081">
            <v>0</v>
          </cell>
          <cell r="BC1081" t="str">
            <v>PLATINUM</v>
          </cell>
          <cell r="BE1081" t="str">
            <v>Dec</v>
          </cell>
        </row>
        <row r="1082">
          <cell r="C1082" t="str">
            <v>Tj Jati B</v>
          </cell>
          <cell r="R1082">
            <v>0</v>
          </cell>
          <cell r="AZ1082">
            <v>0</v>
          </cell>
          <cell r="BA1082">
            <v>0</v>
          </cell>
          <cell r="BC1082" t="str">
            <v>PLATINUM</v>
          </cell>
          <cell r="BE1082" t="str">
            <v>Jan</v>
          </cell>
        </row>
        <row r="1083">
          <cell r="C1083" t="str">
            <v>Tj Jati B</v>
          </cell>
          <cell r="R1083">
            <v>0</v>
          </cell>
          <cell r="AZ1083">
            <v>0</v>
          </cell>
          <cell r="BA1083">
            <v>0</v>
          </cell>
          <cell r="BC1083" t="str">
            <v>PLATINUM</v>
          </cell>
          <cell r="BE1083" t="str">
            <v>Feb</v>
          </cell>
        </row>
        <row r="1084">
          <cell r="C1084" t="str">
            <v>Tj Jati B</v>
          </cell>
          <cell r="R1084">
            <v>0</v>
          </cell>
          <cell r="AZ1084">
            <v>0</v>
          </cell>
          <cell r="BA1084">
            <v>0</v>
          </cell>
          <cell r="BC1084" t="str">
            <v>PLATINUM</v>
          </cell>
          <cell r="BE1084" t="str">
            <v>Mar</v>
          </cell>
        </row>
        <row r="1085">
          <cell r="C1085" t="str">
            <v>Tj Jati B</v>
          </cell>
          <cell r="R1085">
            <v>0</v>
          </cell>
          <cell r="AZ1085">
            <v>0</v>
          </cell>
          <cell r="BA1085">
            <v>0</v>
          </cell>
          <cell r="BC1085" t="str">
            <v>PLATINUM</v>
          </cell>
          <cell r="BE1085" t="str">
            <v>Apr</v>
          </cell>
        </row>
        <row r="1086">
          <cell r="C1086" t="str">
            <v>Tj Jati B</v>
          </cell>
          <cell r="R1086">
            <v>68000</v>
          </cell>
          <cell r="AZ1086">
            <v>-306000</v>
          </cell>
          <cell r="BA1086">
            <v>-59151.840000000004</v>
          </cell>
          <cell r="BC1086" t="str">
            <v>PLATINUM</v>
          </cell>
          <cell r="BE1086" t="str">
            <v>May</v>
          </cell>
        </row>
        <row r="1087">
          <cell r="C1087" t="str">
            <v>Tj Jati B</v>
          </cell>
          <cell r="R1087">
            <v>0</v>
          </cell>
          <cell r="AZ1087">
            <v>0</v>
          </cell>
          <cell r="BA1087">
            <v>0</v>
          </cell>
          <cell r="BC1087" t="str">
            <v>PLATINUM</v>
          </cell>
          <cell r="BE1087" t="str">
            <v>Jun</v>
          </cell>
        </row>
        <row r="1088">
          <cell r="C1088" t="str">
            <v>Tj Jati B</v>
          </cell>
          <cell r="R1088">
            <v>68000</v>
          </cell>
          <cell r="AZ1088">
            <v>-306000</v>
          </cell>
          <cell r="BA1088">
            <v>-59151.840000000004</v>
          </cell>
          <cell r="BC1088" t="str">
            <v>PLATINUM</v>
          </cell>
          <cell r="BE1088" t="str">
            <v>Jul</v>
          </cell>
        </row>
        <row r="1089">
          <cell r="C1089" t="str">
            <v>Tj Jati B</v>
          </cell>
          <cell r="R1089">
            <v>68000</v>
          </cell>
          <cell r="AZ1089">
            <v>-306000</v>
          </cell>
          <cell r="BA1089">
            <v>-59151.840000000004</v>
          </cell>
          <cell r="BC1089" t="str">
            <v>PLATINUM</v>
          </cell>
          <cell r="BE1089" t="str">
            <v>Aug</v>
          </cell>
        </row>
        <row r="1090">
          <cell r="C1090" t="str">
            <v>Tj Jati B</v>
          </cell>
          <cell r="R1090">
            <v>68000</v>
          </cell>
          <cell r="AZ1090">
            <v>-306000</v>
          </cell>
          <cell r="BA1090">
            <v>-59151.840000000004</v>
          </cell>
          <cell r="BC1090" t="str">
            <v>PLATINUM</v>
          </cell>
          <cell r="BE1090" t="str">
            <v>Sep</v>
          </cell>
        </row>
        <row r="1091">
          <cell r="C1091" t="str">
            <v>Tj Jati B</v>
          </cell>
          <cell r="R1091">
            <v>68000</v>
          </cell>
          <cell r="AZ1091">
            <v>-306000</v>
          </cell>
          <cell r="BA1091">
            <v>-59151.840000000004</v>
          </cell>
          <cell r="BC1091" t="str">
            <v>PLATINUM</v>
          </cell>
          <cell r="BE1091" t="str">
            <v>Oct</v>
          </cell>
        </row>
        <row r="1092">
          <cell r="C1092" t="str">
            <v>Tj Jati B</v>
          </cell>
          <cell r="R1092">
            <v>68000</v>
          </cell>
          <cell r="AZ1092">
            <v>-306000</v>
          </cell>
          <cell r="BA1092">
            <v>-59151.840000000004</v>
          </cell>
          <cell r="BC1092" t="str">
            <v>PLATINUM</v>
          </cell>
          <cell r="BE1092" t="str">
            <v>Nov</v>
          </cell>
        </row>
        <row r="1093">
          <cell r="C1093" t="str">
            <v>Tj Jati B</v>
          </cell>
          <cell r="R1093">
            <v>0</v>
          </cell>
          <cell r="AZ1093">
            <v>0</v>
          </cell>
          <cell r="BA1093">
            <v>0</v>
          </cell>
          <cell r="BC1093" t="str">
            <v>PLATINUM</v>
          </cell>
          <cell r="BE1093" t="str">
            <v>Dec</v>
          </cell>
        </row>
        <row r="1094">
          <cell r="C1094" t="str">
            <v>Tj Jati B</v>
          </cell>
          <cell r="R1094">
            <v>0</v>
          </cell>
          <cell r="AZ1094">
            <v>0</v>
          </cell>
          <cell r="BA1094">
            <v>0</v>
          </cell>
          <cell r="BC1094" t="str">
            <v>PLATINUM</v>
          </cell>
          <cell r="BE1094" t="str">
            <v>Jan</v>
          </cell>
        </row>
        <row r="1095">
          <cell r="C1095" t="str">
            <v>Tj Jati B</v>
          </cell>
          <cell r="R1095">
            <v>40800</v>
          </cell>
          <cell r="AZ1095">
            <v>-183600</v>
          </cell>
          <cell r="BA1095">
            <v>-35603.315356415478</v>
          </cell>
          <cell r="BC1095" t="str">
            <v>PLATINUM</v>
          </cell>
          <cell r="BE1095" t="str">
            <v>Feb</v>
          </cell>
        </row>
        <row r="1096">
          <cell r="C1096" t="str">
            <v>Tj Jati B</v>
          </cell>
          <cell r="R1096">
            <v>0</v>
          </cell>
          <cell r="AZ1096">
            <v>0</v>
          </cell>
          <cell r="BA1096">
            <v>0</v>
          </cell>
          <cell r="BC1096" t="str">
            <v>PLATINUM</v>
          </cell>
          <cell r="BE1096" t="str">
            <v>Mar</v>
          </cell>
        </row>
        <row r="1097">
          <cell r="C1097" t="str">
            <v>Tj Jati B</v>
          </cell>
          <cell r="R1097">
            <v>40800</v>
          </cell>
          <cell r="AZ1097">
            <v>-183600</v>
          </cell>
          <cell r="BA1097">
            <v>-35603.315356415478</v>
          </cell>
          <cell r="BC1097" t="str">
            <v>PLATINUM</v>
          </cell>
          <cell r="BE1097" t="str">
            <v>Apr</v>
          </cell>
        </row>
        <row r="1098">
          <cell r="C1098" t="str">
            <v>Tj Jati B</v>
          </cell>
          <cell r="R1098">
            <v>0</v>
          </cell>
          <cell r="AZ1098">
            <v>0</v>
          </cell>
          <cell r="BA1098">
            <v>0</v>
          </cell>
          <cell r="BC1098" t="str">
            <v>PLATINUM</v>
          </cell>
          <cell r="BE1098" t="str">
            <v>May</v>
          </cell>
        </row>
        <row r="1099">
          <cell r="C1099" t="str">
            <v>Tj Jati B</v>
          </cell>
          <cell r="R1099">
            <v>0</v>
          </cell>
          <cell r="AZ1099">
            <v>0</v>
          </cell>
          <cell r="BA1099">
            <v>0</v>
          </cell>
          <cell r="BC1099" t="str">
            <v>PLATINUM</v>
          </cell>
          <cell r="BE1099" t="str">
            <v>Jun</v>
          </cell>
        </row>
        <row r="1100">
          <cell r="C1100" t="str">
            <v>Tj Jati B</v>
          </cell>
          <cell r="R1100">
            <v>0</v>
          </cell>
          <cell r="AZ1100">
            <v>0</v>
          </cell>
          <cell r="BA1100">
            <v>0</v>
          </cell>
          <cell r="BC1100" t="str">
            <v>PLATINUM</v>
          </cell>
          <cell r="BE1100" t="str">
            <v>Jul</v>
          </cell>
        </row>
        <row r="1101">
          <cell r="C1101" t="str">
            <v>Tj Jati B</v>
          </cell>
          <cell r="R1101">
            <v>0</v>
          </cell>
          <cell r="AZ1101">
            <v>0</v>
          </cell>
          <cell r="BA1101">
            <v>0</v>
          </cell>
          <cell r="BC1101" t="str">
            <v>PLATINUM</v>
          </cell>
          <cell r="BE1101" t="str">
            <v>Aug</v>
          </cell>
        </row>
        <row r="1102">
          <cell r="C1102" t="str">
            <v>Tj Jati B</v>
          </cell>
          <cell r="R1102">
            <v>0</v>
          </cell>
          <cell r="AZ1102">
            <v>0</v>
          </cell>
          <cell r="BA1102">
            <v>0</v>
          </cell>
          <cell r="BC1102" t="str">
            <v>PLATINUM</v>
          </cell>
          <cell r="BE1102" t="str">
            <v>Sep</v>
          </cell>
        </row>
        <row r="1103">
          <cell r="C1103" t="str">
            <v>Tj Jati B</v>
          </cell>
          <cell r="R1103">
            <v>0</v>
          </cell>
          <cell r="AZ1103">
            <v>0</v>
          </cell>
          <cell r="BA1103">
            <v>0</v>
          </cell>
          <cell r="BC1103" t="str">
            <v>PLATINUM</v>
          </cell>
          <cell r="BE1103" t="str">
            <v>Oct</v>
          </cell>
        </row>
        <row r="1104">
          <cell r="C1104" t="str">
            <v>Tj Jati B</v>
          </cell>
          <cell r="R1104">
            <v>0</v>
          </cell>
          <cell r="AZ1104">
            <v>0</v>
          </cell>
          <cell r="BA1104">
            <v>0</v>
          </cell>
          <cell r="BC1104" t="str">
            <v>PLATINUM</v>
          </cell>
          <cell r="BE1104" t="str">
            <v>Nov</v>
          </cell>
        </row>
        <row r="1105">
          <cell r="C1105" t="str">
            <v>Tj Jati B</v>
          </cell>
          <cell r="R1105">
            <v>0</v>
          </cell>
          <cell r="AZ1105">
            <v>0</v>
          </cell>
          <cell r="BA1105">
            <v>0</v>
          </cell>
          <cell r="BC1105" t="str">
            <v>PLATINUM</v>
          </cell>
          <cell r="BE1105" t="str">
            <v>Dec</v>
          </cell>
        </row>
        <row r="1106">
          <cell r="C1106" t="str">
            <v>Tj Jati B</v>
          </cell>
          <cell r="R1106">
            <v>0</v>
          </cell>
          <cell r="AZ1106">
            <v>0</v>
          </cell>
          <cell r="BA1106">
            <v>0</v>
          </cell>
          <cell r="BC1106" t="str">
            <v>PLATINUM</v>
          </cell>
          <cell r="BE1106" t="str">
            <v>Jan</v>
          </cell>
        </row>
        <row r="1107">
          <cell r="C1107" t="str">
            <v>Tj Jati B</v>
          </cell>
          <cell r="R1107">
            <v>27200</v>
          </cell>
          <cell r="AZ1107">
            <v>-122400</v>
          </cell>
          <cell r="BA1107">
            <v>-26755.404643584527</v>
          </cell>
          <cell r="BC1107" t="str">
            <v>PLATINUM</v>
          </cell>
          <cell r="BE1107" t="str">
            <v>Feb</v>
          </cell>
        </row>
        <row r="1108">
          <cell r="C1108" t="str">
            <v>Tj Jati B</v>
          </cell>
          <cell r="R1108">
            <v>0</v>
          </cell>
          <cell r="AZ1108">
            <v>0</v>
          </cell>
          <cell r="BA1108">
            <v>0</v>
          </cell>
          <cell r="BC1108" t="str">
            <v>PLATINUM</v>
          </cell>
          <cell r="BE1108" t="str">
            <v>Mar</v>
          </cell>
        </row>
        <row r="1109">
          <cell r="C1109" t="str">
            <v>Tj Jati B</v>
          </cell>
          <cell r="R1109">
            <v>27200</v>
          </cell>
          <cell r="AZ1109">
            <v>-122400</v>
          </cell>
          <cell r="BA1109">
            <v>-26755.404643584527</v>
          </cell>
          <cell r="BC1109" t="str">
            <v>PLATINUM</v>
          </cell>
          <cell r="BE1109" t="str">
            <v>Apr</v>
          </cell>
        </row>
        <row r="1110">
          <cell r="C1110" t="str">
            <v>Tj Jati B</v>
          </cell>
          <cell r="R1110">
            <v>0</v>
          </cell>
          <cell r="AZ1110">
            <v>0</v>
          </cell>
          <cell r="BA1110">
            <v>0</v>
          </cell>
          <cell r="BC1110" t="str">
            <v>PLATINUM</v>
          </cell>
          <cell r="BE1110" t="str">
            <v>May</v>
          </cell>
        </row>
        <row r="1111">
          <cell r="C1111" t="str">
            <v>Tj Jati B</v>
          </cell>
          <cell r="R1111">
            <v>0</v>
          </cell>
          <cell r="AZ1111">
            <v>0</v>
          </cell>
          <cell r="BA1111">
            <v>0</v>
          </cell>
          <cell r="BC1111" t="str">
            <v>PLATINUM</v>
          </cell>
          <cell r="BE1111" t="str">
            <v>Jun</v>
          </cell>
        </row>
        <row r="1112">
          <cell r="C1112" t="str">
            <v>Tj Jati B</v>
          </cell>
          <cell r="R1112">
            <v>0</v>
          </cell>
          <cell r="AZ1112">
            <v>0</v>
          </cell>
          <cell r="BA1112">
            <v>0</v>
          </cell>
          <cell r="BC1112" t="str">
            <v>PLATINUM</v>
          </cell>
          <cell r="BE1112" t="str">
            <v>Jul</v>
          </cell>
        </row>
        <row r="1113">
          <cell r="C1113" t="str">
            <v>Tj Jati B</v>
          </cell>
          <cell r="R1113">
            <v>0</v>
          </cell>
          <cell r="AZ1113">
            <v>0</v>
          </cell>
          <cell r="BA1113">
            <v>0</v>
          </cell>
          <cell r="BC1113" t="str">
            <v>PLATINUM</v>
          </cell>
          <cell r="BE1113" t="str">
            <v>Aug</v>
          </cell>
        </row>
        <row r="1114">
          <cell r="C1114" t="str">
            <v>Tj Jati B</v>
          </cell>
          <cell r="R1114">
            <v>0</v>
          </cell>
          <cell r="AZ1114">
            <v>0</v>
          </cell>
          <cell r="BA1114">
            <v>0</v>
          </cell>
          <cell r="BC1114" t="str">
            <v>PLATINUM</v>
          </cell>
          <cell r="BE1114" t="str">
            <v>Sep</v>
          </cell>
        </row>
        <row r="1115">
          <cell r="C1115" t="str">
            <v>Tj Jati B</v>
          </cell>
          <cell r="R1115">
            <v>0</v>
          </cell>
          <cell r="AZ1115">
            <v>0</v>
          </cell>
          <cell r="BA1115">
            <v>0</v>
          </cell>
          <cell r="BC1115" t="str">
            <v>PLATINUM</v>
          </cell>
          <cell r="BE1115" t="str">
            <v>Oct</v>
          </cell>
        </row>
        <row r="1116">
          <cell r="C1116" t="str">
            <v>Tj Jati B</v>
          </cell>
          <cell r="R1116">
            <v>0</v>
          </cell>
          <cell r="AZ1116">
            <v>0</v>
          </cell>
          <cell r="BA1116">
            <v>0</v>
          </cell>
          <cell r="BC1116" t="str">
            <v>PLATINUM</v>
          </cell>
          <cell r="BE1116" t="str">
            <v>Nov</v>
          </cell>
        </row>
        <row r="1117">
          <cell r="C1117" t="str">
            <v>Tj Jati B</v>
          </cell>
          <cell r="R1117">
            <v>0</v>
          </cell>
          <cell r="AZ1117">
            <v>0</v>
          </cell>
          <cell r="BA1117">
            <v>0</v>
          </cell>
          <cell r="BC1117" t="str">
            <v>PLATINUM</v>
          </cell>
          <cell r="BE1117" t="str">
            <v>Dec</v>
          </cell>
        </row>
        <row r="1118">
          <cell r="C1118" t="str">
            <v>Tj Jati B</v>
          </cell>
          <cell r="R1118">
            <v>0</v>
          </cell>
          <cell r="AZ1118">
            <v>0</v>
          </cell>
          <cell r="BA1118">
            <v>0</v>
          </cell>
          <cell r="BC1118" t="str">
            <v>PLATINUM</v>
          </cell>
          <cell r="BE1118" t="str">
            <v>Jan</v>
          </cell>
        </row>
        <row r="1119">
          <cell r="C1119" t="str">
            <v>Tj Jati B</v>
          </cell>
          <cell r="R1119">
            <v>0</v>
          </cell>
          <cell r="AZ1119">
            <v>0</v>
          </cell>
          <cell r="BA1119">
            <v>0</v>
          </cell>
          <cell r="BC1119" t="str">
            <v>PLATINUM</v>
          </cell>
          <cell r="BE1119" t="str">
            <v>Feb</v>
          </cell>
        </row>
        <row r="1120">
          <cell r="C1120" t="str">
            <v>Tj Jati B</v>
          </cell>
          <cell r="R1120">
            <v>0</v>
          </cell>
          <cell r="AZ1120">
            <v>0</v>
          </cell>
          <cell r="BA1120">
            <v>0</v>
          </cell>
          <cell r="BC1120" t="str">
            <v>PLATINUM</v>
          </cell>
          <cell r="BE1120" t="str">
            <v>Mar</v>
          </cell>
        </row>
        <row r="1121">
          <cell r="C1121" t="str">
            <v>Tj Jati B</v>
          </cell>
          <cell r="R1121">
            <v>0</v>
          </cell>
          <cell r="AZ1121">
            <v>0</v>
          </cell>
          <cell r="BA1121">
            <v>0</v>
          </cell>
          <cell r="BC1121" t="str">
            <v>PLATINUM</v>
          </cell>
          <cell r="BE1121" t="str">
            <v>Apr</v>
          </cell>
        </row>
        <row r="1122">
          <cell r="C1122" t="str">
            <v>Tj Jati B</v>
          </cell>
          <cell r="R1122">
            <v>68000</v>
          </cell>
          <cell r="AZ1122">
            <v>-306000</v>
          </cell>
          <cell r="BA1122">
            <v>-62358.720000000001</v>
          </cell>
          <cell r="BC1122" t="str">
            <v>PLATINUM</v>
          </cell>
          <cell r="BE1122" t="str">
            <v>May</v>
          </cell>
        </row>
        <row r="1123">
          <cell r="C1123" t="str">
            <v>Tj Jati B</v>
          </cell>
          <cell r="R1123">
            <v>68000</v>
          </cell>
          <cell r="AZ1123">
            <v>-306000</v>
          </cell>
          <cell r="BA1123">
            <v>-62358.720000000001</v>
          </cell>
          <cell r="BC1123" t="str">
            <v>PLATINUM</v>
          </cell>
          <cell r="BE1123" t="str">
            <v>Jun</v>
          </cell>
        </row>
        <row r="1124">
          <cell r="C1124" t="str">
            <v>Tj Jati B</v>
          </cell>
          <cell r="R1124">
            <v>68000</v>
          </cell>
          <cell r="AZ1124">
            <v>-306000</v>
          </cell>
          <cell r="BA1124">
            <v>-62358.720000000001</v>
          </cell>
          <cell r="BC1124" t="str">
            <v>PLATINUM</v>
          </cell>
          <cell r="BE1124" t="str">
            <v>Jul</v>
          </cell>
        </row>
        <row r="1125">
          <cell r="C1125" t="str">
            <v>Tj Jati B</v>
          </cell>
          <cell r="R1125">
            <v>68000</v>
          </cell>
          <cell r="AZ1125">
            <v>-306000</v>
          </cell>
          <cell r="BA1125">
            <v>-62358.720000000001</v>
          </cell>
          <cell r="BC1125" t="str">
            <v>PLATINUM</v>
          </cell>
          <cell r="BE1125" t="str">
            <v>Aug</v>
          </cell>
        </row>
        <row r="1126">
          <cell r="C1126" t="str">
            <v>Tj Jati B</v>
          </cell>
          <cell r="R1126">
            <v>68000</v>
          </cell>
          <cell r="AZ1126">
            <v>-306000</v>
          </cell>
          <cell r="BA1126">
            <v>-62358.720000000001</v>
          </cell>
          <cell r="BC1126" t="str">
            <v>PLATINUM</v>
          </cell>
          <cell r="BE1126" t="str">
            <v>Sep</v>
          </cell>
        </row>
        <row r="1127">
          <cell r="C1127" t="str">
            <v>Tj Jati B</v>
          </cell>
          <cell r="R1127">
            <v>68000</v>
          </cell>
          <cell r="AZ1127">
            <v>-306000</v>
          </cell>
          <cell r="BA1127">
            <v>-62358.720000000001</v>
          </cell>
          <cell r="BC1127" t="str">
            <v>PLATINUM</v>
          </cell>
          <cell r="BE1127" t="str">
            <v>Oct</v>
          </cell>
        </row>
        <row r="1128">
          <cell r="C1128" t="str">
            <v>Tj Jati B</v>
          </cell>
          <cell r="R1128">
            <v>68000</v>
          </cell>
          <cell r="AZ1128">
            <v>-306000</v>
          </cell>
          <cell r="BA1128">
            <v>-62358.720000000001</v>
          </cell>
          <cell r="BC1128" t="str">
            <v>PLATINUM</v>
          </cell>
          <cell r="BE1128" t="str">
            <v>Nov</v>
          </cell>
        </row>
        <row r="1129">
          <cell r="C1129" t="str">
            <v>Tj Jati B</v>
          </cell>
          <cell r="R1129">
            <v>68000</v>
          </cell>
          <cell r="AZ1129">
            <v>-306000</v>
          </cell>
          <cell r="BA1129">
            <v>-62358.720000000001</v>
          </cell>
          <cell r="BC1129" t="str">
            <v>PLATINUM</v>
          </cell>
          <cell r="BE1129" t="str">
            <v>Dec</v>
          </cell>
        </row>
        <row r="1130">
          <cell r="C1130" t="str">
            <v>Tj Jati B</v>
          </cell>
          <cell r="R1130">
            <v>0</v>
          </cell>
          <cell r="AZ1130">
            <v>0</v>
          </cell>
          <cell r="BA1130">
            <v>0</v>
          </cell>
          <cell r="BC1130" t="str">
            <v>PLATINUM</v>
          </cell>
          <cell r="BE1130" t="str">
            <v>Jan</v>
          </cell>
        </row>
        <row r="1131">
          <cell r="C1131" t="str">
            <v>Tj Jati B</v>
          </cell>
          <cell r="R1131">
            <v>0</v>
          </cell>
          <cell r="AZ1131">
            <v>0</v>
          </cell>
          <cell r="BA1131">
            <v>0</v>
          </cell>
          <cell r="BC1131" t="str">
            <v>PLATINUM</v>
          </cell>
          <cell r="BE1131" t="str">
            <v>Feb</v>
          </cell>
        </row>
        <row r="1132">
          <cell r="C1132" t="str">
            <v>Tj Jati B</v>
          </cell>
          <cell r="R1132">
            <v>0</v>
          </cell>
          <cell r="AZ1132">
            <v>0</v>
          </cell>
          <cell r="BA1132">
            <v>0</v>
          </cell>
          <cell r="BC1132" t="str">
            <v>PLATINUM</v>
          </cell>
          <cell r="BE1132" t="str">
            <v>Mar</v>
          </cell>
        </row>
        <row r="1133">
          <cell r="C1133" t="str">
            <v>Tj Jati B</v>
          </cell>
          <cell r="R1133">
            <v>0</v>
          </cell>
          <cell r="AZ1133">
            <v>0</v>
          </cell>
          <cell r="BA1133">
            <v>0</v>
          </cell>
          <cell r="BC1133" t="str">
            <v>PLATINUM</v>
          </cell>
          <cell r="BE1133" t="str">
            <v>Apr</v>
          </cell>
        </row>
        <row r="1134">
          <cell r="C1134" t="str">
            <v>Tj Jati B</v>
          </cell>
          <cell r="R1134">
            <v>0</v>
          </cell>
          <cell r="AZ1134">
            <v>0</v>
          </cell>
          <cell r="BA1134">
            <v>0</v>
          </cell>
          <cell r="BC1134" t="str">
            <v>PLATINUM</v>
          </cell>
          <cell r="BE1134" t="str">
            <v>May</v>
          </cell>
        </row>
        <row r="1135">
          <cell r="C1135" t="str">
            <v>Tj Jati B</v>
          </cell>
          <cell r="R1135">
            <v>0</v>
          </cell>
          <cell r="AZ1135">
            <v>0</v>
          </cell>
          <cell r="BA1135">
            <v>0</v>
          </cell>
          <cell r="BC1135" t="str">
            <v>PLATINUM</v>
          </cell>
          <cell r="BE1135" t="str">
            <v>Jun</v>
          </cell>
        </row>
        <row r="1136">
          <cell r="C1136" t="str">
            <v>Tj Jati B</v>
          </cell>
          <cell r="R1136">
            <v>0</v>
          </cell>
          <cell r="AZ1136">
            <v>0</v>
          </cell>
          <cell r="BA1136">
            <v>0</v>
          </cell>
          <cell r="BC1136" t="str">
            <v>PLATINUM</v>
          </cell>
          <cell r="BE1136" t="str">
            <v>Jul</v>
          </cell>
        </row>
        <row r="1137">
          <cell r="C1137" t="str">
            <v>Tj Jati B</v>
          </cell>
          <cell r="R1137">
            <v>68000</v>
          </cell>
          <cell r="AZ1137">
            <v>-306000</v>
          </cell>
          <cell r="BA1137">
            <v>-62358.720000000001</v>
          </cell>
          <cell r="BC1137" t="str">
            <v>PLATINUM</v>
          </cell>
          <cell r="BE1137" t="str">
            <v>Aug</v>
          </cell>
        </row>
        <row r="1138">
          <cell r="C1138" t="str">
            <v>Tj Jati B</v>
          </cell>
          <cell r="R1138">
            <v>68000</v>
          </cell>
          <cell r="AZ1138">
            <v>-306000</v>
          </cell>
          <cell r="BA1138">
            <v>-62358.720000000001</v>
          </cell>
          <cell r="BC1138" t="str">
            <v>PLATINUM</v>
          </cell>
          <cell r="BE1138" t="str">
            <v>Sep</v>
          </cell>
        </row>
        <row r="1139">
          <cell r="C1139" t="str">
            <v>Tj Jati B</v>
          </cell>
          <cell r="R1139">
            <v>0</v>
          </cell>
          <cell r="AZ1139">
            <v>0</v>
          </cell>
          <cell r="BA1139">
            <v>0</v>
          </cell>
          <cell r="BC1139" t="str">
            <v>PLATINUM</v>
          </cell>
          <cell r="BE1139" t="str">
            <v>Oct</v>
          </cell>
        </row>
        <row r="1140">
          <cell r="C1140" t="str">
            <v>Tj Jati B</v>
          </cell>
          <cell r="R1140">
            <v>0</v>
          </cell>
          <cell r="AZ1140">
            <v>0</v>
          </cell>
          <cell r="BA1140">
            <v>0</v>
          </cell>
          <cell r="BC1140" t="str">
            <v>PLATINUM</v>
          </cell>
          <cell r="BE1140" t="str">
            <v>Nov</v>
          </cell>
        </row>
        <row r="1141">
          <cell r="C1141" t="str">
            <v>Tj Jati B</v>
          </cell>
          <cell r="R1141">
            <v>0</v>
          </cell>
          <cell r="AZ1141">
            <v>0</v>
          </cell>
          <cell r="BA1141">
            <v>0</v>
          </cell>
          <cell r="BC1141" t="str">
            <v>PLATINUM</v>
          </cell>
          <cell r="BE1141" t="str">
            <v>Dec</v>
          </cell>
        </row>
        <row r="1142">
          <cell r="C1142" t="str">
            <v>Tj Jati B</v>
          </cell>
          <cell r="R1142">
            <v>0</v>
          </cell>
          <cell r="AZ1142">
            <v>0</v>
          </cell>
          <cell r="BA1142">
            <v>0</v>
          </cell>
          <cell r="BC1142" t="str">
            <v>PLATINUM</v>
          </cell>
          <cell r="BE1142" t="str">
            <v>Jan</v>
          </cell>
        </row>
        <row r="1143">
          <cell r="C1143" t="str">
            <v>Tj Jati B</v>
          </cell>
          <cell r="R1143">
            <v>39000</v>
          </cell>
          <cell r="AZ1143">
            <v>-175500</v>
          </cell>
          <cell r="BA1143">
            <v>-32447.184521384926</v>
          </cell>
          <cell r="BC1143" t="str">
            <v>PLATINUM</v>
          </cell>
          <cell r="BE1143" t="str">
            <v>Feb</v>
          </cell>
        </row>
        <row r="1144">
          <cell r="C1144" t="str">
            <v>Tj Jati B</v>
          </cell>
          <cell r="R1144">
            <v>0</v>
          </cell>
          <cell r="AZ1144">
            <v>0</v>
          </cell>
          <cell r="BA1144">
            <v>0</v>
          </cell>
          <cell r="BC1144" t="str">
            <v>PLATINUM</v>
          </cell>
          <cell r="BE1144" t="str">
            <v>Mar</v>
          </cell>
        </row>
        <row r="1145">
          <cell r="C1145" t="str">
            <v>Tj Jati B</v>
          </cell>
          <cell r="R1145">
            <v>39000</v>
          </cell>
          <cell r="AZ1145">
            <v>-175500</v>
          </cell>
          <cell r="BA1145">
            <v>-32447.184521384926</v>
          </cell>
          <cell r="BC1145" t="str">
            <v>PLATINUM</v>
          </cell>
          <cell r="BE1145" t="str">
            <v>Apr</v>
          </cell>
        </row>
        <row r="1146">
          <cell r="C1146" t="str">
            <v>Tj Jati B</v>
          </cell>
          <cell r="R1146">
            <v>39000</v>
          </cell>
          <cell r="AZ1146">
            <v>-175500</v>
          </cell>
          <cell r="BA1146">
            <v>-32447.184521384926</v>
          </cell>
          <cell r="BC1146" t="str">
            <v>PLATINUM</v>
          </cell>
          <cell r="BE1146" t="str">
            <v>May</v>
          </cell>
        </row>
        <row r="1147">
          <cell r="C1147" t="str">
            <v>Tj Jati B</v>
          </cell>
          <cell r="R1147">
            <v>0</v>
          </cell>
          <cell r="AZ1147">
            <v>0</v>
          </cell>
          <cell r="BA1147">
            <v>0</v>
          </cell>
          <cell r="BC1147" t="str">
            <v>PLATINUM</v>
          </cell>
          <cell r="BE1147" t="str">
            <v>Jun</v>
          </cell>
        </row>
        <row r="1148">
          <cell r="C1148" t="str">
            <v>Tj Jati B</v>
          </cell>
          <cell r="R1148">
            <v>0</v>
          </cell>
          <cell r="AZ1148">
            <v>0</v>
          </cell>
          <cell r="BA1148">
            <v>0</v>
          </cell>
          <cell r="BC1148" t="str">
            <v>PLATINUM</v>
          </cell>
          <cell r="BE1148" t="str">
            <v>Jul</v>
          </cell>
        </row>
        <row r="1149">
          <cell r="C1149" t="str">
            <v>Tj Jati B</v>
          </cell>
          <cell r="R1149">
            <v>0</v>
          </cell>
          <cell r="AZ1149">
            <v>0</v>
          </cell>
          <cell r="BA1149">
            <v>0</v>
          </cell>
          <cell r="BC1149" t="str">
            <v>PLATINUM</v>
          </cell>
          <cell r="BE1149" t="str">
            <v>Aug</v>
          </cell>
        </row>
        <row r="1150">
          <cell r="C1150" t="str">
            <v>Tj Jati B</v>
          </cell>
          <cell r="R1150">
            <v>0</v>
          </cell>
          <cell r="AZ1150">
            <v>0</v>
          </cell>
          <cell r="BA1150">
            <v>0</v>
          </cell>
          <cell r="BC1150" t="str">
            <v>PLATINUM</v>
          </cell>
          <cell r="BE1150" t="str">
            <v>Sep</v>
          </cell>
        </row>
        <row r="1151">
          <cell r="C1151" t="str">
            <v>Tj Jati B</v>
          </cell>
          <cell r="R1151">
            <v>0</v>
          </cell>
          <cell r="AZ1151">
            <v>0</v>
          </cell>
          <cell r="BA1151">
            <v>0</v>
          </cell>
          <cell r="BC1151" t="str">
            <v>PLATINUM</v>
          </cell>
          <cell r="BE1151" t="str">
            <v>Oct</v>
          </cell>
        </row>
        <row r="1152">
          <cell r="C1152" t="str">
            <v>Tj Jati B</v>
          </cell>
          <cell r="R1152">
            <v>0</v>
          </cell>
          <cell r="AZ1152">
            <v>0</v>
          </cell>
          <cell r="BA1152">
            <v>0</v>
          </cell>
          <cell r="BC1152" t="str">
            <v>PLATINUM</v>
          </cell>
          <cell r="BE1152" t="str">
            <v>Nov</v>
          </cell>
        </row>
        <row r="1153">
          <cell r="C1153" t="str">
            <v>Tj Jati B</v>
          </cell>
          <cell r="R1153">
            <v>0</v>
          </cell>
          <cell r="AZ1153">
            <v>0</v>
          </cell>
          <cell r="BA1153">
            <v>0</v>
          </cell>
          <cell r="BC1153" t="str">
            <v>PLATINUM</v>
          </cell>
          <cell r="BE1153" t="str">
            <v>Dec</v>
          </cell>
        </row>
        <row r="1154">
          <cell r="C1154" t="str">
            <v>Tj Jati B</v>
          </cell>
          <cell r="R1154">
            <v>0</v>
          </cell>
          <cell r="AZ1154">
            <v>0</v>
          </cell>
          <cell r="BA1154">
            <v>0</v>
          </cell>
          <cell r="BC1154" t="str">
            <v>PLATINUM</v>
          </cell>
          <cell r="BE1154" t="str">
            <v>Jan</v>
          </cell>
        </row>
        <row r="1155">
          <cell r="C1155" t="str">
            <v>Tj Jati B</v>
          </cell>
          <cell r="R1155">
            <v>26000</v>
          </cell>
          <cell r="AZ1155">
            <v>-117000</v>
          </cell>
          <cell r="BA1155">
            <v>-24383.615478615073</v>
          </cell>
          <cell r="BC1155" t="str">
            <v>PLATINUM</v>
          </cell>
          <cell r="BE1155" t="str">
            <v>Feb</v>
          </cell>
        </row>
        <row r="1156">
          <cell r="C1156" t="str">
            <v>Tj Jati B</v>
          </cell>
          <cell r="R1156">
            <v>0</v>
          </cell>
          <cell r="AZ1156">
            <v>0</v>
          </cell>
          <cell r="BA1156">
            <v>0</v>
          </cell>
          <cell r="BC1156" t="str">
            <v>PLATINUM</v>
          </cell>
          <cell r="BE1156" t="str">
            <v>Mar</v>
          </cell>
        </row>
        <row r="1157">
          <cell r="C1157" t="str">
            <v>Tj Jati B</v>
          </cell>
          <cell r="R1157">
            <v>26000</v>
          </cell>
          <cell r="AZ1157">
            <v>-117000</v>
          </cell>
          <cell r="BA1157">
            <v>-24383.615478615073</v>
          </cell>
          <cell r="BC1157" t="str">
            <v>PLATINUM</v>
          </cell>
          <cell r="BE1157" t="str">
            <v>Apr</v>
          </cell>
        </row>
        <row r="1158">
          <cell r="C1158" t="str">
            <v>Tj Jati B</v>
          </cell>
          <cell r="R1158">
            <v>26000</v>
          </cell>
          <cell r="AZ1158">
            <v>-117000</v>
          </cell>
          <cell r="BA1158">
            <v>-24383.615478615073</v>
          </cell>
          <cell r="BC1158" t="str">
            <v>PLATINUM</v>
          </cell>
          <cell r="BE1158" t="str">
            <v>May</v>
          </cell>
        </row>
        <row r="1159">
          <cell r="C1159" t="str">
            <v>Tj Jati B</v>
          </cell>
          <cell r="R1159">
            <v>0</v>
          </cell>
          <cell r="AZ1159">
            <v>0</v>
          </cell>
          <cell r="BA1159">
            <v>0</v>
          </cell>
          <cell r="BC1159" t="str">
            <v>PLATINUM</v>
          </cell>
          <cell r="BE1159" t="str">
            <v>Jun</v>
          </cell>
        </row>
        <row r="1160">
          <cell r="C1160" t="str">
            <v>Tj Jati B</v>
          </cell>
          <cell r="R1160">
            <v>0</v>
          </cell>
          <cell r="AZ1160">
            <v>0</v>
          </cell>
          <cell r="BA1160">
            <v>0</v>
          </cell>
          <cell r="BC1160" t="str">
            <v>PLATINUM</v>
          </cell>
          <cell r="BE1160" t="str">
            <v>Jul</v>
          </cell>
        </row>
        <row r="1161">
          <cell r="C1161" t="str">
            <v>Tj Jati B</v>
          </cell>
          <cell r="R1161">
            <v>0</v>
          </cell>
          <cell r="AZ1161">
            <v>0</v>
          </cell>
          <cell r="BA1161">
            <v>0</v>
          </cell>
          <cell r="BC1161" t="str">
            <v>PLATINUM</v>
          </cell>
          <cell r="BE1161" t="str">
            <v>Aug</v>
          </cell>
        </row>
        <row r="1162">
          <cell r="C1162" t="str">
            <v>Tj Jati B</v>
          </cell>
          <cell r="R1162">
            <v>0</v>
          </cell>
          <cell r="AZ1162">
            <v>0</v>
          </cell>
          <cell r="BA1162">
            <v>0</v>
          </cell>
          <cell r="BC1162" t="str">
            <v>PLATINUM</v>
          </cell>
          <cell r="BE1162" t="str">
            <v>Sep</v>
          </cell>
        </row>
        <row r="1163">
          <cell r="C1163" t="str">
            <v>Tj Jati B</v>
          </cell>
          <cell r="R1163">
            <v>0</v>
          </cell>
          <cell r="AZ1163">
            <v>0</v>
          </cell>
          <cell r="BA1163">
            <v>0</v>
          </cell>
          <cell r="BC1163" t="str">
            <v>PLATINUM</v>
          </cell>
          <cell r="BE1163" t="str">
            <v>Oct</v>
          </cell>
        </row>
        <row r="1164">
          <cell r="C1164" t="str">
            <v>Tj Jati B</v>
          </cell>
          <cell r="R1164">
            <v>0</v>
          </cell>
          <cell r="AZ1164">
            <v>0</v>
          </cell>
          <cell r="BA1164">
            <v>0</v>
          </cell>
          <cell r="BC1164" t="str">
            <v>PLATINUM</v>
          </cell>
          <cell r="BE1164" t="str">
            <v>Nov</v>
          </cell>
        </row>
        <row r="1165">
          <cell r="C1165" t="str">
            <v>Tj Jati B</v>
          </cell>
          <cell r="R1165">
            <v>0</v>
          </cell>
          <cell r="AZ1165">
            <v>0</v>
          </cell>
          <cell r="BA1165">
            <v>0</v>
          </cell>
          <cell r="BC1165" t="str">
            <v>PLATINUM</v>
          </cell>
          <cell r="BE1165" t="str">
            <v>Dec</v>
          </cell>
        </row>
        <row r="1166">
          <cell r="C1166" t="str">
            <v>Tj Jati B</v>
          </cell>
          <cell r="R1166">
            <v>0</v>
          </cell>
          <cell r="AZ1166">
            <v>0</v>
          </cell>
          <cell r="BA1166">
            <v>0</v>
          </cell>
          <cell r="BC1166" t="str">
            <v>PLATINUM</v>
          </cell>
          <cell r="BE1166" t="str">
            <v>Jan</v>
          </cell>
        </row>
        <row r="1167">
          <cell r="C1167" t="str">
            <v>Tj Jati B</v>
          </cell>
          <cell r="R1167">
            <v>0</v>
          </cell>
          <cell r="AZ1167">
            <v>0</v>
          </cell>
          <cell r="BA1167">
            <v>0</v>
          </cell>
          <cell r="BC1167" t="str">
            <v>PLATINUM</v>
          </cell>
          <cell r="BE1167" t="str">
            <v>Feb</v>
          </cell>
        </row>
        <row r="1168">
          <cell r="C1168" t="str">
            <v>Tj Jati B</v>
          </cell>
          <cell r="R1168">
            <v>0</v>
          </cell>
          <cell r="AZ1168">
            <v>0</v>
          </cell>
          <cell r="BA1168">
            <v>0</v>
          </cell>
          <cell r="BC1168" t="str">
            <v>PLATINUM</v>
          </cell>
          <cell r="BE1168" t="str">
            <v>Mar</v>
          </cell>
        </row>
        <row r="1169">
          <cell r="C1169" t="str">
            <v>Tj Jati B</v>
          </cell>
          <cell r="R1169">
            <v>0</v>
          </cell>
          <cell r="AZ1169">
            <v>0</v>
          </cell>
          <cell r="BA1169">
            <v>0</v>
          </cell>
          <cell r="BC1169" t="str">
            <v>PLATINUM</v>
          </cell>
          <cell r="BE1169" t="str">
            <v>Apr</v>
          </cell>
        </row>
        <row r="1170">
          <cell r="C1170" t="str">
            <v>Tj Jati B</v>
          </cell>
          <cell r="R1170">
            <v>0</v>
          </cell>
          <cell r="AZ1170">
            <v>0</v>
          </cell>
          <cell r="BA1170">
            <v>0</v>
          </cell>
          <cell r="BC1170" t="str">
            <v>PLATINUM</v>
          </cell>
          <cell r="BE1170" t="str">
            <v>May</v>
          </cell>
        </row>
        <row r="1171">
          <cell r="C1171" t="str">
            <v>Tj Jati B</v>
          </cell>
          <cell r="R1171">
            <v>65000</v>
          </cell>
          <cell r="AZ1171">
            <v>-292500</v>
          </cell>
          <cell r="BA1171">
            <v>-56830.8</v>
          </cell>
          <cell r="BC1171" t="str">
            <v>PLATINUM</v>
          </cell>
          <cell r="BE1171" t="str">
            <v>Jun</v>
          </cell>
        </row>
        <row r="1172">
          <cell r="C1172" t="str">
            <v>Tj Jati B</v>
          </cell>
          <cell r="R1172">
            <v>65000</v>
          </cell>
          <cell r="AZ1172">
            <v>-292500</v>
          </cell>
          <cell r="BA1172">
            <v>-56830.8</v>
          </cell>
          <cell r="BC1172" t="str">
            <v>PLATINUM</v>
          </cell>
          <cell r="BE1172" t="str">
            <v>Jul</v>
          </cell>
        </row>
        <row r="1173">
          <cell r="C1173" t="str">
            <v>Tj Jati B</v>
          </cell>
          <cell r="R1173">
            <v>0</v>
          </cell>
          <cell r="AZ1173">
            <v>0</v>
          </cell>
          <cell r="BA1173">
            <v>0</v>
          </cell>
          <cell r="BC1173" t="str">
            <v>PLATINUM</v>
          </cell>
          <cell r="BE1173" t="str">
            <v>Aug</v>
          </cell>
        </row>
        <row r="1174">
          <cell r="C1174" t="str">
            <v>Tj Jati B</v>
          </cell>
          <cell r="R1174">
            <v>65000</v>
          </cell>
          <cell r="AZ1174">
            <v>-292500</v>
          </cell>
          <cell r="BA1174">
            <v>-56830.8</v>
          </cell>
          <cell r="BC1174" t="str">
            <v>PLATINUM</v>
          </cell>
          <cell r="BE1174" t="str">
            <v>Sep</v>
          </cell>
        </row>
        <row r="1175">
          <cell r="C1175" t="str">
            <v>Tj Jati B</v>
          </cell>
          <cell r="R1175">
            <v>65000</v>
          </cell>
          <cell r="AZ1175">
            <v>-292500</v>
          </cell>
          <cell r="BA1175">
            <v>-56830.8</v>
          </cell>
          <cell r="BC1175" t="str">
            <v>PLATINUM</v>
          </cell>
          <cell r="BE1175" t="str">
            <v>Oct</v>
          </cell>
        </row>
        <row r="1176">
          <cell r="C1176" t="str">
            <v>Tj Jati B</v>
          </cell>
          <cell r="R1176">
            <v>65000</v>
          </cell>
          <cell r="AZ1176">
            <v>-292500</v>
          </cell>
          <cell r="BA1176">
            <v>-56830.8</v>
          </cell>
          <cell r="BC1176" t="str">
            <v>PLATINUM</v>
          </cell>
          <cell r="BE1176" t="str">
            <v>Nov</v>
          </cell>
        </row>
        <row r="1177">
          <cell r="C1177" t="str">
            <v>Tj Jati B</v>
          </cell>
          <cell r="R1177">
            <v>30000</v>
          </cell>
          <cell r="AZ1177">
            <v>-135000</v>
          </cell>
          <cell r="BA1177">
            <v>-26229.600000000002</v>
          </cell>
          <cell r="BC1177" t="str">
            <v>PLATINUM</v>
          </cell>
          <cell r="BE1177" t="str">
            <v>Dec</v>
          </cell>
        </row>
        <row r="1178">
          <cell r="C1178" t="str">
            <v>Other</v>
          </cell>
          <cell r="R1178">
            <v>0</v>
          </cell>
          <cell r="AZ1178">
            <v>0</v>
          </cell>
          <cell r="BA1178">
            <v>0</v>
          </cell>
          <cell r="BC1178" t="str">
            <v>OTHERS</v>
          </cell>
          <cell r="BE1178" t="str">
            <v>Jan</v>
          </cell>
        </row>
        <row r="1179">
          <cell r="C1179" t="str">
            <v>Other</v>
          </cell>
          <cell r="R1179">
            <v>0</v>
          </cell>
          <cell r="AZ1179">
            <v>0</v>
          </cell>
          <cell r="BA1179">
            <v>0</v>
          </cell>
          <cell r="BC1179" t="str">
            <v>OTHERS</v>
          </cell>
          <cell r="BE1179" t="str">
            <v>Feb</v>
          </cell>
        </row>
        <row r="1180">
          <cell r="C1180" t="str">
            <v>Other</v>
          </cell>
          <cell r="R1180">
            <v>0</v>
          </cell>
          <cell r="AZ1180">
            <v>0</v>
          </cell>
          <cell r="BA1180">
            <v>0</v>
          </cell>
          <cell r="BC1180" t="str">
            <v>OTHERS</v>
          </cell>
          <cell r="BE1180" t="str">
            <v>Mar</v>
          </cell>
        </row>
        <row r="1181">
          <cell r="C1181" t="str">
            <v>Other</v>
          </cell>
          <cell r="R1181">
            <v>0</v>
          </cell>
          <cell r="AZ1181">
            <v>0</v>
          </cell>
          <cell r="BA1181">
            <v>0</v>
          </cell>
          <cell r="BC1181" t="str">
            <v>OTHERS</v>
          </cell>
          <cell r="BE1181" t="str">
            <v>Apr</v>
          </cell>
        </row>
        <row r="1182">
          <cell r="C1182" t="str">
            <v>Other</v>
          </cell>
          <cell r="R1182">
            <v>0</v>
          </cell>
          <cell r="AZ1182">
            <v>0</v>
          </cell>
          <cell r="BA1182">
            <v>0</v>
          </cell>
          <cell r="BC1182" t="str">
            <v>OTHERS</v>
          </cell>
          <cell r="BE1182" t="str">
            <v>May</v>
          </cell>
        </row>
        <row r="1183">
          <cell r="C1183" t="str">
            <v>Other</v>
          </cell>
          <cell r="R1183">
            <v>0</v>
          </cell>
          <cell r="AZ1183">
            <v>0</v>
          </cell>
          <cell r="BA1183">
            <v>0</v>
          </cell>
          <cell r="BC1183" t="str">
            <v>OTHERS</v>
          </cell>
          <cell r="BE1183" t="str">
            <v>Jun</v>
          </cell>
        </row>
        <row r="1184">
          <cell r="C1184" t="str">
            <v>Other</v>
          </cell>
          <cell r="R1184">
            <v>0</v>
          </cell>
          <cell r="AZ1184">
            <v>0</v>
          </cell>
          <cell r="BA1184">
            <v>0</v>
          </cell>
          <cell r="BC1184" t="str">
            <v>OTHERS</v>
          </cell>
          <cell r="BE1184" t="str">
            <v>Jul</v>
          </cell>
        </row>
        <row r="1185">
          <cell r="C1185" t="str">
            <v>Other</v>
          </cell>
          <cell r="R1185">
            <v>0</v>
          </cell>
          <cell r="AZ1185">
            <v>0</v>
          </cell>
          <cell r="BA1185">
            <v>0</v>
          </cell>
          <cell r="BC1185" t="str">
            <v>OTHERS</v>
          </cell>
          <cell r="BE1185" t="str">
            <v>Aug</v>
          </cell>
        </row>
        <row r="1186">
          <cell r="C1186" t="str">
            <v>Other</v>
          </cell>
          <cell r="R1186">
            <v>0</v>
          </cell>
          <cell r="AZ1186">
            <v>0</v>
          </cell>
          <cell r="BA1186">
            <v>0</v>
          </cell>
          <cell r="BC1186" t="str">
            <v>OTHERS</v>
          </cell>
          <cell r="BE1186" t="str">
            <v>Sep</v>
          </cell>
        </row>
        <row r="1187">
          <cell r="C1187" t="str">
            <v>Other</v>
          </cell>
          <cell r="R1187">
            <v>0</v>
          </cell>
          <cell r="AZ1187">
            <v>0</v>
          </cell>
          <cell r="BA1187">
            <v>0</v>
          </cell>
          <cell r="BC1187" t="str">
            <v>OTHERS</v>
          </cell>
          <cell r="BE1187" t="str">
            <v>Oct</v>
          </cell>
        </row>
        <row r="1188">
          <cell r="C1188" t="str">
            <v>Other</v>
          </cell>
          <cell r="R1188">
            <v>0</v>
          </cell>
          <cell r="AZ1188">
            <v>0</v>
          </cell>
          <cell r="BA1188">
            <v>0</v>
          </cell>
          <cell r="BC1188" t="str">
            <v>OTHERS</v>
          </cell>
          <cell r="BE1188" t="str">
            <v>Nov</v>
          </cell>
        </row>
        <row r="1189">
          <cell r="C1189" t="str">
            <v>Other</v>
          </cell>
          <cell r="R1189">
            <v>0</v>
          </cell>
          <cell r="AZ1189">
            <v>0</v>
          </cell>
          <cell r="BA1189">
            <v>0</v>
          </cell>
          <cell r="BC1189" t="str">
            <v>OTHERS</v>
          </cell>
          <cell r="BE1189" t="str">
            <v>Dec</v>
          </cell>
        </row>
        <row r="1190">
          <cell r="C1190" t="str">
            <v>AES</v>
          </cell>
          <cell r="R1190">
            <v>0</v>
          </cell>
          <cell r="AZ1190">
            <v>0</v>
          </cell>
          <cell r="BA1190">
            <v>0</v>
          </cell>
          <cell r="BC1190" t="str">
            <v>OTHERS</v>
          </cell>
          <cell r="BE1190" t="str">
            <v>Jan</v>
          </cell>
        </row>
        <row r="1191">
          <cell r="C1191" t="str">
            <v>AES</v>
          </cell>
          <cell r="R1191">
            <v>0</v>
          </cell>
          <cell r="AZ1191">
            <v>0</v>
          </cell>
          <cell r="BA1191">
            <v>0</v>
          </cell>
          <cell r="BC1191" t="str">
            <v>OTHERS</v>
          </cell>
          <cell r="BE1191" t="str">
            <v>Feb</v>
          </cell>
        </row>
        <row r="1192">
          <cell r="C1192" t="str">
            <v>AES</v>
          </cell>
          <cell r="R1192">
            <v>0</v>
          </cell>
          <cell r="AZ1192">
            <v>0</v>
          </cell>
          <cell r="BA1192">
            <v>0</v>
          </cell>
          <cell r="BC1192" t="str">
            <v>OTHERS</v>
          </cell>
          <cell r="BE1192" t="str">
            <v>Mar</v>
          </cell>
        </row>
        <row r="1193">
          <cell r="C1193" t="str">
            <v>AES</v>
          </cell>
          <cell r="R1193">
            <v>0</v>
          </cell>
          <cell r="AZ1193">
            <v>0</v>
          </cell>
          <cell r="BA1193">
            <v>0</v>
          </cell>
          <cell r="BC1193" t="str">
            <v>OTHERS</v>
          </cell>
          <cell r="BE1193" t="str">
            <v>Apr</v>
          </cell>
        </row>
        <row r="1194">
          <cell r="C1194" t="str">
            <v>AES</v>
          </cell>
          <cell r="R1194">
            <v>0</v>
          </cell>
          <cell r="AZ1194">
            <v>0</v>
          </cell>
          <cell r="BA1194">
            <v>0</v>
          </cell>
          <cell r="BC1194" t="str">
            <v>OTHERS</v>
          </cell>
          <cell r="BE1194" t="str">
            <v>May</v>
          </cell>
        </row>
        <row r="1195">
          <cell r="C1195" t="str">
            <v>AES</v>
          </cell>
          <cell r="R1195">
            <v>0</v>
          </cell>
          <cell r="AZ1195">
            <v>0</v>
          </cell>
          <cell r="BA1195">
            <v>0</v>
          </cell>
          <cell r="BC1195" t="str">
            <v>OTHERS</v>
          </cell>
          <cell r="BE1195" t="str">
            <v>Jun</v>
          </cell>
        </row>
        <row r="1196">
          <cell r="C1196" t="str">
            <v>AES</v>
          </cell>
          <cell r="R1196">
            <v>0</v>
          </cell>
          <cell r="AZ1196">
            <v>0</v>
          </cell>
          <cell r="BA1196">
            <v>0</v>
          </cell>
          <cell r="BC1196" t="str">
            <v>OTHERS</v>
          </cell>
          <cell r="BE1196" t="str">
            <v>Jul</v>
          </cell>
        </row>
        <row r="1197">
          <cell r="C1197" t="str">
            <v>AES</v>
          </cell>
          <cell r="R1197">
            <v>0</v>
          </cell>
          <cell r="AZ1197">
            <v>0</v>
          </cell>
          <cell r="BA1197">
            <v>0</v>
          </cell>
          <cell r="BC1197" t="str">
            <v>OTHERS</v>
          </cell>
          <cell r="BE1197" t="str">
            <v>Aug</v>
          </cell>
        </row>
        <row r="1198">
          <cell r="C1198" t="str">
            <v>AES</v>
          </cell>
          <cell r="R1198">
            <v>0</v>
          </cell>
          <cell r="AZ1198">
            <v>0</v>
          </cell>
          <cell r="BA1198">
            <v>0</v>
          </cell>
          <cell r="BC1198" t="str">
            <v>OTHERS</v>
          </cell>
          <cell r="BE1198" t="str">
            <v>Sep</v>
          </cell>
        </row>
        <row r="1199">
          <cell r="C1199" t="str">
            <v>AES</v>
          </cell>
          <cell r="R1199">
            <v>0</v>
          </cell>
          <cell r="AZ1199">
            <v>0</v>
          </cell>
          <cell r="BA1199">
            <v>0</v>
          </cell>
          <cell r="BC1199" t="str">
            <v>OTHERS</v>
          </cell>
          <cell r="BE1199" t="str">
            <v>Oct</v>
          </cell>
        </row>
        <row r="1200">
          <cell r="C1200" t="str">
            <v>AES</v>
          </cell>
          <cell r="R1200">
            <v>0</v>
          </cell>
          <cell r="AZ1200">
            <v>0</v>
          </cell>
          <cell r="BA1200">
            <v>0</v>
          </cell>
          <cell r="BC1200" t="str">
            <v>OTHERS</v>
          </cell>
          <cell r="BE1200" t="str">
            <v>Nov</v>
          </cell>
        </row>
        <row r="1201">
          <cell r="C1201" t="str">
            <v>AES</v>
          </cell>
          <cell r="R1201">
            <v>0</v>
          </cell>
          <cell r="AZ1201">
            <v>0</v>
          </cell>
          <cell r="BA1201">
            <v>0</v>
          </cell>
          <cell r="BC1201" t="str">
            <v>OTHERS</v>
          </cell>
          <cell r="BE1201" t="str">
            <v>Dec</v>
          </cell>
        </row>
        <row r="1202">
          <cell r="C1202" t="str">
            <v>AES</v>
          </cell>
          <cell r="R1202">
            <v>0</v>
          </cell>
          <cell r="AZ1202">
            <v>0</v>
          </cell>
          <cell r="BA1202">
            <v>0</v>
          </cell>
          <cell r="BC1202" t="str">
            <v>OTHERS</v>
          </cell>
          <cell r="BE1202" t="str">
            <v>Jan</v>
          </cell>
        </row>
        <row r="1203">
          <cell r="C1203" t="str">
            <v>AES</v>
          </cell>
          <cell r="R1203">
            <v>0</v>
          </cell>
          <cell r="AZ1203">
            <v>0</v>
          </cell>
          <cell r="BA1203">
            <v>0</v>
          </cell>
          <cell r="BC1203" t="str">
            <v>OTHERS</v>
          </cell>
          <cell r="BE1203" t="str">
            <v>Feb</v>
          </cell>
        </row>
        <row r="1204">
          <cell r="C1204" t="str">
            <v>AES</v>
          </cell>
          <cell r="R1204">
            <v>0</v>
          </cell>
          <cell r="AZ1204">
            <v>0</v>
          </cell>
          <cell r="BA1204">
            <v>0</v>
          </cell>
          <cell r="BC1204" t="str">
            <v>OTHERS</v>
          </cell>
          <cell r="BE1204" t="str">
            <v>Mar</v>
          </cell>
        </row>
        <row r="1205">
          <cell r="C1205" t="str">
            <v>AES</v>
          </cell>
          <cell r="R1205">
            <v>0</v>
          </cell>
          <cell r="AZ1205">
            <v>0</v>
          </cell>
          <cell r="BA1205">
            <v>0</v>
          </cell>
          <cell r="BC1205" t="str">
            <v>OTHERS</v>
          </cell>
          <cell r="BE1205" t="str">
            <v>Apr</v>
          </cell>
        </row>
        <row r="1206">
          <cell r="C1206" t="str">
            <v>AES</v>
          </cell>
          <cell r="R1206">
            <v>0</v>
          </cell>
          <cell r="AZ1206">
            <v>0</v>
          </cell>
          <cell r="BA1206">
            <v>0</v>
          </cell>
          <cell r="BC1206" t="str">
            <v>OTHERS</v>
          </cell>
          <cell r="BE1206" t="str">
            <v>May</v>
          </cell>
        </row>
        <row r="1207">
          <cell r="C1207" t="str">
            <v>AES</v>
          </cell>
          <cell r="R1207">
            <v>0</v>
          </cell>
          <cell r="AZ1207">
            <v>0</v>
          </cell>
          <cell r="BA1207">
            <v>0</v>
          </cell>
          <cell r="BC1207" t="str">
            <v>OTHERS</v>
          </cell>
          <cell r="BE1207" t="str">
            <v>Jun</v>
          </cell>
        </row>
        <row r="1208">
          <cell r="C1208" t="str">
            <v>AES</v>
          </cell>
          <cell r="R1208">
            <v>0</v>
          </cell>
          <cell r="AZ1208">
            <v>0</v>
          </cell>
          <cell r="BA1208">
            <v>0</v>
          </cell>
          <cell r="BC1208" t="str">
            <v>OTHERS</v>
          </cell>
          <cell r="BE1208" t="str">
            <v>Jul</v>
          </cell>
        </row>
        <row r="1209">
          <cell r="C1209" t="str">
            <v>AES</v>
          </cell>
          <cell r="R1209">
            <v>0</v>
          </cell>
          <cell r="AZ1209">
            <v>0</v>
          </cell>
          <cell r="BA1209">
            <v>0</v>
          </cell>
          <cell r="BC1209" t="str">
            <v>OTHERS</v>
          </cell>
          <cell r="BE1209" t="str">
            <v>Aug</v>
          </cell>
        </row>
        <row r="1210">
          <cell r="C1210" t="str">
            <v>AES</v>
          </cell>
          <cell r="R1210">
            <v>0</v>
          </cell>
          <cell r="AZ1210">
            <v>0</v>
          </cell>
          <cell r="BA1210">
            <v>0</v>
          </cell>
          <cell r="BC1210" t="str">
            <v>OTHERS</v>
          </cell>
          <cell r="BE1210" t="str">
            <v>Sep</v>
          </cell>
        </row>
        <row r="1211">
          <cell r="C1211" t="str">
            <v>AES</v>
          </cell>
          <cell r="R1211">
            <v>0</v>
          </cell>
          <cell r="AZ1211">
            <v>0</v>
          </cell>
          <cell r="BA1211">
            <v>0</v>
          </cell>
          <cell r="BC1211" t="str">
            <v>OTHERS</v>
          </cell>
          <cell r="BE1211" t="str">
            <v>Oct</v>
          </cell>
        </row>
        <row r="1212">
          <cell r="C1212" t="str">
            <v>AES</v>
          </cell>
          <cell r="R1212">
            <v>0</v>
          </cell>
          <cell r="AZ1212">
            <v>0</v>
          </cell>
          <cell r="BA1212">
            <v>0</v>
          </cell>
          <cell r="BC1212" t="str">
            <v>OTHERS</v>
          </cell>
          <cell r="BE1212" t="str">
            <v>Nov</v>
          </cell>
        </row>
        <row r="1213">
          <cell r="C1213" t="str">
            <v>AES</v>
          </cell>
          <cell r="R1213">
            <v>0</v>
          </cell>
          <cell r="AZ1213">
            <v>0</v>
          </cell>
          <cell r="BA1213">
            <v>0</v>
          </cell>
          <cell r="BC1213" t="str">
            <v>OTHERS</v>
          </cell>
          <cell r="BE1213" t="str">
            <v>Dec</v>
          </cell>
        </row>
        <row r="1214">
          <cell r="C1214" t="str">
            <v>AES</v>
          </cell>
          <cell r="R1214">
            <v>0</v>
          </cell>
          <cell r="AZ1214">
            <v>0</v>
          </cell>
          <cell r="BA1214">
            <v>0</v>
          </cell>
          <cell r="BC1214" t="str">
            <v>OTHERS</v>
          </cell>
          <cell r="BE1214" t="str">
            <v>Jan</v>
          </cell>
        </row>
        <row r="1215">
          <cell r="C1215" t="str">
            <v>AES</v>
          </cell>
          <cell r="R1215">
            <v>0</v>
          </cell>
          <cell r="AZ1215">
            <v>0</v>
          </cell>
          <cell r="BA1215">
            <v>0</v>
          </cell>
          <cell r="BC1215" t="str">
            <v>OTHERS</v>
          </cell>
          <cell r="BE1215" t="str">
            <v>Feb</v>
          </cell>
        </row>
        <row r="1216">
          <cell r="C1216" t="str">
            <v>AES</v>
          </cell>
          <cell r="R1216">
            <v>44000</v>
          </cell>
          <cell r="AZ1216">
            <v>-66000</v>
          </cell>
          <cell r="BA1216">
            <v>-47645.309036845545</v>
          </cell>
          <cell r="BC1216" t="str">
            <v>OTHERS</v>
          </cell>
          <cell r="BE1216" t="str">
            <v>Mar</v>
          </cell>
        </row>
        <row r="1217">
          <cell r="C1217" t="str">
            <v>AES</v>
          </cell>
          <cell r="R1217">
            <v>0</v>
          </cell>
          <cell r="AZ1217">
            <v>0</v>
          </cell>
          <cell r="BA1217">
            <v>0</v>
          </cell>
          <cell r="BC1217" t="str">
            <v>OTHERS</v>
          </cell>
          <cell r="BE1217" t="str">
            <v>Apr</v>
          </cell>
        </row>
        <row r="1218">
          <cell r="C1218" t="str">
            <v>AES</v>
          </cell>
          <cell r="R1218">
            <v>0</v>
          </cell>
          <cell r="AZ1218">
            <v>0</v>
          </cell>
          <cell r="BA1218">
            <v>0</v>
          </cell>
          <cell r="BC1218" t="str">
            <v>OTHERS</v>
          </cell>
          <cell r="BE1218" t="str">
            <v>May</v>
          </cell>
        </row>
        <row r="1219">
          <cell r="C1219" t="str">
            <v>AES</v>
          </cell>
          <cell r="R1219">
            <v>0</v>
          </cell>
          <cell r="AZ1219">
            <v>0</v>
          </cell>
          <cell r="BA1219">
            <v>0</v>
          </cell>
          <cell r="BC1219" t="str">
            <v>OTHERS</v>
          </cell>
          <cell r="BE1219" t="str">
            <v>Jun</v>
          </cell>
        </row>
        <row r="1220">
          <cell r="C1220" t="str">
            <v>AES</v>
          </cell>
          <cell r="R1220">
            <v>0</v>
          </cell>
          <cell r="AZ1220">
            <v>0</v>
          </cell>
          <cell r="BA1220">
            <v>0</v>
          </cell>
          <cell r="BC1220" t="str">
            <v>OTHERS</v>
          </cell>
          <cell r="BE1220" t="str">
            <v>Jul</v>
          </cell>
        </row>
        <row r="1221">
          <cell r="C1221" t="str">
            <v>AES</v>
          </cell>
          <cell r="R1221">
            <v>0</v>
          </cell>
          <cell r="AZ1221">
            <v>0</v>
          </cell>
          <cell r="BA1221">
            <v>0</v>
          </cell>
          <cell r="BC1221" t="str">
            <v>OTHERS</v>
          </cell>
          <cell r="BE1221" t="str">
            <v>Aug</v>
          </cell>
        </row>
        <row r="1222">
          <cell r="C1222" t="str">
            <v>AES</v>
          </cell>
          <cell r="R1222">
            <v>0</v>
          </cell>
          <cell r="AZ1222">
            <v>0</v>
          </cell>
          <cell r="BA1222">
            <v>0</v>
          </cell>
          <cell r="BC1222" t="str">
            <v>OTHERS</v>
          </cell>
          <cell r="BE1222" t="str">
            <v>Sep</v>
          </cell>
        </row>
        <row r="1223">
          <cell r="C1223" t="str">
            <v>AES</v>
          </cell>
          <cell r="R1223">
            <v>0</v>
          </cell>
          <cell r="AZ1223">
            <v>0</v>
          </cell>
          <cell r="BA1223">
            <v>0</v>
          </cell>
          <cell r="BC1223" t="str">
            <v>OTHERS</v>
          </cell>
          <cell r="BE1223" t="str">
            <v>Oct</v>
          </cell>
        </row>
        <row r="1224">
          <cell r="C1224" t="str">
            <v>AES</v>
          </cell>
          <cell r="R1224">
            <v>0</v>
          </cell>
          <cell r="AZ1224">
            <v>0</v>
          </cell>
          <cell r="BA1224">
            <v>0</v>
          </cell>
          <cell r="BC1224" t="str">
            <v>OTHERS</v>
          </cell>
          <cell r="BE1224" t="str">
            <v>Nov</v>
          </cell>
        </row>
        <row r="1225">
          <cell r="C1225" t="str">
            <v>AES</v>
          </cell>
          <cell r="R1225">
            <v>0</v>
          </cell>
          <cell r="AZ1225">
            <v>0</v>
          </cell>
          <cell r="BA1225">
            <v>0</v>
          </cell>
          <cell r="BC1225" t="str">
            <v>OTHERS</v>
          </cell>
          <cell r="BE1225" t="str">
            <v>Dec</v>
          </cell>
        </row>
        <row r="1226">
          <cell r="C1226" t="str">
            <v>AES</v>
          </cell>
          <cell r="R1226">
            <v>0</v>
          </cell>
          <cell r="AZ1226">
            <v>0</v>
          </cell>
          <cell r="BA1226">
            <v>0</v>
          </cell>
          <cell r="BC1226" t="str">
            <v>OTHERS</v>
          </cell>
          <cell r="BE1226" t="str">
            <v>Jan</v>
          </cell>
        </row>
        <row r="1227">
          <cell r="C1227" t="str">
            <v>AES</v>
          </cell>
          <cell r="R1227">
            <v>0</v>
          </cell>
          <cell r="AZ1227">
            <v>0</v>
          </cell>
          <cell r="BA1227">
            <v>0</v>
          </cell>
          <cell r="BC1227" t="str">
            <v>OTHERS</v>
          </cell>
          <cell r="BE1227" t="str">
            <v>Feb</v>
          </cell>
        </row>
        <row r="1228">
          <cell r="C1228" t="str">
            <v>AES</v>
          </cell>
          <cell r="R1228">
            <v>5500</v>
          </cell>
          <cell r="AZ1228">
            <v>-8250</v>
          </cell>
          <cell r="BA1228">
            <v>-6427.6061191887529</v>
          </cell>
          <cell r="BC1228" t="str">
            <v>OTHERS</v>
          </cell>
          <cell r="BE1228" t="str">
            <v>Mar</v>
          </cell>
        </row>
        <row r="1229">
          <cell r="C1229" t="str">
            <v>AES</v>
          </cell>
          <cell r="R1229">
            <v>0</v>
          </cell>
          <cell r="AZ1229">
            <v>0</v>
          </cell>
          <cell r="BA1229">
            <v>0</v>
          </cell>
          <cell r="BC1229" t="str">
            <v>OTHERS</v>
          </cell>
          <cell r="BE1229" t="str">
            <v>Apr</v>
          </cell>
        </row>
        <row r="1230">
          <cell r="C1230" t="str">
            <v>AES</v>
          </cell>
          <cell r="R1230">
            <v>0</v>
          </cell>
          <cell r="AZ1230">
            <v>0</v>
          </cell>
          <cell r="BA1230">
            <v>0</v>
          </cell>
          <cell r="BC1230" t="str">
            <v>OTHERS</v>
          </cell>
          <cell r="BE1230" t="str">
            <v>May</v>
          </cell>
        </row>
        <row r="1231">
          <cell r="C1231" t="str">
            <v>AES</v>
          </cell>
          <cell r="R1231">
            <v>0</v>
          </cell>
          <cell r="AZ1231">
            <v>0</v>
          </cell>
          <cell r="BA1231">
            <v>0</v>
          </cell>
          <cell r="BC1231" t="str">
            <v>OTHERS</v>
          </cell>
          <cell r="BE1231" t="str">
            <v>Jun</v>
          </cell>
        </row>
        <row r="1232">
          <cell r="C1232" t="str">
            <v>AES</v>
          </cell>
          <cell r="R1232">
            <v>0</v>
          </cell>
          <cell r="AZ1232">
            <v>0</v>
          </cell>
          <cell r="BA1232">
            <v>0</v>
          </cell>
          <cell r="BC1232" t="str">
            <v>OTHERS</v>
          </cell>
          <cell r="BE1232" t="str">
            <v>Jul</v>
          </cell>
        </row>
        <row r="1233">
          <cell r="C1233" t="str">
            <v>AES</v>
          </cell>
          <cell r="R1233">
            <v>0</v>
          </cell>
          <cell r="AZ1233">
            <v>0</v>
          </cell>
          <cell r="BA1233">
            <v>0</v>
          </cell>
          <cell r="BC1233" t="str">
            <v>OTHERS</v>
          </cell>
          <cell r="BE1233" t="str">
            <v>Aug</v>
          </cell>
        </row>
        <row r="1234">
          <cell r="C1234" t="str">
            <v>AES</v>
          </cell>
          <cell r="R1234">
            <v>0</v>
          </cell>
          <cell r="AZ1234">
            <v>0</v>
          </cell>
          <cell r="BA1234">
            <v>0</v>
          </cell>
          <cell r="BC1234" t="str">
            <v>OTHERS</v>
          </cell>
          <cell r="BE1234" t="str">
            <v>Sep</v>
          </cell>
        </row>
        <row r="1235">
          <cell r="C1235" t="str">
            <v>AES</v>
          </cell>
          <cell r="R1235">
            <v>0</v>
          </cell>
          <cell r="AZ1235">
            <v>0</v>
          </cell>
          <cell r="BA1235">
            <v>0</v>
          </cell>
          <cell r="BC1235" t="str">
            <v>OTHERS</v>
          </cell>
          <cell r="BE1235" t="str">
            <v>Oct</v>
          </cell>
        </row>
        <row r="1236">
          <cell r="C1236" t="str">
            <v>AES</v>
          </cell>
          <cell r="R1236">
            <v>0</v>
          </cell>
          <cell r="AZ1236">
            <v>0</v>
          </cell>
          <cell r="BA1236">
            <v>0</v>
          </cell>
          <cell r="BC1236" t="str">
            <v>OTHERS</v>
          </cell>
          <cell r="BE1236" t="str">
            <v>Nov</v>
          </cell>
        </row>
        <row r="1237">
          <cell r="C1237" t="str">
            <v>AES</v>
          </cell>
          <cell r="R1237">
            <v>0</v>
          </cell>
          <cell r="AZ1237">
            <v>0</v>
          </cell>
          <cell r="BA1237">
            <v>0</v>
          </cell>
          <cell r="BC1237" t="str">
            <v>OTHERS</v>
          </cell>
          <cell r="BE1237" t="str">
            <v>Dec</v>
          </cell>
        </row>
        <row r="1238">
          <cell r="C1238" t="str">
            <v>AES</v>
          </cell>
          <cell r="R1238">
            <v>0</v>
          </cell>
          <cell r="AZ1238">
            <v>0</v>
          </cell>
          <cell r="BA1238">
            <v>0</v>
          </cell>
          <cell r="BC1238" t="str">
            <v>OTHERS</v>
          </cell>
          <cell r="BE1238" t="str">
            <v>Jan</v>
          </cell>
        </row>
        <row r="1239">
          <cell r="C1239" t="str">
            <v>AES</v>
          </cell>
          <cell r="R1239">
            <v>0</v>
          </cell>
          <cell r="AZ1239">
            <v>0</v>
          </cell>
          <cell r="BA1239">
            <v>0</v>
          </cell>
          <cell r="BC1239" t="str">
            <v>OTHERS</v>
          </cell>
          <cell r="BE1239" t="str">
            <v>Feb</v>
          </cell>
        </row>
        <row r="1240">
          <cell r="C1240" t="str">
            <v>AES</v>
          </cell>
          <cell r="R1240">
            <v>5499.9999999999973</v>
          </cell>
          <cell r="AZ1240">
            <v>-8249.9999999999964</v>
          </cell>
          <cell r="BA1240">
            <v>-7918.6102676945211</v>
          </cell>
          <cell r="BC1240" t="str">
            <v>OTHERS</v>
          </cell>
          <cell r="BE1240" t="str">
            <v>Mar</v>
          </cell>
        </row>
        <row r="1241">
          <cell r="C1241" t="str">
            <v>AES</v>
          </cell>
          <cell r="R1241">
            <v>0</v>
          </cell>
          <cell r="AZ1241">
            <v>0</v>
          </cell>
          <cell r="BA1241">
            <v>0</v>
          </cell>
          <cell r="BC1241" t="str">
            <v>OTHERS</v>
          </cell>
          <cell r="BE1241" t="str">
            <v>Apr</v>
          </cell>
        </row>
        <row r="1242">
          <cell r="C1242" t="str">
            <v>AES</v>
          </cell>
          <cell r="R1242">
            <v>0</v>
          </cell>
          <cell r="AZ1242">
            <v>0</v>
          </cell>
          <cell r="BA1242">
            <v>0</v>
          </cell>
          <cell r="BC1242" t="str">
            <v>OTHERS</v>
          </cell>
          <cell r="BE1242" t="str">
            <v>May</v>
          </cell>
        </row>
        <row r="1243">
          <cell r="C1243" t="str">
            <v>AES</v>
          </cell>
          <cell r="R1243">
            <v>0</v>
          </cell>
          <cell r="AZ1243">
            <v>0</v>
          </cell>
          <cell r="BA1243">
            <v>0</v>
          </cell>
          <cell r="BC1243" t="str">
            <v>OTHERS</v>
          </cell>
          <cell r="BE1243" t="str">
            <v>Jun</v>
          </cell>
        </row>
        <row r="1244">
          <cell r="C1244" t="str">
            <v>AES</v>
          </cell>
          <cell r="R1244">
            <v>0</v>
          </cell>
          <cell r="AZ1244">
            <v>0</v>
          </cell>
          <cell r="BA1244">
            <v>0</v>
          </cell>
          <cell r="BC1244" t="str">
            <v>OTHERS</v>
          </cell>
          <cell r="BE1244" t="str">
            <v>Jul</v>
          </cell>
        </row>
        <row r="1245">
          <cell r="C1245" t="str">
            <v>AES</v>
          </cell>
          <cell r="R1245">
            <v>0</v>
          </cell>
          <cell r="AZ1245">
            <v>0</v>
          </cell>
          <cell r="BA1245">
            <v>0</v>
          </cell>
          <cell r="BC1245" t="str">
            <v>OTHERS</v>
          </cell>
          <cell r="BE1245" t="str">
            <v>Aug</v>
          </cell>
        </row>
        <row r="1246">
          <cell r="C1246" t="str">
            <v>AES</v>
          </cell>
          <cell r="R1246">
            <v>0</v>
          </cell>
          <cell r="AZ1246">
            <v>0</v>
          </cell>
          <cell r="BA1246">
            <v>0</v>
          </cell>
          <cell r="BC1246" t="str">
            <v>OTHERS</v>
          </cell>
          <cell r="BE1246" t="str">
            <v>Sep</v>
          </cell>
        </row>
        <row r="1247">
          <cell r="C1247" t="str">
            <v>AES</v>
          </cell>
          <cell r="R1247">
            <v>0</v>
          </cell>
          <cell r="AZ1247">
            <v>0</v>
          </cell>
          <cell r="BA1247">
            <v>0</v>
          </cell>
          <cell r="BC1247" t="str">
            <v>OTHERS</v>
          </cell>
          <cell r="BE1247" t="str">
            <v>Oct</v>
          </cell>
        </row>
        <row r="1248">
          <cell r="C1248" t="str">
            <v>AES</v>
          </cell>
          <cell r="R1248">
            <v>0</v>
          </cell>
          <cell r="AZ1248">
            <v>0</v>
          </cell>
          <cell r="BA1248">
            <v>0</v>
          </cell>
          <cell r="BC1248" t="str">
            <v>OTHERS</v>
          </cell>
          <cell r="BE1248" t="str">
            <v>Nov</v>
          </cell>
        </row>
        <row r="1249">
          <cell r="C1249" t="str">
            <v>AES</v>
          </cell>
          <cell r="R1249">
            <v>0</v>
          </cell>
          <cell r="AZ1249">
            <v>0</v>
          </cell>
          <cell r="BA1249">
            <v>0</v>
          </cell>
          <cell r="BC1249" t="str">
            <v>OTHERS</v>
          </cell>
          <cell r="BE1249" t="str">
            <v>Dec</v>
          </cell>
        </row>
        <row r="1250">
          <cell r="C1250" t="str">
            <v>AES</v>
          </cell>
          <cell r="R1250">
            <v>0</v>
          </cell>
          <cell r="AZ1250">
            <v>0</v>
          </cell>
          <cell r="BA1250">
            <v>0</v>
          </cell>
          <cell r="BC1250" t="str">
            <v>OTHERS</v>
          </cell>
          <cell r="BE1250" t="str">
            <v>Jan</v>
          </cell>
        </row>
        <row r="1251">
          <cell r="C1251" t="str">
            <v>AES</v>
          </cell>
          <cell r="R1251">
            <v>0</v>
          </cell>
          <cell r="AZ1251">
            <v>0</v>
          </cell>
          <cell r="BA1251">
            <v>0</v>
          </cell>
          <cell r="BC1251" t="str">
            <v>OTHERS</v>
          </cell>
          <cell r="BE1251" t="str">
            <v>Feb</v>
          </cell>
        </row>
        <row r="1252">
          <cell r="C1252" t="str">
            <v>AES</v>
          </cell>
          <cell r="R1252">
            <v>0</v>
          </cell>
          <cell r="AZ1252">
            <v>0</v>
          </cell>
          <cell r="BA1252">
            <v>0</v>
          </cell>
          <cell r="BC1252" t="str">
            <v>OTHERS</v>
          </cell>
          <cell r="BE1252" t="str">
            <v>Mar</v>
          </cell>
        </row>
        <row r="1253">
          <cell r="C1253" t="str">
            <v>AES</v>
          </cell>
          <cell r="R1253">
            <v>44000</v>
          </cell>
          <cell r="AZ1253">
            <v>-66000</v>
          </cell>
          <cell r="BA1253">
            <v>-49973.839177744012</v>
          </cell>
          <cell r="BC1253" t="str">
            <v>OTHERS</v>
          </cell>
          <cell r="BE1253" t="str">
            <v>Apr</v>
          </cell>
        </row>
        <row r="1254">
          <cell r="C1254" t="str">
            <v>AES</v>
          </cell>
          <cell r="R1254">
            <v>44000</v>
          </cell>
          <cell r="AZ1254">
            <v>-66000</v>
          </cell>
          <cell r="BA1254">
            <v>-49973.839177744012</v>
          </cell>
          <cell r="BC1254" t="str">
            <v>OTHERS</v>
          </cell>
          <cell r="BE1254" t="str">
            <v>May</v>
          </cell>
        </row>
        <row r="1255">
          <cell r="C1255" t="str">
            <v>AES</v>
          </cell>
          <cell r="R1255">
            <v>44000</v>
          </cell>
          <cell r="AZ1255">
            <v>-66000</v>
          </cell>
          <cell r="BA1255">
            <v>-49973.839177744012</v>
          </cell>
          <cell r="BC1255" t="str">
            <v>OTHERS</v>
          </cell>
          <cell r="BE1255" t="str">
            <v>Jun</v>
          </cell>
        </row>
        <row r="1256">
          <cell r="C1256" t="str">
            <v>AES</v>
          </cell>
          <cell r="R1256">
            <v>0</v>
          </cell>
          <cell r="AZ1256">
            <v>0</v>
          </cell>
          <cell r="BA1256">
            <v>0</v>
          </cell>
          <cell r="BC1256" t="str">
            <v>OTHERS</v>
          </cell>
          <cell r="BE1256" t="str">
            <v>Jul</v>
          </cell>
        </row>
        <row r="1257">
          <cell r="C1257" t="str">
            <v>AES</v>
          </cell>
          <cell r="R1257">
            <v>0</v>
          </cell>
          <cell r="AZ1257">
            <v>0</v>
          </cell>
          <cell r="BA1257">
            <v>0</v>
          </cell>
          <cell r="BC1257" t="str">
            <v>OTHERS</v>
          </cell>
          <cell r="BE1257" t="str">
            <v>Aug</v>
          </cell>
        </row>
        <row r="1258">
          <cell r="C1258" t="str">
            <v>AES</v>
          </cell>
          <cell r="R1258">
            <v>0</v>
          </cell>
          <cell r="AZ1258">
            <v>0</v>
          </cell>
          <cell r="BA1258">
            <v>0</v>
          </cell>
          <cell r="BC1258" t="str">
            <v>OTHERS</v>
          </cell>
          <cell r="BE1258" t="str">
            <v>Sep</v>
          </cell>
        </row>
        <row r="1259">
          <cell r="C1259" t="str">
            <v>AES</v>
          </cell>
          <cell r="R1259">
            <v>0</v>
          </cell>
          <cell r="AZ1259">
            <v>0</v>
          </cell>
          <cell r="BA1259">
            <v>0</v>
          </cell>
          <cell r="BC1259" t="str">
            <v>OTHERS</v>
          </cell>
          <cell r="BE1259" t="str">
            <v>Oct</v>
          </cell>
        </row>
        <row r="1260">
          <cell r="C1260" t="str">
            <v>AES</v>
          </cell>
          <cell r="R1260">
            <v>0</v>
          </cell>
          <cell r="AZ1260">
            <v>0</v>
          </cell>
          <cell r="BA1260">
            <v>0</v>
          </cell>
          <cell r="BC1260" t="str">
            <v>OTHERS</v>
          </cell>
          <cell r="BE1260" t="str">
            <v>Nov</v>
          </cell>
        </row>
        <row r="1261">
          <cell r="C1261" t="str">
            <v>AES</v>
          </cell>
          <cell r="R1261">
            <v>0</v>
          </cell>
          <cell r="AZ1261">
            <v>0</v>
          </cell>
          <cell r="BA1261">
            <v>0</v>
          </cell>
          <cell r="BC1261" t="str">
            <v>OTHERS</v>
          </cell>
          <cell r="BE1261" t="str">
            <v>Dec</v>
          </cell>
        </row>
        <row r="1262">
          <cell r="C1262" t="str">
            <v>AES</v>
          </cell>
          <cell r="R1262">
            <v>0</v>
          </cell>
          <cell r="AZ1262">
            <v>0</v>
          </cell>
          <cell r="BA1262">
            <v>0</v>
          </cell>
          <cell r="BC1262" t="str">
            <v>OTHERS</v>
          </cell>
          <cell r="BE1262" t="str">
            <v>Jan</v>
          </cell>
        </row>
        <row r="1263">
          <cell r="C1263" t="str">
            <v>AES</v>
          </cell>
          <cell r="R1263">
            <v>0</v>
          </cell>
          <cell r="AZ1263">
            <v>0</v>
          </cell>
          <cell r="BA1263">
            <v>0</v>
          </cell>
          <cell r="BC1263" t="str">
            <v>OTHERS</v>
          </cell>
          <cell r="BE1263" t="str">
            <v>Feb</v>
          </cell>
        </row>
        <row r="1264">
          <cell r="C1264" t="str">
            <v>AES</v>
          </cell>
          <cell r="R1264">
            <v>0</v>
          </cell>
          <cell r="AZ1264">
            <v>0</v>
          </cell>
          <cell r="BA1264">
            <v>0</v>
          </cell>
          <cell r="BC1264" t="str">
            <v>OTHERS</v>
          </cell>
          <cell r="BE1264" t="str">
            <v>Mar</v>
          </cell>
        </row>
        <row r="1265">
          <cell r="C1265" t="str">
            <v>AES</v>
          </cell>
          <cell r="R1265">
            <v>5500</v>
          </cell>
          <cell r="AZ1265">
            <v>-8250</v>
          </cell>
          <cell r="BA1265">
            <v>-6741.7372453145199</v>
          </cell>
          <cell r="BC1265" t="str">
            <v>OTHERS</v>
          </cell>
          <cell r="BE1265" t="str">
            <v>Apr</v>
          </cell>
        </row>
        <row r="1266">
          <cell r="C1266" t="str">
            <v>AES</v>
          </cell>
          <cell r="R1266">
            <v>5500</v>
          </cell>
          <cell r="AZ1266">
            <v>-8250</v>
          </cell>
          <cell r="BA1266">
            <v>-6741.7372453145199</v>
          </cell>
          <cell r="BC1266" t="str">
            <v>OTHERS</v>
          </cell>
          <cell r="BE1266" t="str">
            <v>May</v>
          </cell>
        </row>
        <row r="1267">
          <cell r="C1267" t="str">
            <v>AES</v>
          </cell>
          <cell r="R1267">
            <v>5500</v>
          </cell>
          <cell r="AZ1267">
            <v>-8250</v>
          </cell>
          <cell r="BA1267">
            <v>-6741.7372453145199</v>
          </cell>
          <cell r="BC1267" t="str">
            <v>OTHERS</v>
          </cell>
          <cell r="BE1267" t="str">
            <v>Jun</v>
          </cell>
        </row>
        <row r="1268">
          <cell r="C1268" t="str">
            <v>AES</v>
          </cell>
          <cell r="R1268">
            <v>0</v>
          </cell>
          <cell r="AZ1268">
            <v>0</v>
          </cell>
          <cell r="BA1268">
            <v>0</v>
          </cell>
          <cell r="BC1268" t="str">
            <v>OTHERS</v>
          </cell>
          <cell r="BE1268" t="str">
            <v>Jul</v>
          </cell>
        </row>
        <row r="1269">
          <cell r="C1269" t="str">
            <v>AES</v>
          </cell>
          <cell r="R1269">
            <v>0</v>
          </cell>
          <cell r="AZ1269">
            <v>0</v>
          </cell>
          <cell r="BA1269">
            <v>0</v>
          </cell>
          <cell r="BC1269" t="str">
            <v>OTHERS</v>
          </cell>
          <cell r="BE1269" t="str">
            <v>Aug</v>
          </cell>
        </row>
        <row r="1270">
          <cell r="C1270" t="str">
            <v>AES</v>
          </cell>
          <cell r="R1270">
            <v>0</v>
          </cell>
          <cell r="AZ1270">
            <v>0</v>
          </cell>
          <cell r="BA1270">
            <v>0</v>
          </cell>
          <cell r="BC1270" t="str">
            <v>OTHERS</v>
          </cell>
          <cell r="BE1270" t="str">
            <v>Sep</v>
          </cell>
        </row>
        <row r="1271">
          <cell r="C1271" t="str">
            <v>AES</v>
          </cell>
          <cell r="R1271">
            <v>0</v>
          </cell>
          <cell r="AZ1271">
            <v>0</v>
          </cell>
          <cell r="BA1271">
            <v>0</v>
          </cell>
          <cell r="BC1271" t="str">
            <v>OTHERS</v>
          </cell>
          <cell r="BE1271" t="str">
            <v>Oct</v>
          </cell>
        </row>
        <row r="1272">
          <cell r="C1272" t="str">
            <v>AES</v>
          </cell>
          <cell r="R1272">
            <v>0</v>
          </cell>
          <cell r="AZ1272">
            <v>0</v>
          </cell>
          <cell r="BA1272">
            <v>0</v>
          </cell>
          <cell r="BC1272" t="str">
            <v>OTHERS</v>
          </cell>
          <cell r="BE1272" t="str">
            <v>Nov</v>
          </cell>
        </row>
        <row r="1273">
          <cell r="C1273" t="str">
            <v>AES</v>
          </cell>
          <cell r="R1273">
            <v>0</v>
          </cell>
          <cell r="AZ1273">
            <v>0</v>
          </cell>
          <cell r="BA1273">
            <v>0</v>
          </cell>
          <cell r="BC1273" t="str">
            <v>OTHERS</v>
          </cell>
          <cell r="BE1273" t="str">
            <v>Dec</v>
          </cell>
        </row>
        <row r="1274">
          <cell r="C1274" t="str">
            <v>AES</v>
          </cell>
          <cell r="R1274">
            <v>0</v>
          </cell>
          <cell r="AZ1274">
            <v>0</v>
          </cell>
          <cell r="BA1274">
            <v>0</v>
          </cell>
          <cell r="BC1274" t="str">
            <v>OTHERS</v>
          </cell>
          <cell r="BE1274" t="str">
            <v>Jan</v>
          </cell>
        </row>
        <row r="1275">
          <cell r="C1275" t="str">
            <v>AES</v>
          </cell>
          <cell r="R1275">
            <v>0</v>
          </cell>
          <cell r="AZ1275">
            <v>0</v>
          </cell>
          <cell r="BA1275">
            <v>0</v>
          </cell>
          <cell r="BC1275" t="str">
            <v>OTHERS</v>
          </cell>
          <cell r="BE1275" t="str">
            <v>Feb</v>
          </cell>
        </row>
        <row r="1276">
          <cell r="C1276" t="str">
            <v>AES</v>
          </cell>
          <cell r="R1276">
            <v>0</v>
          </cell>
          <cell r="AZ1276">
            <v>0</v>
          </cell>
          <cell r="BA1276">
            <v>0</v>
          </cell>
          <cell r="BC1276" t="str">
            <v>OTHERS</v>
          </cell>
          <cell r="BE1276" t="str">
            <v>Mar</v>
          </cell>
        </row>
        <row r="1277">
          <cell r="C1277" t="str">
            <v>AES</v>
          </cell>
          <cell r="R1277">
            <v>5499.9999999999973</v>
          </cell>
          <cell r="AZ1277">
            <v>-8249.9999999999964</v>
          </cell>
          <cell r="BA1277">
            <v>-8305.6100176194414</v>
          </cell>
          <cell r="BC1277" t="str">
            <v>OTHERS</v>
          </cell>
          <cell r="BE1277" t="str">
            <v>Apr</v>
          </cell>
        </row>
        <row r="1278">
          <cell r="C1278" t="str">
            <v>AES</v>
          </cell>
          <cell r="R1278">
            <v>5499.9999999999973</v>
          </cell>
          <cell r="AZ1278">
            <v>-8249.9999999999964</v>
          </cell>
          <cell r="BA1278">
            <v>-8305.6100176194414</v>
          </cell>
          <cell r="BC1278" t="str">
            <v>OTHERS</v>
          </cell>
          <cell r="BE1278" t="str">
            <v>May</v>
          </cell>
        </row>
        <row r="1279">
          <cell r="C1279" t="str">
            <v>AES</v>
          </cell>
          <cell r="R1279">
            <v>5499.9999999999973</v>
          </cell>
          <cell r="AZ1279">
            <v>-8249.9999999999964</v>
          </cell>
          <cell r="BA1279">
            <v>-8305.6100176194414</v>
          </cell>
          <cell r="BC1279" t="str">
            <v>OTHERS</v>
          </cell>
          <cell r="BE1279" t="str">
            <v>Jun</v>
          </cell>
        </row>
        <row r="1280">
          <cell r="C1280" t="str">
            <v>AES</v>
          </cell>
          <cell r="R1280">
            <v>0</v>
          </cell>
          <cell r="AZ1280">
            <v>0</v>
          </cell>
          <cell r="BA1280">
            <v>0</v>
          </cell>
          <cell r="BC1280" t="str">
            <v>OTHERS</v>
          </cell>
          <cell r="BE1280" t="str">
            <v>Jul</v>
          </cell>
        </row>
        <row r="1281">
          <cell r="C1281" t="str">
            <v>AES</v>
          </cell>
          <cell r="R1281">
            <v>0</v>
          </cell>
          <cell r="AZ1281">
            <v>0</v>
          </cell>
          <cell r="BA1281">
            <v>0</v>
          </cell>
          <cell r="BC1281" t="str">
            <v>OTHERS</v>
          </cell>
          <cell r="BE1281" t="str">
            <v>Aug</v>
          </cell>
        </row>
        <row r="1282">
          <cell r="C1282" t="str">
            <v>AES</v>
          </cell>
          <cell r="R1282">
            <v>0</v>
          </cell>
          <cell r="AZ1282">
            <v>0</v>
          </cell>
          <cell r="BA1282">
            <v>0</v>
          </cell>
          <cell r="BC1282" t="str">
            <v>OTHERS</v>
          </cell>
          <cell r="BE1282" t="str">
            <v>Sep</v>
          </cell>
        </row>
        <row r="1283">
          <cell r="C1283" t="str">
            <v>AES</v>
          </cell>
          <cell r="R1283">
            <v>0</v>
          </cell>
          <cell r="AZ1283">
            <v>0</v>
          </cell>
          <cell r="BA1283">
            <v>0</v>
          </cell>
          <cell r="BC1283" t="str">
            <v>OTHERS</v>
          </cell>
          <cell r="BE1283" t="str">
            <v>Oct</v>
          </cell>
        </row>
        <row r="1284">
          <cell r="C1284" t="str">
            <v>AES</v>
          </cell>
          <cell r="R1284">
            <v>0</v>
          </cell>
          <cell r="AZ1284">
            <v>0</v>
          </cell>
          <cell r="BA1284">
            <v>0</v>
          </cell>
          <cell r="BC1284" t="str">
            <v>OTHERS</v>
          </cell>
          <cell r="BE1284" t="str">
            <v>Nov</v>
          </cell>
        </row>
        <row r="1285">
          <cell r="C1285" t="str">
            <v>AES</v>
          </cell>
          <cell r="R1285">
            <v>0</v>
          </cell>
          <cell r="AZ1285">
            <v>0</v>
          </cell>
          <cell r="BA1285">
            <v>0</v>
          </cell>
          <cell r="BC1285" t="str">
            <v>OTHERS</v>
          </cell>
          <cell r="BE1285" t="str">
            <v>Dec</v>
          </cell>
        </row>
        <row r="1286">
          <cell r="C1286" t="str">
            <v>AES</v>
          </cell>
          <cell r="R1286">
            <v>0</v>
          </cell>
          <cell r="AZ1286">
            <v>0</v>
          </cell>
          <cell r="BA1286">
            <v>0</v>
          </cell>
          <cell r="BC1286" t="str">
            <v>OTHERS</v>
          </cell>
          <cell r="BE1286" t="str">
            <v>Jan</v>
          </cell>
        </row>
        <row r="1287">
          <cell r="C1287" t="str">
            <v>AES</v>
          </cell>
          <cell r="R1287">
            <v>0</v>
          </cell>
          <cell r="AZ1287">
            <v>0</v>
          </cell>
          <cell r="BA1287">
            <v>0</v>
          </cell>
          <cell r="BC1287" t="str">
            <v>OTHERS</v>
          </cell>
          <cell r="BE1287" t="str">
            <v>Feb</v>
          </cell>
        </row>
        <row r="1288">
          <cell r="C1288" t="str">
            <v>AES</v>
          </cell>
          <cell r="R1288">
            <v>0</v>
          </cell>
          <cell r="AZ1288">
            <v>0</v>
          </cell>
          <cell r="BA1288">
            <v>0</v>
          </cell>
          <cell r="BC1288" t="str">
            <v>OTHERS</v>
          </cell>
          <cell r="BE1288" t="str">
            <v>Mar</v>
          </cell>
        </row>
        <row r="1289">
          <cell r="C1289" t="str">
            <v>AES</v>
          </cell>
          <cell r="R1289">
            <v>0</v>
          </cell>
          <cell r="AZ1289">
            <v>0</v>
          </cell>
          <cell r="BA1289">
            <v>0</v>
          </cell>
          <cell r="BC1289" t="str">
            <v>OTHERS</v>
          </cell>
          <cell r="BE1289" t="str">
            <v>Apr</v>
          </cell>
        </row>
        <row r="1290">
          <cell r="C1290" t="str">
            <v>AES</v>
          </cell>
          <cell r="R1290">
            <v>0</v>
          </cell>
          <cell r="AZ1290">
            <v>0</v>
          </cell>
          <cell r="BA1290">
            <v>0</v>
          </cell>
          <cell r="BC1290" t="str">
            <v>OTHERS</v>
          </cell>
          <cell r="BE1290" t="str">
            <v>May</v>
          </cell>
        </row>
        <row r="1291">
          <cell r="C1291" t="str">
            <v>AES</v>
          </cell>
          <cell r="R1291">
            <v>0</v>
          </cell>
          <cell r="AZ1291">
            <v>0</v>
          </cell>
          <cell r="BA1291">
            <v>0</v>
          </cell>
          <cell r="BC1291" t="str">
            <v>OTHERS</v>
          </cell>
          <cell r="BE1291" t="str">
            <v>Jun</v>
          </cell>
        </row>
        <row r="1292">
          <cell r="C1292" t="str">
            <v>AES</v>
          </cell>
          <cell r="R1292">
            <v>44000</v>
          </cell>
          <cell r="AZ1292">
            <v>-66000</v>
          </cell>
          <cell r="BA1292">
            <v>-50152.956880890037</v>
          </cell>
          <cell r="BC1292" t="str">
            <v>OTHERS</v>
          </cell>
          <cell r="BE1292" t="str">
            <v>Jul</v>
          </cell>
        </row>
        <row r="1293">
          <cell r="C1293" t="str">
            <v>AES</v>
          </cell>
          <cell r="R1293">
            <v>44000</v>
          </cell>
          <cell r="AZ1293">
            <v>-66000</v>
          </cell>
          <cell r="BA1293">
            <v>-50152.956880890037</v>
          </cell>
          <cell r="BC1293" t="str">
            <v>OTHERS</v>
          </cell>
          <cell r="BE1293" t="str">
            <v>Aug</v>
          </cell>
        </row>
        <row r="1294">
          <cell r="C1294" t="str">
            <v>AES</v>
          </cell>
          <cell r="R1294">
            <v>44000</v>
          </cell>
          <cell r="AZ1294">
            <v>-66000</v>
          </cell>
          <cell r="BA1294">
            <v>-50152.956880890037</v>
          </cell>
          <cell r="BC1294" t="str">
            <v>OTHERS</v>
          </cell>
          <cell r="BE1294" t="str">
            <v>Sep</v>
          </cell>
        </row>
        <row r="1295">
          <cell r="C1295" t="str">
            <v>AES</v>
          </cell>
          <cell r="R1295">
            <v>44000</v>
          </cell>
          <cell r="AZ1295">
            <v>-66000</v>
          </cell>
          <cell r="BA1295">
            <v>-50152.956880890037</v>
          </cell>
          <cell r="BC1295" t="str">
            <v>OTHERS</v>
          </cell>
          <cell r="BE1295" t="str">
            <v>Oct</v>
          </cell>
        </row>
        <row r="1296">
          <cell r="C1296" t="str">
            <v>AES</v>
          </cell>
          <cell r="R1296">
            <v>44000</v>
          </cell>
          <cell r="AZ1296">
            <v>-66000</v>
          </cell>
          <cell r="BA1296">
            <v>-50152.956880890037</v>
          </cell>
          <cell r="BC1296" t="str">
            <v>OTHERS</v>
          </cell>
          <cell r="BE1296" t="str">
            <v>Nov</v>
          </cell>
        </row>
        <row r="1297">
          <cell r="C1297" t="str">
            <v>AES</v>
          </cell>
          <cell r="R1297">
            <v>44000</v>
          </cell>
          <cell r="AZ1297">
            <v>-66000</v>
          </cell>
          <cell r="BA1297">
            <v>-50152.956880890037</v>
          </cell>
          <cell r="BC1297" t="str">
            <v>OTHERS</v>
          </cell>
          <cell r="BE1297" t="str">
            <v>Dec</v>
          </cell>
        </row>
        <row r="1298">
          <cell r="C1298" t="str">
            <v>AES</v>
          </cell>
          <cell r="R1298">
            <v>0</v>
          </cell>
          <cell r="AZ1298">
            <v>0</v>
          </cell>
          <cell r="BA1298">
            <v>0</v>
          </cell>
          <cell r="BC1298" t="str">
            <v>OTHERS</v>
          </cell>
          <cell r="BE1298" t="str">
            <v>Jan</v>
          </cell>
        </row>
        <row r="1299">
          <cell r="C1299" t="str">
            <v>AES</v>
          </cell>
          <cell r="R1299">
            <v>0</v>
          </cell>
          <cell r="AZ1299">
            <v>0</v>
          </cell>
          <cell r="BA1299">
            <v>0</v>
          </cell>
          <cell r="BC1299" t="str">
            <v>OTHERS</v>
          </cell>
          <cell r="BE1299" t="str">
            <v>Feb</v>
          </cell>
        </row>
        <row r="1300">
          <cell r="C1300" t="str">
            <v>AES</v>
          </cell>
          <cell r="R1300">
            <v>0</v>
          </cell>
          <cell r="AZ1300">
            <v>0</v>
          </cell>
          <cell r="BA1300">
            <v>0</v>
          </cell>
          <cell r="BC1300" t="str">
            <v>OTHERS</v>
          </cell>
          <cell r="BE1300" t="str">
            <v>Mar</v>
          </cell>
        </row>
        <row r="1301">
          <cell r="C1301" t="str">
            <v>AES</v>
          </cell>
          <cell r="R1301">
            <v>0</v>
          </cell>
          <cell r="AZ1301">
            <v>0</v>
          </cell>
          <cell r="BA1301">
            <v>0</v>
          </cell>
          <cell r="BC1301" t="str">
            <v>OTHERS</v>
          </cell>
          <cell r="BE1301" t="str">
            <v>Apr</v>
          </cell>
        </row>
        <row r="1302">
          <cell r="C1302" t="str">
            <v>AES</v>
          </cell>
          <cell r="R1302">
            <v>0</v>
          </cell>
          <cell r="AZ1302">
            <v>0</v>
          </cell>
          <cell r="BA1302">
            <v>0</v>
          </cell>
          <cell r="BC1302" t="str">
            <v>OTHERS</v>
          </cell>
          <cell r="BE1302" t="str">
            <v>May</v>
          </cell>
        </row>
        <row r="1303">
          <cell r="C1303" t="str">
            <v>AES</v>
          </cell>
          <cell r="R1303">
            <v>0</v>
          </cell>
          <cell r="AZ1303">
            <v>0</v>
          </cell>
          <cell r="BA1303">
            <v>0</v>
          </cell>
          <cell r="BC1303" t="str">
            <v>OTHERS</v>
          </cell>
          <cell r="BE1303" t="str">
            <v>Jun</v>
          </cell>
        </row>
        <row r="1304">
          <cell r="C1304" t="str">
            <v>AES</v>
          </cell>
          <cell r="R1304">
            <v>5500</v>
          </cell>
          <cell r="AZ1304">
            <v>-8250</v>
          </cell>
          <cell r="BA1304">
            <v>-6765.9011780934243</v>
          </cell>
          <cell r="BC1304" t="str">
            <v>OTHERS</v>
          </cell>
          <cell r="BE1304" t="str">
            <v>Jul</v>
          </cell>
        </row>
        <row r="1305">
          <cell r="C1305" t="str">
            <v>AES</v>
          </cell>
          <cell r="R1305">
            <v>5500</v>
          </cell>
          <cell r="AZ1305">
            <v>-8250</v>
          </cell>
          <cell r="BA1305">
            <v>-6765.9011780934243</v>
          </cell>
          <cell r="BC1305" t="str">
            <v>OTHERS</v>
          </cell>
          <cell r="BE1305" t="str">
            <v>Aug</v>
          </cell>
        </row>
        <row r="1306">
          <cell r="C1306" t="str">
            <v>AES</v>
          </cell>
          <cell r="R1306">
            <v>5500</v>
          </cell>
          <cell r="AZ1306">
            <v>-8250</v>
          </cell>
          <cell r="BA1306">
            <v>-6765.9011780934243</v>
          </cell>
          <cell r="BC1306" t="str">
            <v>OTHERS</v>
          </cell>
          <cell r="BE1306" t="str">
            <v>Sep</v>
          </cell>
        </row>
        <row r="1307">
          <cell r="C1307" t="str">
            <v>AES</v>
          </cell>
          <cell r="R1307">
            <v>5500</v>
          </cell>
          <cell r="AZ1307">
            <v>-8250</v>
          </cell>
          <cell r="BA1307">
            <v>-6765.9011780934243</v>
          </cell>
          <cell r="BC1307" t="str">
            <v>OTHERS</v>
          </cell>
          <cell r="BE1307" t="str">
            <v>Oct</v>
          </cell>
        </row>
        <row r="1308">
          <cell r="C1308" t="str">
            <v>AES</v>
          </cell>
          <cell r="R1308">
            <v>5500</v>
          </cell>
          <cell r="AZ1308">
            <v>-8250</v>
          </cell>
          <cell r="BA1308">
            <v>-6765.9011780934243</v>
          </cell>
          <cell r="BC1308" t="str">
            <v>OTHERS</v>
          </cell>
          <cell r="BE1308" t="str">
            <v>Nov</v>
          </cell>
        </row>
        <row r="1309">
          <cell r="C1309" t="str">
            <v>AES</v>
          </cell>
          <cell r="R1309">
            <v>5500</v>
          </cell>
          <cell r="AZ1309">
            <v>-8250</v>
          </cell>
          <cell r="BA1309">
            <v>-6765.9011780934243</v>
          </cell>
          <cell r="BC1309" t="str">
            <v>OTHERS</v>
          </cell>
          <cell r="BE1309" t="str">
            <v>Dec</v>
          </cell>
        </row>
        <row r="1310">
          <cell r="C1310" t="str">
            <v>AES</v>
          </cell>
          <cell r="R1310">
            <v>0</v>
          </cell>
          <cell r="AZ1310">
            <v>0</v>
          </cell>
          <cell r="BA1310">
            <v>0</v>
          </cell>
          <cell r="BC1310" t="str">
            <v>OTHERS</v>
          </cell>
          <cell r="BE1310" t="str">
            <v>Jan</v>
          </cell>
        </row>
        <row r="1311">
          <cell r="C1311" t="str">
            <v>AES</v>
          </cell>
          <cell r="R1311">
            <v>0</v>
          </cell>
          <cell r="AZ1311">
            <v>0</v>
          </cell>
          <cell r="BA1311">
            <v>0</v>
          </cell>
          <cell r="BC1311" t="str">
            <v>OTHERS</v>
          </cell>
          <cell r="BE1311" t="str">
            <v>Feb</v>
          </cell>
        </row>
        <row r="1312">
          <cell r="C1312" t="str">
            <v>AES</v>
          </cell>
          <cell r="R1312">
            <v>0</v>
          </cell>
          <cell r="AZ1312">
            <v>0</v>
          </cell>
          <cell r="BA1312">
            <v>0</v>
          </cell>
          <cell r="BC1312" t="str">
            <v>OTHERS</v>
          </cell>
          <cell r="BE1312" t="str">
            <v>Mar</v>
          </cell>
        </row>
        <row r="1313">
          <cell r="C1313" t="str">
            <v>AES</v>
          </cell>
          <cell r="R1313">
            <v>0</v>
          </cell>
          <cell r="AZ1313">
            <v>0</v>
          </cell>
          <cell r="BA1313">
            <v>0</v>
          </cell>
          <cell r="BC1313" t="str">
            <v>OTHERS</v>
          </cell>
          <cell r="BE1313" t="str">
            <v>Apr</v>
          </cell>
        </row>
        <row r="1314">
          <cell r="C1314" t="str">
            <v>AES</v>
          </cell>
          <cell r="R1314">
            <v>0</v>
          </cell>
          <cell r="AZ1314">
            <v>0</v>
          </cell>
          <cell r="BA1314">
            <v>0</v>
          </cell>
          <cell r="BC1314" t="str">
            <v>OTHERS</v>
          </cell>
          <cell r="BE1314" t="str">
            <v>May</v>
          </cell>
        </row>
        <row r="1315">
          <cell r="C1315" t="str">
            <v>AES</v>
          </cell>
          <cell r="R1315">
            <v>0</v>
          </cell>
          <cell r="AZ1315">
            <v>0</v>
          </cell>
          <cell r="BA1315">
            <v>0</v>
          </cell>
          <cell r="BC1315" t="str">
            <v>OTHERS</v>
          </cell>
          <cell r="BE1315" t="str">
            <v>Jun</v>
          </cell>
        </row>
        <row r="1316">
          <cell r="C1316" t="str">
            <v>AES</v>
          </cell>
          <cell r="R1316">
            <v>5499.9999999999973</v>
          </cell>
          <cell r="AZ1316">
            <v>-8249.9999999999964</v>
          </cell>
          <cell r="BA1316">
            <v>-8335.3792291521277</v>
          </cell>
          <cell r="BC1316" t="str">
            <v>OTHERS</v>
          </cell>
          <cell r="BE1316" t="str">
            <v>Jul</v>
          </cell>
        </row>
        <row r="1317">
          <cell r="C1317" t="str">
            <v>AES</v>
          </cell>
          <cell r="R1317">
            <v>5499.9999999999973</v>
          </cell>
          <cell r="AZ1317">
            <v>-8249.9999999999964</v>
          </cell>
          <cell r="BA1317">
            <v>-8335.3792291521277</v>
          </cell>
          <cell r="BC1317" t="str">
            <v>OTHERS</v>
          </cell>
          <cell r="BE1317" t="str">
            <v>Aug</v>
          </cell>
        </row>
        <row r="1318">
          <cell r="C1318" t="str">
            <v>AES</v>
          </cell>
          <cell r="R1318">
            <v>5499.9999999999973</v>
          </cell>
          <cell r="AZ1318">
            <v>-8249.9999999999964</v>
          </cell>
          <cell r="BA1318">
            <v>-8335.3792291521277</v>
          </cell>
          <cell r="BC1318" t="str">
            <v>OTHERS</v>
          </cell>
          <cell r="BE1318" t="str">
            <v>Sep</v>
          </cell>
        </row>
        <row r="1319">
          <cell r="C1319" t="str">
            <v>AES</v>
          </cell>
          <cell r="R1319">
            <v>5499.9999999999973</v>
          </cell>
          <cell r="AZ1319">
            <v>-8249.9999999999964</v>
          </cell>
          <cell r="BA1319">
            <v>-8335.3792291521277</v>
          </cell>
          <cell r="BC1319" t="str">
            <v>OTHERS</v>
          </cell>
          <cell r="BE1319" t="str">
            <v>Oct</v>
          </cell>
        </row>
        <row r="1320">
          <cell r="C1320" t="str">
            <v>AES</v>
          </cell>
          <cell r="R1320">
            <v>5499.9999999999973</v>
          </cell>
          <cell r="AZ1320">
            <v>-8249.9999999999964</v>
          </cell>
          <cell r="BA1320">
            <v>-8335.3792291521277</v>
          </cell>
          <cell r="BC1320" t="str">
            <v>OTHERS</v>
          </cell>
          <cell r="BE1320" t="str">
            <v>Nov</v>
          </cell>
        </row>
        <row r="1321">
          <cell r="C1321" t="str">
            <v>AES</v>
          </cell>
          <cell r="R1321">
            <v>5499.9999999999973</v>
          </cell>
          <cell r="AZ1321">
            <v>-8249.9999999999964</v>
          </cell>
          <cell r="BA1321">
            <v>-8335.3792291521277</v>
          </cell>
          <cell r="BC1321" t="str">
            <v>OTHERS</v>
          </cell>
          <cell r="BE1321" t="str">
            <v>Dec</v>
          </cell>
        </row>
        <row r="1322">
          <cell r="C1322" t="str">
            <v>AES</v>
          </cell>
          <cell r="R1322">
            <v>0</v>
          </cell>
          <cell r="AZ1322">
            <v>0</v>
          </cell>
          <cell r="BA1322">
            <v>0</v>
          </cell>
          <cell r="BC1322" t="str">
            <v>OTHERS</v>
          </cell>
          <cell r="BE1322" t="str">
            <v>Jan</v>
          </cell>
        </row>
        <row r="1323">
          <cell r="C1323" t="str">
            <v>AES</v>
          </cell>
          <cell r="R1323">
            <v>35750</v>
          </cell>
          <cell r="AZ1323">
            <v>-53625</v>
          </cell>
          <cell r="BA1323">
            <v>-62127.103011096551</v>
          </cell>
          <cell r="BC1323" t="str">
            <v>OTHERS</v>
          </cell>
          <cell r="BE1323" t="str">
            <v>Feb</v>
          </cell>
        </row>
        <row r="1324">
          <cell r="C1324" t="str">
            <v>AES</v>
          </cell>
          <cell r="R1324">
            <v>0</v>
          </cell>
          <cell r="AZ1324">
            <v>0</v>
          </cell>
          <cell r="BA1324">
            <v>0</v>
          </cell>
          <cell r="BC1324" t="str">
            <v>OTHERS</v>
          </cell>
          <cell r="BE1324" t="str">
            <v>Mar</v>
          </cell>
        </row>
        <row r="1325">
          <cell r="C1325" t="str">
            <v>AES</v>
          </cell>
          <cell r="R1325">
            <v>0</v>
          </cell>
          <cell r="AZ1325">
            <v>0</v>
          </cell>
          <cell r="BA1325">
            <v>0</v>
          </cell>
          <cell r="BC1325" t="str">
            <v>OTHERS</v>
          </cell>
          <cell r="BE1325" t="str">
            <v>Apr</v>
          </cell>
        </row>
        <row r="1326">
          <cell r="C1326" t="str">
            <v>AES</v>
          </cell>
          <cell r="R1326">
            <v>0</v>
          </cell>
          <cell r="AZ1326">
            <v>0</v>
          </cell>
          <cell r="BA1326">
            <v>0</v>
          </cell>
          <cell r="BC1326" t="str">
            <v>OTHERS</v>
          </cell>
          <cell r="BE1326" t="str">
            <v>May</v>
          </cell>
        </row>
        <row r="1327">
          <cell r="C1327" t="str">
            <v>AES</v>
          </cell>
          <cell r="R1327">
            <v>35750</v>
          </cell>
          <cell r="AZ1327">
            <v>-53625</v>
          </cell>
          <cell r="BA1327">
            <v>-62127.103011096551</v>
          </cell>
          <cell r="BC1327" t="str">
            <v>OTHERS</v>
          </cell>
          <cell r="BE1327" t="str">
            <v>Jun</v>
          </cell>
        </row>
        <row r="1328">
          <cell r="C1328" t="str">
            <v>AES</v>
          </cell>
          <cell r="R1328">
            <v>0</v>
          </cell>
          <cell r="AZ1328">
            <v>0</v>
          </cell>
          <cell r="BA1328">
            <v>0</v>
          </cell>
          <cell r="BC1328" t="str">
            <v>OTHERS</v>
          </cell>
          <cell r="BE1328" t="str">
            <v>Jul</v>
          </cell>
        </row>
        <row r="1329">
          <cell r="C1329" t="str">
            <v>AES</v>
          </cell>
          <cell r="R1329">
            <v>0</v>
          </cell>
          <cell r="AZ1329">
            <v>0</v>
          </cell>
          <cell r="BA1329">
            <v>0</v>
          </cell>
          <cell r="BC1329" t="str">
            <v>OTHERS</v>
          </cell>
          <cell r="BE1329" t="str">
            <v>Aug</v>
          </cell>
        </row>
        <row r="1330">
          <cell r="C1330" t="str">
            <v>AES</v>
          </cell>
          <cell r="R1330">
            <v>35750</v>
          </cell>
          <cell r="AZ1330">
            <v>-53625</v>
          </cell>
          <cell r="BA1330">
            <v>-62127.103011096551</v>
          </cell>
          <cell r="BC1330" t="str">
            <v>OTHERS</v>
          </cell>
          <cell r="BE1330" t="str">
            <v>Sep</v>
          </cell>
        </row>
        <row r="1331">
          <cell r="C1331" t="str">
            <v>AES</v>
          </cell>
          <cell r="R1331">
            <v>0</v>
          </cell>
          <cell r="AZ1331">
            <v>0</v>
          </cell>
          <cell r="BA1331">
            <v>0</v>
          </cell>
          <cell r="BC1331" t="str">
            <v>OTHERS</v>
          </cell>
          <cell r="BE1331" t="str">
            <v>Oct</v>
          </cell>
        </row>
        <row r="1332">
          <cell r="C1332" t="str">
            <v>AES</v>
          </cell>
          <cell r="R1332">
            <v>0</v>
          </cell>
          <cell r="AZ1332">
            <v>0</v>
          </cell>
          <cell r="BA1332">
            <v>0</v>
          </cell>
          <cell r="BC1332" t="str">
            <v>OTHERS</v>
          </cell>
          <cell r="BE1332" t="str">
            <v>Nov</v>
          </cell>
        </row>
        <row r="1333">
          <cell r="C1333" t="str">
            <v>AES</v>
          </cell>
          <cell r="R1333">
            <v>35750</v>
          </cell>
          <cell r="AZ1333">
            <v>-53625</v>
          </cell>
          <cell r="BA1333">
            <v>-62127.103011096551</v>
          </cell>
          <cell r="BC1333" t="str">
            <v>OTHERS</v>
          </cell>
          <cell r="BE1333" t="str">
            <v>Dec</v>
          </cell>
        </row>
        <row r="1334">
          <cell r="C1334" t="str">
            <v>AES</v>
          </cell>
          <cell r="R1334">
            <v>0</v>
          </cell>
          <cell r="AZ1334">
            <v>0</v>
          </cell>
          <cell r="BA1334">
            <v>0</v>
          </cell>
          <cell r="BC1334" t="str">
            <v>OTHERS</v>
          </cell>
          <cell r="BE1334" t="str">
            <v>Jan</v>
          </cell>
        </row>
        <row r="1335">
          <cell r="C1335" t="str">
            <v>AES</v>
          </cell>
          <cell r="R1335">
            <v>29249.999999999996</v>
          </cell>
          <cell r="AZ1335">
            <v>-43874.999999999993</v>
          </cell>
          <cell r="BA1335">
            <v>-44530.307073010394</v>
          </cell>
          <cell r="BC1335" t="str">
            <v>OTHERS</v>
          </cell>
          <cell r="BE1335" t="str">
            <v>Feb</v>
          </cell>
        </row>
        <row r="1336">
          <cell r="C1336" t="str">
            <v>AES</v>
          </cell>
          <cell r="R1336">
            <v>0</v>
          </cell>
          <cell r="AZ1336">
            <v>0</v>
          </cell>
          <cell r="BA1336">
            <v>0</v>
          </cell>
          <cell r="BC1336" t="str">
            <v>OTHERS</v>
          </cell>
          <cell r="BE1336" t="str">
            <v>Mar</v>
          </cell>
        </row>
        <row r="1337">
          <cell r="C1337" t="str">
            <v>AES</v>
          </cell>
          <cell r="R1337">
            <v>0</v>
          </cell>
          <cell r="AZ1337">
            <v>0</v>
          </cell>
          <cell r="BA1337">
            <v>0</v>
          </cell>
          <cell r="BC1337" t="str">
            <v>OTHERS</v>
          </cell>
          <cell r="BE1337" t="str">
            <v>Apr</v>
          </cell>
        </row>
        <row r="1338">
          <cell r="C1338" t="str">
            <v>AES</v>
          </cell>
          <cell r="R1338">
            <v>0</v>
          </cell>
          <cell r="AZ1338">
            <v>0</v>
          </cell>
          <cell r="BA1338">
            <v>0</v>
          </cell>
          <cell r="BC1338" t="str">
            <v>OTHERS</v>
          </cell>
          <cell r="BE1338" t="str">
            <v>May</v>
          </cell>
        </row>
        <row r="1339">
          <cell r="C1339" t="str">
            <v>AES</v>
          </cell>
          <cell r="R1339">
            <v>29249.999999999996</v>
          </cell>
          <cell r="AZ1339">
            <v>-43874.999999999993</v>
          </cell>
          <cell r="BA1339">
            <v>-44530.307073010394</v>
          </cell>
          <cell r="BC1339" t="str">
            <v>OTHERS</v>
          </cell>
          <cell r="BE1339" t="str">
            <v>Jun</v>
          </cell>
        </row>
        <row r="1340">
          <cell r="C1340" t="str">
            <v>AES</v>
          </cell>
          <cell r="R1340">
            <v>0</v>
          </cell>
          <cell r="AZ1340">
            <v>0</v>
          </cell>
          <cell r="BA1340">
            <v>0</v>
          </cell>
          <cell r="BC1340" t="str">
            <v>OTHERS</v>
          </cell>
          <cell r="BE1340" t="str">
            <v>Jul</v>
          </cell>
        </row>
        <row r="1341">
          <cell r="C1341" t="str">
            <v>AES</v>
          </cell>
          <cell r="R1341">
            <v>0</v>
          </cell>
          <cell r="AZ1341">
            <v>0</v>
          </cell>
          <cell r="BA1341">
            <v>0</v>
          </cell>
          <cell r="BC1341" t="str">
            <v>OTHERS</v>
          </cell>
          <cell r="BE1341" t="str">
            <v>Aug</v>
          </cell>
        </row>
        <row r="1342">
          <cell r="C1342" t="str">
            <v>AES</v>
          </cell>
          <cell r="R1342">
            <v>29249.999999999996</v>
          </cell>
          <cell r="AZ1342">
            <v>-43874.999999999993</v>
          </cell>
          <cell r="BA1342">
            <v>-44530.307073010394</v>
          </cell>
          <cell r="BC1342" t="str">
            <v>OTHERS</v>
          </cell>
          <cell r="BE1342" t="str">
            <v>Sep</v>
          </cell>
        </row>
        <row r="1343">
          <cell r="C1343" t="str">
            <v>AES</v>
          </cell>
          <cell r="R1343">
            <v>0</v>
          </cell>
          <cell r="AZ1343">
            <v>0</v>
          </cell>
          <cell r="BA1343">
            <v>0</v>
          </cell>
          <cell r="BC1343" t="str">
            <v>OTHERS</v>
          </cell>
          <cell r="BE1343" t="str">
            <v>Oct</v>
          </cell>
        </row>
        <row r="1344">
          <cell r="C1344" t="str">
            <v>AES</v>
          </cell>
          <cell r="R1344">
            <v>0</v>
          </cell>
          <cell r="AZ1344">
            <v>0</v>
          </cell>
          <cell r="BA1344">
            <v>0</v>
          </cell>
          <cell r="BC1344" t="str">
            <v>OTHERS</v>
          </cell>
          <cell r="BE1344" t="str">
            <v>Nov</v>
          </cell>
        </row>
        <row r="1345">
          <cell r="C1345" t="str">
            <v>AES</v>
          </cell>
          <cell r="R1345">
            <v>29249.999999999996</v>
          </cell>
          <cell r="AZ1345">
            <v>-43874.999999999993</v>
          </cell>
          <cell r="BA1345">
            <v>-44530.307073010394</v>
          </cell>
          <cell r="BC1345" t="str">
            <v>OTHERS</v>
          </cell>
          <cell r="BE1345" t="str">
            <v>Dec</v>
          </cell>
        </row>
        <row r="1346">
          <cell r="C1346" t="str">
            <v>San Miguel</v>
          </cell>
          <cell r="R1346">
            <v>39000</v>
          </cell>
          <cell r="AZ1346">
            <v>-58500</v>
          </cell>
          <cell r="BA1346">
            <v>-66994.854834909202</v>
          </cell>
          <cell r="BC1346" t="str">
            <v>OTHERS</v>
          </cell>
          <cell r="BE1346" t="str">
            <v>Jan</v>
          </cell>
        </row>
        <row r="1347">
          <cell r="C1347" t="str">
            <v>San Miguel</v>
          </cell>
          <cell r="R1347">
            <v>0</v>
          </cell>
          <cell r="AZ1347">
            <v>0</v>
          </cell>
          <cell r="BA1347">
            <v>0</v>
          </cell>
          <cell r="BC1347" t="str">
            <v>OTHERS</v>
          </cell>
          <cell r="BE1347" t="str">
            <v>Feb</v>
          </cell>
        </row>
        <row r="1348">
          <cell r="C1348" t="str">
            <v>San Miguel</v>
          </cell>
          <cell r="R1348">
            <v>0</v>
          </cell>
          <cell r="AZ1348">
            <v>0</v>
          </cell>
          <cell r="BA1348">
            <v>0</v>
          </cell>
          <cell r="BC1348" t="str">
            <v>OTHERS</v>
          </cell>
          <cell r="BE1348" t="str">
            <v>Mar</v>
          </cell>
        </row>
        <row r="1349">
          <cell r="C1349" t="str">
            <v>San Miguel</v>
          </cell>
          <cell r="R1349">
            <v>0</v>
          </cell>
          <cell r="AZ1349">
            <v>0</v>
          </cell>
          <cell r="BA1349">
            <v>0</v>
          </cell>
          <cell r="BC1349" t="str">
            <v>OTHERS</v>
          </cell>
          <cell r="BE1349" t="str">
            <v>Apr</v>
          </cell>
        </row>
        <row r="1350">
          <cell r="C1350" t="str">
            <v>San Miguel</v>
          </cell>
          <cell r="R1350">
            <v>0</v>
          </cell>
          <cell r="AZ1350">
            <v>0</v>
          </cell>
          <cell r="BA1350">
            <v>0</v>
          </cell>
          <cell r="BC1350" t="str">
            <v>OTHERS</v>
          </cell>
          <cell r="BE1350" t="str">
            <v>May</v>
          </cell>
        </row>
        <row r="1351">
          <cell r="C1351" t="str">
            <v>San Miguel</v>
          </cell>
          <cell r="R1351">
            <v>0</v>
          </cell>
          <cell r="AZ1351">
            <v>0</v>
          </cell>
          <cell r="BA1351">
            <v>0</v>
          </cell>
          <cell r="BC1351" t="str">
            <v>OTHERS</v>
          </cell>
          <cell r="BE1351" t="str">
            <v>Jun</v>
          </cell>
        </row>
        <row r="1352">
          <cell r="C1352" t="str">
            <v>San Miguel</v>
          </cell>
          <cell r="R1352">
            <v>0</v>
          </cell>
          <cell r="AZ1352">
            <v>0</v>
          </cell>
          <cell r="BA1352">
            <v>0</v>
          </cell>
          <cell r="BC1352" t="str">
            <v>OTHERS</v>
          </cell>
          <cell r="BE1352" t="str">
            <v>Jul</v>
          </cell>
        </row>
        <row r="1353">
          <cell r="C1353" t="str">
            <v>San Miguel</v>
          </cell>
          <cell r="R1353">
            <v>0</v>
          </cell>
          <cell r="AZ1353">
            <v>0</v>
          </cell>
          <cell r="BA1353">
            <v>0</v>
          </cell>
          <cell r="BC1353" t="str">
            <v>OTHERS</v>
          </cell>
          <cell r="BE1353" t="str">
            <v>Aug</v>
          </cell>
        </row>
        <row r="1354">
          <cell r="C1354" t="str">
            <v>San Miguel</v>
          </cell>
          <cell r="R1354">
            <v>0</v>
          </cell>
          <cell r="AZ1354">
            <v>0</v>
          </cell>
          <cell r="BA1354">
            <v>0</v>
          </cell>
          <cell r="BC1354" t="str">
            <v>OTHERS</v>
          </cell>
          <cell r="BE1354" t="str">
            <v>Sep</v>
          </cell>
        </row>
        <row r="1355">
          <cell r="C1355" t="str">
            <v>San Miguel</v>
          </cell>
          <cell r="R1355">
            <v>0</v>
          </cell>
          <cell r="AZ1355">
            <v>0</v>
          </cell>
          <cell r="BA1355">
            <v>0</v>
          </cell>
          <cell r="BC1355" t="str">
            <v>OTHERS</v>
          </cell>
          <cell r="BE1355" t="str">
            <v>Oct</v>
          </cell>
        </row>
        <row r="1356">
          <cell r="C1356" t="str">
            <v>San Miguel</v>
          </cell>
          <cell r="R1356">
            <v>0</v>
          </cell>
          <cell r="AZ1356">
            <v>0</v>
          </cell>
          <cell r="BA1356">
            <v>0</v>
          </cell>
          <cell r="BC1356" t="str">
            <v>OTHERS</v>
          </cell>
          <cell r="BE1356" t="str">
            <v>Nov</v>
          </cell>
        </row>
        <row r="1357">
          <cell r="C1357" t="str">
            <v>San Miguel</v>
          </cell>
          <cell r="R1357">
            <v>0</v>
          </cell>
          <cell r="AZ1357">
            <v>0</v>
          </cell>
          <cell r="BA1357">
            <v>0</v>
          </cell>
          <cell r="BC1357" t="str">
            <v>OTHERS</v>
          </cell>
          <cell r="BE1357" t="str">
            <v>Dec</v>
          </cell>
        </row>
        <row r="1358">
          <cell r="C1358" t="str">
            <v>San Miguel</v>
          </cell>
          <cell r="R1358">
            <v>26000</v>
          </cell>
          <cell r="AZ1358">
            <v>-39000</v>
          </cell>
          <cell r="BA1358">
            <v>-39027.048698455415</v>
          </cell>
          <cell r="BC1358" t="str">
            <v>OTHERS</v>
          </cell>
          <cell r="BE1358" t="str">
            <v>Jan</v>
          </cell>
        </row>
        <row r="1359">
          <cell r="C1359" t="str">
            <v>San Miguel</v>
          </cell>
          <cell r="R1359">
            <v>0</v>
          </cell>
          <cell r="AZ1359">
            <v>0</v>
          </cell>
          <cell r="BA1359">
            <v>0</v>
          </cell>
          <cell r="BC1359" t="str">
            <v>OTHERS</v>
          </cell>
          <cell r="BE1359" t="str">
            <v>Feb</v>
          </cell>
        </row>
        <row r="1360">
          <cell r="C1360" t="str">
            <v>San Miguel</v>
          </cell>
          <cell r="R1360">
            <v>0</v>
          </cell>
          <cell r="AZ1360">
            <v>0</v>
          </cell>
          <cell r="BA1360">
            <v>0</v>
          </cell>
          <cell r="BC1360" t="str">
            <v>OTHERS</v>
          </cell>
          <cell r="BE1360" t="str">
            <v>Mar</v>
          </cell>
        </row>
        <row r="1361">
          <cell r="C1361" t="str">
            <v>San Miguel</v>
          </cell>
          <cell r="R1361">
            <v>0</v>
          </cell>
          <cell r="AZ1361">
            <v>0</v>
          </cell>
          <cell r="BA1361">
            <v>0</v>
          </cell>
          <cell r="BC1361" t="str">
            <v>OTHERS</v>
          </cell>
          <cell r="BE1361" t="str">
            <v>Apr</v>
          </cell>
        </row>
        <row r="1362">
          <cell r="C1362" t="str">
            <v>San Miguel</v>
          </cell>
          <cell r="R1362">
            <v>0</v>
          </cell>
          <cell r="AZ1362">
            <v>0</v>
          </cell>
          <cell r="BA1362">
            <v>0</v>
          </cell>
          <cell r="BC1362" t="str">
            <v>OTHERS</v>
          </cell>
          <cell r="BE1362" t="str">
            <v>May</v>
          </cell>
        </row>
        <row r="1363">
          <cell r="C1363" t="str">
            <v>San Miguel</v>
          </cell>
          <cell r="R1363">
            <v>0</v>
          </cell>
          <cell r="AZ1363">
            <v>0</v>
          </cell>
          <cell r="BA1363">
            <v>0</v>
          </cell>
          <cell r="BC1363" t="str">
            <v>OTHERS</v>
          </cell>
          <cell r="BE1363" t="str">
            <v>Jun</v>
          </cell>
        </row>
        <row r="1364">
          <cell r="C1364" t="str">
            <v>San Miguel</v>
          </cell>
          <cell r="R1364">
            <v>0</v>
          </cell>
          <cell r="AZ1364">
            <v>0</v>
          </cell>
          <cell r="BA1364">
            <v>0</v>
          </cell>
          <cell r="BC1364" t="str">
            <v>OTHERS</v>
          </cell>
          <cell r="BE1364" t="str">
            <v>Jul</v>
          </cell>
        </row>
        <row r="1365">
          <cell r="C1365" t="str">
            <v>San Miguel</v>
          </cell>
          <cell r="R1365">
            <v>0</v>
          </cell>
          <cell r="AZ1365">
            <v>0</v>
          </cell>
          <cell r="BA1365">
            <v>0</v>
          </cell>
          <cell r="BC1365" t="str">
            <v>OTHERS</v>
          </cell>
          <cell r="BE1365" t="str">
            <v>Aug</v>
          </cell>
        </row>
        <row r="1366">
          <cell r="C1366" t="str">
            <v>San Miguel</v>
          </cell>
          <cell r="R1366">
            <v>0</v>
          </cell>
          <cell r="AZ1366">
            <v>0</v>
          </cell>
          <cell r="BA1366">
            <v>0</v>
          </cell>
          <cell r="BC1366" t="str">
            <v>OTHERS</v>
          </cell>
          <cell r="BE1366" t="str">
            <v>Sep</v>
          </cell>
        </row>
        <row r="1367">
          <cell r="C1367" t="str">
            <v>San Miguel</v>
          </cell>
          <cell r="R1367">
            <v>0</v>
          </cell>
          <cell r="AZ1367">
            <v>0</v>
          </cell>
          <cell r="BA1367">
            <v>0</v>
          </cell>
          <cell r="BC1367" t="str">
            <v>OTHERS</v>
          </cell>
          <cell r="BE1367" t="str">
            <v>Oct</v>
          </cell>
        </row>
        <row r="1368">
          <cell r="C1368" t="str">
            <v>San Miguel</v>
          </cell>
          <cell r="R1368">
            <v>0</v>
          </cell>
          <cell r="AZ1368">
            <v>0</v>
          </cell>
          <cell r="BA1368">
            <v>0</v>
          </cell>
          <cell r="BC1368" t="str">
            <v>OTHERS</v>
          </cell>
          <cell r="BE1368" t="str">
            <v>Nov</v>
          </cell>
        </row>
        <row r="1369">
          <cell r="C1369" t="str">
            <v>San Miguel</v>
          </cell>
          <cell r="R1369">
            <v>0</v>
          </cell>
          <cell r="AZ1369">
            <v>0</v>
          </cell>
          <cell r="BA1369">
            <v>0</v>
          </cell>
          <cell r="BC1369" t="str">
            <v>OTHERS</v>
          </cell>
          <cell r="BE1369" t="str">
            <v>Dec</v>
          </cell>
        </row>
        <row r="1370">
          <cell r="C1370" t="str">
            <v>San Miguel</v>
          </cell>
          <cell r="R1370">
            <v>0</v>
          </cell>
          <cell r="AZ1370">
            <v>0</v>
          </cell>
          <cell r="BA1370">
            <v>0</v>
          </cell>
          <cell r="BC1370" t="str">
            <v>OTHERS</v>
          </cell>
          <cell r="BE1370" t="str">
            <v>Jan</v>
          </cell>
        </row>
        <row r="1371">
          <cell r="C1371" t="str">
            <v>San Miguel</v>
          </cell>
          <cell r="R1371">
            <v>39000</v>
          </cell>
          <cell r="AZ1371">
            <v>-58500</v>
          </cell>
          <cell r="BA1371">
            <v>-80907.247194472904</v>
          </cell>
          <cell r="BC1371" t="str">
            <v>OTHERS</v>
          </cell>
          <cell r="BE1371" t="str">
            <v>Feb</v>
          </cell>
        </row>
        <row r="1372">
          <cell r="C1372" t="str">
            <v>San Miguel</v>
          </cell>
          <cell r="R1372">
            <v>0</v>
          </cell>
          <cell r="AZ1372">
            <v>0</v>
          </cell>
          <cell r="BA1372">
            <v>0</v>
          </cell>
          <cell r="BC1372" t="str">
            <v>OTHERS</v>
          </cell>
          <cell r="BE1372" t="str">
            <v>Mar</v>
          </cell>
        </row>
        <row r="1373">
          <cell r="C1373" t="str">
            <v>San Miguel</v>
          </cell>
          <cell r="R1373">
            <v>0</v>
          </cell>
          <cell r="AZ1373">
            <v>0</v>
          </cell>
          <cell r="BA1373">
            <v>0</v>
          </cell>
          <cell r="BC1373" t="str">
            <v>OTHERS</v>
          </cell>
          <cell r="BE1373" t="str">
            <v>Apr</v>
          </cell>
        </row>
        <row r="1374">
          <cell r="C1374" t="str">
            <v>San Miguel</v>
          </cell>
          <cell r="R1374">
            <v>0</v>
          </cell>
          <cell r="AZ1374">
            <v>0</v>
          </cell>
          <cell r="BA1374">
            <v>0</v>
          </cell>
          <cell r="BC1374" t="str">
            <v>OTHERS</v>
          </cell>
          <cell r="BE1374" t="str">
            <v>May</v>
          </cell>
        </row>
        <row r="1375">
          <cell r="C1375" t="str">
            <v>San Miguel</v>
          </cell>
          <cell r="R1375">
            <v>0</v>
          </cell>
          <cell r="AZ1375">
            <v>0</v>
          </cell>
          <cell r="BA1375">
            <v>0</v>
          </cell>
          <cell r="BC1375" t="str">
            <v>OTHERS</v>
          </cell>
          <cell r="BE1375" t="str">
            <v>Jun</v>
          </cell>
        </row>
        <row r="1376">
          <cell r="C1376" t="str">
            <v>San Miguel</v>
          </cell>
          <cell r="R1376">
            <v>0</v>
          </cell>
          <cell r="AZ1376">
            <v>0</v>
          </cell>
          <cell r="BA1376">
            <v>0</v>
          </cell>
          <cell r="BC1376" t="str">
            <v>OTHERS</v>
          </cell>
          <cell r="BE1376" t="str">
            <v>Jul</v>
          </cell>
        </row>
        <row r="1377">
          <cell r="C1377" t="str">
            <v>San Miguel</v>
          </cell>
          <cell r="R1377">
            <v>39000</v>
          </cell>
          <cell r="AZ1377">
            <v>-58500</v>
          </cell>
          <cell r="BA1377">
            <v>-80907.247194472904</v>
          </cell>
          <cell r="BC1377" t="str">
            <v>OTHERS</v>
          </cell>
          <cell r="BE1377" t="str">
            <v>Aug</v>
          </cell>
        </row>
        <row r="1378">
          <cell r="C1378" t="str">
            <v>San Miguel</v>
          </cell>
          <cell r="R1378">
            <v>0</v>
          </cell>
          <cell r="AZ1378">
            <v>0</v>
          </cell>
          <cell r="BA1378">
            <v>0</v>
          </cell>
          <cell r="BC1378" t="str">
            <v>OTHERS</v>
          </cell>
          <cell r="BE1378" t="str">
            <v>Sep</v>
          </cell>
        </row>
        <row r="1379">
          <cell r="C1379" t="str">
            <v>San Miguel</v>
          </cell>
          <cell r="R1379">
            <v>0</v>
          </cell>
          <cell r="AZ1379">
            <v>0</v>
          </cell>
          <cell r="BA1379">
            <v>0</v>
          </cell>
          <cell r="BC1379" t="str">
            <v>OTHERS</v>
          </cell>
          <cell r="BE1379" t="str">
            <v>Oct</v>
          </cell>
        </row>
        <row r="1380">
          <cell r="C1380" t="str">
            <v>San Miguel</v>
          </cell>
          <cell r="R1380">
            <v>0</v>
          </cell>
          <cell r="AZ1380">
            <v>0</v>
          </cell>
          <cell r="BA1380">
            <v>0</v>
          </cell>
          <cell r="BC1380" t="str">
            <v>OTHERS</v>
          </cell>
          <cell r="BE1380" t="str">
            <v>Nov</v>
          </cell>
        </row>
        <row r="1381">
          <cell r="C1381" t="str">
            <v>San Miguel</v>
          </cell>
          <cell r="R1381">
            <v>0</v>
          </cell>
          <cell r="AZ1381">
            <v>0</v>
          </cell>
          <cell r="BA1381">
            <v>0</v>
          </cell>
          <cell r="BC1381" t="str">
            <v>OTHERS</v>
          </cell>
          <cell r="BE1381" t="str">
            <v>Dec</v>
          </cell>
        </row>
        <row r="1382">
          <cell r="C1382" t="str">
            <v>San Miguel</v>
          </cell>
          <cell r="R1382">
            <v>0</v>
          </cell>
          <cell r="AZ1382">
            <v>0</v>
          </cell>
          <cell r="BA1382">
            <v>0</v>
          </cell>
          <cell r="BC1382" t="str">
            <v>OTHERS</v>
          </cell>
          <cell r="BE1382" t="str">
            <v>Jan</v>
          </cell>
        </row>
        <row r="1383">
          <cell r="C1383" t="str">
            <v>San Miguel</v>
          </cell>
          <cell r="R1383">
            <v>26000</v>
          </cell>
          <cell r="AZ1383">
            <v>-39000</v>
          </cell>
          <cell r="BA1383">
            <v>-47131.545908975371</v>
          </cell>
          <cell r="BC1383" t="str">
            <v>OTHERS</v>
          </cell>
          <cell r="BE1383" t="str">
            <v>Feb</v>
          </cell>
        </row>
        <row r="1384">
          <cell r="C1384" t="str">
            <v>San Miguel</v>
          </cell>
          <cell r="R1384">
            <v>0</v>
          </cell>
          <cell r="AZ1384">
            <v>0</v>
          </cell>
          <cell r="BA1384">
            <v>0</v>
          </cell>
          <cell r="BC1384" t="str">
            <v>OTHERS</v>
          </cell>
          <cell r="BE1384" t="str">
            <v>Mar</v>
          </cell>
        </row>
        <row r="1385">
          <cell r="C1385" t="str">
            <v>San Miguel</v>
          </cell>
          <cell r="R1385">
            <v>0</v>
          </cell>
          <cell r="AZ1385">
            <v>0</v>
          </cell>
          <cell r="BA1385">
            <v>0</v>
          </cell>
          <cell r="BC1385" t="str">
            <v>OTHERS</v>
          </cell>
          <cell r="BE1385" t="str">
            <v>Apr</v>
          </cell>
        </row>
        <row r="1386">
          <cell r="C1386" t="str">
            <v>San Miguel</v>
          </cell>
          <cell r="R1386">
            <v>0</v>
          </cell>
          <cell r="AZ1386">
            <v>0</v>
          </cell>
          <cell r="BA1386">
            <v>0</v>
          </cell>
          <cell r="BC1386" t="str">
            <v>OTHERS</v>
          </cell>
          <cell r="BE1386" t="str">
            <v>May</v>
          </cell>
        </row>
        <row r="1387">
          <cell r="C1387" t="str">
            <v>San Miguel</v>
          </cell>
          <cell r="R1387">
            <v>0</v>
          </cell>
          <cell r="AZ1387">
            <v>0</v>
          </cell>
          <cell r="BA1387">
            <v>0</v>
          </cell>
          <cell r="BC1387" t="str">
            <v>OTHERS</v>
          </cell>
          <cell r="BE1387" t="str">
            <v>Jun</v>
          </cell>
        </row>
        <row r="1388">
          <cell r="C1388" t="str">
            <v>San Miguel</v>
          </cell>
          <cell r="R1388">
            <v>0</v>
          </cell>
          <cell r="AZ1388">
            <v>0</v>
          </cell>
          <cell r="BA1388">
            <v>0</v>
          </cell>
          <cell r="BC1388" t="str">
            <v>OTHERS</v>
          </cell>
          <cell r="BE1388" t="str">
            <v>Jul</v>
          </cell>
        </row>
        <row r="1389">
          <cell r="C1389" t="str">
            <v>San Miguel</v>
          </cell>
          <cell r="R1389">
            <v>26000</v>
          </cell>
          <cell r="AZ1389">
            <v>-39000</v>
          </cell>
          <cell r="BA1389">
            <v>-47131.545908975371</v>
          </cell>
          <cell r="BC1389" t="str">
            <v>OTHERS</v>
          </cell>
          <cell r="BE1389" t="str">
            <v>Aug</v>
          </cell>
        </row>
        <row r="1390">
          <cell r="C1390" t="str">
            <v>San Miguel</v>
          </cell>
          <cell r="R1390">
            <v>0</v>
          </cell>
          <cell r="AZ1390">
            <v>0</v>
          </cell>
          <cell r="BA1390">
            <v>0</v>
          </cell>
          <cell r="BC1390" t="str">
            <v>OTHERS</v>
          </cell>
          <cell r="BE1390" t="str">
            <v>Sep</v>
          </cell>
        </row>
        <row r="1391">
          <cell r="C1391" t="str">
            <v>San Miguel</v>
          </cell>
          <cell r="R1391">
            <v>0</v>
          </cell>
          <cell r="AZ1391">
            <v>0</v>
          </cell>
          <cell r="BA1391">
            <v>0</v>
          </cell>
          <cell r="BC1391" t="str">
            <v>OTHERS</v>
          </cell>
          <cell r="BE1391" t="str">
            <v>Oct</v>
          </cell>
        </row>
        <row r="1392">
          <cell r="C1392" t="str">
            <v>San Miguel</v>
          </cell>
          <cell r="R1392">
            <v>0</v>
          </cell>
          <cell r="AZ1392">
            <v>0</v>
          </cell>
          <cell r="BA1392">
            <v>0</v>
          </cell>
          <cell r="BC1392" t="str">
            <v>OTHERS</v>
          </cell>
          <cell r="BE1392" t="str">
            <v>Nov</v>
          </cell>
        </row>
        <row r="1393">
          <cell r="C1393" t="str">
            <v>San Miguel</v>
          </cell>
          <cell r="R1393">
            <v>0</v>
          </cell>
          <cell r="AZ1393">
            <v>0</v>
          </cell>
          <cell r="BA1393">
            <v>0</v>
          </cell>
          <cell r="BC1393" t="str">
            <v>OTHERS</v>
          </cell>
          <cell r="BE1393" t="str">
            <v>Dec</v>
          </cell>
        </row>
        <row r="1394">
          <cell r="C1394" t="str">
            <v>San Miguel</v>
          </cell>
          <cell r="R1394">
            <v>0</v>
          </cell>
          <cell r="AZ1394">
            <v>0</v>
          </cell>
          <cell r="BA1394">
            <v>0</v>
          </cell>
          <cell r="BC1394" t="str">
            <v>OTHERS</v>
          </cell>
          <cell r="BE1394" t="str">
            <v>Jan</v>
          </cell>
        </row>
        <row r="1395">
          <cell r="C1395" t="str">
            <v>San Miguel</v>
          </cell>
          <cell r="R1395">
            <v>39000</v>
          </cell>
          <cell r="AZ1395">
            <v>-58500</v>
          </cell>
          <cell r="BA1395">
            <v>-66994.854834909202</v>
          </cell>
          <cell r="BC1395" t="str">
            <v>OTHERS</v>
          </cell>
          <cell r="BE1395" t="str">
            <v>Feb</v>
          </cell>
        </row>
        <row r="1396">
          <cell r="C1396" t="str">
            <v>San Miguel</v>
          </cell>
          <cell r="R1396">
            <v>39000</v>
          </cell>
          <cell r="AZ1396">
            <v>-58500</v>
          </cell>
          <cell r="BA1396">
            <v>-66994.854834909202</v>
          </cell>
          <cell r="BC1396" t="str">
            <v>OTHERS</v>
          </cell>
          <cell r="BE1396" t="str">
            <v>Mar</v>
          </cell>
        </row>
        <row r="1397">
          <cell r="C1397" t="str">
            <v>San Miguel</v>
          </cell>
          <cell r="R1397">
            <v>39000</v>
          </cell>
          <cell r="AZ1397">
            <v>-58500</v>
          </cell>
          <cell r="BA1397">
            <v>-66994.854834909202</v>
          </cell>
          <cell r="BC1397" t="str">
            <v>OTHERS</v>
          </cell>
          <cell r="BE1397" t="str">
            <v>Apr</v>
          </cell>
        </row>
        <row r="1398">
          <cell r="C1398" t="str">
            <v>San Miguel</v>
          </cell>
          <cell r="R1398">
            <v>39000</v>
          </cell>
          <cell r="AZ1398">
            <v>-58500</v>
          </cell>
          <cell r="BA1398">
            <v>-66994.854834909202</v>
          </cell>
          <cell r="BC1398" t="str">
            <v>OTHERS</v>
          </cell>
          <cell r="BE1398" t="str">
            <v>May</v>
          </cell>
        </row>
        <row r="1399">
          <cell r="C1399" t="str">
            <v>San Miguel</v>
          </cell>
          <cell r="R1399">
            <v>39000</v>
          </cell>
          <cell r="AZ1399">
            <v>-58500</v>
          </cell>
          <cell r="BA1399">
            <v>-66994.854834909202</v>
          </cell>
          <cell r="BC1399" t="str">
            <v>OTHERS</v>
          </cell>
          <cell r="BE1399" t="str">
            <v>Jun</v>
          </cell>
        </row>
        <row r="1400">
          <cell r="C1400" t="str">
            <v>San Miguel</v>
          </cell>
          <cell r="R1400">
            <v>0</v>
          </cell>
          <cell r="AZ1400">
            <v>0</v>
          </cell>
          <cell r="BA1400">
            <v>0</v>
          </cell>
          <cell r="BC1400" t="str">
            <v>OTHERS</v>
          </cell>
          <cell r="BE1400" t="str">
            <v>Jul</v>
          </cell>
        </row>
        <row r="1401">
          <cell r="C1401" t="str">
            <v>San Miguel</v>
          </cell>
          <cell r="R1401">
            <v>0</v>
          </cell>
          <cell r="AZ1401">
            <v>0</v>
          </cell>
          <cell r="BA1401">
            <v>0</v>
          </cell>
          <cell r="BC1401" t="str">
            <v>OTHERS</v>
          </cell>
          <cell r="BE1401" t="str">
            <v>Aug</v>
          </cell>
        </row>
        <row r="1402">
          <cell r="C1402" t="str">
            <v>San Miguel</v>
          </cell>
          <cell r="R1402">
            <v>39000</v>
          </cell>
          <cell r="AZ1402">
            <v>-58500</v>
          </cell>
          <cell r="BA1402">
            <v>-66994.854834909202</v>
          </cell>
          <cell r="BC1402" t="str">
            <v>OTHERS</v>
          </cell>
          <cell r="BE1402" t="str">
            <v>Sep</v>
          </cell>
        </row>
        <row r="1403">
          <cell r="C1403" t="str">
            <v>San Miguel</v>
          </cell>
          <cell r="R1403">
            <v>39000</v>
          </cell>
          <cell r="AZ1403">
            <v>-58500</v>
          </cell>
          <cell r="BA1403">
            <v>-66994.854834909202</v>
          </cell>
          <cell r="BC1403" t="str">
            <v>OTHERS</v>
          </cell>
          <cell r="BE1403" t="str">
            <v>Oct</v>
          </cell>
        </row>
        <row r="1404">
          <cell r="C1404" t="str">
            <v>San Miguel</v>
          </cell>
          <cell r="R1404">
            <v>39000</v>
          </cell>
          <cell r="AZ1404">
            <v>-58500</v>
          </cell>
          <cell r="BA1404">
            <v>-66994.854834909202</v>
          </cell>
          <cell r="BC1404" t="str">
            <v>OTHERS</v>
          </cell>
          <cell r="BE1404" t="str">
            <v>Nov</v>
          </cell>
        </row>
        <row r="1405">
          <cell r="C1405" t="str">
            <v>San Miguel</v>
          </cell>
          <cell r="R1405">
            <v>39000</v>
          </cell>
          <cell r="AZ1405">
            <v>-58500</v>
          </cell>
          <cell r="BA1405">
            <v>-66994.854834909202</v>
          </cell>
          <cell r="BC1405" t="str">
            <v>OTHERS</v>
          </cell>
          <cell r="BE1405" t="str">
            <v>Dec</v>
          </cell>
        </row>
        <row r="1406">
          <cell r="C1406" t="str">
            <v>San Miguel</v>
          </cell>
          <cell r="R1406">
            <v>0</v>
          </cell>
          <cell r="AZ1406">
            <v>0</v>
          </cell>
          <cell r="BA1406">
            <v>0</v>
          </cell>
          <cell r="BC1406" t="str">
            <v>OTHERS</v>
          </cell>
          <cell r="BE1406" t="str">
            <v>Jan</v>
          </cell>
        </row>
        <row r="1407">
          <cell r="C1407" t="str">
            <v>San Miguel</v>
          </cell>
          <cell r="R1407">
            <v>26000</v>
          </cell>
          <cell r="AZ1407">
            <v>-39000</v>
          </cell>
          <cell r="BA1407">
            <v>-39027.048698455415</v>
          </cell>
          <cell r="BC1407" t="str">
            <v>OTHERS</v>
          </cell>
          <cell r="BE1407" t="str">
            <v>Feb</v>
          </cell>
        </row>
        <row r="1408">
          <cell r="C1408" t="str">
            <v>San Miguel</v>
          </cell>
          <cell r="R1408">
            <v>26000</v>
          </cell>
          <cell r="AZ1408">
            <v>-39000</v>
          </cell>
          <cell r="BA1408">
            <v>-39027.048698455415</v>
          </cell>
          <cell r="BC1408" t="str">
            <v>OTHERS</v>
          </cell>
          <cell r="BE1408" t="str">
            <v>Mar</v>
          </cell>
        </row>
        <row r="1409">
          <cell r="C1409" t="str">
            <v>San Miguel</v>
          </cell>
          <cell r="R1409">
            <v>26000</v>
          </cell>
          <cell r="AZ1409">
            <v>-39000</v>
          </cell>
          <cell r="BA1409">
            <v>-39027.048698455415</v>
          </cell>
          <cell r="BC1409" t="str">
            <v>OTHERS</v>
          </cell>
          <cell r="BE1409" t="str">
            <v>Apr</v>
          </cell>
        </row>
        <row r="1410">
          <cell r="C1410" t="str">
            <v>San Miguel</v>
          </cell>
          <cell r="R1410">
            <v>26000</v>
          </cell>
          <cell r="AZ1410">
            <v>-39000</v>
          </cell>
          <cell r="BA1410">
            <v>-39027.048698455415</v>
          </cell>
          <cell r="BC1410" t="str">
            <v>OTHERS</v>
          </cell>
          <cell r="BE1410" t="str">
            <v>May</v>
          </cell>
        </row>
        <row r="1411">
          <cell r="C1411" t="str">
            <v>San Miguel</v>
          </cell>
          <cell r="R1411">
            <v>26000</v>
          </cell>
          <cell r="AZ1411">
            <v>-39000</v>
          </cell>
          <cell r="BA1411">
            <v>-39027.048698455415</v>
          </cell>
          <cell r="BC1411" t="str">
            <v>OTHERS</v>
          </cell>
          <cell r="BE1411" t="str">
            <v>Jun</v>
          </cell>
        </row>
        <row r="1412">
          <cell r="C1412" t="str">
            <v>San Miguel</v>
          </cell>
          <cell r="R1412">
            <v>0</v>
          </cell>
          <cell r="AZ1412">
            <v>0</v>
          </cell>
          <cell r="BA1412">
            <v>0</v>
          </cell>
          <cell r="BC1412" t="str">
            <v>OTHERS</v>
          </cell>
          <cell r="BE1412" t="str">
            <v>Jul</v>
          </cell>
        </row>
        <row r="1413">
          <cell r="C1413" t="str">
            <v>San Miguel</v>
          </cell>
          <cell r="R1413">
            <v>0</v>
          </cell>
          <cell r="AZ1413">
            <v>0</v>
          </cell>
          <cell r="BA1413">
            <v>0</v>
          </cell>
          <cell r="BC1413" t="str">
            <v>OTHERS</v>
          </cell>
          <cell r="BE1413" t="str">
            <v>Aug</v>
          </cell>
        </row>
        <row r="1414">
          <cell r="C1414" t="str">
            <v>San Miguel</v>
          </cell>
          <cell r="R1414">
            <v>26000</v>
          </cell>
          <cell r="AZ1414">
            <v>-39000</v>
          </cell>
          <cell r="BA1414">
            <v>-39027.048698455415</v>
          </cell>
          <cell r="BC1414" t="str">
            <v>OTHERS</v>
          </cell>
          <cell r="BE1414" t="str">
            <v>Sep</v>
          </cell>
        </row>
        <row r="1415">
          <cell r="C1415" t="str">
            <v>San Miguel</v>
          </cell>
          <cell r="R1415">
            <v>26000</v>
          </cell>
          <cell r="AZ1415">
            <v>-39000</v>
          </cell>
          <cell r="BA1415">
            <v>-39027.048698455415</v>
          </cell>
          <cell r="BC1415" t="str">
            <v>OTHERS</v>
          </cell>
          <cell r="BE1415" t="str">
            <v>Oct</v>
          </cell>
        </row>
        <row r="1416">
          <cell r="C1416" t="str">
            <v>San Miguel</v>
          </cell>
          <cell r="R1416">
            <v>26000</v>
          </cell>
          <cell r="AZ1416">
            <v>-39000</v>
          </cell>
          <cell r="BA1416">
            <v>-39027.048698455415</v>
          </cell>
          <cell r="BC1416" t="str">
            <v>OTHERS</v>
          </cell>
          <cell r="BE1416" t="str">
            <v>Nov</v>
          </cell>
        </row>
        <row r="1417">
          <cell r="C1417" t="str">
            <v>San Miguel</v>
          </cell>
          <cell r="R1417">
            <v>26000</v>
          </cell>
          <cell r="AZ1417">
            <v>-39000</v>
          </cell>
          <cell r="BA1417">
            <v>-39027.048698455415</v>
          </cell>
          <cell r="BC1417" t="str">
            <v>OTHERS</v>
          </cell>
          <cell r="BE1417" t="str">
            <v>Dec</v>
          </cell>
        </row>
        <row r="1418">
          <cell r="C1418" t="str">
            <v>San Miguel</v>
          </cell>
          <cell r="R1418">
            <v>0</v>
          </cell>
          <cell r="AZ1418">
            <v>0</v>
          </cell>
          <cell r="BA1418">
            <v>0</v>
          </cell>
          <cell r="BC1418" t="str">
            <v>OTHERS</v>
          </cell>
          <cell r="BE1418" t="str">
            <v>Jan</v>
          </cell>
        </row>
        <row r="1419">
          <cell r="C1419" t="str">
            <v>San Miguel</v>
          </cell>
          <cell r="R1419">
            <v>0</v>
          </cell>
          <cell r="AZ1419">
            <v>0</v>
          </cell>
          <cell r="BA1419">
            <v>0</v>
          </cell>
          <cell r="BC1419" t="str">
            <v>OTHERS</v>
          </cell>
          <cell r="BE1419" t="str">
            <v>Feb</v>
          </cell>
        </row>
        <row r="1420">
          <cell r="C1420" t="str">
            <v>San Miguel</v>
          </cell>
          <cell r="R1420">
            <v>0</v>
          </cell>
          <cell r="AZ1420">
            <v>0</v>
          </cell>
          <cell r="BA1420">
            <v>0</v>
          </cell>
          <cell r="BC1420" t="str">
            <v>OTHERS</v>
          </cell>
          <cell r="BE1420" t="str">
            <v>Mar</v>
          </cell>
        </row>
        <row r="1421">
          <cell r="C1421" t="str">
            <v>San Miguel</v>
          </cell>
          <cell r="R1421">
            <v>0</v>
          </cell>
          <cell r="AZ1421">
            <v>0</v>
          </cell>
          <cell r="BA1421">
            <v>0</v>
          </cell>
          <cell r="BC1421" t="str">
            <v>OTHERS</v>
          </cell>
          <cell r="BE1421" t="str">
            <v>Apr</v>
          </cell>
        </row>
        <row r="1422">
          <cell r="C1422" t="str">
            <v>San Miguel</v>
          </cell>
          <cell r="R1422">
            <v>35750</v>
          </cell>
          <cell r="AZ1422">
            <v>-53625</v>
          </cell>
          <cell r="BA1422">
            <v>-61822.767179245107</v>
          </cell>
          <cell r="BC1422" t="str">
            <v>OTHERS</v>
          </cell>
          <cell r="BE1422" t="str">
            <v>May</v>
          </cell>
        </row>
        <row r="1423">
          <cell r="C1423" t="str">
            <v>San Miguel</v>
          </cell>
          <cell r="R1423">
            <v>0</v>
          </cell>
          <cell r="AZ1423">
            <v>0</v>
          </cell>
          <cell r="BA1423">
            <v>0</v>
          </cell>
          <cell r="BC1423" t="str">
            <v>OTHERS</v>
          </cell>
          <cell r="BE1423" t="str">
            <v>Jun</v>
          </cell>
        </row>
        <row r="1424">
          <cell r="C1424" t="str">
            <v>San Miguel</v>
          </cell>
          <cell r="R1424">
            <v>0</v>
          </cell>
          <cell r="AZ1424">
            <v>0</v>
          </cell>
          <cell r="BA1424">
            <v>0</v>
          </cell>
          <cell r="BC1424" t="str">
            <v>OTHERS</v>
          </cell>
          <cell r="BE1424" t="str">
            <v>Jul</v>
          </cell>
        </row>
        <row r="1425">
          <cell r="C1425" t="str">
            <v>San Miguel</v>
          </cell>
          <cell r="R1425">
            <v>0</v>
          </cell>
          <cell r="AZ1425">
            <v>0</v>
          </cell>
          <cell r="BA1425">
            <v>0</v>
          </cell>
          <cell r="BC1425" t="str">
            <v>OTHERS</v>
          </cell>
          <cell r="BE1425" t="str">
            <v>Aug</v>
          </cell>
        </row>
        <row r="1426">
          <cell r="C1426" t="str">
            <v>San Miguel</v>
          </cell>
          <cell r="R1426">
            <v>0</v>
          </cell>
          <cell r="AZ1426">
            <v>0</v>
          </cell>
          <cell r="BA1426">
            <v>0</v>
          </cell>
          <cell r="BC1426" t="str">
            <v>OTHERS</v>
          </cell>
          <cell r="BE1426" t="str">
            <v>Sep</v>
          </cell>
        </row>
        <row r="1427">
          <cell r="C1427" t="str">
            <v>San Miguel</v>
          </cell>
          <cell r="R1427">
            <v>0</v>
          </cell>
          <cell r="AZ1427">
            <v>0</v>
          </cell>
          <cell r="BA1427">
            <v>0</v>
          </cell>
          <cell r="BC1427" t="str">
            <v>OTHERS</v>
          </cell>
          <cell r="BE1427" t="str">
            <v>Oct</v>
          </cell>
        </row>
        <row r="1428">
          <cell r="C1428" t="str">
            <v>San Miguel</v>
          </cell>
          <cell r="R1428">
            <v>0</v>
          </cell>
          <cell r="AZ1428">
            <v>0</v>
          </cell>
          <cell r="BA1428">
            <v>0</v>
          </cell>
          <cell r="BC1428" t="str">
            <v>OTHERS</v>
          </cell>
          <cell r="BE1428" t="str">
            <v>Nov</v>
          </cell>
        </row>
        <row r="1429">
          <cell r="C1429" t="str">
            <v>San Miguel</v>
          </cell>
          <cell r="R1429">
            <v>0</v>
          </cell>
          <cell r="AZ1429">
            <v>0</v>
          </cell>
          <cell r="BA1429">
            <v>0</v>
          </cell>
          <cell r="BC1429" t="str">
            <v>OTHERS</v>
          </cell>
          <cell r="BE1429" t="str">
            <v>Dec</v>
          </cell>
        </row>
        <row r="1430">
          <cell r="C1430" t="str">
            <v>San Miguel</v>
          </cell>
          <cell r="R1430">
            <v>0</v>
          </cell>
          <cell r="AZ1430">
            <v>0</v>
          </cell>
          <cell r="BA1430">
            <v>0</v>
          </cell>
          <cell r="BC1430" t="str">
            <v>OTHERS</v>
          </cell>
          <cell r="BE1430" t="str">
            <v>Jan</v>
          </cell>
        </row>
        <row r="1431">
          <cell r="C1431" t="str">
            <v>San Miguel</v>
          </cell>
          <cell r="R1431">
            <v>0</v>
          </cell>
          <cell r="AZ1431">
            <v>0</v>
          </cell>
          <cell r="BA1431">
            <v>0</v>
          </cell>
          <cell r="BC1431" t="str">
            <v>OTHERS</v>
          </cell>
          <cell r="BE1431" t="str">
            <v>Feb</v>
          </cell>
        </row>
        <row r="1432">
          <cell r="C1432" t="str">
            <v>San Miguel</v>
          </cell>
          <cell r="R1432">
            <v>0</v>
          </cell>
          <cell r="AZ1432">
            <v>0</v>
          </cell>
          <cell r="BA1432">
            <v>0</v>
          </cell>
          <cell r="BC1432" t="str">
            <v>OTHERS</v>
          </cell>
          <cell r="BE1432" t="str">
            <v>Mar</v>
          </cell>
        </row>
        <row r="1433">
          <cell r="C1433" t="str">
            <v>San Miguel</v>
          </cell>
          <cell r="R1433">
            <v>0</v>
          </cell>
          <cell r="AZ1433">
            <v>0</v>
          </cell>
          <cell r="BA1433">
            <v>0</v>
          </cell>
          <cell r="BC1433" t="str">
            <v>OTHERS</v>
          </cell>
          <cell r="BE1433" t="str">
            <v>Apr</v>
          </cell>
        </row>
        <row r="1434">
          <cell r="C1434" t="str">
            <v>San Miguel</v>
          </cell>
          <cell r="R1434">
            <v>29249.999999999996</v>
          </cell>
          <cell r="AZ1434">
            <v>-43874.999999999993</v>
          </cell>
          <cell r="BA1434">
            <v>-44199.136354119502</v>
          </cell>
          <cell r="BC1434" t="str">
            <v>OTHERS</v>
          </cell>
          <cell r="BE1434" t="str">
            <v>May</v>
          </cell>
        </row>
        <row r="1435">
          <cell r="C1435" t="str">
            <v>San Miguel</v>
          </cell>
          <cell r="R1435">
            <v>0</v>
          </cell>
          <cell r="AZ1435">
            <v>0</v>
          </cell>
          <cell r="BA1435">
            <v>0</v>
          </cell>
          <cell r="BC1435" t="str">
            <v>OTHERS</v>
          </cell>
          <cell r="BE1435" t="str">
            <v>Jun</v>
          </cell>
        </row>
        <row r="1436">
          <cell r="C1436" t="str">
            <v>San Miguel</v>
          </cell>
          <cell r="R1436">
            <v>0</v>
          </cell>
          <cell r="AZ1436">
            <v>0</v>
          </cell>
          <cell r="BA1436">
            <v>0</v>
          </cell>
          <cell r="BC1436" t="str">
            <v>OTHERS</v>
          </cell>
          <cell r="BE1436" t="str">
            <v>Jul</v>
          </cell>
        </row>
        <row r="1437">
          <cell r="C1437" t="str">
            <v>San Miguel</v>
          </cell>
          <cell r="R1437">
            <v>0</v>
          </cell>
          <cell r="AZ1437">
            <v>0</v>
          </cell>
          <cell r="BA1437">
            <v>0</v>
          </cell>
          <cell r="BC1437" t="str">
            <v>OTHERS</v>
          </cell>
          <cell r="BE1437" t="str">
            <v>Aug</v>
          </cell>
        </row>
        <row r="1438">
          <cell r="C1438" t="str">
            <v>San Miguel</v>
          </cell>
          <cell r="R1438">
            <v>0</v>
          </cell>
          <cell r="AZ1438">
            <v>0</v>
          </cell>
          <cell r="BA1438">
            <v>0</v>
          </cell>
          <cell r="BC1438" t="str">
            <v>OTHERS</v>
          </cell>
          <cell r="BE1438" t="str">
            <v>Sep</v>
          </cell>
        </row>
        <row r="1439">
          <cell r="C1439" t="str">
            <v>San Miguel</v>
          </cell>
          <cell r="R1439">
            <v>0</v>
          </cell>
          <cell r="AZ1439">
            <v>0</v>
          </cell>
          <cell r="BA1439">
            <v>0</v>
          </cell>
          <cell r="BC1439" t="str">
            <v>OTHERS</v>
          </cell>
          <cell r="BE1439" t="str">
            <v>Oct</v>
          </cell>
        </row>
        <row r="1440">
          <cell r="C1440" t="str">
            <v>San Miguel</v>
          </cell>
          <cell r="R1440">
            <v>0</v>
          </cell>
          <cell r="AZ1440">
            <v>0</v>
          </cell>
          <cell r="BA1440">
            <v>0</v>
          </cell>
          <cell r="BC1440" t="str">
            <v>OTHERS</v>
          </cell>
          <cell r="BE1440" t="str">
            <v>Nov</v>
          </cell>
        </row>
        <row r="1441">
          <cell r="C1441" t="str">
            <v>San Miguel</v>
          </cell>
          <cell r="R1441">
            <v>0</v>
          </cell>
          <cell r="AZ1441">
            <v>0</v>
          </cell>
          <cell r="BA1441">
            <v>0</v>
          </cell>
          <cell r="BC1441" t="str">
            <v>OTHERS</v>
          </cell>
          <cell r="BE1441" t="str">
            <v>Dec</v>
          </cell>
        </row>
        <row r="1442">
          <cell r="C1442" t="str">
            <v>SPDC</v>
          </cell>
          <cell r="R1442">
            <v>45000</v>
          </cell>
          <cell r="AZ1442">
            <v>-45000</v>
          </cell>
          <cell r="BA1442">
            <v>-77094.642857142855</v>
          </cell>
          <cell r="BC1442" t="str">
            <v>OTHERS</v>
          </cell>
          <cell r="BE1442" t="str">
            <v>Jan</v>
          </cell>
        </row>
        <row r="1443">
          <cell r="C1443" t="str">
            <v>SPDC</v>
          </cell>
          <cell r="R1443">
            <v>0</v>
          </cell>
          <cell r="AZ1443">
            <v>0</v>
          </cell>
          <cell r="BA1443">
            <v>0</v>
          </cell>
          <cell r="BC1443" t="str">
            <v>OTHERS</v>
          </cell>
          <cell r="BE1443" t="str">
            <v>Feb</v>
          </cell>
        </row>
        <row r="1444">
          <cell r="C1444" t="str">
            <v>SPDC</v>
          </cell>
          <cell r="R1444">
            <v>45000</v>
          </cell>
          <cell r="AZ1444">
            <v>-45000</v>
          </cell>
          <cell r="BA1444">
            <v>-77094.642857142855</v>
          </cell>
          <cell r="BC1444" t="str">
            <v>OTHERS</v>
          </cell>
          <cell r="BE1444" t="str">
            <v>Mar</v>
          </cell>
        </row>
        <row r="1445">
          <cell r="C1445" t="str">
            <v>SPDC</v>
          </cell>
          <cell r="R1445">
            <v>0</v>
          </cell>
          <cell r="AZ1445">
            <v>0</v>
          </cell>
          <cell r="BA1445">
            <v>0</v>
          </cell>
          <cell r="BC1445" t="str">
            <v>OTHERS</v>
          </cell>
          <cell r="BE1445" t="str">
            <v>Apr</v>
          </cell>
        </row>
        <row r="1446">
          <cell r="C1446" t="str">
            <v>SPDC</v>
          </cell>
          <cell r="R1446">
            <v>0</v>
          </cell>
          <cell r="AZ1446">
            <v>0</v>
          </cell>
          <cell r="BA1446">
            <v>0</v>
          </cell>
          <cell r="BC1446" t="str">
            <v>OTHERS</v>
          </cell>
          <cell r="BE1446" t="str">
            <v>May</v>
          </cell>
        </row>
        <row r="1447">
          <cell r="C1447" t="str">
            <v>SPDC</v>
          </cell>
          <cell r="R1447">
            <v>0</v>
          </cell>
          <cell r="AZ1447">
            <v>0</v>
          </cell>
          <cell r="BA1447">
            <v>0</v>
          </cell>
          <cell r="BC1447" t="str">
            <v>OTHERS</v>
          </cell>
          <cell r="BE1447" t="str">
            <v>Jun</v>
          </cell>
        </row>
        <row r="1448">
          <cell r="C1448" t="str">
            <v>SPDC</v>
          </cell>
          <cell r="R1448">
            <v>0</v>
          </cell>
          <cell r="AZ1448">
            <v>0</v>
          </cell>
          <cell r="BA1448">
            <v>0</v>
          </cell>
          <cell r="BC1448" t="str">
            <v>OTHERS</v>
          </cell>
          <cell r="BE1448" t="str">
            <v>Jul</v>
          </cell>
        </row>
        <row r="1449">
          <cell r="C1449" t="str">
            <v>SPDC</v>
          </cell>
          <cell r="R1449">
            <v>0</v>
          </cell>
          <cell r="AZ1449">
            <v>0</v>
          </cell>
          <cell r="BA1449">
            <v>0</v>
          </cell>
          <cell r="BC1449" t="str">
            <v>OTHERS</v>
          </cell>
          <cell r="BE1449" t="str">
            <v>Aug</v>
          </cell>
        </row>
        <row r="1450">
          <cell r="C1450" t="str">
            <v>SPDC</v>
          </cell>
          <cell r="R1450">
            <v>0</v>
          </cell>
          <cell r="AZ1450">
            <v>0</v>
          </cell>
          <cell r="BA1450">
            <v>0</v>
          </cell>
          <cell r="BC1450" t="str">
            <v>OTHERS</v>
          </cell>
          <cell r="BE1450" t="str">
            <v>Sep</v>
          </cell>
        </row>
        <row r="1451">
          <cell r="C1451" t="str">
            <v>SPDC</v>
          </cell>
          <cell r="R1451">
            <v>0</v>
          </cell>
          <cell r="AZ1451">
            <v>0</v>
          </cell>
          <cell r="BA1451">
            <v>0</v>
          </cell>
          <cell r="BC1451" t="str">
            <v>OTHERS</v>
          </cell>
          <cell r="BE1451" t="str">
            <v>Oct</v>
          </cell>
        </row>
        <row r="1452">
          <cell r="C1452" t="str">
            <v>SPDC</v>
          </cell>
          <cell r="R1452">
            <v>0</v>
          </cell>
          <cell r="AZ1452">
            <v>0</v>
          </cell>
          <cell r="BA1452">
            <v>0</v>
          </cell>
          <cell r="BC1452" t="str">
            <v>OTHERS</v>
          </cell>
          <cell r="BE1452" t="str">
            <v>Nov</v>
          </cell>
        </row>
        <row r="1453">
          <cell r="C1453" t="str">
            <v>SPDC</v>
          </cell>
          <cell r="R1453">
            <v>0</v>
          </cell>
          <cell r="AZ1453">
            <v>0</v>
          </cell>
          <cell r="BA1453">
            <v>0</v>
          </cell>
          <cell r="BC1453" t="str">
            <v>OTHERS</v>
          </cell>
          <cell r="BE1453" t="str">
            <v>Dec</v>
          </cell>
        </row>
        <row r="1454">
          <cell r="C1454" t="str">
            <v>SPDC</v>
          </cell>
          <cell r="R1454">
            <v>0</v>
          </cell>
          <cell r="AZ1454">
            <v>0</v>
          </cell>
          <cell r="BA1454">
            <v>0</v>
          </cell>
          <cell r="BC1454" t="str">
            <v>OTHERS</v>
          </cell>
          <cell r="BE1454" t="str">
            <v>Jan</v>
          </cell>
        </row>
        <row r="1455">
          <cell r="C1455" t="str">
            <v>SPDC</v>
          </cell>
          <cell r="R1455">
            <v>0</v>
          </cell>
          <cell r="AZ1455">
            <v>0</v>
          </cell>
          <cell r="BA1455">
            <v>0</v>
          </cell>
          <cell r="BC1455" t="str">
            <v>OTHERS</v>
          </cell>
          <cell r="BE1455" t="str">
            <v>Feb</v>
          </cell>
        </row>
        <row r="1456">
          <cell r="C1456" t="str">
            <v>SPDC</v>
          </cell>
          <cell r="R1456">
            <v>0</v>
          </cell>
          <cell r="AZ1456">
            <v>0</v>
          </cell>
          <cell r="BA1456">
            <v>0</v>
          </cell>
          <cell r="BC1456" t="str">
            <v>OTHERS</v>
          </cell>
          <cell r="BE1456" t="str">
            <v>Mar</v>
          </cell>
        </row>
        <row r="1457">
          <cell r="C1457" t="str">
            <v>SPDC</v>
          </cell>
          <cell r="R1457">
            <v>49500</v>
          </cell>
          <cell r="AZ1457">
            <v>-49500</v>
          </cell>
          <cell r="BA1457">
            <v>-84804.107142857145</v>
          </cell>
          <cell r="BC1457" t="str">
            <v>OTHERS</v>
          </cell>
          <cell r="BE1457" t="str">
            <v>Apr</v>
          </cell>
        </row>
        <row r="1458">
          <cell r="C1458" t="str">
            <v>SPDC</v>
          </cell>
          <cell r="R1458">
            <v>0</v>
          </cell>
          <cell r="AZ1458">
            <v>0</v>
          </cell>
          <cell r="BA1458">
            <v>0</v>
          </cell>
          <cell r="BC1458" t="str">
            <v>OTHERS</v>
          </cell>
          <cell r="BE1458" t="str">
            <v>May</v>
          </cell>
        </row>
        <row r="1459">
          <cell r="C1459" t="str">
            <v>SPDC</v>
          </cell>
          <cell r="R1459">
            <v>0</v>
          </cell>
          <cell r="AZ1459">
            <v>0</v>
          </cell>
          <cell r="BA1459">
            <v>0</v>
          </cell>
          <cell r="BC1459" t="str">
            <v>OTHERS</v>
          </cell>
          <cell r="BE1459" t="str">
            <v>Jun</v>
          </cell>
        </row>
        <row r="1460">
          <cell r="C1460" t="str">
            <v>SPDC</v>
          </cell>
          <cell r="R1460">
            <v>49500</v>
          </cell>
          <cell r="AZ1460">
            <v>-49500</v>
          </cell>
          <cell r="BA1460">
            <v>-84804.107142857145</v>
          </cell>
          <cell r="BC1460" t="str">
            <v>OTHERS</v>
          </cell>
          <cell r="BE1460" t="str">
            <v>Jul</v>
          </cell>
        </row>
        <row r="1461">
          <cell r="C1461" t="str">
            <v>SPDC</v>
          </cell>
          <cell r="R1461">
            <v>49500</v>
          </cell>
          <cell r="AZ1461">
            <v>-49500</v>
          </cell>
          <cell r="BA1461">
            <v>-84804.107142857145</v>
          </cell>
          <cell r="BC1461" t="str">
            <v>OTHERS</v>
          </cell>
          <cell r="BE1461" t="str">
            <v>Aug</v>
          </cell>
        </row>
        <row r="1462">
          <cell r="C1462" t="str">
            <v>SPDC</v>
          </cell>
          <cell r="R1462">
            <v>0</v>
          </cell>
          <cell r="AZ1462">
            <v>0</v>
          </cell>
          <cell r="BA1462">
            <v>0</v>
          </cell>
          <cell r="BC1462" t="str">
            <v>OTHERS</v>
          </cell>
          <cell r="BE1462" t="str">
            <v>Sep</v>
          </cell>
        </row>
        <row r="1463">
          <cell r="C1463" t="str">
            <v>SPDC</v>
          </cell>
          <cell r="R1463">
            <v>49500</v>
          </cell>
          <cell r="AZ1463">
            <v>-49500</v>
          </cell>
          <cell r="BA1463">
            <v>-84804.107142857145</v>
          </cell>
          <cell r="BC1463" t="str">
            <v>OTHERS</v>
          </cell>
          <cell r="BE1463" t="str">
            <v>Oct</v>
          </cell>
        </row>
        <row r="1464">
          <cell r="C1464" t="str">
            <v>SPDC</v>
          </cell>
          <cell r="R1464">
            <v>49500</v>
          </cell>
          <cell r="AZ1464">
            <v>-49500</v>
          </cell>
          <cell r="BA1464">
            <v>-84804.107142857145</v>
          </cell>
          <cell r="BC1464" t="str">
            <v>OTHERS</v>
          </cell>
          <cell r="BE1464" t="str">
            <v>Nov</v>
          </cell>
        </row>
        <row r="1465">
          <cell r="C1465" t="str">
            <v>SPDC</v>
          </cell>
          <cell r="R1465">
            <v>0</v>
          </cell>
          <cell r="AZ1465">
            <v>0</v>
          </cell>
          <cell r="BA1465">
            <v>0</v>
          </cell>
          <cell r="BC1465" t="str">
            <v>OTHERS</v>
          </cell>
          <cell r="BE1465" t="str">
            <v>Dec</v>
          </cell>
        </row>
        <row r="1466">
          <cell r="C1466" t="str">
            <v>Therma Luzon</v>
          </cell>
          <cell r="R1466">
            <v>0</v>
          </cell>
          <cell r="AZ1466">
            <v>0</v>
          </cell>
          <cell r="BA1466">
            <v>0</v>
          </cell>
          <cell r="BC1466" t="str">
            <v>OTHERS</v>
          </cell>
          <cell r="BE1466" t="str">
            <v>Jan</v>
          </cell>
        </row>
        <row r="1467">
          <cell r="C1467" t="str">
            <v>Therma Luzon</v>
          </cell>
          <cell r="R1467">
            <v>34000</v>
          </cell>
          <cell r="AZ1467">
            <v>-51000</v>
          </cell>
          <cell r="BA1467">
            <v>-59590.042912979319</v>
          </cell>
          <cell r="BC1467" t="str">
            <v>OTHERS</v>
          </cell>
          <cell r="BE1467" t="str">
            <v>Feb</v>
          </cell>
        </row>
        <row r="1468">
          <cell r="C1468" t="str">
            <v>Therma Luzon</v>
          </cell>
          <cell r="R1468">
            <v>0</v>
          </cell>
          <cell r="AZ1468">
            <v>0</v>
          </cell>
          <cell r="BA1468">
            <v>0</v>
          </cell>
          <cell r="BC1468" t="str">
            <v>OTHERS</v>
          </cell>
          <cell r="BE1468" t="str">
            <v>Mar</v>
          </cell>
        </row>
        <row r="1469">
          <cell r="C1469" t="str">
            <v>Therma Luzon</v>
          </cell>
          <cell r="R1469">
            <v>0</v>
          </cell>
          <cell r="AZ1469">
            <v>0</v>
          </cell>
          <cell r="BA1469">
            <v>0</v>
          </cell>
          <cell r="BC1469" t="str">
            <v>OTHERS</v>
          </cell>
          <cell r="BE1469" t="str">
            <v>Apr</v>
          </cell>
        </row>
        <row r="1470">
          <cell r="C1470" t="str">
            <v>Therma Luzon</v>
          </cell>
          <cell r="R1470">
            <v>0</v>
          </cell>
          <cell r="AZ1470">
            <v>0</v>
          </cell>
          <cell r="BA1470">
            <v>0</v>
          </cell>
          <cell r="BC1470" t="str">
            <v>OTHERS</v>
          </cell>
          <cell r="BE1470" t="str">
            <v>May</v>
          </cell>
        </row>
        <row r="1471">
          <cell r="C1471" t="str">
            <v>Therma Luzon</v>
          </cell>
          <cell r="R1471">
            <v>0</v>
          </cell>
          <cell r="AZ1471">
            <v>0</v>
          </cell>
          <cell r="BA1471">
            <v>0</v>
          </cell>
          <cell r="BC1471" t="str">
            <v>OTHERS</v>
          </cell>
          <cell r="BE1471" t="str">
            <v>Jun</v>
          </cell>
        </row>
        <row r="1472">
          <cell r="C1472" t="str">
            <v>Therma Luzon</v>
          </cell>
          <cell r="R1472">
            <v>0</v>
          </cell>
          <cell r="AZ1472">
            <v>0</v>
          </cell>
          <cell r="BA1472">
            <v>0</v>
          </cell>
          <cell r="BC1472" t="str">
            <v>OTHERS</v>
          </cell>
          <cell r="BE1472" t="str">
            <v>Jul</v>
          </cell>
        </row>
        <row r="1473">
          <cell r="C1473" t="str">
            <v>Therma Luzon</v>
          </cell>
          <cell r="R1473">
            <v>0</v>
          </cell>
          <cell r="AZ1473">
            <v>0</v>
          </cell>
          <cell r="BA1473">
            <v>0</v>
          </cell>
          <cell r="BC1473" t="str">
            <v>OTHERS</v>
          </cell>
          <cell r="BE1473" t="str">
            <v>Aug</v>
          </cell>
        </row>
        <row r="1474">
          <cell r="C1474" t="str">
            <v>Therma Luzon</v>
          </cell>
          <cell r="R1474">
            <v>0</v>
          </cell>
          <cell r="AZ1474">
            <v>0</v>
          </cell>
          <cell r="BA1474">
            <v>0</v>
          </cell>
          <cell r="BC1474" t="str">
            <v>OTHERS</v>
          </cell>
          <cell r="BE1474" t="str">
            <v>Sep</v>
          </cell>
        </row>
        <row r="1475">
          <cell r="C1475" t="str">
            <v>Therma Luzon</v>
          </cell>
          <cell r="R1475">
            <v>0</v>
          </cell>
          <cell r="AZ1475">
            <v>0</v>
          </cell>
          <cell r="BA1475">
            <v>0</v>
          </cell>
          <cell r="BC1475" t="str">
            <v>OTHERS</v>
          </cell>
          <cell r="BE1475" t="str">
            <v>Oct</v>
          </cell>
        </row>
        <row r="1476">
          <cell r="C1476" t="str">
            <v>Therma Luzon</v>
          </cell>
          <cell r="R1476">
            <v>0</v>
          </cell>
          <cell r="AZ1476">
            <v>0</v>
          </cell>
          <cell r="BA1476">
            <v>0</v>
          </cell>
          <cell r="BC1476" t="str">
            <v>OTHERS</v>
          </cell>
          <cell r="BE1476" t="str">
            <v>Nov</v>
          </cell>
        </row>
        <row r="1477">
          <cell r="C1477" t="str">
            <v>Therma Luzon</v>
          </cell>
          <cell r="R1477">
            <v>0</v>
          </cell>
          <cell r="AZ1477">
            <v>0</v>
          </cell>
          <cell r="BA1477">
            <v>0</v>
          </cell>
          <cell r="BC1477" t="str">
            <v>OTHERS</v>
          </cell>
          <cell r="BE1477" t="str">
            <v>Dec</v>
          </cell>
        </row>
        <row r="1478">
          <cell r="C1478" t="str">
            <v>Therma Luzon</v>
          </cell>
          <cell r="R1478">
            <v>0</v>
          </cell>
          <cell r="AZ1478">
            <v>0</v>
          </cell>
          <cell r="BA1478">
            <v>0</v>
          </cell>
          <cell r="BC1478" t="str">
            <v>OTHERS</v>
          </cell>
          <cell r="BE1478" t="str">
            <v>Jan</v>
          </cell>
        </row>
        <row r="1479">
          <cell r="C1479" t="str">
            <v>Therma Luzon</v>
          </cell>
          <cell r="R1479">
            <v>34000</v>
          </cell>
          <cell r="AZ1479">
            <v>-51000</v>
          </cell>
          <cell r="BA1479">
            <v>-51890.569398707295</v>
          </cell>
          <cell r="BC1479" t="str">
            <v>OTHERS</v>
          </cell>
          <cell r="BE1479" t="str">
            <v>Feb</v>
          </cell>
        </row>
        <row r="1480">
          <cell r="C1480" t="str">
            <v>Therma Luzon</v>
          </cell>
          <cell r="R1480">
            <v>0</v>
          </cell>
          <cell r="AZ1480">
            <v>0</v>
          </cell>
          <cell r="BA1480">
            <v>0</v>
          </cell>
          <cell r="BC1480" t="str">
            <v>OTHERS</v>
          </cell>
          <cell r="BE1480" t="str">
            <v>Mar</v>
          </cell>
        </row>
        <row r="1481">
          <cell r="C1481" t="str">
            <v>Therma Luzon</v>
          </cell>
          <cell r="R1481">
            <v>0</v>
          </cell>
          <cell r="AZ1481">
            <v>0</v>
          </cell>
          <cell r="BA1481">
            <v>0</v>
          </cell>
          <cell r="BC1481" t="str">
            <v>OTHERS</v>
          </cell>
          <cell r="BE1481" t="str">
            <v>Apr</v>
          </cell>
        </row>
        <row r="1482">
          <cell r="C1482" t="str">
            <v>Therma Luzon</v>
          </cell>
          <cell r="R1482">
            <v>0</v>
          </cell>
          <cell r="AZ1482">
            <v>0</v>
          </cell>
          <cell r="BA1482">
            <v>0</v>
          </cell>
          <cell r="BC1482" t="str">
            <v>OTHERS</v>
          </cell>
          <cell r="BE1482" t="str">
            <v>May</v>
          </cell>
        </row>
        <row r="1483">
          <cell r="C1483" t="str">
            <v>Therma Luzon</v>
          </cell>
          <cell r="R1483">
            <v>0</v>
          </cell>
          <cell r="AZ1483">
            <v>0</v>
          </cell>
          <cell r="BA1483">
            <v>0</v>
          </cell>
          <cell r="BC1483" t="str">
            <v>OTHERS</v>
          </cell>
          <cell r="BE1483" t="str">
            <v>Jun</v>
          </cell>
        </row>
        <row r="1484">
          <cell r="C1484" t="str">
            <v>Therma Luzon</v>
          </cell>
          <cell r="R1484">
            <v>0</v>
          </cell>
          <cell r="AZ1484">
            <v>0</v>
          </cell>
          <cell r="BA1484">
            <v>0</v>
          </cell>
          <cell r="BC1484" t="str">
            <v>OTHERS</v>
          </cell>
          <cell r="BE1484" t="str">
            <v>Jul</v>
          </cell>
        </row>
        <row r="1485">
          <cell r="C1485" t="str">
            <v>Therma Luzon</v>
          </cell>
          <cell r="R1485">
            <v>0</v>
          </cell>
          <cell r="AZ1485">
            <v>0</v>
          </cell>
          <cell r="BA1485">
            <v>0</v>
          </cell>
          <cell r="BC1485" t="str">
            <v>OTHERS</v>
          </cell>
          <cell r="BE1485" t="str">
            <v>Aug</v>
          </cell>
        </row>
        <row r="1486">
          <cell r="C1486" t="str">
            <v>Therma Luzon</v>
          </cell>
          <cell r="R1486">
            <v>0</v>
          </cell>
          <cell r="AZ1486">
            <v>0</v>
          </cell>
          <cell r="BA1486">
            <v>0</v>
          </cell>
          <cell r="BC1486" t="str">
            <v>OTHERS</v>
          </cell>
          <cell r="BE1486" t="str">
            <v>Sep</v>
          </cell>
        </row>
        <row r="1487">
          <cell r="C1487" t="str">
            <v>Therma Luzon</v>
          </cell>
          <cell r="R1487">
            <v>0</v>
          </cell>
          <cell r="AZ1487">
            <v>0</v>
          </cell>
          <cell r="BA1487">
            <v>0</v>
          </cell>
          <cell r="BC1487" t="str">
            <v>OTHERS</v>
          </cell>
          <cell r="BE1487" t="str">
            <v>Oct</v>
          </cell>
        </row>
        <row r="1488">
          <cell r="C1488" t="str">
            <v>Therma Luzon</v>
          </cell>
          <cell r="R1488">
            <v>0</v>
          </cell>
          <cell r="AZ1488">
            <v>0</v>
          </cell>
          <cell r="BA1488">
            <v>0</v>
          </cell>
          <cell r="BC1488" t="str">
            <v>OTHERS</v>
          </cell>
          <cell r="BE1488" t="str">
            <v>Nov</v>
          </cell>
        </row>
        <row r="1489">
          <cell r="C1489" t="str">
            <v>Therma Luzon</v>
          </cell>
          <cell r="R1489">
            <v>0</v>
          </cell>
          <cell r="AZ1489">
            <v>0</v>
          </cell>
          <cell r="BA1489">
            <v>0</v>
          </cell>
          <cell r="BC1489" t="str">
            <v>OTHERS</v>
          </cell>
          <cell r="BE1489" t="str">
            <v>Dec</v>
          </cell>
        </row>
        <row r="1490">
          <cell r="C1490" t="str">
            <v>Therma Luzon</v>
          </cell>
          <cell r="R1490">
            <v>0</v>
          </cell>
          <cell r="AZ1490">
            <v>0</v>
          </cell>
          <cell r="BA1490">
            <v>0</v>
          </cell>
          <cell r="BC1490" t="str">
            <v>OTHERS</v>
          </cell>
          <cell r="BE1490" t="str">
            <v>Jan</v>
          </cell>
        </row>
        <row r="1491">
          <cell r="C1491" t="str">
            <v>Therma Luzon</v>
          </cell>
          <cell r="R1491">
            <v>0</v>
          </cell>
          <cell r="AZ1491">
            <v>0</v>
          </cell>
          <cell r="BA1491">
            <v>0</v>
          </cell>
          <cell r="BC1491" t="str">
            <v>OTHERS</v>
          </cell>
          <cell r="BE1491" t="str">
            <v>Feb</v>
          </cell>
        </row>
        <row r="1492">
          <cell r="C1492" t="str">
            <v>Therma Luzon</v>
          </cell>
          <cell r="R1492">
            <v>0</v>
          </cell>
          <cell r="AZ1492">
            <v>0</v>
          </cell>
          <cell r="BA1492">
            <v>0</v>
          </cell>
          <cell r="BC1492" t="str">
            <v>OTHERS</v>
          </cell>
          <cell r="BE1492" t="str">
            <v>Mar</v>
          </cell>
        </row>
        <row r="1493">
          <cell r="C1493" t="str">
            <v>Therma Luzon</v>
          </cell>
          <cell r="R1493">
            <v>0</v>
          </cell>
          <cell r="AZ1493">
            <v>0</v>
          </cell>
          <cell r="BA1493">
            <v>0</v>
          </cell>
          <cell r="BC1493" t="str">
            <v>OTHERS</v>
          </cell>
          <cell r="BE1493" t="str">
            <v>Apr</v>
          </cell>
        </row>
        <row r="1494">
          <cell r="C1494" t="str">
            <v>Therma Luzon</v>
          </cell>
          <cell r="R1494">
            <v>34000</v>
          </cell>
          <cell r="AZ1494">
            <v>-51000</v>
          </cell>
          <cell r="BA1494">
            <v>-59494.180763961784</v>
          </cell>
          <cell r="BC1494" t="str">
            <v>OTHERS</v>
          </cell>
          <cell r="BE1494" t="str">
            <v>May</v>
          </cell>
        </row>
        <row r="1495">
          <cell r="C1495" t="str">
            <v>Therma Luzon</v>
          </cell>
          <cell r="R1495">
            <v>0</v>
          </cell>
          <cell r="AZ1495">
            <v>0</v>
          </cell>
          <cell r="BA1495">
            <v>0</v>
          </cell>
          <cell r="BC1495" t="str">
            <v>OTHERS</v>
          </cell>
          <cell r="BE1495" t="str">
            <v>Jun</v>
          </cell>
        </row>
        <row r="1496">
          <cell r="C1496" t="str">
            <v>Therma Luzon</v>
          </cell>
          <cell r="R1496">
            <v>0</v>
          </cell>
          <cell r="AZ1496">
            <v>0</v>
          </cell>
          <cell r="BA1496">
            <v>0</v>
          </cell>
          <cell r="BC1496" t="str">
            <v>OTHERS</v>
          </cell>
          <cell r="BE1496" t="str">
            <v>Jul</v>
          </cell>
        </row>
        <row r="1497">
          <cell r="C1497" t="str">
            <v>Therma Luzon</v>
          </cell>
          <cell r="R1497">
            <v>34000</v>
          </cell>
          <cell r="AZ1497">
            <v>-51000</v>
          </cell>
          <cell r="BA1497">
            <v>-59494.180763961784</v>
          </cell>
          <cell r="BC1497" t="str">
            <v>OTHERS</v>
          </cell>
          <cell r="BE1497" t="str">
            <v>Aug</v>
          </cell>
        </row>
        <row r="1498">
          <cell r="C1498" t="str">
            <v>Therma Luzon</v>
          </cell>
          <cell r="R1498">
            <v>0</v>
          </cell>
          <cell r="AZ1498">
            <v>0</v>
          </cell>
          <cell r="BA1498">
            <v>0</v>
          </cell>
          <cell r="BC1498" t="str">
            <v>OTHERS</v>
          </cell>
          <cell r="BE1498" t="str">
            <v>Sep</v>
          </cell>
        </row>
        <row r="1499">
          <cell r="C1499" t="str">
            <v>Therma Luzon</v>
          </cell>
          <cell r="R1499">
            <v>0</v>
          </cell>
          <cell r="AZ1499">
            <v>0</v>
          </cell>
          <cell r="BA1499">
            <v>0</v>
          </cell>
          <cell r="BC1499" t="str">
            <v>OTHERS</v>
          </cell>
          <cell r="BE1499" t="str">
            <v>Oct</v>
          </cell>
        </row>
        <row r="1500">
          <cell r="C1500" t="str">
            <v>Therma Luzon</v>
          </cell>
          <cell r="R1500">
            <v>34000</v>
          </cell>
          <cell r="AZ1500">
            <v>-51000</v>
          </cell>
          <cell r="BA1500">
            <v>-59494.180763961784</v>
          </cell>
          <cell r="BC1500" t="str">
            <v>OTHERS</v>
          </cell>
          <cell r="BE1500" t="str">
            <v>Nov</v>
          </cell>
        </row>
        <row r="1501">
          <cell r="C1501" t="str">
            <v>Therma Luzon</v>
          </cell>
          <cell r="R1501">
            <v>0</v>
          </cell>
          <cell r="AZ1501">
            <v>0</v>
          </cell>
          <cell r="BA1501">
            <v>0</v>
          </cell>
          <cell r="BC1501" t="str">
            <v>OTHERS</v>
          </cell>
          <cell r="BE1501" t="str">
            <v>Dec</v>
          </cell>
        </row>
        <row r="1502">
          <cell r="C1502" t="str">
            <v>Therma Luzon</v>
          </cell>
          <cell r="R1502">
            <v>0</v>
          </cell>
          <cell r="AZ1502">
            <v>0</v>
          </cell>
          <cell r="BA1502">
            <v>0</v>
          </cell>
          <cell r="BC1502" t="str">
            <v>OTHERS</v>
          </cell>
          <cell r="BE1502" t="str">
            <v>Jan</v>
          </cell>
        </row>
        <row r="1503">
          <cell r="C1503" t="str">
            <v>Therma Luzon</v>
          </cell>
          <cell r="R1503">
            <v>0</v>
          </cell>
          <cell r="AZ1503">
            <v>0</v>
          </cell>
          <cell r="BA1503">
            <v>0</v>
          </cell>
          <cell r="BC1503" t="str">
            <v>OTHERS</v>
          </cell>
          <cell r="BE1503" t="str">
            <v>Feb</v>
          </cell>
        </row>
        <row r="1504">
          <cell r="C1504" t="str">
            <v>Therma Luzon</v>
          </cell>
          <cell r="R1504">
            <v>0</v>
          </cell>
          <cell r="AZ1504">
            <v>0</v>
          </cell>
          <cell r="BA1504">
            <v>0</v>
          </cell>
          <cell r="BC1504" t="str">
            <v>OTHERS</v>
          </cell>
          <cell r="BE1504" t="str">
            <v>Mar</v>
          </cell>
        </row>
        <row r="1505">
          <cell r="C1505" t="str">
            <v>Therma Luzon</v>
          </cell>
          <cell r="R1505">
            <v>0</v>
          </cell>
          <cell r="AZ1505">
            <v>0</v>
          </cell>
          <cell r="BA1505">
            <v>0</v>
          </cell>
          <cell r="BC1505" t="str">
            <v>OTHERS</v>
          </cell>
          <cell r="BE1505" t="str">
            <v>Apr</v>
          </cell>
        </row>
        <row r="1506">
          <cell r="C1506" t="str">
            <v>Therma Luzon</v>
          </cell>
          <cell r="R1506">
            <v>34000</v>
          </cell>
          <cell r="AZ1506">
            <v>-51000</v>
          </cell>
          <cell r="BA1506">
            <v>-51986.431547724816</v>
          </cell>
          <cell r="BC1506" t="str">
            <v>OTHERS</v>
          </cell>
          <cell r="BE1506" t="str">
            <v>May</v>
          </cell>
        </row>
        <row r="1507">
          <cell r="C1507" t="str">
            <v>Therma Luzon</v>
          </cell>
          <cell r="R1507">
            <v>0</v>
          </cell>
          <cell r="AZ1507">
            <v>0</v>
          </cell>
          <cell r="BA1507">
            <v>0</v>
          </cell>
          <cell r="BC1507" t="str">
            <v>OTHERS</v>
          </cell>
          <cell r="BE1507" t="str">
            <v>Jun</v>
          </cell>
        </row>
        <row r="1508">
          <cell r="C1508" t="str">
            <v>Therma Luzon</v>
          </cell>
          <cell r="R1508">
            <v>0</v>
          </cell>
          <cell r="AZ1508">
            <v>0</v>
          </cell>
          <cell r="BA1508">
            <v>0</v>
          </cell>
          <cell r="BC1508" t="str">
            <v>OTHERS</v>
          </cell>
          <cell r="BE1508" t="str">
            <v>Jul</v>
          </cell>
        </row>
        <row r="1509">
          <cell r="C1509" t="str">
            <v>Therma Luzon</v>
          </cell>
          <cell r="R1509">
            <v>34000</v>
          </cell>
          <cell r="AZ1509">
            <v>-51000</v>
          </cell>
          <cell r="BA1509">
            <v>-51986.431547724816</v>
          </cell>
          <cell r="BC1509" t="str">
            <v>OTHERS</v>
          </cell>
          <cell r="BE1509" t="str">
            <v>Aug</v>
          </cell>
        </row>
        <row r="1510">
          <cell r="C1510" t="str">
            <v>Therma Luzon</v>
          </cell>
          <cell r="R1510">
            <v>0</v>
          </cell>
          <cell r="AZ1510">
            <v>0</v>
          </cell>
          <cell r="BA1510">
            <v>0</v>
          </cell>
          <cell r="BC1510" t="str">
            <v>OTHERS</v>
          </cell>
          <cell r="BE1510" t="str">
            <v>Sep</v>
          </cell>
        </row>
        <row r="1511">
          <cell r="C1511" t="str">
            <v>Therma Luzon</v>
          </cell>
          <cell r="R1511">
            <v>0</v>
          </cell>
          <cell r="AZ1511">
            <v>0</v>
          </cell>
          <cell r="BA1511">
            <v>0</v>
          </cell>
          <cell r="BC1511" t="str">
            <v>OTHERS</v>
          </cell>
          <cell r="BE1511" t="str">
            <v>Oct</v>
          </cell>
        </row>
        <row r="1512">
          <cell r="C1512" t="str">
            <v>Therma Luzon</v>
          </cell>
          <cell r="R1512">
            <v>34000</v>
          </cell>
          <cell r="AZ1512">
            <v>-51000</v>
          </cell>
          <cell r="BA1512">
            <v>-51986.431547724816</v>
          </cell>
          <cell r="BC1512" t="str">
            <v>OTHERS</v>
          </cell>
          <cell r="BE1512" t="str">
            <v>Nov</v>
          </cell>
        </row>
        <row r="1513">
          <cell r="C1513" t="str">
            <v>Therma Luzon</v>
          </cell>
          <cell r="R1513">
            <v>0</v>
          </cell>
          <cell r="AZ1513">
            <v>0</v>
          </cell>
          <cell r="BA1513">
            <v>0</v>
          </cell>
          <cell r="BC1513" t="str">
            <v>OTHERS</v>
          </cell>
          <cell r="BE1513" t="str">
            <v>Dec</v>
          </cell>
        </row>
        <row r="1514">
          <cell r="C1514" t="str">
            <v>Other</v>
          </cell>
          <cell r="R1514">
            <v>0</v>
          </cell>
          <cell r="AZ1514">
            <v>0</v>
          </cell>
          <cell r="BA1514">
            <v>0</v>
          </cell>
          <cell r="BC1514" t="str">
            <v>OTHERS</v>
          </cell>
          <cell r="BE1514" t="str">
            <v>Jan</v>
          </cell>
        </row>
        <row r="1515">
          <cell r="C1515" t="str">
            <v>Other</v>
          </cell>
          <cell r="R1515">
            <v>0</v>
          </cell>
          <cell r="AZ1515">
            <v>0</v>
          </cell>
          <cell r="BA1515">
            <v>0</v>
          </cell>
          <cell r="BC1515" t="str">
            <v>OTHERS</v>
          </cell>
          <cell r="BE1515" t="str">
            <v>Feb</v>
          </cell>
        </row>
        <row r="1516">
          <cell r="C1516" t="str">
            <v>Other</v>
          </cell>
          <cell r="R1516">
            <v>0</v>
          </cell>
          <cell r="AZ1516">
            <v>0</v>
          </cell>
          <cell r="BA1516">
            <v>0</v>
          </cell>
          <cell r="BC1516" t="str">
            <v>OTHERS</v>
          </cell>
          <cell r="BE1516" t="str">
            <v>Mar</v>
          </cell>
        </row>
        <row r="1517">
          <cell r="C1517" t="str">
            <v>Other</v>
          </cell>
          <cell r="R1517">
            <v>0</v>
          </cell>
          <cell r="AZ1517">
            <v>0</v>
          </cell>
          <cell r="BA1517">
            <v>0</v>
          </cell>
          <cell r="BC1517" t="str">
            <v>OTHERS</v>
          </cell>
          <cell r="BE1517" t="str">
            <v>Apr</v>
          </cell>
        </row>
        <row r="1518">
          <cell r="C1518" t="str">
            <v>Other</v>
          </cell>
          <cell r="R1518">
            <v>0</v>
          </cell>
          <cell r="AZ1518">
            <v>0</v>
          </cell>
          <cell r="BA1518">
            <v>0</v>
          </cell>
          <cell r="BC1518" t="str">
            <v>OTHERS</v>
          </cell>
          <cell r="BE1518" t="str">
            <v>May</v>
          </cell>
        </row>
        <row r="1519">
          <cell r="C1519" t="str">
            <v>Other</v>
          </cell>
          <cell r="R1519">
            <v>0</v>
          </cell>
          <cell r="AZ1519">
            <v>0</v>
          </cell>
          <cell r="BA1519">
            <v>0</v>
          </cell>
          <cell r="BC1519" t="str">
            <v>OTHERS</v>
          </cell>
          <cell r="BE1519" t="str">
            <v>Jun</v>
          </cell>
        </row>
        <row r="1520">
          <cell r="C1520" t="str">
            <v>Other</v>
          </cell>
          <cell r="R1520">
            <v>0</v>
          </cell>
          <cell r="AZ1520">
            <v>0</v>
          </cell>
          <cell r="BA1520">
            <v>0</v>
          </cell>
          <cell r="BC1520" t="str">
            <v>OTHERS</v>
          </cell>
          <cell r="BE1520" t="str">
            <v>Jul</v>
          </cell>
        </row>
        <row r="1521">
          <cell r="C1521" t="str">
            <v>Other</v>
          </cell>
          <cell r="R1521">
            <v>0</v>
          </cell>
          <cell r="AZ1521">
            <v>0</v>
          </cell>
          <cell r="BA1521">
            <v>0</v>
          </cell>
          <cell r="BC1521" t="str">
            <v>OTHERS</v>
          </cell>
          <cell r="BE1521" t="str">
            <v>Aug</v>
          </cell>
        </row>
        <row r="1522">
          <cell r="C1522" t="str">
            <v>Other</v>
          </cell>
          <cell r="R1522">
            <v>0</v>
          </cell>
          <cell r="AZ1522">
            <v>0</v>
          </cell>
          <cell r="BA1522">
            <v>0</v>
          </cell>
          <cell r="BC1522" t="str">
            <v>OTHERS</v>
          </cell>
          <cell r="BE1522" t="str">
            <v>Sep</v>
          </cell>
        </row>
        <row r="1523">
          <cell r="C1523" t="str">
            <v>Other</v>
          </cell>
          <cell r="R1523">
            <v>0</v>
          </cell>
          <cell r="AZ1523">
            <v>0</v>
          </cell>
          <cell r="BA1523">
            <v>0</v>
          </cell>
          <cell r="BC1523" t="str">
            <v>OTHERS</v>
          </cell>
          <cell r="BE1523" t="str">
            <v>Oct</v>
          </cell>
        </row>
        <row r="1524">
          <cell r="C1524" t="str">
            <v>Other</v>
          </cell>
          <cell r="R1524">
            <v>0</v>
          </cell>
          <cell r="AZ1524">
            <v>0</v>
          </cell>
          <cell r="BA1524">
            <v>0</v>
          </cell>
          <cell r="BC1524" t="str">
            <v>OTHERS</v>
          </cell>
          <cell r="BE1524" t="str">
            <v>Nov</v>
          </cell>
        </row>
        <row r="1525">
          <cell r="C1525" t="str">
            <v>Other</v>
          </cell>
          <cell r="R1525">
            <v>0</v>
          </cell>
          <cell r="AZ1525">
            <v>0</v>
          </cell>
          <cell r="BA1525">
            <v>0</v>
          </cell>
          <cell r="BC1525" t="str">
            <v>OTHERS</v>
          </cell>
          <cell r="BE1525" t="str">
            <v>Dec</v>
          </cell>
        </row>
        <row r="1526">
          <cell r="C1526" t="str">
            <v>Kosep</v>
          </cell>
          <cell r="R1526">
            <v>0</v>
          </cell>
          <cell r="AZ1526">
            <v>0</v>
          </cell>
          <cell r="BA1526">
            <v>0</v>
          </cell>
          <cell r="BC1526" t="str">
            <v>OTHERS</v>
          </cell>
          <cell r="BE1526" t="str">
            <v>Jan</v>
          </cell>
        </row>
        <row r="1527">
          <cell r="C1527" t="str">
            <v>Kosep</v>
          </cell>
          <cell r="R1527">
            <v>0</v>
          </cell>
          <cell r="AZ1527">
            <v>0</v>
          </cell>
          <cell r="BA1527">
            <v>0</v>
          </cell>
          <cell r="BC1527" t="str">
            <v>OTHERS</v>
          </cell>
          <cell r="BE1527" t="str">
            <v>Feb</v>
          </cell>
        </row>
        <row r="1528">
          <cell r="C1528" t="str">
            <v>Kosep</v>
          </cell>
          <cell r="R1528">
            <v>0</v>
          </cell>
          <cell r="AZ1528">
            <v>0</v>
          </cell>
          <cell r="BA1528">
            <v>0</v>
          </cell>
          <cell r="BC1528" t="str">
            <v>OTHERS</v>
          </cell>
          <cell r="BE1528" t="str">
            <v>Mar</v>
          </cell>
        </row>
        <row r="1529">
          <cell r="C1529" t="str">
            <v>Kosep</v>
          </cell>
          <cell r="R1529">
            <v>0</v>
          </cell>
          <cell r="AZ1529">
            <v>0</v>
          </cell>
          <cell r="BA1529">
            <v>0</v>
          </cell>
          <cell r="BC1529" t="str">
            <v>OTHERS</v>
          </cell>
          <cell r="BE1529" t="str">
            <v>Apr</v>
          </cell>
        </row>
        <row r="1530">
          <cell r="C1530" t="str">
            <v>Kosep</v>
          </cell>
          <cell r="R1530">
            <v>0</v>
          </cell>
          <cell r="AZ1530">
            <v>0</v>
          </cell>
          <cell r="BA1530">
            <v>0</v>
          </cell>
          <cell r="BC1530" t="str">
            <v>OTHERS</v>
          </cell>
          <cell r="BE1530" t="str">
            <v>May</v>
          </cell>
        </row>
        <row r="1531">
          <cell r="C1531" t="str">
            <v>Kosep</v>
          </cell>
          <cell r="R1531">
            <v>0</v>
          </cell>
          <cell r="AZ1531">
            <v>0</v>
          </cell>
          <cell r="BA1531">
            <v>0</v>
          </cell>
          <cell r="BC1531" t="str">
            <v>OTHERS</v>
          </cell>
          <cell r="BE1531" t="str">
            <v>Jun</v>
          </cell>
        </row>
        <row r="1532">
          <cell r="C1532" t="str">
            <v>Kosep</v>
          </cell>
          <cell r="R1532">
            <v>0</v>
          </cell>
          <cell r="AZ1532">
            <v>0</v>
          </cell>
          <cell r="BA1532">
            <v>0</v>
          </cell>
          <cell r="BC1532" t="str">
            <v>OTHERS</v>
          </cell>
          <cell r="BE1532" t="str">
            <v>Jul</v>
          </cell>
        </row>
        <row r="1533">
          <cell r="C1533" t="str">
            <v>Kosep</v>
          </cell>
          <cell r="R1533">
            <v>0</v>
          </cell>
          <cell r="AZ1533">
            <v>0</v>
          </cell>
          <cell r="BA1533">
            <v>0</v>
          </cell>
          <cell r="BC1533" t="str">
            <v>OTHERS</v>
          </cell>
          <cell r="BE1533" t="str">
            <v>Aug</v>
          </cell>
        </row>
        <row r="1534">
          <cell r="C1534" t="str">
            <v>Kosep</v>
          </cell>
          <cell r="R1534">
            <v>0</v>
          </cell>
          <cell r="AZ1534">
            <v>0</v>
          </cell>
          <cell r="BA1534">
            <v>0</v>
          </cell>
          <cell r="BC1534" t="str">
            <v>OTHERS</v>
          </cell>
          <cell r="BE1534" t="str">
            <v>Sep</v>
          </cell>
        </row>
        <row r="1535">
          <cell r="C1535" t="str">
            <v>Kosep</v>
          </cell>
          <cell r="R1535">
            <v>0</v>
          </cell>
          <cell r="AZ1535">
            <v>0</v>
          </cell>
          <cell r="BA1535">
            <v>0</v>
          </cell>
          <cell r="BC1535" t="str">
            <v>OTHERS</v>
          </cell>
          <cell r="BE1535" t="str">
            <v>Oct</v>
          </cell>
        </row>
        <row r="1536">
          <cell r="C1536" t="str">
            <v>Kosep</v>
          </cell>
          <cell r="R1536">
            <v>0</v>
          </cell>
          <cell r="AZ1536">
            <v>0</v>
          </cell>
          <cell r="BA1536">
            <v>0</v>
          </cell>
          <cell r="BC1536" t="str">
            <v>OTHERS</v>
          </cell>
          <cell r="BE1536" t="str">
            <v>Nov</v>
          </cell>
        </row>
        <row r="1537">
          <cell r="C1537" t="str">
            <v>Kosep</v>
          </cell>
          <cell r="R1537">
            <v>0</v>
          </cell>
          <cell r="AZ1537">
            <v>0</v>
          </cell>
          <cell r="BA1537">
            <v>0</v>
          </cell>
          <cell r="BC1537" t="str">
            <v>OTHERS</v>
          </cell>
          <cell r="BE1537" t="str">
            <v>Dec</v>
          </cell>
        </row>
        <row r="1538">
          <cell r="C1538" t="str">
            <v>Kosep</v>
          </cell>
          <cell r="R1538">
            <v>0</v>
          </cell>
          <cell r="AZ1538">
            <v>0</v>
          </cell>
          <cell r="BA1538">
            <v>0</v>
          </cell>
          <cell r="BC1538" t="str">
            <v>OTHERS</v>
          </cell>
          <cell r="BE1538" t="str">
            <v>Jan</v>
          </cell>
        </row>
        <row r="1539">
          <cell r="C1539" t="str">
            <v>Kosep</v>
          </cell>
          <cell r="R1539">
            <v>0</v>
          </cell>
          <cell r="AZ1539">
            <v>0</v>
          </cell>
          <cell r="BA1539">
            <v>0</v>
          </cell>
          <cell r="BC1539" t="str">
            <v>OTHERS</v>
          </cell>
          <cell r="BE1539" t="str">
            <v>Feb</v>
          </cell>
        </row>
        <row r="1540">
          <cell r="C1540" t="str">
            <v>Kosep</v>
          </cell>
          <cell r="R1540">
            <v>48000</v>
          </cell>
          <cell r="AZ1540">
            <v>-48000</v>
          </cell>
          <cell r="BA1540">
            <v>-56496.765486509947</v>
          </cell>
          <cell r="BC1540" t="str">
            <v>OTHERS</v>
          </cell>
          <cell r="BE1540" t="str">
            <v>Mar</v>
          </cell>
        </row>
        <row r="1541">
          <cell r="C1541" t="str">
            <v>Kosep</v>
          </cell>
          <cell r="R1541">
            <v>0</v>
          </cell>
          <cell r="AZ1541">
            <v>0</v>
          </cell>
          <cell r="BA1541">
            <v>0</v>
          </cell>
          <cell r="BC1541" t="str">
            <v>OTHERS</v>
          </cell>
          <cell r="BE1541" t="str">
            <v>Apr</v>
          </cell>
        </row>
        <row r="1542">
          <cell r="C1542" t="str">
            <v>Kosep</v>
          </cell>
          <cell r="R1542">
            <v>0</v>
          </cell>
          <cell r="AZ1542">
            <v>0</v>
          </cell>
          <cell r="BA1542">
            <v>0</v>
          </cell>
          <cell r="BC1542" t="str">
            <v>OTHERS</v>
          </cell>
          <cell r="BE1542" t="str">
            <v>May</v>
          </cell>
        </row>
        <row r="1543">
          <cell r="C1543" t="str">
            <v>Kosep</v>
          </cell>
          <cell r="R1543">
            <v>0</v>
          </cell>
          <cell r="AZ1543">
            <v>0</v>
          </cell>
          <cell r="BA1543">
            <v>0</v>
          </cell>
          <cell r="BC1543" t="str">
            <v>OTHERS</v>
          </cell>
          <cell r="BE1543" t="str">
            <v>Jun</v>
          </cell>
        </row>
        <row r="1544">
          <cell r="C1544" t="str">
            <v>Kosep</v>
          </cell>
          <cell r="R1544">
            <v>0</v>
          </cell>
          <cell r="AZ1544">
            <v>0</v>
          </cell>
          <cell r="BA1544">
            <v>0</v>
          </cell>
          <cell r="BC1544" t="str">
            <v>OTHERS</v>
          </cell>
          <cell r="BE1544" t="str">
            <v>Jul</v>
          </cell>
        </row>
        <row r="1545">
          <cell r="C1545" t="str">
            <v>Kosep</v>
          </cell>
          <cell r="R1545">
            <v>0</v>
          </cell>
          <cell r="AZ1545">
            <v>0</v>
          </cell>
          <cell r="BA1545">
            <v>0</v>
          </cell>
          <cell r="BC1545" t="str">
            <v>OTHERS</v>
          </cell>
          <cell r="BE1545" t="str">
            <v>Aug</v>
          </cell>
        </row>
        <row r="1546">
          <cell r="C1546" t="str">
            <v>Kosep</v>
          </cell>
          <cell r="R1546">
            <v>0</v>
          </cell>
          <cell r="AZ1546">
            <v>0</v>
          </cell>
          <cell r="BA1546">
            <v>0</v>
          </cell>
          <cell r="BC1546" t="str">
            <v>OTHERS</v>
          </cell>
          <cell r="BE1546" t="str">
            <v>Sep</v>
          </cell>
        </row>
        <row r="1547">
          <cell r="C1547" t="str">
            <v>Kosep</v>
          </cell>
          <cell r="R1547">
            <v>0</v>
          </cell>
          <cell r="AZ1547">
            <v>0</v>
          </cell>
          <cell r="BA1547">
            <v>0</v>
          </cell>
          <cell r="BC1547" t="str">
            <v>OTHERS</v>
          </cell>
          <cell r="BE1547" t="str">
            <v>Oct</v>
          </cell>
        </row>
        <row r="1548">
          <cell r="C1548" t="str">
            <v>Kosep</v>
          </cell>
          <cell r="R1548">
            <v>0</v>
          </cell>
          <cell r="AZ1548">
            <v>0</v>
          </cell>
          <cell r="BA1548">
            <v>0</v>
          </cell>
          <cell r="BC1548" t="str">
            <v>OTHERS</v>
          </cell>
          <cell r="BE1548" t="str">
            <v>Nov</v>
          </cell>
        </row>
        <row r="1549">
          <cell r="C1549" t="str">
            <v>Kosep</v>
          </cell>
          <cell r="R1549">
            <v>0</v>
          </cell>
          <cell r="AZ1549">
            <v>0</v>
          </cell>
          <cell r="BA1549">
            <v>0</v>
          </cell>
          <cell r="BC1549" t="str">
            <v>OTHERS</v>
          </cell>
          <cell r="BE1549" t="str">
            <v>Dec</v>
          </cell>
        </row>
        <row r="1550">
          <cell r="C1550" t="str">
            <v>Kosep</v>
          </cell>
          <cell r="R1550">
            <v>0</v>
          </cell>
          <cell r="AZ1550">
            <v>0</v>
          </cell>
          <cell r="BA1550">
            <v>0</v>
          </cell>
          <cell r="BC1550" t="str">
            <v>OTHERS</v>
          </cell>
          <cell r="BE1550" t="str">
            <v>Jan</v>
          </cell>
        </row>
        <row r="1551">
          <cell r="C1551" t="str">
            <v>Kosep</v>
          </cell>
          <cell r="R1551">
            <v>0</v>
          </cell>
          <cell r="AZ1551">
            <v>0</v>
          </cell>
          <cell r="BA1551">
            <v>0</v>
          </cell>
          <cell r="BC1551" t="str">
            <v>OTHERS</v>
          </cell>
          <cell r="BE1551" t="str">
            <v>Feb</v>
          </cell>
        </row>
        <row r="1552">
          <cell r="C1552" t="str">
            <v>Kosep</v>
          </cell>
          <cell r="R1552">
            <v>11999.999999999998</v>
          </cell>
          <cell r="AZ1552">
            <v>-11999.999999999998</v>
          </cell>
          <cell r="BA1552">
            <v>-9859.8588329092818</v>
          </cell>
          <cell r="BC1552" t="str">
            <v>OTHERS</v>
          </cell>
          <cell r="BE1552" t="str">
            <v>Mar</v>
          </cell>
        </row>
        <row r="1553">
          <cell r="C1553" t="str">
            <v>Kosep</v>
          </cell>
          <cell r="R1553">
            <v>0</v>
          </cell>
          <cell r="AZ1553">
            <v>0</v>
          </cell>
          <cell r="BA1553">
            <v>0</v>
          </cell>
          <cell r="BC1553" t="str">
            <v>OTHERS</v>
          </cell>
          <cell r="BE1553" t="str">
            <v>Apr</v>
          </cell>
        </row>
        <row r="1554">
          <cell r="C1554" t="str">
            <v>Kosep</v>
          </cell>
          <cell r="R1554">
            <v>0</v>
          </cell>
          <cell r="AZ1554">
            <v>0</v>
          </cell>
          <cell r="BA1554">
            <v>0</v>
          </cell>
          <cell r="BC1554" t="str">
            <v>OTHERS</v>
          </cell>
          <cell r="BE1554" t="str">
            <v>May</v>
          </cell>
        </row>
        <row r="1555">
          <cell r="C1555" t="str">
            <v>Kosep</v>
          </cell>
          <cell r="R1555">
            <v>0</v>
          </cell>
          <cell r="AZ1555">
            <v>0</v>
          </cell>
          <cell r="BA1555">
            <v>0</v>
          </cell>
          <cell r="BC1555" t="str">
            <v>OTHERS</v>
          </cell>
          <cell r="BE1555" t="str">
            <v>Jun</v>
          </cell>
        </row>
        <row r="1556">
          <cell r="C1556" t="str">
            <v>Kosep</v>
          </cell>
          <cell r="R1556">
            <v>0</v>
          </cell>
          <cell r="AZ1556">
            <v>0</v>
          </cell>
          <cell r="BA1556">
            <v>0</v>
          </cell>
          <cell r="BC1556" t="str">
            <v>OTHERS</v>
          </cell>
          <cell r="BE1556" t="str">
            <v>Jul</v>
          </cell>
        </row>
        <row r="1557">
          <cell r="C1557" t="str">
            <v>Kosep</v>
          </cell>
          <cell r="R1557">
            <v>0</v>
          </cell>
          <cell r="AZ1557">
            <v>0</v>
          </cell>
          <cell r="BA1557">
            <v>0</v>
          </cell>
          <cell r="BC1557" t="str">
            <v>OTHERS</v>
          </cell>
          <cell r="BE1557" t="str">
            <v>Aug</v>
          </cell>
        </row>
        <row r="1558">
          <cell r="C1558" t="str">
            <v>Kosep</v>
          </cell>
          <cell r="R1558">
            <v>0</v>
          </cell>
          <cell r="AZ1558">
            <v>0</v>
          </cell>
          <cell r="BA1558">
            <v>0</v>
          </cell>
          <cell r="BC1558" t="str">
            <v>OTHERS</v>
          </cell>
          <cell r="BE1558" t="str">
            <v>Sep</v>
          </cell>
        </row>
        <row r="1559">
          <cell r="C1559" t="str">
            <v>Kosep</v>
          </cell>
          <cell r="R1559">
            <v>0</v>
          </cell>
          <cell r="AZ1559">
            <v>0</v>
          </cell>
          <cell r="BA1559">
            <v>0</v>
          </cell>
          <cell r="BC1559" t="str">
            <v>OTHERS</v>
          </cell>
          <cell r="BE1559" t="str">
            <v>Oct</v>
          </cell>
        </row>
        <row r="1560">
          <cell r="C1560" t="str">
            <v>Kosep</v>
          </cell>
          <cell r="R1560">
            <v>0</v>
          </cell>
          <cell r="AZ1560">
            <v>0</v>
          </cell>
          <cell r="BA1560">
            <v>0</v>
          </cell>
          <cell r="BC1560" t="str">
            <v>OTHERS</v>
          </cell>
          <cell r="BE1560" t="str">
            <v>Nov</v>
          </cell>
        </row>
        <row r="1561">
          <cell r="C1561" t="str">
            <v>Kosep</v>
          </cell>
          <cell r="R1561">
            <v>0</v>
          </cell>
          <cell r="AZ1561">
            <v>0</v>
          </cell>
          <cell r="BA1561">
            <v>0</v>
          </cell>
          <cell r="BC1561" t="str">
            <v>OTHERS</v>
          </cell>
          <cell r="BE1561" t="str">
            <v>Dec</v>
          </cell>
        </row>
        <row r="1562">
          <cell r="C1562" t="str">
            <v>Kosep</v>
          </cell>
          <cell r="R1562">
            <v>0</v>
          </cell>
          <cell r="AZ1562">
            <v>0</v>
          </cell>
          <cell r="BA1562">
            <v>0</v>
          </cell>
          <cell r="BC1562" t="str">
            <v>OTHERS</v>
          </cell>
          <cell r="BE1562" t="str">
            <v>Jan</v>
          </cell>
        </row>
        <row r="1563">
          <cell r="C1563" t="str">
            <v>Kosep</v>
          </cell>
          <cell r="R1563">
            <v>0</v>
          </cell>
          <cell r="AZ1563">
            <v>0</v>
          </cell>
          <cell r="BA1563">
            <v>0</v>
          </cell>
          <cell r="BC1563" t="str">
            <v>OTHERS</v>
          </cell>
          <cell r="BE1563" t="str">
            <v>Feb</v>
          </cell>
        </row>
        <row r="1564">
          <cell r="C1564" t="str">
            <v>Kosep</v>
          </cell>
          <cell r="R1564">
            <v>48000</v>
          </cell>
          <cell r="AZ1564">
            <v>-48000</v>
          </cell>
          <cell r="BA1564">
            <v>-50259.221807569804</v>
          </cell>
          <cell r="BC1564" t="str">
            <v>OTHERS</v>
          </cell>
          <cell r="BE1564" t="str">
            <v>Mar</v>
          </cell>
        </row>
        <row r="1565">
          <cell r="C1565" t="str">
            <v>Kosep</v>
          </cell>
          <cell r="R1565">
            <v>0</v>
          </cell>
          <cell r="AZ1565">
            <v>0</v>
          </cell>
          <cell r="BA1565">
            <v>0</v>
          </cell>
          <cell r="BC1565" t="str">
            <v>OTHERS</v>
          </cell>
          <cell r="BE1565" t="str">
            <v>Apr</v>
          </cell>
        </row>
        <row r="1566">
          <cell r="C1566" t="str">
            <v>Kosep</v>
          </cell>
          <cell r="R1566">
            <v>0</v>
          </cell>
          <cell r="AZ1566">
            <v>0</v>
          </cell>
          <cell r="BA1566">
            <v>0</v>
          </cell>
          <cell r="BC1566" t="str">
            <v>OTHERS</v>
          </cell>
          <cell r="BE1566" t="str">
            <v>May</v>
          </cell>
        </row>
        <row r="1567">
          <cell r="C1567" t="str">
            <v>Kosep</v>
          </cell>
          <cell r="R1567">
            <v>0</v>
          </cell>
          <cell r="AZ1567">
            <v>0</v>
          </cell>
          <cell r="BA1567">
            <v>0</v>
          </cell>
          <cell r="BC1567" t="str">
            <v>OTHERS</v>
          </cell>
          <cell r="BE1567" t="str">
            <v>Jun</v>
          </cell>
        </row>
        <row r="1568">
          <cell r="C1568" t="str">
            <v>Kosep</v>
          </cell>
          <cell r="R1568">
            <v>0</v>
          </cell>
          <cell r="AZ1568">
            <v>0</v>
          </cell>
          <cell r="BA1568">
            <v>0</v>
          </cell>
          <cell r="BC1568" t="str">
            <v>OTHERS</v>
          </cell>
          <cell r="BE1568" t="str">
            <v>Jul</v>
          </cell>
        </row>
        <row r="1569">
          <cell r="C1569" t="str">
            <v>Kosep</v>
          </cell>
          <cell r="R1569">
            <v>0</v>
          </cell>
          <cell r="AZ1569">
            <v>0</v>
          </cell>
          <cell r="BA1569">
            <v>0</v>
          </cell>
          <cell r="BC1569" t="str">
            <v>OTHERS</v>
          </cell>
          <cell r="BE1569" t="str">
            <v>Aug</v>
          </cell>
        </row>
        <row r="1570">
          <cell r="C1570" t="str">
            <v>Kosep</v>
          </cell>
          <cell r="R1570">
            <v>0</v>
          </cell>
          <cell r="AZ1570">
            <v>0</v>
          </cell>
          <cell r="BA1570">
            <v>0</v>
          </cell>
          <cell r="BC1570" t="str">
            <v>OTHERS</v>
          </cell>
          <cell r="BE1570" t="str">
            <v>Sep</v>
          </cell>
        </row>
        <row r="1571">
          <cell r="C1571" t="str">
            <v>Kosep</v>
          </cell>
          <cell r="R1571">
            <v>0</v>
          </cell>
          <cell r="AZ1571">
            <v>0</v>
          </cell>
          <cell r="BA1571">
            <v>0</v>
          </cell>
          <cell r="BC1571" t="str">
            <v>OTHERS</v>
          </cell>
          <cell r="BE1571" t="str">
            <v>Oct</v>
          </cell>
        </row>
        <row r="1572">
          <cell r="C1572" t="str">
            <v>Kosep</v>
          </cell>
          <cell r="R1572">
            <v>0</v>
          </cell>
          <cell r="AZ1572">
            <v>0</v>
          </cell>
          <cell r="BA1572">
            <v>0</v>
          </cell>
          <cell r="BC1572" t="str">
            <v>OTHERS</v>
          </cell>
          <cell r="BE1572" t="str">
            <v>Nov</v>
          </cell>
        </row>
        <row r="1573">
          <cell r="C1573" t="str">
            <v>Kosep</v>
          </cell>
          <cell r="R1573">
            <v>0</v>
          </cell>
          <cell r="AZ1573">
            <v>0</v>
          </cell>
          <cell r="BA1573">
            <v>0</v>
          </cell>
          <cell r="BC1573" t="str">
            <v>OTHERS</v>
          </cell>
          <cell r="BE1573" t="str">
            <v>Dec</v>
          </cell>
        </row>
        <row r="1574">
          <cell r="C1574" t="str">
            <v>Kosep</v>
          </cell>
          <cell r="R1574">
            <v>0</v>
          </cell>
          <cell r="AZ1574">
            <v>0</v>
          </cell>
          <cell r="BA1574">
            <v>0</v>
          </cell>
          <cell r="BC1574" t="str">
            <v>OTHERS</v>
          </cell>
          <cell r="BE1574" t="str">
            <v>Jan</v>
          </cell>
        </row>
        <row r="1575">
          <cell r="C1575" t="str">
            <v>Kosep</v>
          </cell>
          <cell r="R1575">
            <v>0</v>
          </cell>
          <cell r="AZ1575">
            <v>0</v>
          </cell>
          <cell r="BA1575">
            <v>0</v>
          </cell>
          <cell r="BC1575" t="str">
            <v>OTHERS</v>
          </cell>
          <cell r="BE1575" t="str">
            <v>Feb</v>
          </cell>
        </row>
        <row r="1576">
          <cell r="C1576" t="str">
            <v>Kosep</v>
          </cell>
          <cell r="R1576">
            <v>11999.999999999998</v>
          </cell>
          <cell r="AZ1576">
            <v>-11999.999999999998</v>
          </cell>
          <cell r="BA1576">
            <v>-16097.402511849432</v>
          </cell>
          <cell r="BC1576" t="str">
            <v>OTHERS</v>
          </cell>
          <cell r="BE1576" t="str">
            <v>Mar</v>
          </cell>
        </row>
        <row r="1577">
          <cell r="C1577" t="str">
            <v>Kosep</v>
          </cell>
          <cell r="R1577">
            <v>0</v>
          </cell>
          <cell r="AZ1577">
            <v>0</v>
          </cell>
          <cell r="BA1577">
            <v>0</v>
          </cell>
          <cell r="BC1577" t="str">
            <v>OTHERS</v>
          </cell>
          <cell r="BE1577" t="str">
            <v>Apr</v>
          </cell>
        </row>
        <row r="1578">
          <cell r="C1578" t="str">
            <v>Kosep</v>
          </cell>
          <cell r="R1578">
            <v>0</v>
          </cell>
          <cell r="AZ1578">
            <v>0</v>
          </cell>
          <cell r="BA1578">
            <v>0</v>
          </cell>
          <cell r="BC1578" t="str">
            <v>OTHERS</v>
          </cell>
          <cell r="BE1578" t="str">
            <v>May</v>
          </cell>
        </row>
        <row r="1579">
          <cell r="C1579" t="str">
            <v>Kosep</v>
          </cell>
          <cell r="R1579">
            <v>0</v>
          </cell>
          <cell r="AZ1579">
            <v>0</v>
          </cell>
          <cell r="BA1579">
            <v>0</v>
          </cell>
          <cell r="BC1579" t="str">
            <v>OTHERS</v>
          </cell>
          <cell r="BE1579" t="str">
            <v>Jun</v>
          </cell>
        </row>
        <row r="1580">
          <cell r="C1580" t="str">
            <v>Kosep</v>
          </cell>
          <cell r="R1580">
            <v>0</v>
          </cell>
          <cell r="AZ1580">
            <v>0</v>
          </cell>
          <cell r="BA1580">
            <v>0</v>
          </cell>
          <cell r="BC1580" t="str">
            <v>OTHERS</v>
          </cell>
          <cell r="BE1580" t="str">
            <v>Jul</v>
          </cell>
        </row>
        <row r="1581">
          <cell r="C1581" t="str">
            <v>Kosep</v>
          </cell>
          <cell r="R1581">
            <v>0</v>
          </cell>
          <cell r="AZ1581">
            <v>0</v>
          </cell>
          <cell r="BA1581">
            <v>0</v>
          </cell>
          <cell r="BC1581" t="str">
            <v>OTHERS</v>
          </cell>
          <cell r="BE1581" t="str">
            <v>Aug</v>
          </cell>
        </row>
        <row r="1582">
          <cell r="C1582" t="str">
            <v>Kosep</v>
          </cell>
          <cell r="R1582">
            <v>0</v>
          </cell>
          <cell r="AZ1582">
            <v>0</v>
          </cell>
          <cell r="BA1582">
            <v>0</v>
          </cell>
          <cell r="BC1582" t="str">
            <v>OTHERS</v>
          </cell>
          <cell r="BE1582" t="str">
            <v>Sep</v>
          </cell>
        </row>
        <row r="1583">
          <cell r="C1583" t="str">
            <v>Kosep</v>
          </cell>
          <cell r="R1583">
            <v>0</v>
          </cell>
          <cell r="AZ1583">
            <v>0</v>
          </cell>
          <cell r="BA1583">
            <v>0</v>
          </cell>
          <cell r="BC1583" t="str">
            <v>OTHERS</v>
          </cell>
          <cell r="BE1583" t="str">
            <v>Oct</v>
          </cell>
        </row>
        <row r="1584">
          <cell r="C1584" t="str">
            <v>Kosep</v>
          </cell>
          <cell r="R1584">
            <v>0</v>
          </cell>
          <cell r="AZ1584">
            <v>0</v>
          </cell>
          <cell r="BA1584">
            <v>0</v>
          </cell>
          <cell r="BC1584" t="str">
            <v>OTHERS</v>
          </cell>
          <cell r="BE1584" t="str">
            <v>Nov</v>
          </cell>
        </row>
        <row r="1585">
          <cell r="C1585" t="str">
            <v>Kosep</v>
          </cell>
          <cell r="R1585">
            <v>0</v>
          </cell>
          <cell r="AZ1585">
            <v>0</v>
          </cell>
          <cell r="BA1585">
            <v>0</v>
          </cell>
          <cell r="BC1585" t="str">
            <v>OTHERS</v>
          </cell>
          <cell r="BE1585" t="str">
            <v>Dec</v>
          </cell>
        </row>
        <row r="1586">
          <cell r="C1586" t="str">
            <v>Kospo</v>
          </cell>
          <cell r="R1586">
            <v>0</v>
          </cell>
          <cell r="AZ1586">
            <v>0</v>
          </cell>
          <cell r="BA1586">
            <v>0</v>
          </cell>
          <cell r="BC1586" t="str">
            <v>GOLD</v>
          </cell>
          <cell r="BE1586" t="str">
            <v>Jan</v>
          </cell>
        </row>
        <row r="1587">
          <cell r="C1587" t="str">
            <v>Kospo</v>
          </cell>
          <cell r="R1587">
            <v>56000</v>
          </cell>
          <cell r="AZ1587">
            <v>-84000</v>
          </cell>
          <cell r="BA1587">
            <v>-68258.968846574644</v>
          </cell>
          <cell r="BC1587" t="str">
            <v>GOLD</v>
          </cell>
          <cell r="BE1587" t="str">
            <v>Feb</v>
          </cell>
        </row>
        <row r="1588">
          <cell r="C1588" t="str">
            <v>Kospo</v>
          </cell>
          <cell r="R1588">
            <v>0</v>
          </cell>
          <cell r="AZ1588">
            <v>0</v>
          </cell>
          <cell r="BA1588">
            <v>0</v>
          </cell>
          <cell r="BC1588" t="str">
            <v>GOLD</v>
          </cell>
          <cell r="BE1588" t="str">
            <v>Mar</v>
          </cell>
        </row>
        <row r="1589">
          <cell r="C1589" t="str">
            <v>Kospo</v>
          </cell>
          <cell r="R1589">
            <v>0</v>
          </cell>
          <cell r="AZ1589">
            <v>0</v>
          </cell>
          <cell r="BA1589">
            <v>0</v>
          </cell>
          <cell r="BC1589" t="str">
            <v>GOLD</v>
          </cell>
          <cell r="BE1589" t="str">
            <v>Apr</v>
          </cell>
        </row>
        <row r="1590">
          <cell r="C1590" t="str">
            <v>Kospo</v>
          </cell>
          <cell r="R1590">
            <v>56000</v>
          </cell>
          <cell r="AZ1590">
            <v>-84000</v>
          </cell>
          <cell r="BA1590">
            <v>-68258.968846574644</v>
          </cell>
          <cell r="BC1590" t="str">
            <v>GOLD</v>
          </cell>
          <cell r="BE1590" t="str">
            <v>May</v>
          </cell>
        </row>
        <row r="1591">
          <cell r="C1591" t="str">
            <v>Kospo</v>
          </cell>
          <cell r="R1591">
            <v>0</v>
          </cell>
          <cell r="AZ1591">
            <v>0</v>
          </cell>
          <cell r="BA1591">
            <v>0</v>
          </cell>
          <cell r="BC1591" t="str">
            <v>GOLD</v>
          </cell>
          <cell r="BE1591" t="str">
            <v>Jun</v>
          </cell>
        </row>
        <row r="1592">
          <cell r="C1592" t="str">
            <v>Kospo</v>
          </cell>
          <cell r="R1592">
            <v>0</v>
          </cell>
          <cell r="AZ1592">
            <v>0</v>
          </cell>
          <cell r="BA1592">
            <v>0</v>
          </cell>
          <cell r="BC1592" t="str">
            <v>GOLD</v>
          </cell>
          <cell r="BE1592" t="str">
            <v>Jul</v>
          </cell>
        </row>
        <row r="1593">
          <cell r="C1593" t="str">
            <v>Kospo</v>
          </cell>
          <cell r="R1593">
            <v>56000</v>
          </cell>
          <cell r="AZ1593">
            <v>-84000</v>
          </cell>
          <cell r="BA1593">
            <v>-68258.968846574644</v>
          </cell>
          <cell r="BC1593" t="str">
            <v>GOLD</v>
          </cell>
          <cell r="BE1593" t="str">
            <v>Aug</v>
          </cell>
        </row>
        <row r="1594">
          <cell r="C1594" t="str">
            <v>Kospo</v>
          </cell>
          <cell r="R1594">
            <v>0</v>
          </cell>
          <cell r="AZ1594">
            <v>0</v>
          </cell>
          <cell r="BA1594">
            <v>0</v>
          </cell>
          <cell r="BC1594" t="str">
            <v>GOLD</v>
          </cell>
          <cell r="BE1594" t="str">
            <v>Sep</v>
          </cell>
        </row>
        <row r="1595">
          <cell r="C1595" t="str">
            <v>Kospo</v>
          </cell>
          <cell r="R1595">
            <v>0</v>
          </cell>
          <cell r="AZ1595">
            <v>0</v>
          </cell>
          <cell r="BA1595">
            <v>0</v>
          </cell>
          <cell r="BC1595" t="str">
            <v>GOLD</v>
          </cell>
          <cell r="BE1595" t="str">
            <v>Oct</v>
          </cell>
        </row>
        <row r="1596">
          <cell r="C1596" t="str">
            <v>Kospo</v>
          </cell>
          <cell r="R1596">
            <v>56000</v>
          </cell>
          <cell r="AZ1596">
            <v>-84000</v>
          </cell>
          <cell r="BA1596">
            <v>-68258.968846574644</v>
          </cell>
          <cell r="BC1596" t="str">
            <v>GOLD</v>
          </cell>
          <cell r="BE1596" t="str">
            <v>Nov</v>
          </cell>
        </row>
        <row r="1597">
          <cell r="C1597" t="str">
            <v>Kospo</v>
          </cell>
          <cell r="R1597">
            <v>0</v>
          </cell>
          <cell r="AZ1597">
            <v>0</v>
          </cell>
          <cell r="BA1597">
            <v>0</v>
          </cell>
          <cell r="BC1597" t="str">
            <v>GOLD</v>
          </cell>
          <cell r="BE1597" t="str">
            <v>Dec</v>
          </cell>
        </row>
        <row r="1598">
          <cell r="C1598" t="str">
            <v>Kospo</v>
          </cell>
          <cell r="R1598">
            <v>0</v>
          </cell>
          <cell r="AZ1598">
            <v>0</v>
          </cell>
          <cell r="BA1598">
            <v>0</v>
          </cell>
          <cell r="BC1598" t="str">
            <v>GOLD</v>
          </cell>
          <cell r="BE1598" t="str">
            <v>Jan</v>
          </cell>
        </row>
        <row r="1599">
          <cell r="C1599" t="str">
            <v>Kospo</v>
          </cell>
          <cell r="R1599">
            <v>13999.999999999996</v>
          </cell>
          <cell r="AZ1599">
            <v>-20999.999999999993</v>
          </cell>
          <cell r="BA1599">
            <v>-16274.929458510082</v>
          </cell>
          <cell r="BC1599" t="str">
            <v>GOLD</v>
          </cell>
          <cell r="BE1599" t="str">
            <v>Feb</v>
          </cell>
        </row>
        <row r="1600">
          <cell r="C1600" t="str">
            <v>Kospo</v>
          </cell>
          <cell r="R1600">
            <v>0</v>
          </cell>
          <cell r="AZ1600">
            <v>0</v>
          </cell>
          <cell r="BA1600">
            <v>0</v>
          </cell>
          <cell r="BC1600" t="str">
            <v>GOLD</v>
          </cell>
          <cell r="BE1600" t="str">
            <v>Mar</v>
          </cell>
        </row>
        <row r="1601">
          <cell r="C1601" t="str">
            <v>Kospo</v>
          </cell>
          <cell r="R1601">
            <v>0</v>
          </cell>
          <cell r="AZ1601">
            <v>0</v>
          </cell>
          <cell r="BA1601">
            <v>0</v>
          </cell>
          <cell r="BC1601" t="str">
            <v>GOLD</v>
          </cell>
          <cell r="BE1601" t="str">
            <v>Apr</v>
          </cell>
        </row>
        <row r="1602">
          <cell r="C1602" t="str">
            <v>Kospo</v>
          </cell>
          <cell r="R1602">
            <v>13999.999999999996</v>
          </cell>
          <cell r="AZ1602">
            <v>-20999.999999999993</v>
          </cell>
          <cell r="BA1602">
            <v>-16274.929458510082</v>
          </cell>
          <cell r="BC1602" t="str">
            <v>GOLD</v>
          </cell>
          <cell r="BE1602" t="str">
            <v>May</v>
          </cell>
        </row>
        <row r="1603">
          <cell r="C1603" t="str">
            <v>Kospo</v>
          </cell>
          <cell r="R1603">
            <v>0</v>
          </cell>
          <cell r="AZ1603">
            <v>0</v>
          </cell>
          <cell r="BA1603">
            <v>0</v>
          </cell>
          <cell r="BC1603" t="str">
            <v>GOLD</v>
          </cell>
          <cell r="BE1603" t="str">
            <v>Jun</v>
          </cell>
        </row>
        <row r="1604">
          <cell r="C1604" t="str">
            <v>Kospo</v>
          </cell>
          <cell r="R1604">
            <v>0</v>
          </cell>
          <cell r="AZ1604">
            <v>0</v>
          </cell>
          <cell r="BA1604">
            <v>0</v>
          </cell>
          <cell r="BC1604" t="str">
            <v>GOLD</v>
          </cell>
          <cell r="BE1604" t="str">
            <v>Jul</v>
          </cell>
        </row>
        <row r="1605">
          <cell r="C1605" t="str">
            <v>Kospo</v>
          </cell>
          <cell r="R1605">
            <v>13999.999999999996</v>
          </cell>
          <cell r="AZ1605">
            <v>-20999.999999999993</v>
          </cell>
          <cell r="BA1605">
            <v>-16274.929458510082</v>
          </cell>
          <cell r="BC1605" t="str">
            <v>GOLD</v>
          </cell>
          <cell r="BE1605" t="str">
            <v>Aug</v>
          </cell>
        </row>
        <row r="1606">
          <cell r="C1606" t="str">
            <v>Kospo</v>
          </cell>
          <cell r="R1606">
            <v>0</v>
          </cell>
          <cell r="AZ1606">
            <v>0</v>
          </cell>
          <cell r="BA1606">
            <v>0</v>
          </cell>
          <cell r="BC1606" t="str">
            <v>GOLD</v>
          </cell>
          <cell r="BE1606" t="str">
            <v>Sep</v>
          </cell>
        </row>
        <row r="1607">
          <cell r="C1607" t="str">
            <v>Kospo</v>
          </cell>
          <cell r="R1607">
            <v>0</v>
          </cell>
          <cell r="AZ1607">
            <v>0</v>
          </cell>
          <cell r="BA1607">
            <v>0</v>
          </cell>
          <cell r="BC1607" t="str">
            <v>GOLD</v>
          </cell>
          <cell r="BE1607" t="str">
            <v>Oct</v>
          </cell>
        </row>
        <row r="1608">
          <cell r="C1608" t="str">
            <v>Kospo</v>
          </cell>
          <cell r="R1608">
            <v>13999.999999999996</v>
          </cell>
          <cell r="AZ1608">
            <v>-20999.999999999993</v>
          </cell>
          <cell r="BA1608">
            <v>-16274.929458510082</v>
          </cell>
          <cell r="BC1608" t="str">
            <v>GOLD</v>
          </cell>
          <cell r="BE1608" t="str">
            <v>Nov</v>
          </cell>
        </row>
        <row r="1609">
          <cell r="C1609" t="str">
            <v>Kospo</v>
          </cell>
          <cell r="R1609">
            <v>0</v>
          </cell>
          <cell r="AZ1609">
            <v>0</v>
          </cell>
          <cell r="BA1609">
            <v>0</v>
          </cell>
          <cell r="BC1609" t="str">
            <v>GOLD</v>
          </cell>
          <cell r="BE1609" t="str">
            <v>Dec</v>
          </cell>
        </row>
        <row r="1610">
          <cell r="C1610" t="str">
            <v>Kospo</v>
          </cell>
          <cell r="R1610">
            <v>56000</v>
          </cell>
          <cell r="AZ1610">
            <v>-84000</v>
          </cell>
          <cell r="BA1610">
            <v>-68448.004339425519</v>
          </cell>
          <cell r="BC1610" t="str">
            <v>GOLD</v>
          </cell>
          <cell r="BE1610" t="str">
            <v>Jan</v>
          </cell>
        </row>
        <row r="1611">
          <cell r="C1611" t="str">
            <v>Kospo</v>
          </cell>
          <cell r="R1611">
            <v>0</v>
          </cell>
          <cell r="AZ1611">
            <v>0</v>
          </cell>
          <cell r="BA1611">
            <v>0</v>
          </cell>
          <cell r="BC1611" t="str">
            <v>GOLD</v>
          </cell>
          <cell r="BE1611" t="str">
            <v>Feb</v>
          </cell>
        </row>
        <row r="1612">
          <cell r="C1612" t="str">
            <v>Kospo</v>
          </cell>
          <cell r="R1612">
            <v>0</v>
          </cell>
          <cell r="AZ1612">
            <v>0</v>
          </cell>
          <cell r="BA1612">
            <v>0</v>
          </cell>
          <cell r="BC1612" t="str">
            <v>GOLD</v>
          </cell>
          <cell r="BE1612" t="str">
            <v>Mar</v>
          </cell>
        </row>
        <row r="1613">
          <cell r="C1613" t="str">
            <v>Kospo</v>
          </cell>
          <cell r="R1613">
            <v>0</v>
          </cell>
          <cell r="AZ1613">
            <v>0</v>
          </cell>
          <cell r="BA1613">
            <v>0</v>
          </cell>
          <cell r="BC1613" t="str">
            <v>GOLD</v>
          </cell>
          <cell r="BE1613" t="str">
            <v>Apr</v>
          </cell>
        </row>
        <row r="1614">
          <cell r="C1614" t="str">
            <v>Kospo</v>
          </cell>
          <cell r="R1614">
            <v>0</v>
          </cell>
          <cell r="AZ1614">
            <v>0</v>
          </cell>
          <cell r="BA1614">
            <v>0</v>
          </cell>
          <cell r="BC1614" t="str">
            <v>GOLD</v>
          </cell>
          <cell r="BE1614" t="str">
            <v>May</v>
          </cell>
        </row>
        <row r="1615">
          <cell r="C1615" t="str">
            <v>Kospo</v>
          </cell>
          <cell r="R1615">
            <v>0</v>
          </cell>
          <cell r="AZ1615">
            <v>0</v>
          </cell>
          <cell r="BA1615">
            <v>0</v>
          </cell>
          <cell r="BC1615" t="str">
            <v>GOLD</v>
          </cell>
          <cell r="BE1615" t="str">
            <v>Jun</v>
          </cell>
        </row>
        <row r="1616">
          <cell r="C1616" t="str">
            <v>Kospo</v>
          </cell>
          <cell r="R1616">
            <v>0</v>
          </cell>
          <cell r="AZ1616">
            <v>0</v>
          </cell>
          <cell r="BA1616">
            <v>0</v>
          </cell>
          <cell r="BC1616" t="str">
            <v>GOLD</v>
          </cell>
          <cell r="BE1616" t="str">
            <v>Jul</v>
          </cell>
        </row>
        <row r="1617">
          <cell r="C1617" t="str">
            <v>Kospo</v>
          </cell>
          <cell r="R1617">
            <v>0</v>
          </cell>
          <cell r="AZ1617">
            <v>0</v>
          </cell>
          <cell r="BA1617">
            <v>0</v>
          </cell>
          <cell r="BC1617" t="str">
            <v>GOLD</v>
          </cell>
          <cell r="BE1617" t="str">
            <v>Aug</v>
          </cell>
        </row>
        <row r="1618">
          <cell r="C1618" t="str">
            <v>Kospo</v>
          </cell>
          <cell r="R1618">
            <v>0</v>
          </cell>
          <cell r="AZ1618">
            <v>0</v>
          </cell>
          <cell r="BA1618">
            <v>0</v>
          </cell>
          <cell r="BC1618" t="str">
            <v>GOLD</v>
          </cell>
          <cell r="BE1618" t="str">
            <v>Sep</v>
          </cell>
        </row>
        <row r="1619">
          <cell r="C1619" t="str">
            <v>Kospo</v>
          </cell>
          <cell r="R1619">
            <v>0</v>
          </cell>
          <cell r="AZ1619">
            <v>0</v>
          </cell>
          <cell r="BA1619">
            <v>0</v>
          </cell>
          <cell r="BC1619" t="str">
            <v>GOLD</v>
          </cell>
          <cell r="BE1619" t="str">
            <v>Oct</v>
          </cell>
        </row>
        <row r="1620">
          <cell r="C1620" t="str">
            <v>Kospo</v>
          </cell>
          <cell r="R1620">
            <v>0</v>
          </cell>
          <cell r="AZ1620">
            <v>0</v>
          </cell>
          <cell r="BA1620">
            <v>0</v>
          </cell>
          <cell r="BC1620" t="str">
            <v>GOLD</v>
          </cell>
          <cell r="BE1620" t="str">
            <v>Nov</v>
          </cell>
        </row>
        <row r="1621">
          <cell r="C1621" t="str">
            <v>Kospo</v>
          </cell>
          <cell r="R1621">
            <v>0</v>
          </cell>
          <cell r="AZ1621">
            <v>0</v>
          </cell>
          <cell r="BA1621">
            <v>0</v>
          </cell>
          <cell r="BC1621" t="str">
            <v>GOLD</v>
          </cell>
          <cell r="BE1621" t="str">
            <v>Dec</v>
          </cell>
        </row>
        <row r="1622">
          <cell r="C1622" t="str">
            <v>Kospo</v>
          </cell>
          <cell r="R1622">
            <v>13999.999999999996</v>
          </cell>
          <cell r="AZ1622">
            <v>-20999.999999999993</v>
          </cell>
          <cell r="BA1622">
            <v>-11945.598201409328</v>
          </cell>
          <cell r="BC1622" t="str">
            <v>GOLD</v>
          </cell>
          <cell r="BE1622" t="str">
            <v>Jan</v>
          </cell>
        </row>
        <row r="1623">
          <cell r="C1623" t="str">
            <v>Kospo</v>
          </cell>
          <cell r="R1623">
            <v>0</v>
          </cell>
          <cell r="AZ1623">
            <v>0</v>
          </cell>
          <cell r="BA1623">
            <v>0</v>
          </cell>
          <cell r="BC1623" t="str">
            <v>GOLD</v>
          </cell>
          <cell r="BE1623" t="str">
            <v>Feb</v>
          </cell>
        </row>
        <row r="1624">
          <cell r="C1624" t="str">
            <v>Kospo</v>
          </cell>
          <cell r="R1624">
            <v>0</v>
          </cell>
          <cell r="AZ1624">
            <v>0</v>
          </cell>
          <cell r="BA1624">
            <v>0</v>
          </cell>
          <cell r="BC1624" t="str">
            <v>GOLD</v>
          </cell>
          <cell r="BE1624" t="str">
            <v>Mar</v>
          </cell>
        </row>
        <row r="1625">
          <cell r="C1625" t="str">
            <v>Kospo</v>
          </cell>
          <cell r="R1625">
            <v>0</v>
          </cell>
          <cell r="AZ1625">
            <v>0</v>
          </cell>
          <cell r="BA1625">
            <v>0</v>
          </cell>
          <cell r="BC1625" t="str">
            <v>GOLD</v>
          </cell>
          <cell r="BE1625" t="str">
            <v>Apr</v>
          </cell>
        </row>
        <row r="1626">
          <cell r="C1626" t="str">
            <v>Kospo</v>
          </cell>
          <cell r="R1626">
            <v>0</v>
          </cell>
          <cell r="AZ1626">
            <v>0</v>
          </cell>
          <cell r="BA1626">
            <v>0</v>
          </cell>
          <cell r="BC1626" t="str">
            <v>GOLD</v>
          </cell>
          <cell r="BE1626" t="str">
            <v>May</v>
          </cell>
        </row>
        <row r="1627">
          <cell r="C1627" t="str">
            <v>Kospo</v>
          </cell>
          <cell r="R1627">
            <v>0</v>
          </cell>
          <cell r="AZ1627">
            <v>0</v>
          </cell>
          <cell r="BA1627">
            <v>0</v>
          </cell>
          <cell r="BC1627" t="str">
            <v>GOLD</v>
          </cell>
          <cell r="BE1627" t="str">
            <v>Jun</v>
          </cell>
        </row>
        <row r="1628">
          <cell r="C1628" t="str">
            <v>Kospo</v>
          </cell>
          <cell r="R1628">
            <v>0</v>
          </cell>
          <cell r="AZ1628">
            <v>0</v>
          </cell>
          <cell r="BA1628">
            <v>0</v>
          </cell>
          <cell r="BC1628" t="str">
            <v>GOLD</v>
          </cell>
          <cell r="BE1628" t="str">
            <v>Jul</v>
          </cell>
        </row>
        <row r="1629">
          <cell r="C1629" t="str">
            <v>Kospo</v>
          </cell>
          <cell r="R1629">
            <v>0</v>
          </cell>
          <cell r="AZ1629">
            <v>0</v>
          </cell>
          <cell r="BA1629">
            <v>0</v>
          </cell>
          <cell r="BC1629" t="str">
            <v>GOLD</v>
          </cell>
          <cell r="BE1629" t="str">
            <v>Aug</v>
          </cell>
        </row>
        <row r="1630">
          <cell r="C1630" t="str">
            <v>Kospo</v>
          </cell>
          <cell r="R1630">
            <v>0</v>
          </cell>
          <cell r="AZ1630">
            <v>0</v>
          </cell>
          <cell r="BA1630">
            <v>0</v>
          </cell>
          <cell r="BC1630" t="str">
            <v>GOLD</v>
          </cell>
          <cell r="BE1630" t="str">
            <v>Sep</v>
          </cell>
        </row>
        <row r="1631">
          <cell r="C1631" t="str">
            <v>Kospo</v>
          </cell>
          <cell r="R1631">
            <v>0</v>
          </cell>
          <cell r="AZ1631">
            <v>0</v>
          </cell>
          <cell r="BA1631">
            <v>0</v>
          </cell>
          <cell r="BC1631" t="str">
            <v>GOLD</v>
          </cell>
          <cell r="BE1631" t="str">
            <v>Oct</v>
          </cell>
        </row>
        <row r="1632">
          <cell r="C1632" t="str">
            <v>Kospo</v>
          </cell>
          <cell r="R1632">
            <v>0</v>
          </cell>
          <cell r="AZ1632">
            <v>0</v>
          </cell>
          <cell r="BA1632">
            <v>0</v>
          </cell>
          <cell r="BC1632" t="str">
            <v>GOLD</v>
          </cell>
          <cell r="BE1632" t="str">
            <v>Nov</v>
          </cell>
        </row>
        <row r="1633">
          <cell r="C1633" t="str">
            <v>Kospo</v>
          </cell>
          <cell r="R1633">
            <v>0</v>
          </cell>
          <cell r="AZ1633">
            <v>0</v>
          </cell>
          <cell r="BA1633">
            <v>0</v>
          </cell>
          <cell r="BC1633" t="str">
            <v>GOLD</v>
          </cell>
          <cell r="BE1633" t="str">
            <v>Dec</v>
          </cell>
        </row>
        <row r="1634">
          <cell r="C1634" t="str">
            <v>Kospo</v>
          </cell>
          <cell r="R1634">
            <v>0</v>
          </cell>
          <cell r="AZ1634">
            <v>0</v>
          </cell>
          <cell r="BA1634">
            <v>0</v>
          </cell>
          <cell r="BC1634" t="str">
            <v>GOLD</v>
          </cell>
          <cell r="BE1634" t="str">
            <v>Jan</v>
          </cell>
        </row>
        <row r="1635">
          <cell r="C1635" t="str">
            <v>Kospo</v>
          </cell>
          <cell r="R1635">
            <v>0</v>
          </cell>
          <cell r="AZ1635">
            <v>0</v>
          </cell>
          <cell r="BA1635">
            <v>0</v>
          </cell>
          <cell r="BC1635" t="str">
            <v>GOLD</v>
          </cell>
          <cell r="BE1635" t="str">
            <v>Feb</v>
          </cell>
        </row>
        <row r="1636">
          <cell r="C1636" t="str">
            <v>Kospo</v>
          </cell>
          <cell r="R1636">
            <v>0</v>
          </cell>
          <cell r="AZ1636">
            <v>0</v>
          </cell>
          <cell r="BA1636">
            <v>0</v>
          </cell>
          <cell r="BC1636" t="str">
            <v>GOLD</v>
          </cell>
          <cell r="BE1636" t="str">
            <v>Mar</v>
          </cell>
        </row>
        <row r="1637">
          <cell r="C1637" t="str">
            <v>Kospo</v>
          </cell>
          <cell r="R1637">
            <v>49000</v>
          </cell>
          <cell r="AZ1637">
            <v>-73500</v>
          </cell>
          <cell r="BA1637">
            <v>-64708.899295623472</v>
          </cell>
          <cell r="BC1637" t="str">
            <v>GOLD</v>
          </cell>
          <cell r="BE1637" t="str">
            <v>Apr</v>
          </cell>
        </row>
        <row r="1638">
          <cell r="C1638" t="str">
            <v>Kospo</v>
          </cell>
          <cell r="R1638">
            <v>0</v>
          </cell>
          <cell r="AZ1638">
            <v>0</v>
          </cell>
          <cell r="BA1638">
            <v>0</v>
          </cell>
          <cell r="BC1638" t="str">
            <v>GOLD</v>
          </cell>
          <cell r="BE1638" t="str">
            <v>May</v>
          </cell>
        </row>
        <row r="1639">
          <cell r="C1639" t="str">
            <v>Kospo</v>
          </cell>
          <cell r="R1639">
            <v>0</v>
          </cell>
          <cell r="AZ1639">
            <v>0</v>
          </cell>
          <cell r="BA1639">
            <v>0</v>
          </cell>
          <cell r="BC1639" t="str">
            <v>GOLD</v>
          </cell>
          <cell r="BE1639" t="str">
            <v>Jun</v>
          </cell>
        </row>
        <row r="1640">
          <cell r="C1640" t="str">
            <v>Kospo</v>
          </cell>
          <cell r="R1640">
            <v>0</v>
          </cell>
          <cell r="AZ1640">
            <v>0</v>
          </cell>
          <cell r="BA1640">
            <v>0</v>
          </cell>
          <cell r="BC1640" t="str">
            <v>GOLD</v>
          </cell>
          <cell r="BE1640" t="str">
            <v>Jul</v>
          </cell>
        </row>
        <row r="1641">
          <cell r="C1641" t="str">
            <v>Kospo</v>
          </cell>
          <cell r="R1641">
            <v>0</v>
          </cell>
          <cell r="AZ1641">
            <v>0</v>
          </cell>
          <cell r="BA1641">
            <v>0</v>
          </cell>
          <cell r="BC1641" t="str">
            <v>GOLD</v>
          </cell>
          <cell r="BE1641" t="str">
            <v>Aug</v>
          </cell>
        </row>
        <row r="1642">
          <cell r="C1642" t="str">
            <v>Kospo</v>
          </cell>
          <cell r="R1642">
            <v>0</v>
          </cell>
          <cell r="AZ1642">
            <v>0</v>
          </cell>
          <cell r="BA1642">
            <v>0</v>
          </cell>
          <cell r="BC1642" t="str">
            <v>GOLD</v>
          </cell>
          <cell r="BE1642" t="str">
            <v>Sep</v>
          </cell>
        </row>
        <row r="1643">
          <cell r="C1643" t="str">
            <v>Kospo</v>
          </cell>
          <cell r="R1643">
            <v>0</v>
          </cell>
          <cell r="AZ1643">
            <v>0</v>
          </cell>
          <cell r="BA1643">
            <v>0</v>
          </cell>
          <cell r="BC1643" t="str">
            <v>GOLD</v>
          </cell>
          <cell r="BE1643" t="str">
            <v>Oct</v>
          </cell>
        </row>
        <row r="1644">
          <cell r="C1644" t="str">
            <v>Kospo</v>
          </cell>
          <cell r="R1644">
            <v>0</v>
          </cell>
          <cell r="AZ1644">
            <v>0</v>
          </cell>
          <cell r="BA1644">
            <v>0</v>
          </cell>
          <cell r="BC1644" t="str">
            <v>GOLD</v>
          </cell>
          <cell r="BE1644" t="str">
            <v>Nov</v>
          </cell>
        </row>
        <row r="1645">
          <cell r="C1645" t="str">
            <v>Kospo</v>
          </cell>
          <cell r="R1645">
            <v>0</v>
          </cell>
          <cell r="AZ1645">
            <v>0</v>
          </cell>
          <cell r="BA1645">
            <v>0</v>
          </cell>
          <cell r="BC1645" t="str">
            <v>GOLD</v>
          </cell>
          <cell r="BE1645" t="str">
            <v>Dec</v>
          </cell>
        </row>
        <row r="1646">
          <cell r="C1646" t="str">
            <v>Kospo</v>
          </cell>
          <cell r="R1646">
            <v>0</v>
          </cell>
          <cell r="AZ1646">
            <v>0</v>
          </cell>
          <cell r="BA1646">
            <v>0</v>
          </cell>
          <cell r="BC1646" t="str">
            <v>GOLD</v>
          </cell>
          <cell r="BE1646" t="str">
            <v>Jan</v>
          </cell>
        </row>
        <row r="1647">
          <cell r="C1647" t="str">
            <v>Kospo</v>
          </cell>
          <cell r="R1647">
            <v>0</v>
          </cell>
          <cell r="AZ1647">
            <v>0</v>
          </cell>
          <cell r="BA1647">
            <v>0</v>
          </cell>
          <cell r="BC1647" t="str">
            <v>GOLD</v>
          </cell>
          <cell r="BE1647" t="str">
            <v>Feb</v>
          </cell>
        </row>
        <row r="1648">
          <cell r="C1648" t="str">
            <v>Kospo</v>
          </cell>
          <cell r="R1648">
            <v>0</v>
          </cell>
          <cell r="AZ1648">
            <v>0</v>
          </cell>
          <cell r="BA1648">
            <v>0</v>
          </cell>
          <cell r="BC1648" t="str">
            <v>GOLD</v>
          </cell>
          <cell r="BE1648" t="str">
            <v>Mar</v>
          </cell>
        </row>
        <row r="1649">
          <cell r="C1649" t="str">
            <v>Kospo</v>
          </cell>
          <cell r="R1649">
            <v>10500</v>
          </cell>
          <cell r="AZ1649">
            <v>-15750</v>
          </cell>
          <cell r="BA1649">
            <v>-13224.419411247432</v>
          </cell>
          <cell r="BC1649" t="str">
            <v>GOLD</v>
          </cell>
          <cell r="BE1649" t="str">
            <v>Apr</v>
          </cell>
        </row>
        <row r="1650">
          <cell r="C1650" t="str">
            <v>Kospo</v>
          </cell>
          <cell r="R1650">
            <v>0</v>
          </cell>
          <cell r="AZ1650">
            <v>0</v>
          </cell>
          <cell r="BA1650">
            <v>0</v>
          </cell>
          <cell r="BC1650" t="str">
            <v>GOLD</v>
          </cell>
          <cell r="BE1650" t="str">
            <v>May</v>
          </cell>
        </row>
        <row r="1651">
          <cell r="C1651" t="str">
            <v>Kospo</v>
          </cell>
          <cell r="R1651">
            <v>0</v>
          </cell>
          <cell r="AZ1651">
            <v>0</v>
          </cell>
          <cell r="BA1651">
            <v>0</v>
          </cell>
          <cell r="BC1651" t="str">
            <v>GOLD</v>
          </cell>
          <cell r="BE1651" t="str">
            <v>Jun</v>
          </cell>
        </row>
        <row r="1652">
          <cell r="C1652" t="str">
            <v>Kospo</v>
          </cell>
          <cell r="R1652">
            <v>0</v>
          </cell>
          <cell r="AZ1652">
            <v>0</v>
          </cell>
          <cell r="BA1652">
            <v>0</v>
          </cell>
          <cell r="BC1652" t="str">
            <v>GOLD</v>
          </cell>
          <cell r="BE1652" t="str">
            <v>Jul</v>
          </cell>
        </row>
        <row r="1653">
          <cell r="C1653" t="str">
            <v>Kospo</v>
          </cell>
          <cell r="R1653">
            <v>0</v>
          </cell>
          <cell r="AZ1653">
            <v>0</v>
          </cell>
          <cell r="BA1653">
            <v>0</v>
          </cell>
          <cell r="BC1653" t="str">
            <v>GOLD</v>
          </cell>
          <cell r="BE1653" t="str">
            <v>Aug</v>
          </cell>
        </row>
        <row r="1654">
          <cell r="C1654" t="str">
            <v>Kospo</v>
          </cell>
          <cell r="R1654">
            <v>0</v>
          </cell>
          <cell r="AZ1654">
            <v>0</v>
          </cell>
          <cell r="BA1654">
            <v>0</v>
          </cell>
          <cell r="BC1654" t="str">
            <v>GOLD</v>
          </cell>
          <cell r="BE1654" t="str">
            <v>Sep</v>
          </cell>
        </row>
        <row r="1655">
          <cell r="C1655" t="str">
            <v>Kospo</v>
          </cell>
          <cell r="R1655">
            <v>0</v>
          </cell>
          <cell r="AZ1655">
            <v>0</v>
          </cell>
          <cell r="BA1655">
            <v>0</v>
          </cell>
          <cell r="BC1655" t="str">
            <v>GOLD</v>
          </cell>
          <cell r="BE1655" t="str">
            <v>Oct</v>
          </cell>
        </row>
        <row r="1656">
          <cell r="C1656" t="str">
            <v>Kospo</v>
          </cell>
          <cell r="R1656">
            <v>0</v>
          </cell>
          <cell r="AZ1656">
            <v>0</v>
          </cell>
          <cell r="BA1656">
            <v>0</v>
          </cell>
          <cell r="BC1656" t="str">
            <v>GOLD</v>
          </cell>
          <cell r="BE1656" t="str">
            <v>Nov</v>
          </cell>
        </row>
        <row r="1657">
          <cell r="C1657" t="str">
            <v>Kospo</v>
          </cell>
          <cell r="R1657">
            <v>0</v>
          </cell>
          <cell r="AZ1657">
            <v>0</v>
          </cell>
          <cell r="BA1657">
            <v>0</v>
          </cell>
          <cell r="BC1657" t="str">
            <v>GOLD</v>
          </cell>
          <cell r="BE1657" t="str">
            <v>Dec</v>
          </cell>
        </row>
        <row r="1658">
          <cell r="C1658" t="str">
            <v>Kospo</v>
          </cell>
          <cell r="R1658">
            <v>0</v>
          </cell>
          <cell r="AZ1658">
            <v>0</v>
          </cell>
          <cell r="BA1658">
            <v>0</v>
          </cell>
          <cell r="BC1658" t="str">
            <v>GOLD</v>
          </cell>
          <cell r="BE1658" t="str">
            <v>Jan</v>
          </cell>
        </row>
        <row r="1659">
          <cell r="C1659" t="str">
            <v>Kospo</v>
          </cell>
          <cell r="R1659">
            <v>0</v>
          </cell>
          <cell r="AZ1659">
            <v>0</v>
          </cell>
          <cell r="BA1659">
            <v>0</v>
          </cell>
          <cell r="BC1659" t="str">
            <v>GOLD</v>
          </cell>
          <cell r="BE1659" t="str">
            <v>Feb</v>
          </cell>
        </row>
        <row r="1660">
          <cell r="C1660" t="str">
            <v>Kospo</v>
          </cell>
          <cell r="R1660">
            <v>0</v>
          </cell>
          <cell r="AZ1660">
            <v>0</v>
          </cell>
          <cell r="BA1660">
            <v>0</v>
          </cell>
          <cell r="BC1660" t="str">
            <v>GOLD</v>
          </cell>
          <cell r="BE1660" t="str">
            <v>Mar</v>
          </cell>
        </row>
        <row r="1661">
          <cell r="C1661" t="str">
            <v>Kospo</v>
          </cell>
          <cell r="R1661">
            <v>10500.000000000004</v>
          </cell>
          <cell r="AZ1661">
            <v>-15750.000000000005</v>
          </cell>
          <cell r="BA1661">
            <v>-14964.986377874859</v>
          </cell>
          <cell r="BC1661" t="str">
            <v>GOLD</v>
          </cell>
          <cell r="BE1661" t="str">
            <v>Apr</v>
          </cell>
        </row>
        <row r="1662">
          <cell r="C1662" t="str">
            <v>Kospo</v>
          </cell>
          <cell r="R1662">
            <v>0</v>
          </cell>
          <cell r="AZ1662">
            <v>0</v>
          </cell>
          <cell r="BA1662">
            <v>0</v>
          </cell>
          <cell r="BC1662" t="str">
            <v>GOLD</v>
          </cell>
          <cell r="BE1662" t="str">
            <v>May</v>
          </cell>
        </row>
        <row r="1663">
          <cell r="C1663" t="str">
            <v>Kospo</v>
          </cell>
          <cell r="R1663">
            <v>0</v>
          </cell>
          <cell r="AZ1663">
            <v>0</v>
          </cell>
          <cell r="BA1663">
            <v>0</v>
          </cell>
          <cell r="BC1663" t="str">
            <v>GOLD</v>
          </cell>
          <cell r="BE1663" t="str">
            <v>Jun</v>
          </cell>
        </row>
        <row r="1664">
          <cell r="C1664" t="str">
            <v>Kospo</v>
          </cell>
          <cell r="R1664">
            <v>0</v>
          </cell>
          <cell r="AZ1664">
            <v>0</v>
          </cell>
          <cell r="BA1664">
            <v>0</v>
          </cell>
          <cell r="BC1664" t="str">
            <v>GOLD</v>
          </cell>
          <cell r="BE1664" t="str">
            <v>Jul</v>
          </cell>
        </row>
        <row r="1665">
          <cell r="C1665" t="str">
            <v>Kospo</v>
          </cell>
          <cell r="R1665">
            <v>0</v>
          </cell>
          <cell r="AZ1665">
            <v>0</v>
          </cell>
          <cell r="BA1665">
            <v>0</v>
          </cell>
          <cell r="BC1665" t="str">
            <v>GOLD</v>
          </cell>
          <cell r="BE1665" t="str">
            <v>Aug</v>
          </cell>
        </row>
        <row r="1666">
          <cell r="C1666" t="str">
            <v>Kospo</v>
          </cell>
          <cell r="R1666">
            <v>0</v>
          </cell>
          <cell r="AZ1666">
            <v>0</v>
          </cell>
          <cell r="BA1666">
            <v>0</v>
          </cell>
          <cell r="BC1666" t="str">
            <v>GOLD</v>
          </cell>
          <cell r="BE1666" t="str">
            <v>Sep</v>
          </cell>
        </row>
        <row r="1667">
          <cell r="C1667" t="str">
            <v>Kospo</v>
          </cell>
          <cell r="R1667">
            <v>0</v>
          </cell>
          <cell r="AZ1667">
            <v>0</v>
          </cell>
          <cell r="BA1667">
            <v>0</v>
          </cell>
          <cell r="BC1667" t="str">
            <v>GOLD</v>
          </cell>
          <cell r="BE1667" t="str">
            <v>Oct</v>
          </cell>
        </row>
        <row r="1668">
          <cell r="C1668" t="str">
            <v>Kospo</v>
          </cell>
          <cell r="R1668">
            <v>0</v>
          </cell>
          <cell r="AZ1668">
            <v>0</v>
          </cell>
          <cell r="BA1668">
            <v>0</v>
          </cell>
          <cell r="BC1668" t="str">
            <v>GOLD</v>
          </cell>
          <cell r="BE1668" t="str">
            <v>Nov</v>
          </cell>
        </row>
        <row r="1669">
          <cell r="C1669" t="str">
            <v>Kospo</v>
          </cell>
          <cell r="R1669">
            <v>0</v>
          </cell>
          <cell r="AZ1669">
            <v>0</v>
          </cell>
          <cell r="BA1669">
            <v>0</v>
          </cell>
          <cell r="BC1669" t="str">
            <v>GOLD</v>
          </cell>
          <cell r="BE1669" t="str">
            <v>Dec</v>
          </cell>
        </row>
        <row r="1670">
          <cell r="C1670" t="str">
            <v>Kowepo</v>
          </cell>
          <cell r="R1670">
            <v>49000</v>
          </cell>
          <cell r="AZ1670">
            <v>-73500</v>
          </cell>
          <cell r="BA1670">
            <v>-64419.686831289699</v>
          </cell>
          <cell r="BC1670" t="str">
            <v>GOLD</v>
          </cell>
          <cell r="BE1670" t="str">
            <v>Jan</v>
          </cell>
        </row>
        <row r="1671">
          <cell r="C1671" t="str">
            <v>Kowepo</v>
          </cell>
          <cell r="R1671">
            <v>0</v>
          </cell>
          <cell r="AZ1671">
            <v>0</v>
          </cell>
          <cell r="BA1671">
            <v>0</v>
          </cell>
          <cell r="BC1671" t="str">
            <v>GOLD</v>
          </cell>
          <cell r="BE1671" t="str">
            <v>Feb</v>
          </cell>
        </row>
        <row r="1672">
          <cell r="C1672" t="str">
            <v>Kowepo</v>
          </cell>
          <cell r="R1672">
            <v>0</v>
          </cell>
          <cell r="AZ1672">
            <v>0</v>
          </cell>
          <cell r="BA1672">
            <v>0</v>
          </cell>
          <cell r="BC1672" t="str">
            <v>GOLD</v>
          </cell>
          <cell r="BE1672" t="str">
            <v>Mar</v>
          </cell>
        </row>
        <row r="1673">
          <cell r="C1673" t="str">
            <v>Kowepo</v>
          </cell>
          <cell r="R1673">
            <v>0</v>
          </cell>
          <cell r="AZ1673">
            <v>0</v>
          </cell>
          <cell r="BA1673">
            <v>0</v>
          </cell>
          <cell r="BC1673" t="str">
            <v>GOLD</v>
          </cell>
          <cell r="BE1673" t="str">
            <v>Apr</v>
          </cell>
        </row>
        <row r="1674">
          <cell r="C1674" t="str">
            <v>Kowepo</v>
          </cell>
          <cell r="R1674">
            <v>0</v>
          </cell>
          <cell r="AZ1674">
            <v>0</v>
          </cell>
          <cell r="BA1674">
            <v>0</v>
          </cell>
          <cell r="BC1674" t="str">
            <v>GOLD</v>
          </cell>
          <cell r="BE1674" t="str">
            <v>May</v>
          </cell>
        </row>
        <row r="1675">
          <cell r="C1675" t="str">
            <v>Kowepo</v>
          </cell>
          <cell r="R1675">
            <v>0</v>
          </cell>
          <cell r="AZ1675">
            <v>0</v>
          </cell>
          <cell r="BA1675">
            <v>0</v>
          </cell>
          <cell r="BC1675" t="str">
            <v>GOLD</v>
          </cell>
          <cell r="BE1675" t="str">
            <v>Jun</v>
          </cell>
        </row>
        <row r="1676">
          <cell r="C1676" t="str">
            <v>Kowepo</v>
          </cell>
          <cell r="R1676">
            <v>0</v>
          </cell>
          <cell r="AZ1676">
            <v>0</v>
          </cell>
          <cell r="BA1676">
            <v>0</v>
          </cell>
          <cell r="BC1676" t="str">
            <v>GOLD</v>
          </cell>
          <cell r="BE1676" t="str">
            <v>Jul</v>
          </cell>
        </row>
        <row r="1677">
          <cell r="C1677" t="str">
            <v>Kowepo</v>
          </cell>
          <cell r="R1677">
            <v>0</v>
          </cell>
          <cell r="AZ1677">
            <v>0</v>
          </cell>
          <cell r="BA1677">
            <v>0</v>
          </cell>
          <cell r="BC1677" t="str">
            <v>GOLD</v>
          </cell>
          <cell r="BE1677" t="str">
            <v>Aug</v>
          </cell>
        </row>
        <row r="1678">
          <cell r="C1678" t="str">
            <v>Kowepo</v>
          </cell>
          <cell r="R1678">
            <v>0</v>
          </cell>
          <cell r="AZ1678">
            <v>0</v>
          </cell>
          <cell r="BA1678">
            <v>0</v>
          </cell>
          <cell r="BC1678" t="str">
            <v>GOLD</v>
          </cell>
          <cell r="BE1678" t="str">
            <v>Sep</v>
          </cell>
        </row>
        <row r="1679">
          <cell r="C1679" t="str">
            <v>Kowepo</v>
          </cell>
          <cell r="R1679">
            <v>0</v>
          </cell>
          <cell r="AZ1679">
            <v>0</v>
          </cell>
          <cell r="BA1679">
            <v>0</v>
          </cell>
          <cell r="BC1679" t="str">
            <v>GOLD</v>
          </cell>
          <cell r="BE1679" t="str">
            <v>Oct</v>
          </cell>
        </row>
        <row r="1680">
          <cell r="C1680" t="str">
            <v>Kowepo</v>
          </cell>
          <cell r="R1680">
            <v>0</v>
          </cell>
          <cell r="AZ1680">
            <v>0</v>
          </cell>
          <cell r="BA1680">
            <v>0</v>
          </cell>
          <cell r="BC1680" t="str">
            <v>GOLD</v>
          </cell>
          <cell r="BE1680" t="str">
            <v>Nov</v>
          </cell>
        </row>
        <row r="1681">
          <cell r="C1681" t="str">
            <v>Kowepo</v>
          </cell>
          <cell r="R1681">
            <v>0</v>
          </cell>
          <cell r="AZ1681">
            <v>0</v>
          </cell>
          <cell r="BA1681">
            <v>0</v>
          </cell>
          <cell r="BC1681" t="str">
            <v>GOLD</v>
          </cell>
          <cell r="BE1681" t="str">
            <v>Dec</v>
          </cell>
        </row>
        <row r="1682">
          <cell r="C1682" t="str">
            <v>Kowepo</v>
          </cell>
          <cell r="R1682">
            <v>21000.000000000004</v>
          </cell>
          <cell r="AZ1682">
            <v>-31500.000000000007</v>
          </cell>
          <cell r="BA1682">
            <v>-25749.80469413404</v>
          </cell>
          <cell r="BC1682" t="str">
            <v>GOLD</v>
          </cell>
          <cell r="BE1682" t="str">
            <v>Jan</v>
          </cell>
        </row>
        <row r="1683">
          <cell r="C1683" t="str">
            <v>Kowepo</v>
          </cell>
          <cell r="R1683">
            <v>0</v>
          </cell>
          <cell r="AZ1683">
            <v>0</v>
          </cell>
          <cell r="BA1683">
            <v>0</v>
          </cell>
          <cell r="BC1683" t="str">
            <v>GOLD</v>
          </cell>
          <cell r="BE1683" t="str">
            <v>Feb</v>
          </cell>
        </row>
        <row r="1684">
          <cell r="C1684" t="str">
            <v>Kowepo</v>
          </cell>
          <cell r="R1684">
            <v>0</v>
          </cell>
          <cell r="AZ1684">
            <v>0</v>
          </cell>
          <cell r="BA1684">
            <v>0</v>
          </cell>
          <cell r="BC1684" t="str">
            <v>GOLD</v>
          </cell>
          <cell r="BE1684" t="str">
            <v>Mar</v>
          </cell>
        </row>
        <row r="1685">
          <cell r="C1685" t="str">
            <v>Kowepo</v>
          </cell>
          <cell r="R1685">
            <v>0</v>
          </cell>
          <cell r="AZ1685">
            <v>0</v>
          </cell>
          <cell r="BA1685">
            <v>0</v>
          </cell>
          <cell r="BC1685" t="str">
            <v>GOLD</v>
          </cell>
          <cell r="BE1685" t="str">
            <v>Apr</v>
          </cell>
        </row>
        <row r="1686">
          <cell r="C1686" t="str">
            <v>Kowepo</v>
          </cell>
          <cell r="R1686">
            <v>0</v>
          </cell>
          <cell r="AZ1686">
            <v>0</v>
          </cell>
          <cell r="BA1686">
            <v>0</v>
          </cell>
          <cell r="BC1686" t="str">
            <v>GOLD</v>
          </cell>
          <cell r="BE1686" t="str">
            <v>May</v>
          </cell>
        </row>
        <row r="1687">
          <cell r="C1687" t="str">
            <v>Kowepo</v>
          </cell>
          <cell r="R1687">
            <v>0</v>
          </cell>
          <cell r="AZ1687">
            <v>0</v>
          </cell>
          <cell r="BA1687">
            <v>0</v>
          </cell>
          <cell r="BC1687" t="str">
            <v>GOLD</v>
          </cell>
          <cell r="BE1687" t="str">
            <v>Jun</v>
          </cell>
        </row>
        <row r="1688">
          <cell r="C1688" t="str">
            <v>Kowepo</v>
          </cell>
          <cell r="R1688">
            <v>0</v>
          </cell>
          <cell r="AZ1688">
            <v>0</v>
          </cell>
          <cell r="BA1688">
            <v>0</v>
          </cell>
          <cell r="BC1688" t="str">
            <v>GOLD</v>
          </cell>
          <cell r="BE1688" t="str">
            <v>Jul</v>
          </cell>
        </row>
        <row r="1689">
          <cell r="C1689" t="str">
            <v>Kowepo</v>
          </cell>
          <cell r="R1689">
            <v>0</v>
          </cell>
          <cell r="AZ1689">
            <v>0</v>
          </cell>
          <cell r="BA1689">
            <v>0</v>
          </cell>
          <cell r="BC1689" t="str">
            <v>GOLD</v>
          </cell>
          <cell r="BE1689" t="str">
            <v>Aug</v>
          </cell>
        </row>
        <row r="1690">
          <cell r="C1690" t="str">
            <v>Kowepo</v>
          </cell>
          <cell r="R1690">
            <v>0</v>
          </cell>
          <cell r="AZ1690">
            <v>0</v>
          </cell>
          <cell r="BA1690">
            <v>0</v>
          </cell>
          <cell r="BC1690" t="str">
            <v>GOLD</v>
          </cell>
          <cell r="BE1690" t="str">
            <v>Sep</v>
          </cell>
        </row>
        <row r="1691">
          <cell r="C1691" t="str">
            <v>Kowepo</v>
          </cell>
          <cell r="R1691">
            <v>0</v>
          </cell>
          <cell r="AZ1691">
            <v>0</v>
          </cell>
          <cell r="BA1691">
            <v>0</v>
          </cell>
          <cell r="BC1691" t="str">
            <v>GOLD</v>
          </cell>
          <cell r="BE1691" t="str">
            <v>Oct</v>
          </cell>
        </row>
        <row r="1692">
          <cell r="C1692" t="str">
            <v>Kowepo</v>
          </cell>
          <cell r="R1692">
            <v>0</v>
          </cell>
          <cell r="AZ1692">
            <v>0</v>
          </cell>
          <cell r="BA1692">
            <v>0</v>
          </cell>
          <cell r="BC1692" t="str">
            <v>GOLD</v>
          </cell>
          <cell r="BE1692" t="str">
            <v>Nov</v>
          </cell>
        </row>
        <row r="1693">
          <cell r="C1693" t="str">
            <v>Kowepo</v>
          </cell>
          <cell r="R1693">
            <v>0</v>
          </cell>
          <cell r="AZ1693">
            <v>0</v>
          </cell>
          <cell r="BA1693">
            <v>0</v>
          </cell>
          <cell r="BC1693" t="str">
            <v>GOLD</v>
          </cell>
          <cell r="BE1693" t="str">
            <v>Dec</v>
          </cell>
        </row>
        <row r="1694">
          <cell r="C1694" t="str">
            <v>Kowepo</v>
          </cell>
          <cell r="R1694">
            <v>0</v>
          </cell>
          <cell r="AZ1694">
            <v>0</v>
          </cell>
          <cell r="BA1694">
            <v>0</v>
          </cell>
          <cell r="BC1694" t="str">
            <v>GOLD</v>
          </cell>
          <cell r="BE1694" t="str">
            <v>Jan</v>
          </cell>
        </row>
        <row r="1695">
          <cell r="C1695" t="str">
            <v>Kowepo</v>
          </cell>
          <cell r="R1695">
            <v>104000</v>
          </cell>
          <cell r="AZ1695">
            <v>-156000</v>
          </cell>
          <cell r="BA1695">
            <v>-126270.27086234976</v>
          </cell>
          <cell r="BC1695" t="str">
            <v>GOLD</v>
          </cell>
          <cell r="BE1695" t="str">
            <v>Feb</v>
          </cell>
        </row>
        <row r="1696">
          <cell r="C1696" t="str">
            <v>Kowepo</v>
          </cell>
          <cell r="R1696">
            <v>0</v>
          </cell>
          <cell r="AZ1696">
            <v>0</v>
          </cell>
          <cell r="BA1696">
            <v>0</v>
          </cell>
          <cell r="BC1696" t="str">
            <v>GOLD</v>
          </cell>
          <cell r="BE1696" t="str">
            <v>Mar</v>
          </cell>
        </row>
        <row r="1697">
          <cell r="C1697" t="str">
            <v>Kowepo</v>
          </cell>
          <cell r="R1697">
            <v>0</v>
          </cell>
          <cell r="AZ1697">
            <v>0</v>
          </cell>
          <cell r="BA1697">
            <v>0</v>
          </cell>
          <cell r="BC1697" t="str">
            <v>GOLD</v>
          </cell>
          <cell r="BE1697" t="str">
            <v>Apr</v>
          </cell>
        </row>
        <row r="1698">
          <cell r="C1698" t="str">
            <v>Kowepo</v>
          </cell>
          <cell r="R1698">
            <v>0</v>
          </cell>
          <cell r="AZ1698">
            <v>0</v>
          </cell>
          <cell r="BA1698">
            <v>0</v>
          </cell>
          <cell r="BC1698" t="str">
            <v>GOLD</v>
          </cell>
          <cell r="BE1698" t="str">
            <v>May</v>
          </cell>
        </row>
        <row r="1699">
          <cell r="C1699" t="str">
            <v>Kowepo</v>
          </cell>
          <cell r="R1699">
            <v>0</v>
          </cell>
          <cell r="AZ1699">
            <v>0</v>
          </cell>
          <cell r="BA1699">
            <v>0</v>
          </cell>
          <cell r="BC1699" t="str">
            <v>GOLD</v>
          </cell>
          <cell r="BE1699" t="str">
            <v>Jun</v>
          </cell>
        </row>
        <row r="1700">
          <cell r="C1700" t="str">
            <v>Kowepo</v>
          </cell>
          <cell r="R1700">
            <v>0</v>
          </cell>
          <cell r="AZ1700">
            <v>0</v>
          </cell>
          <cell r="BA1700">
            <v>0</v>
          </cell>
          <cell r="BC1700" t="str">
            <v>GOLD</v>
          </cell>
          <cell r="BE1700" t="str">
            <v>Jul</v>
          </cell>
        </row>
        <row r="1701">
          <cell r="C1701" t="str">
            <v>Kowepo</v>
          </cell>
          <cell r="R1701">
            <v>0</v>
          </cell>
          <cell r="AZ1701">
            <v>0</v>
          </cell>
          <cell r="BA1701">
            <v>0</v>
          </cell>
          <cell r="BC1701" t="str">
            <v>GOLD</v>
          </cell>
          <cell r="BE1701" t="str">
            <v>Aug</v>
          </cell>
        </row>
        <row r="1702">
          <cell r="C1702" t="str">
            <v>Kowepo</v>
          </cell>
          <cell r="R1702">
            <v>0</v>
          </cell>
          <cell r="AZ1702">
            <v>0</v>
          </cell>
          <cell r="BA1702">
            <v>0</v>
          </cell>
          <cell r="BC1702" t="str">
            <v>GOLD</v>
          </cell>
          <cell r="BE1702" t="str">
            <v>Sep</v>
          </cell>
        </row>
        <row r="1703">
          <cell r="C1703" t="str">
            <v>Kowepo</v>
          </cell>
          <cell r="R1703">
            <v>0</v>
          </cell>
          <cell r="AZ1703">
            <v>0</v>
          </cell>
          <cell r="BA1703">
            <v>0</v>
          </cell>
          <cell r="BC1703" t="str">
            <v>GOLD</v>
          </cell>
          <cell r="BE1703" t="str">
            <v>Oct</v>
          </cell>
        </row>
        <row r="1704">
          <cell r="C1704" t="str">
            <v>Kowepo</v>
          </cell>
          <cell r="R1704">
            <v>0</v>
          </cell>
          <cell r="AZ1704">
            <v>0</v>
          </cell>
          <cell r="BA1704">
            <v>0</v>
          </cell>
          <cell r="BC1704" t="str">
            <v>GOLD</v>
          </cell>
          <cell r="BE1704" t="str">
            <v>Nov</v>
          </cell>
        </row>
        <row r="1705">
          <cell r="C1705" t="str">
            <v>Kowepo</v>
          </cell>
          <cell r="R1705">
            <v>0</v>
          </cell>
          <cell r="AZ1705">
            <v>0</v>
          </cell>
          <cell r="BA1705">
            <v>0</v>
          </cell>
          <cell r="BC1705" t="str">
            <v>GOLD</v>
          </cell>
          <cell r="BE1705" t="str">
            <v>Dec</v>
          </cell>
        </row>
        <row r="1706">
          <cell r="C1706" t="str">
            <v>Kowepo</v>
          </cell>
          <cell r="R1706">
            <v>0</v>
          </cell>
          <cell r="AZ1706">
            <v>0</v>
          </cell>
          <cell r="BA1706">
            <v>0</v>
          </cell>
          <cell r="BC1706" t="str">
            <v>GOLD</v>
          </cell>
          <cell r="BE1706" t="str">
            <v>Jan</v>
          </cell>
        </row>
        <row r="1707">
          <cell r="C1707" t="str">
            <v>Kowepo</v>
          </cell>
          <cell r="R1707">
            <v>25999.999999999993</v>
          </cell>
          <cell r="AZ1707">
            <v>-38999.999999999985</v>
          </cell>
          <cell r="BA1707">
            <v>-22036.784491552251</v>
          </cell>
          <cell r="BC1707" t="str">
            <v>GOLD</v>
          </cell>
          <cell r="BE1707" t="str">
            <v>Feb</v>
          </cell>
        </row>
        <row r="1708">
          <cell r="C1708" t="str">
            <v>Kowepo</v>
          </cell>
          <cell r="R1708">
            <v>0</v>
          </cell>
          <cell r="AZ1708">
            <v>0</v>
          </cell>
          <cell r="BA1708">
            <v>0</v>
          </cell>
          <cell r="BC1708" t="str">
            <v>GOLD</v>
          </cell>
          <cell r="BE1708" t="str">
            <v>Mar</v>
          </cell>
        </row>
        <row r="1709">
          <cell r="C1709" t="str">
            <v>Kowepo</v>
          </cell>
          <cell r="R1709">
            <v>0</v>
          </cell>
          <cell r="AZ1709">
            <v>0</v>
          </cell>
          <cell r="BA1709">
            <v>0</v>
          </cell>
          <cell r="BC1709" t="str">
            <v>GOLD</v>
          </cell>
          <cell r="BE1709" t="str">
            <v>Apr</v>
          </cell>
        </row>
        <row r="1710">
          <cell r="C1710" t="str">
            <v>Kowepo</v>
          </cell>
          <cell r="R1710">
            <v>0</v>
          </cell>
          <cell r="AZ1710">
            <v>0</v>
          </cell>
          <cell r="BA1710">
            <v>0</v>
          </cell>
          <cell r="BC1710" t="str">
            <v>GOLD</v>
          </cell>
          <cell r="BE1710" t="str">
            <v>May</v>
          </cell>
        </row>
        <row r="1711">
          <cell r="C1711" t="str">
            <v>Kowepo</v>
          </cell>
          <cell r="R1711">
            <v>0</v>
          </cell>
          <cell r="AZ1711">
            <v>0</v>
          </cell>
          <cell r="BA1711">
            <v>0</v>
          </cell>
          <cell r="BC1711" t="str">
            <v>GOLD</v>
          </cell>
          <cell r="BE1711" t="str">
            <v>Jun</v>
          </cell>
        </row>
        <row r="1712">
          <cell r="C1712" t="str">
            <v>Kowepo</v>
          </cell>
          <cell r="R1712">
            <v>0</v>
          </cell>
          <cell r="AZ1712">
            <v>0</v>
          </cell>
          <cell r="BA1712">
            <v>0</v>
          </cell>
          <cell r="BC1712" t="str">
            <v>GOLD</v>
          </cell>
          <cell r="BE1712" t="str">
            <v>Jul</v>
          </cell>
        </row>
        <row r="1713">
          <cell r="C1713" t="str">
            <v>Kowepo</v>
          </cell>
          <cell r="R1713">
            <v>0</v>
          </cell>
          <cell r="AZ1713">
            <v>0</v>
          </cell>
          <cell r="BA1713">
            <v>0</v>
          </cell>
          <cell r="BC1713" t="str">
            <v>GOLD</v>
          </cell>
          <cell r="BE1713" t="str">
            <v>Aug</v>
          </cell>
        </row>
        <row r="1714">
          <cell r="C1714" t="str">
            <v>Kowepo</v>
          </cell>
          <cell r="R1714">
            <v>0</v>
          </cell>
          <cell r="AZ1714">
            <v>0</v>
          </cell>
          <cell r="BA1714">
            <v>0</v>
          </cell>
          <cell r="BC1714" t="str">
            <v>GOLD</v>
          </cell>
          <cell r="BE1714" t="str">
            <v>Sep</v>
          </cell>
        </row>
        <row r="1715">
          <cell r="C1715" t="str">
            <v>Kowepo</v>
          </cell>
          <cell r="R1715">
            <v>0</v>
          </cell>
          <cell r="AZ1715">
            <v>0</v>
          </cell>
          <cell r="BA1715">
            <v>0</v>
          </cell>
          <cell r="BC1715" t="str">
            <v>GOLD</v>
          </cell>
          <cell r="BE1715" t="str">
            <v>Oct</v>
          </cell>
        </row>
        <row r="1716">
          <cell r="C1716" t="str">
            <v>Kowepo</v>
          </cell>
          <cell r="R1716">
            <v>0</v>
          </cell>
          <cell r="AZ1716">
            <v>0</v>
          </cell>
          <cell r="BA1716">
            <v>0</v>
          </cell>
          <cell r="BC1716" t="str">
            <v>GOLD</v>
          </cell>
          <cell r="BE1716" t="str">
            <v>Nov</v>
          </cell>
        </row>
        <row r="1717">
          <cell r="C1717" t="str">
            <v>Kowepo</v>
          </cell>
          <cell r="R1717">
            <v>0</v>
          </cell>
          <cell r="AZ1717">
            <v>0</v>
          </cell>
          <cell r="BA1717">
            <v>0</v>
          </cell>
          <cell r="BC1717" t="str">
            <v>GOLD</v>
          </cell>
          <cell r="BE1717" t="str">
            <v>Dec</v>
          </cell>
        </row>
        <row r="1718">
          <cell r="C1718" t="str">
            <v>Kewespo</v>
          </cell>
          <cell r="R1718">
            <v>0</v>
          </cell>
          <cell r="AZ1718">
            <v>0</v>
          </cell>
          <cell r="BA1718">
            <v>0</v>
          </cell>
          <cell r="BC1718" t="str">
            <v>OTHERS</v>
          </cell>
          <cell r="BE1718" t="str">
            <v>Jan</v>
          </cell>
        </row>
        <row r="1719">
          <cell r="C1719" t="str">
            <v>Kewespo</v>
          </cell>
          <cell r="R1719">
            <v>35000</v>
          </cell>
          <cell r="AZ1719">
            <v>-17500</v>
          </cell>
          <cell r="BA1719">
            <v>-46655.186834272208</v>
          </cell>
          <cell r="BC1719" t="str">
            <v>OTHERS</v>
          </cell>
          <cell r="BE1719" t="str">
            <v>Feb</v>
          </cell>
        </row>
        <row r="1720">
          <cell r="C1720" t="str">
            <v>Kewespo</v>
          </cell>
          <cell r="R1720">
            <v>0</v>
          </cell>
          <cell r="AZ1720">
            <v>0</v>
          </cell>
          <cell r="BA1720">
            <v>0</v>
          </cell>
          <cell r="BC1720" t="str">
            <v>OTHERS</v>
          </cell>
          <cell r="BE1720" t="str">
            <v>Mar</v>
          </cell>
        </row>
        <row r="1721">
          <cell r="C1721" t="str">
            <v>Kewespo</v>
          </cell>
          <cell r="R1721">
            <v>0</v>
          </cell>
          <cell r="AZ1721">
            <v>0</v>
          </cell>
          <cell r="BA1721">
            <v>0</v>
          </cell>
          <cell r="BC1721" t="str">
            <v>OTHERS</v>
          </cell>
          <cell r="BE1721" t="str">
            <v>Apr</v>
          </cell>
        </row>
        <row r="1722">
          <cell r="C1722" t="str">
            <v>Kewespo</v>
          </cell>
          <cell r="R1722">
            <v>0</v>
          </cell>
          <cell r="AZ1722">
            <v>0</v>
          </cell>
          <cell r="BA1722">
            <v>0</v>
          </cell>
          <cell r="BC1722" t="str">
            <v>OTHERS</v>
          </cell>
          <cell r="BE1722" t="str">
            <v>May</v>
          </cell>
        </row>
        <row r="1723">
          <cell r="C1723" t="str">
            <v>Kewespo</v>
          </cell>
          <cell r="R1723">
            <v>0</v>
          </cell>
          <cell r="AZ1723">
            <v>0</v>
          </cell>
          <cell r="BA1723">
            <v>0</v>
          </cell>
          <cell r="BC1723" t="str">
            <v>OTHERS</v>
          </cell>
          <cell r="BE1723" t="str">
            <v>Jun</v>
          </cell>
        </row>
        <row r="1724">
          <cell r="C1724" t="str">
            <v>Kewespo</v>
          </cell>
          <cell r="R1724">
            <v>0</v>
          </cell>
          <cell r="AZ1724">
            <v>0</v>
          </cell>
          <cell r="BA1724">
            <v>0</v>
          </cell>
          <cell r="BC1724" t="str">
            <v>OTHERS</v>
          </cell>
          <cell r="BE1724" t="str">
            <v>Jul</v>
          </cell>
        </row>
        <row r="1725">
          <cell r="C1725" t="str">
            <v>Kewespo</v>
          </cell>
          <cell r="R1725">
            <v>0</v>
          </cell>
          <cell r="AZ1725">
            <v>0</v>
          </cell>
          <cell r="BA1725">
            <v>0</v>
          </cell>
          <cell r="BC1725" t="str">
            <v>OTHERS</v>
          </cell>
          <cell r="BE1725" t="str">
            <v>Aug</v>
          </cell>
        </row>
        <row r="1726">
          <cell r="C1726" t="str">
            <v>Kewespo</v>
          </cell>
          <cell r="R1726">
            <v>0</v>
          </cell>
          <cell r="AZ1726">
            <v>0</v>
          </cell>
          <cell r="BA1726">
            <v>0</v>
          </cell>
          <cell r="BC1726" t="str">
            <v>OTHERS</v>
          </cell>
          <cell r="BE1726" t="str">
            <v>Sep</v>
          </cell>
        </row>
        <row r="1727">
          <cell r="C1727" t="str">
            <v>Kewespo</v>
          </cell>
          <cell r="R1727">
            <v>0</v>
          </cell>
          <cell r="AZ1727">
            <v>0</v>
          </cell>
          <cell r="BA1727">
            <v>0</v>
          </cell>
          <cell r="BC1727" t="str">
            <v>OTHERS</v>
          </cell>
          <cell r="BE1727" t="str">
            <v>Oct</v>
          </cell>
        </row>
        <row r="1728">
          <cell r="C1728" t="str">
            <v>Kewespo</v>
          </cell>
          <cell r="R1728">
            <v>0</v>
          </cell>
          <cell r="AZ1728">
            <v>0</v>
          </cell>
          <cell r="BA1728">
            <v>0</v>
          </cell>
          <cell r="BC1728" t="str">
            <v>OTHERS</v>
          </cell>
          <cell r="BE1728" t="str">
            <v>Nov</v>
          </cell>
        </row>
        <row r="1729">
          <cell r="C1729" t="str">
            <v>Kewespo</v>
          </cell>
          <cell r="R1729">
            <v>0</v>
          </cell>
          <cell r="AZ1729">
            <v>0</v>
          </cell>
          <cell r="BA1729">
            <v>0</v>
          </cell>
          <cell r="BC1729" t="str">
            <v>OTHERS</v>
          </cell>
          <cell r="BE1729" t="str">
            <v>Dec</v>
          </cell>
        </row>
        <row r="1730">
          <cell r="C1730" t="str">
            <v>Kewespo</v>
          </cell>
          <cell r="R1730">
            <v>0</v>
          </cell>
          <cell r="AZ1730">
            <v>0</v>
          </cell>
          <cell r="BA1730">
            <v>0</v>
          </cell>
          <cell r="BC1730" t="str">
            <v>OTHERS</v>
          </cell>
          <cell r="BE1730" t="str">
            <v>Jan</v>
          </cell>
        </row>
        <row r="1731">
          <cell r="C1731" t="str">
            <v>Kewespo</v>
          </cell>
          <cell r="R1731">
            <v>35000</v>
          </cell>
          <cell r="AZ1731">
            <v>-17500</v>
          </cell>
          <cell r="BA1731">
            <v>-43514.304691151512</v>
          </cell>
          <cell r="BC1731" t="str">
            <v>OTHERS</v>
          </cell>
          <cell r="BE1731" t="str">
            <v>Feb</v>
          </cell>
        </row>
        <row r="1732">
          <cell r="C1732" t="str">
            <v>Kewespo</v>
          </cell>
          <cell r="R1732">
            <v>0</v>
          </cell>
          <cell r="AZ1732">
            <v>0</v>
          </cell>
          <cell r="BA1732">
            <v>0</v>
          </cell>
          <cell r="BC1732" t="str">
            <v>OTHERS</v>
          </cell>
          <cell r="BE1732" t="str">
            <v>Mar</v>
          </cell>
        </row>
        <row r="1733">
          <cell r="C1733" t="str">
            <v>Kewespo</v>
          </cell>
          <cell r="R1733">
            <v>0</v>
          </cell>
          <cell r="AZ1733">
            <v>0</v>
          </cell>
          <cell r="BA1733">
            <v>0</v>
          </cell>
          <cell r="BC1733" t="str">
            <v>OTHERS</v>
          </cell>
          <cell r="BE1733" t="str">
            <v>Apr</v>
          </cell>
        </row>
        <row r="1734">
          <cell r="C1734" t="str">
            <v>Kewespo</v>
          </cell>
          <cell r="R1734">
            <v>0</v>
          </cell>
          <cell r="AZ1734">
            <v>0</v>
          </cell>
          <cell r="BA1734">
            <v>0</v>
          </cell>
          <cell r="BC1734" t="str">
            <v>OTHERS</v>
          </cell>
          <cell r="BE1734" t="str">
            <v>May</v>
          </cell>
        </row>
        <row r="1735">
          <cell r="C1735" t="str">
            <v>Kewespo</v>
          </cell>
          <cell r="R1735">
            <v>0</v>
          </cell>
          <cell r="AZ1735">
            <v>0</v>
          </cell>
          <cell r="BA1735">
            <v>0</v>
          </cell>
          <cell r="BC1735" t="str">
            <v>OTHERS</v>
          </cell>
          <cell r="BE1735" t="str">
            <v>Jun</v>
          </cell>
        </row>
        <row r="1736">
          <cell r="C1736" t="str">
            <v>Kewespo</v>
          </cell>
          <cell r="R1736">
            <v>0</v>
          </cell>
          <cell r="AZ1736">
            <v>0</v>
          </cell>
          <cell r="BA1736">
            <v>0</v>
          </cell>
          <cell r="BC1736" t="str">
            <v>OTHERS</v>
          </cell>
          <cell r="BE1736" t="str">
            <v>Jul</v>
          </cell>
        </row>
        <row r="1737">
          <cell r="C1737" t="str">
            <v>Kewespo</v>
          </cell>
          <cell r="R1737">
            <v>0</v>
          </cell>
          <cell r="AZ1737">
            <v>0</v>
          </cell>
          <cell r="BA1737">
            <v>0</v>
          </cell>
          <cell r="BC1737" t="str">
            <v>OTHERS</v>
          </cell>
          <cell r="BE1737" t="str">
            <v>Aug</v>
          </cell>
        </row>
        <row r="1738">
          <cell r="C1738" t="str">
            <v>Kewespo</v>
          </cell>
          <cell r="R1738">
            <v>0</v>
          </cell>
          <cell r="AZ1738">
            <v>0</v>
          </cell>
          <cell r="BA1738">
            <v>0</v>
          </cell>
          <cell r="BC1738" t="str">
            <v>OTHERS</v>
          </cell>
          <cell r="BE1738" t="str">
            <v>Sep</v>
          </cell>
        </row>
        <row r="1739">
          <cell r="C1739" t="str">
            <v>Kewespo</v>
          </cell>
          <cell r="R1739">
            <v>0</v>
          </cell>
          <cell r="AZ1739">
            <v>0</v>
          </cell>
          <cell r="BA1739">
            <v>0</v>
          </cell>
          <cell r="BC1739" t="str">
            <v>OTHERS</v>
          </cell>
          <cell r="BE1739" t="str">
            <v>Oct</v>
          </cell>
        </row>
        <row r="1740">
          <cell r="C1740" t="str">
            <v>Kewespo</v>
          </cell>
          <cell r="R1740">
            <v>0</v>
          </cell>
          <cell r="AZ1740">
            <v>0</v>
          </cell>
          <cell r="BA1740">
            <v>0</v>
          </cell>
          <cell r="BC1740" t="str">
            <v>OTHERS</v>
          </cell>
          <cell r="BE1740" t="str">
            <v>Nov</v>
          </cell>
        </row>
        <row r="1741">
          <cell r="C1741" t="str">
            <v>Kewespo</v>
          </cell>
          <cell r="R1741">
            <v>0</v>
          </cell>
          <cell r="AZ1741">
            <v>0</v>
          </cell>
          <cell r="BA1741">
            <v>0</v>
          </cell>
          <cell r="BC1741" t="str">
            <v>OTHERS</v>
          </cell>
          <cell r="BE1741" t="str">
            <v>Dec</v>
          </cell>
        </row>
        <row r="1742">
          <cell r="C1742" t="str">
            <v>Kewespo</v>
          </cell>
          <cell r="R1742">
            <v>96000</v>
          </cell>
          <cell r="AZ1742">
            <v>-48000</v>
          </cell>
          <cell r="BA1742">
            <v>-112985.18683534802</v>
          </cell>
          <cell r="BC1742" t="str">
            <v>OTHERS</v>
          </cell>
          <cell r="BE1742" t="str">
            <v>Jan</v>
          </cell>
        </row>
        <row r="1743">
          <cell r="C1743" t="str">
            <v>Kewespo</v>
          </cell>
          <cell r="R1743">
            <v>0</v>
          </cell>
          <cell r="AZ1743">
            <v>0</v>
          </cell>
          <cell r="BA1743">
            <v>0</v>
          </cell>
          <cell r="BC1743" t="str">
            <v>OTHERS</v>
          </cell>
          <cell r="BE1743" t="str">
            <v>Feb</v>
          </cell>
        </row>
        <row r="1744">
          <cell r="C1744" t="str">
            <v>Kewespo</v>
          </cell>
          <cell r="R1744">
            <v>0</v>
          </cell>
          <cell r="AZ1744">
            <v>0</v>
          </cell>
          <cell r="BA1744">
            <v>0</v>
          </cell>
          <cell r="BC1744" t="str">
            <v>OTHERS</v>
          </cell>
          <cell r="BE1744" t="str">
            <v>Mar</v>
          </cell>
        </row>
        <row r="1745">
          <cell r="C1745" t="str">
            <v>Kewespo</v>
          </cell>
          <cell r="R1745">
            <v>0</v>
          </cell>
          <cell r="AZ1745">
            <v>0</v>
          </cell>
          <cell r="BA1745">
            <v>0</v>
          </cell>
          <cell r="BC1745" t="str">
            <v>OTHERS</v>
          </cell>
          <cell r="BE1745" t="str">
            <v>Apr</v>
          </cell>
        </row>
        <row r="1746">
          <cell r="C1746" t="str">
            <v>Kewespo</v>
          </cell>
          <cell r="R1746">
            <v>0</v>
          </cell>
          <cell r="AZ1746">
            <v>0</v>
          </cell>
          <cell r="BA1746">
            <v>0</v>
          </cell>
          <cell r="BC1746" t="str">
            <v>OTHERS</v>
          </cell>
          <cell r="BE1746" t="str">
            <v>May</v>
          </cell>
        </row>
        <row r="1747">
          <cell r="C1747" t="str">
            <v>Kewespo</v>
          </cell>
          <cell r="R1747">
            <v>0</v>
          </cell>
          <cell r="AZ1747">
            <v>0</v>
          </cell>
          <cell r="BA1747">
            <v>0</v>
          </cell>
          <cell r="BC1747" t="str">
            <v>OTHERS</v>
          </cell>
          <cell r="BE1747" t="str">
            <v>Jun</v>
          </cell>
        </row>
        <row r="1748">
          <cell r="C1748" t="str">
            <v>Kewespo</v>
          </cell>
          <cell r="R1748">
            <v>0</v>
          </cell>
          <cell r="AZ1748">
            <v>0</v>
          </cell>
          <cell r="BA1748">
            <v>0</v>
          </cell>
          <cell r="BC1748" t="str">
            <v>OTHERS</v>
          </cell>
          <cell r="BE1748" t="str">
            <v>Jul</v>
          </cell>
        </row>
        <row r="1749">
          <cell r="C1749" t="str">
            <v>Kewespo</v>
          </cell>
          <cell r="R1749">
            <v>0</v>
          </cell>
          <cell r="AZ1749">
            <v>0</v>
          </cell>
          <cell r="BA1749">
            <v>0</v>
          </cell>
          <cell r="BC1749" t="str">
            <v>OTHERS</v>
          </cell>
          <cell r="BE1749" t="str">
            <v>Aug</v>
          </cell>
        </row>
        <row r="1750">
          <cell r="C1750" t="str">
            <v>Kewespo</v>
          </cell>
          <cell r="R1750">
            <v>0</v>
          </cell>
          <cell r="AZ1750">
            <v>0</v>
          </cell>
          <cell r="BA1750">
            <v>0</v>
          </cell>
          <cell r="BC1750" t="str">
            <v>OTHERS</v>
          </cell>
          <cell r="BE1750" t="str">
            <v>Sep</v>
          </cell>
        </row>
        <row r="1751">
          <cell r="C1751" t="str">
            <v>Kewespo</v>
          </cell>
          <cell r="R1751">
            <v>0</v>
          </cell>
          <cell r="AZ1751">
            <v>0</v>
          </cell>
          <cell r="BA1751">
            <v>0</v>
          </cell>
          <cell r="BC1751" t="str">
            <v>OTHERS</v>
          </cell>
          <cell r="BE1751" t="str">
            <v>Oct</v>
          </cell>
        </row>
        <row r="1752">
          <cell r="C1752" t="str">
            <v>Kewespo</v>
          </cell>
          <cell r="R1752">
            <v>0</v>
          </cell>
          <cell r="AZ1752">
            <v>0</v>
          </cell>
          <cell r="BA1752">
            <v>0</v>
          </cell>
          <cell r="BC1752" t="str">
            <v>OTHERS</v>
          </cell>
          <cell r="BE1752" t="str">
            <v>Nov</v>
          </cell>
        </row>
        <row r="1753">
          <cell r="C1753" t="str">
            <v>Kewespo</v>
          </cell>
          <cell r="R1753">
            <v>0</v>
          </cell>
          <cell r="AZ1753">
            <v>0</v>
          </cell>
          <cell r="BA1753">
            <v>0</v>
          </cell>
          <cell r="BC1753" t="str">
            <v>OTHERS</v>
          </cell>
          <cell r="BE1753" t="str">
            <v>Dec</v>
          </cell>
        </row>
        <row r="1754">
          <cell r="C1754" t="str">
            <v>Kewespo</v>
          </cell>
          <cell r="R1754">
            <v>24000</v>
          </cell>
          <cell r="AZ1754">
            <v>-12000</v>
          </cell>
          <cell r="BA1754">
            <v>-19718.261440514016</v>
          </cell>
          <cell r="BC1754" t="str">
            <v>OTHERS</v>
          </cell>
          <cell r="BE1754" t="str">
            <v>Jan</v>
          </cell>
        </row>
        <row r="1755">
          <cell r="C1755" t="str">
            <v>Kewespo</v>
          </cell>
          <cell r="R1755">
            <v>0</v>
          </cell>
          <cell r="AZ1755">
            <v>0</v>
          </cell>
          <cell r="BA1755">
            <v>0</v>
          </cell>
          <cell r="BC1755" t="str">
            <v>OTHERS</v>
          </cell>
          <cell r="BE1755" t="str">
            <v>Feb</v>
          </cell>
        </row>
        <row r="1756">
          <cell r="C1756" t="str">
            <v>Kewespo</v>
          </cell>
          <cell r="R1756">
            <v>0</v>
          </cell>
          <cell r="AZ1756">
            <v>0</v>
          </cell>
          <cell r="BA1756">
            <v>0</v>
          </cell>
          <cell r="BC1756" t="str">
            <v>OTHERS</v>
          </cell>
          <cell r="BE1756" t="str">
            <v>Mar</v>
          </cell>
        </row>
        <row r="1757">
          <cell r="C1757" t="str">
            <v>Kewespo</v>
          </cell>
          <cell r="R1757">
            <v>0</v>
          </cell>
          <cell r="AZ1757">
            <v>0</v>
          </cell>
          <cell r="BA1757">
            <v>0</v>
          </cell>
          <cell r="BC1757" t="str">
            <v>OTHERS</v>
          </cell>
          <cell r="BE1757" t="str">
            <v>Apr</v>
          </cell>
        </row>
        <row r="1758">
          <cell r="C1758" t="str">
            <v>Kewespo</v>
          </cell>
          <cell r="R1758">
            <v>0</v>
          </cell>
          <cell r="AZ1758">
            <v>0</v>
          </cell>
          <cell r="BA1758">
            <v>0</v>
          </cell>
          <cell r="BC1758" t="str">
            <v>OTHERS</v>
          </cell>
          <cell r="BE1758" t="str">
            <v>May</v>
          </cell>
        </row>
        <row r="1759">
          <cell r="C1759" t="str">
            <v>Kewespo</v>
          </cell>
          <cell r="R1759">
            <v>0</v>
          </cell>
          <cell r="AZ1759">
            <v>0</v>
          </cell>
          <cell r="BA1759">
            <v>0</v>
          </cell>
          <cell r="BC1759" t="str">
            <v>OTHERS</v>
          </cell>
          <cell r="BE1759" t="str">
            <v>Jun</v>
          </cell>
        </row>
        <row r="1760">
          <cell r="C1760" t="str">
            <v>Kewespo</v>
          </cell>
          <cell r="R1760">
            <v>0</v>
          </cell>
          <cell r="AZ1760">
            <v>0</v>
          </cell>
          <cell r="BA1760">
            <v>0</v>
          </cell>
          <cell r="BC1760" t="str">
            <v>OTHERS</v>
          </cell>
          <cell r="BE1760" t="str">
            <v>Jul</v>
          </cell>
        </row>
        <row r="1761">
          <cell r="C1761" t="str">
            <v>Kewespo</v>
          </cell>
          <cell r="R1761">
            <v>0</v>
          </cell>
          <cell r="AZ1761">
            <v>0</v>
          </cell>
          <cell r="BA1761">
            <v>0</v>
          </cell>
          <cell r="BC1761" t="str">
            <v>OTHERS</v>
          </cell>
          <cell r="BE1761" t="str">
            <v>Aug</v>
          </cell>
        </row>
        <row r="1762">
          <cell r="C1762" t="str">
            <v>Kewespo</v>
          </cell>
          <cell r="R1762">
            <v>0</v>
          </cell>
          <cell r="AZ1762">
            <v>0</v>
          </cell>
          <cell r="BA1762">
            <v>0</v>
          </cell>
          <cell r="BC1762" t="str">
            <v>OTHERS</v>
          </cell>
          <cell r="BE1762" t="str">
            <v>Sep</v>
          </cell>
        </row>
        <row r="1763">
          <cell r="C1763" t="str">
            <v>Kewespo</v>
          </cell>
          <cell r="R1763">
            <v>0</v>
          </cell>
          <cell r="AZ1763">
            <v>0</v>
          </cell>
          <cell r="BA1763">
            <v>0</v>
          </cell>
          <cell r="BC1763" t="str">
            <v>OTHERS</v>
          </cell>
          <cell r="BE1763" t="str">
            <v>Oct</v>
          </cell>
        </row>
        <row r="1764">
          <cell r="C1764" t="str">
            <v>Kewespo</v>
          </cell>
          <cell r="R1764">
            <v>0</v>
          </cell>
          <cell r="AZ1764">
            <v>0</v>
          </cell>
          <cell r="BA1764">
            <v>0</v>
          </cell>
          <cell r="BC1764" t="str">
            <v>OTHERS</v>
          </cell>
          <cell r="BE1764" t="str">
            <v>Nov</v>
          </cell>
        </row>
        <row r="1765">
          <cell r="C1765" t="str">
            <v>Kewespo</v>
          </cell>
          <cell r="R1765">
            <v>0</v>
          </cell>
          <cell r="AZ1765">
            <v>0</v>
          </cell>
          <cell r="BA1765">
            <v>0</v>
          </cell>
          <cell r="BC1765" t="str">
            <v>OTHERS</v>
          </cell>
          <cell r="BE1765" t="str">
            <v>Dec</v>
          </cell>
        </row>
        <row r="1766">
          <cell r="C1766" t="str">
            <v>Kewespo</v>
          </cell>
          <cell r="R1766">
            <v>0</v>
          </cell>
          <cell r="AZ1766">
            <v>0</v>
          </cell>
          <cell r="BA1766">
            <v>0</v>
          </cell>
          <cell r="BC1766" t="str">
            <v>OTHERS</v>
          </cell>
          <cell r="BE1766" t="str">
            <v>Jan</v>
          </cell>
        </row>
        <row r="1767">
          <cell r="C1767" t="str">
            <v>Kewespo</v>
          </cell>
          <cell r="R1767">
            <v>0</v>
          </cell>
          <cell r="AZ1767">
            <v>0</v>
          </cell>
          <cell r="BA1767">
            <v>0</v>
          </cell>
          <cell r="BC1767" t="str">
            <v>OTHERS</v>
          </cell>
          <cell r="BE1767" t="str">
            <v>Feb</v>
          </cell>
        </row>
        <row r="1768">
          <cell r="C1768" t="str">
            <v>Kewespo</v>
          </cell>
          <cell r="R1768">
            <v>28000</v>
          </cell>
          <cell r="AZ1768">
            <v>-14000</v>
          </cell>
          <cell r="BA1768">
            <v>-32191.863921478234</v>
          </cell>
          <cell r="BC1768" t="str">
            <v>OTHERS</v>
          </cell>
          <cell r="BE1768" t="str">
            <v>Mar</v>
          </cell>
        </row>
        <row r="1769">
          <cell r="C1769" t="str">
            <v>Kewespo</v>
          </cell>
          <cell r="R1769">
            <v>0</v>
          </cell>
          <cell r="AZ1769">
            <v>0</v>
          </cell>
          <cell r="BA1769">
            <v>0</v>
          </cell>
          <cell r="BC1769" t="str">
            <v>OTHERS</v>
          </cell>
          <cell r="BE1769" t="str">
            <v>Apr</v>
          </cell>
        </row>
        <row r="1770">
          <cell r="C1770" t="str">
            <v>Kewespo</v>
          </cell>
          <cell r="R1770">
            <v>0</v>
          </cell>
          <cell r="AZ1770">
            <v>0</v>
          </cell>
          <cell r="BA1770">
            <v>0</v>
          </cell>
          <cell r="BC1770" t="str">
            <v>OTHERS</v>
          </cell>
          <cell r="BE1770" t="str">
            <v>May</v>
          </cell>
        </row>
        <row r="1771">
          <cell r="C1771" t="str">
            <v>Kewespo</v>
          </cell>
          <cell r="R1771">
            <v>28000</v>
          </cell>
          <cell r="AZ1771">
            <v>-14000</v>
          </cell>
          <cell r="BA1771">
            <v>-32191.863921478234</v>
          </cell>
          <cell r="BC1771" t="str">
            <v>OTHERS</v>
          </cell>
          <cell r="BE1771" t="str">
            <v>Jun</v>
          </cell>
        </row>
        <row r="1772">
          <cell r="C1772" t="str">
            <v>Kewespo</v>
          </cell>
          <cell r="R1772">
            <v>0</v>
          </cell>
          <cell r="AZ1772">
            <v>0</v>
          </cell>
          <cell r="BA1772">
            <v>0</v>
          </cell>
          <cell r="BC1772" t="str">
            <v>OTHERS</v>
          </cell>
          <cell r="BE1772" t="str">
            <v>Jul</v>
          </cell>
        </row>
        <row r="1773">
          <cell r="C1773" t="str">
            <v>Kewespo</v>
          </cell>
          <cell r="R1773">
            <v>0</v>
          </cell>
          <cell r="AZ1773">
            <v>0</v>
          </cell>
          <cell r="BA1773">
            <v>0</v>
          </cell>
          <cell r="BC1773" t="str">
            <v>OTHERS</v>
          </cell>
          <cell r="BE1773" t="str">
            <v>Aug</v>
          </cell>
        </row>
        <row r="1774">
          <cell r="C1774" t="str">
            <v>Kewespo</v>
          </cell>
          <cell r="R1774">
            <v>0</v>
          </cell>
          <cell r="AZ1774">
            <v>0</v>
          </cell>
          <cell r="BA1774">
            <v>0</v>
          </cell>
          <cell r="BC1774" t="str">
            <v>OTHERS</v>
          </cell>
          <cell r="BE1774" t="str">
            <v>Sep</v>
          </cell>
        </row>
        <row r="1775">
          <cell r="C1775" t="str">
            <v>Kewespo</v>
          </cell>
          <cell r="R1775">
            <v>0</v>
          </cell>
          <cell r="AZ1775">
            <v>0</v>
          </cell>
          <cell r="BA1775">
            <v>0</v>
          </cell>
          <cell r="BC1775" t="str">
            <v>OTHERS</v>
          </cell>
          <cell r="BE1775" t="str">
            <v>Oct</v>
          </cell>
        </row>
        <row r="1776">
          <cell r="C1776" t="str">
            <v>Kewespo</v>
          </cell>
          <cell r="R1776">
            <v>0</v>
          </cell>
          <cell r="AZ1776">
            <v>0</v>
          </cell>
          <cell r="BA1776">
            <v>0</v>
          </cell>
          <cell r="BC1776" t="str">
            <v>OTHERS</v>
          </cell>
          <cell r="BE1776" t="str">
            <v>Nov</v>
          </cell>
        </row>
        <row r="1777">
          <cell r="C1777" t="str">
            <v>Kewespo</v>
          </cell>
          <cell r="R1777">
            <v>0</v>
          </cell>
          <cell r="AZ1777">
            <v>0</v>
          </cell>
          <cell r="BA1777">
            <v>0</v>
          </cell>
          <cell r="BC1777" t="str">
            <v>OTHERS</v>
          </cell>
          <cell r="BE1777" t="str">
            <v>Dec</v>
          </cell>
        </row>
        <row r="1778">
          <cell r="C1778" t="str">
            <v>Kewespo</v>
          </cell>
          <cell r="R1778">
            <v>0</v>
          </cell>
          <cell r="AZ1778">
            <v>0</v>
          </cell>
          <cell r="BA1778">
            <v>0</v>
          </cell>
          <cell r="BC1778" t="str">
            <v>OTHERS</v>
          </cell>
          <cell r="BE1778" t="str">
            <v>Jan</v>
          </cell>
        </row>
        <row r="1779">
          <cell r="C1779" t="str">
            <v>Kewespo</v>
          </cell>
          <cell r="R1779">
            <v>0</v>
          </cell>
          <cell r="AZ1779">
            <v>0</v>
          </cell>
          <cell r="BA1779">
            <v>0</v>
          </cell>
          <cell r="BC1779" t="str">
            <v>OTHERS</v>
          </cell>
          <cell r="BE1779" t="str">
            <v>Feb</v>
          </cell>
        </row>
        <row r="1780">
          <cell r="C1780" t="str">
            <v>Kewespo</v>
          </cell>
          <cell r="R1780">
            <v>14000</v>
          </cell>
          <cell r="AZ1780">
            <v>-7000</v>
          </cell>
          <cell r="BA1780">
            <v>-17257.743590987953</v>
          </cell>
          <cell r="BC1780" t="str">
            <v>OTHERS</v>
          </cell>
          <cell r="BE1780" t="str">
            <v>Mar</v>
          </cell>
        </row>
        <row r="1781">
          <cell r="C1781" t="str">
            <v>Kewespo</v>
          </cell>
          <cell r="R1781">
            <v>0</v>
          </cell>
          <cell r="AZ1781">
            <v>0</v>
          </cell>
          <cell r="BA1781">
            <v>0</v>
          </cell>
          <cell r="BC1781" t="str">
            <v>OTHERS</v>
          </cell>
          <cell r="BE1781" t="str">
            <v>Apr</v>
          </cell>
        </row>
        <row r="1782">
          <cell r="C1782" t="str">
            <v>Kewespo</v>
          </cell>
          <cell r="R1782">
            <v>0</v>
          </cell>
          <cell r="AZ1782">
            <v>0</v>
          </cell>
          <cell r="BA1782">
            <v>0</v>
          </cell>
          <cell r="BC1782" t="str">
            <v>OTHERS</v>
          </cell>
          <cell r="BE1782" t="str">
            <v>May</v>
          </cell>
        </row>
        <row r="1783">
          <cell r="C1783" t="str">
            <v>Kewespo</v>
          </cell>
          <cell r="R1783">
            <v>14000</v>
          </cell>
          <cell r="AZ1783">
            <v>-7000</v>
          </cell>
          <cell r="BA1783">
            <v>-17257.743590987953</v>
          </cell>
          <cell r="BC1783" t="str">
            <v>OTHERS</v>
          </cell>
          <cell r="BE1783" t="str">
            <v>Jun</v>
          </cell>
        </row>
        <row r="1784">
          <cell r="C1784" t="str">
            <v>Kewespo</v>
          </cell>
          <cell r="R1784">
            <v>0</v>
          </cell>
          <cell r="AZ1784">
            <v>0</v>
          </cell>
          <cell r="BA1784">
            <v>0</v>
          </cell>
          <cell r="BC1784" t="str">
            <v>OTHERS</v>
          </cell>
          <cell r="BE1784" t="str">
            <v>Jul</v>
          </cell>
        </row>
        <row r="1785">
          <cell r="C1785" t="str">
            <v>Kewespo</v>
          </cell>
          <cell r="R1785">
            <v>0</v>
          </cell>
          <cell r="AZ1785">
            <v>0</v>
          </cell>
          <cell r="BA1785">
            <v>0</v>
          </cell>
          <cell r="BC1785" t="str">
            <v>OTHERS</v>
          </cell>
          <cell r="BE1785" t="str">
            <v>Aug</v>
          </cell>
        </row>
        <row r="1786">
          <cell r="C1786" t="str">
            <v>Kewespo</v>
          </cell>
          <cell r="R1786">
            <v>0</v>
          </cell>
          <cell r="AZ1786">
            <v>0</v>
          </cell>
          <cell r="BA1786">
            <v>0</v>
          </cell>
          <cell r="BC1786" t="str">
            <v>OTHERS</v>
          </cell>
          <cell r="BE1786" t="str">
            <v>Sep</v>
          </cell>
        </row>
        <row r="1787">
          <cell r="C1787" t="str">
            <v>Kewespo</v>
          </cell>
          <cell r="R1787">
            <v>0</v>
          </cell>
          <cell r="AZ1787">
            <v>0</v>
          </cell>
          <cell r="BA1787">
            <v>0</v>
          </cell>
          <cell r="BC1787" t="str">
            <v>OTHERS</v>
          </cell>
          <cell r="BE1787" t="str">
            <v>Oct</v>
          </cell>
        </row>
        <row r="1788">
          <cell r="C1788" t="str">
            <v>Kewespo</v>
          </cell>
          <cell r="R1788">
            <v>0</v>
          </cell>
          <cell r="AZ1788">
            <v>0</v>
          </cell>
          <cell r="BA1788">
            <v>0</v>
          </cell>
          <cell r="BC1788" t="str">
            <v>OTHERS</v>
          </cell>
          <cell r="BE1788" t="str">
            <v>Nov</v>
          </cell>
        </row>
        <row r="1789">
          <cell r="C1789" t="str">
            <v>Kewespo</v>
          </cell>
          <cell r="R1789">
            <v>0</v>
          </cell>
          <cell r="AZ1789">
            <v>0</v>
          </cell>
          <cell r="BA1789">
            <v>0</v>
          </cell>
          <cell r="BC1789" t="str">
            <v>OTHERS</v>
          </cell>
          <cell r="BE1789" t="str">
            <v>Dec</v>
          </cell>
        </row>
        <row r="1790">
          <cell r="C1790" t="str">
            <v>Kewespo</v>
          </cell>
          <cell r="R1790">
            <v>0</v>
          </cell>
          <cell r="AZ1790">
            <v>0</v>
          </cell>
          <cell r="BA1790">
            <v>0</v>
          </cell>
          <cell r="BC1790" t="str">
            <v>OTHERS</v>
          </cell>
          <cell r="BE1790" t="str">
            <v>Jan</v>
          </cell>
        </row>
        <row r="1791">
          <cell r="C1791" t="str">
            <v>Kewespo</v>
          </cell>
          <cell r="R1791">
            <v>0</v>
          </cell>
          <cell r="AZ1791">
            <v>0</v>
          </cell>
          <cell r="BA1791">
            <v>0</v>
          </cell>
          <cell r="BC1791" t="str">
            <v>OTHERS</v>
          </cell>
          <cell r="BE1791" t="str">
            <v>Feb</v>
          </cell>
        </row>
        <row r="1792">
          <cell r="C1792" t="str">
            <v>Kewespo</v>
          </cell>
          <cell r="R1792">
            <v>14000</v>
          </cell>
          <cell r="AZ1792">
            <v>-7000</v>
          </cell>
          <cell r="BA1792">
            <v>-16458.998095191877</v>
          </cell>
          <cell r="BC1792" t="str">
            <v>OTHERS</v>
          </cell>
          <cell r="BE1792" t="str">
            <v>Mar</v>
          </cell>
        </row>
        <row r="1793">
          <cell r="C1793" t="str">
            <v>Kewespo</v>
          </cell>
          <cell r="R1793">
            <v>0</v>
          </cell>
          <cell r="AZ1793">
            <v>0</v>
          </cell>
          <cell r="BA1793">
            <v>0</v>
          </cell>
          <cell r="BC1793" t="str">
            <v>OTHERS</v>
          </cell>
          <cell r="BE1793" t="str">
            <v>Apr</v>
          </cell>
        </row>
        <row r="1794">
          <cell r="C1794" t="str">
            <v>Kewespo</v>
          </cell>
          <cell r="R1794">
            <v>0</v>
          </cell>
          <cell r="AZ1794">
            <v>0</v>
          </cell>
          <cell r="BA1794">
            <v>0</v>
          </cell>
          <cell r="BC1794" t="str">
            <v>OTHERS</v>
          </cell>
          <cell r="BE1794" t="str">
            <v>May</v>
          </cell>
        </row>
        <row r="1795">
          <cell r="C1795" t="str">
            <v>Kewespo</v>
          </cell>
          <cell r="R1795">
            <v>14000</v>
          </cell>
          <cell r="AZ1795">
            <v>-7000</v>
          </cell>
          <cell r="BA1795">
            <v>-16458.998095191877</v>
          </cell>
          <cell r="BC1795" t="str">
            <v>OTHERS</v>
          </cell>
          <cell r="BE1795" t="str">
            <v>Jun</v>
          </cell>
        </row>
        <row r="1796">
          <cell r="C1796" t="str">
            <v>Kewespo</v>
          </cell>
          <cell r="R1796">
            <v>0</v>
          </cell>
          <cell r="AZ1796">
            <v>0</v>
          </cell>
          <cell r="BA1796">
            <v>0</v>
          </cell>
          <cell r="BC1796" t="str">
            <v>OTHERS</v>
          </cell>
          <cell r="BE1796" t="str">
            <v>Jul</v>
          </cell>
        </row>
        <row r="1797">
          <cell r="C1797" t="str">
            <v>Kewespo</v>
          </cell>
          <cell r="R1797">
            <v>0</v>
          </cell>
          <cell r="AZ1797">
            <v>0</v>
          </cell>
          <cell r="BA1797">
            <v>0</v>
          </cell>
          <cell r="BC1797" t="str">
            <v>OTHERS</v>
          </cell>
          <cell r="BE1797" t="str">
            <v>Aug</v>
          </cell>
        </row>
        <row r="1798">
          <cell r="C1798" t="str">
            <v>Kewespo</v>
          </cell>
          <cell r="R1798">
            <v>0</v>
          </cell>
          <cell r="AZ1798">
            <v>0</v>
          </cell>
          <cell r="BA1798">
            <v>0</v>
          </cell>
          <cell r="BC1798" t="str">
            <v>OTHERS</v>
          </cell>
          <cell r="BE1798" t="str">
            <v>Sep</v>
          </cell>
        </row>
        <row r="1799">
          <cell r="C1799" t="str">
            <v>Kewespo</v>
          </cell>
          <cell r="R1799">
            <v>0</v>
          </cell>
          <cell r="AZ1799">
            <v>0</v>
          </cell>
          <cell r="BA1799">
            <v>0</v>
          </cell>
          <cell r="BC1799" t="str">
            <v>OTHERS</v>
          </cell>
          <cell r="BE1799" t="str">
            <v>Oct</v>
          </cell>
        </row>
        <row r="1800">
          <cell r="C1800" t="str">
            <v>Kewespo</v>
          </cell>
          <cell r="R1800">
            <v>0</v>
          </cell>
          <cell r="AZ1800">
            <v>0</v>
          </cell>
          <cell r="BA1800">
            <v>0</v>
          </cell>
          <cell r="BC1800" t="str">
            <v>OTHERS</v>
          </cell>
          <cell r="BE1800" t="str">
            <v>Nov</v>
          </cell>
        </row>
        <row r="1801">
          <cell r="C1801" t="str">
            <v>Kewespo</v>
          </cell>
          <cell r="R1801">
            <v>0</v>
          </cell>
          <cell r="AZ1801">
            <v>0</v>
          </cell>
          <cell r="BA1801">
            <v>0</v>
          </cell>
          <cell r="BC1801" t="str">
            <v>OTHERS</v>
          </cell>
          <cell r="BE1801" t="str">
            <v>Dec</v>
          </cell>
        </row>
        <row r="1802">
          <cell r="C1802" t="str">
            <v>Kewespo</v>
          </cell>
          <cell r="R1802">
            <v>0</v>
          </cell>
          <cell r="AZ1802">
            <v>0</v>
          </cell>
          <cell r="BA1802">
            <v>0</v>
          </cell>
          <cell r="BC1802" t="str">
            <v>OTHERS</v>
          </cell>
          <cell r="BE1802" t="str">
            <v>Jan</v>
          </cell>
        </row>
        <row r="1803">
          <cell r="C1803" t="str">
            <v>Kewespo</v>
          </cell>
          <cell r="R1803">
            <v>0</v>
          </cell>
          <cell r="AZ1803">
            <v>0</v>
          </cell>
          <cell r="BA1803">
            <v>0</v>
          </cell>
          <cell r="BC1803" t="str">
            <v>OTHERS</v>
          </cell>
          <cell r="BE1803" t="str">
            <v>Feb</v>
          </cell>
        </row>
        <row r="1804">
          <cell r="C1804" t="str">
            <v>Kewespo</v>
          </cell>
          <cell r="R1804">
            <v>13999.999999999996</v>
          </cell>
          <cell r="AZ1804">
            <v>-6999.9999999999982</v>
          </cell>
          <cell r="BA1804">
            <v>-18625.292697426688</v>
          </cell>
          <cell r="BC1804" t="str">
            <v>OTHERS</v>
          </cell>
          <cell r="BE1804" t="str">
            <v>Mar</v>
          </cell>
        </row>
        <row r="1805">
          <cell r="C1805" t="str">
            <v>Kewespo</v>
          </cell>
          <cell r="R1805">
            <v>0</v>
          </cell>
          <cell r="AZ1805">
            <v>0</v>
          </cell>
          <cell r="BA1805">
            <v>0</v>
          </cell>
          <cell r="BC1805" t="str">
            <v>OTHERS</v>
          </cell>
          <cell r="BE1805" t="str">
            <v>Apr</v>
          </cell>
        </row>
        <row r="1806">
          <cell r="C1806" t="str">
            <v>Kewespo</v>
          </cell>
          <cell r="R1806">
            <v>0</v>
          </cell>
          <cell r="AZ1806">
            <v>0</v>
          </cell>
          <cell r="BA1806">
            <v>0</v>
          </cell>
          <cell r="BC1806" t="str">
            <v>OTHERS</v>
          </cell>
          <cell r="BE1806" t="str">
            <v>May</v>
          </cell>
        </row>
        <row r="1807">
          <cell r="C1807" t="str">
            <v>Kewespo</v>
          </cell>
          <cell r="R1807">
            <v>13999.999999999996</v>
          </cell>
          <cell r="AZ1807">
            <v>-6999.9999999999982</v>
          </cell>
          <cell r="BA1807">
            <v>-18625.292697426688</v>
          </cell>
          <cell r="BC1807" t="str">
            <v>OTHERS</v>
          </cell>
          <cell r="BE1807" t="str">
            <v>Jun</v>
          </cell>
        </row>
        <row r="1808">
          <cell r="C1808" t="str">
            <v>Kewespo</v>
          </cell>
          <cell r="R1808">
            <v>0</v>
          </cell>
          <cell r="AZ1808">
            <v>0</v>
          </cell>
          <cell r="BA1808">
            <v>0</v>
          </cell>
          <cell r="BC1808" t="str">
            <v>OTHERS</v>
          </cell>
          <cell r="BE1808" t="str">
            <v>Jul</v>
          </cell>
        </row>
        <row r="1809">
          <cell r="C1809" t="str">
            <v>Kewespo</v>
          </cell>
          <cell r="R1809">
            <v>0</v>
          </cell>
          <cell r="AZ1809">
            <v>0</v>
          </cell>
          <cell r="BA1809">
            <v>0</v>
          </cell>
          <cell r="BC1809" t="str">
            <v>OTHERS</v>
          </cell>
          <cell r="BE1809" t="str">
            <v>Aug</v>
          </cell>
        </row>
        <row r="1810">
          <cell r="C1810" t="str">
            <v>Kewespo</v>
          </cell>
          <cell r="R1810">
            <v>0</v>
          </cell>
          <cell r="AZ1810">
            <v>0</v>
          </cell>
          <cell r="BA1810">
            <v>0</v>
          </cell>
          <cell r="BC1810" t="str">
            <v>OTHERS</v>
          </cell>
          <cell r="BE1810" t="str">
            <v>Sep</v>
          </cell>
        </row>
        <row r="1811">
          <cell r="C1811" t="str">
            <v>Kewespo</v>
          </cell>
          <cell r="R1811">
            <v>0</v>
          </cell>
          <cell r="AZ1811">
            <v>0</v>
          </cell>
          <cell r="BA1811">
            <v>0</v>
          </cell>
          <cell r="BC1811" t="str">
            <v>OTHERS</v>
          </cell>
          <cell r="BE1811" t="str">
            <v>Oct</v>
          </cell>
        </row>
        <row r="1812">
          <cell r="C1812" t="str">
            <v>Kewespo</v>
          </cell>
          <cell r="R1812">
            <v>0</v>
          </cell>
          <cell r="AZ1812">
            <v>0</v>
          </cell>
          <cell r="BA1812">
            <v>0</v>
          </cell>
          <cell r="BC1812" t="str">
            <v>OTHERS</v>
          </cell>
          <cell r="BE1812" t="str">
            <v>Nov</v>
          </cell>
        </row>
        <row r="1813">
          <cell r="C1813" t="str">
            <v>Kewespo</v>
          </cell>
          <cell r="R1813">
            <v>0</v>
          </cell>
          <cell r="AZ1813">
            <v>0</v>
          </cell>
          <cell r="BA1813">
            <v>0</v>
          </cell>
          <cell r="BC1813" t="str">
            <v>OTHERS</v>
          </cell>
          <cell r="BE1813" t="str">
            <v>Dec</v>
          </cell>
        </row>
        <row r="1814">
          <cell r="C1814" t="str">
            <v>Kewespo</v>
          </cell>
          <cell r="R1814">
            <v>0</v>
          </cell>
          <cell r="AZ1814">
            <v>0</v>
          </cell>
          <cell r="BA1814">
            <v>0</v>
          </cell>
          <cell r="BC1814" t="str">
            <v>OTHERS</v>
          </cell>
          <cell r="BE1814" t="str">
            <v>Jan</v>
          </cell>
        </row>
        <row r="1815">
          <cell r="C1815" t="str">
            <v>Kewespo</v>
          </cell>
          <cell r="R1815">
            <v>56000</v>
          </cell>
          <cell r="AZ1815">
            <v>-28000</v>
          </cell>
          <cell r="BA1815">
            <v>0</v>
          </cell>
          <cell r="BC1815" t="str">
            <v>OTHERS</v>
          </cell>
          <cell r="BE1815" t="str">
            <v>Feb</v>
          </cell>
        </row>
        <row r="1816">
          <cell r="C1816" t="str">
            <v>Kewespo</v>
          </cell>
          <cell r="R1816">
            <v>0</v>
          </cell>
          <cell r="AZ1816">
            <v>0</v>
          </cell>
          <cell r="BA1816">
            <v>0</v>
          </cell>
          <cell r="BC1816" t="str">
            <v>OTHERS</v>
          </cell>
          <cell r="BE1816" t="str">
            <v>Mar</v>
          </cell>
        </row>
        <row r="1817">
          <cell r="C1817" t="str">
            <v>Kewespo</v>
          </cell>
          <cell r="R1817">
            <v>56000</v>
          </cell>
          <cell r="AZ1817">
            <v>-28000</v>
          </cell>
          <cell r="BA1817">
            <v>0</v>
          </cell>
          <cell r="BC1817" t="str">
            <v>OTHERS</v>
          </cell>
          <cell r="BE1817" t="str">
            <v>Apr</v>
          </cell>
        </row>
        <row r="1818">
          <cell r="C1818" t="str">
            <v>Kewespo</v>
          </cell>
          <cell r="R1818">
            <v>0</v>
          </cell>
          <cell r="AZ1818">
            <v>0</v>
          </cell>
          <cell r="BA1818">
            <v>0</v>
          </cell>
          <cell r="BC1818" t="str">
            <v>OTHERS</v>
          </cell>
          <cell r="BE1818" t="str">
            <v>May</v>
          </cell>
        </row>
        <row r="1819">
          <cell r="C1819" t="str">
            <v>Kewespo</v>
          </cell>
          <cell r="R1819">
            <v>0</v>
          </cell>
          <cell r="AZ1819">
            <v>0</v>
          </cell>
          <cell r="BA1819">
            <v>0</v>
          </cell>
          <cell r="BC1819" t="str">
            <v>OTHERS</v>
          </cell>
          <cell r="BE1819" t="str">
            <v>Jun</v>
          </cell>
        </row>
        <row r="1820">
          <cell r="C1820" t="str">
            <v>Kewespo</v>
          </cell>
          <cell r="R1820">
            <v>0</v>
          </cell>
          <cell r="AZ1820">
            <v>0</v>
          </cell>
          <cell r="BA1820">
            <v>0</v>
          </cell>
          <cell r="BC1820" t="str">
            <v>OTHERS</v>
          </cell>
          <cell r="BE1820" t="str">
            <v>Jul</v>
          </cell>
        </row>
        <row r="1821">
          <cell r="C1821" t="str">
            <v>Kewespo</v>
          </cell>
          <cell r="R1821">
            <v>0</v>
          </cell>
          <cell r="AZ1821">
            <v>0</v>
          </cell>
          <cell r="BA1821">
            <v>0</v>
          </cell>
          <cell r="BC1821" t="str">
            <v>OTHERS</v>
          </cell>
          <cell r="BE1821" t="str">
            <v>Aug</v>
          </cell>
        </row>
        <row r="1822">
          <cell r="C1822" t="str">
            <v>Kewespo</v>
          </cell>
          <cell r="R1822">
            <v>0</v>
          </cell>
          <cell r="AZ1822">
            <v>0</v>
          </cell>
          <cell r="BA1822">
            <v>0</v>
          </cell>
          <cell r="BC1822" t="str">
            <v>OTHERS</v>
          </cell>
          <cell r="BE1822" t="str">
            <v>Sep</v>
          </cell>
        </row>
        <row r="1823">
          <cell r="C1823" t="str">
            <v>Kewespo</v>
          </cell>
          <cell r="R1823">
            <v>0</v>
          </cell>
          <cell r="AZ1823">
            <v>0</v>
          </cell>
          <cell r="BA1823">
            <v>0</v>
          </cell>
          <cell r="BC1823" t="str">
            <v>OTHERS</v>
          </cell>
          <cell r="BE1823" t="str">
            <v>Oct</v>
          </cell>
        </row>
        <row r="1824">
          <cell r="C1824" t="str">
            <v>Kewespo</v>
          </cell>
          <cell r="R1824">
            <v>0</v>
          </cell>
          <cell r="AZ1824">
            <v>0</v>
          </cell>
          <cell r="BA1824">
            <v>0</v>
          </cell>
          <cell r="BC1824" t="str">
            <v>OTHERS</v>
          </cell>
          <cell r="BE1824" t="str">
            <v>Nov</v>
          </cell>
        </row>
        <row r="1825">
          <cell r="C1825" t="str">
            <v>Kewespo</v>
          </cell>
          <cell r="R1825">
            <v>0</v>
          </cell>
          <cell r="AZ1825">
            <v>0</v>
          </cell>
          <cell r="BA1825">
            <v>0</v>
          </cell>
          <cell r="BC1825" t="str">
            <v>OTHERS</v>
          </cell>
          <cell r="BE1825" t="str">
            <v>Dec</v>
          </cell>
        </row>
        <row r="1826">
          <cell r="C1826" t="str">
            <v>Kewespo</v>
          </cell>
          <cell r="R1826">
            <v>0</v>
          </cell>
          <cell r="AZ1826">
            <v>0</v>
          </cell>
          <cell r="BA1826">
            <v>0</v>
          </cell>
          <cell r="BC1826" t="str">
            <v>OTHERS</v>
          </cell>
          <cell r="BE1826" t="str">
            <v>Jan</v>
          </cell>
        </row>
        <row r="1827">
          <cell r="C1827" t="str">
            <v>Kewespo</v>
          </cell>
          <cell r="R1827">
            <v>13999.999999999996</v>
          </cell>
          <cell r="AZ1827">
            <v>-6999.9999999999982</v>
          </cell>
          <cell r="BA1827">
            <v>0</v>
          </cell>
          <cell r="BC1827" t="str">
            <v>OTHERS</v>
          </cell>
          <cell r="BE1827" t="str">
            <v>Feb</v>
          </cell>
        </row>
        <row r="1828">
          <cell r="C1828" t="str">
            <v>Kewespo</v>
          </cell>
          <cell r="R1828">
            <v>0</v>
          </cell>
          <cell r="AZ1828">
            <v>0</v>
          </cell>
          <cell r="BA1828">
            <v>0</v>
          </cell>
          <cell r="BC1828" t="str">
            <v>OTHERS</v>
          </cell>
          <cell r="BE1828" t="str">
            <v>Mar</v>
          </cell>
        </row>
        <row r="1829">
          <cell r="C1829" t="str">
            <v>Kewespo</v>
          </cell>
          <cell r="R1829">
            <v>13999.999999999996</v>
          </cell>
          <cell r="AZ1829">
            <v>-6999.9999999999982</v>
          </cell>
          <cell r="BA1829">
            <v>0</v>
          </cell>
          <cell r="BC1829" t="str">
            <v>OTHERS</v>
          </cell>
          <cell r="BE1829" t="str">
            <v>Apr</v>
          </cell>
        </row>
        <row r="1830">
          <cell r="C1830" t="str">
            <v>Kewespo</v>
          </cell>
          <cell r="R1830">
            <v>0</v>
          </cell>
          <cell r="AZ1830">
            <v>0</v>
          </cell>
          <cell r="BA1830">
            <v>0</v>
          </cell>
          <cell r="BC1830" t="str">
            <v>OTHERS</v>
          </cell>
          <cell r="BE1830" t="str">
            <v>May</v>
          </cell>
        </row>
        <row r="1831">
          <cell r="C1831" t="str">
            <v>Kewespo</v>
          </cell>
          <cell r="R1831">
            <v>0</v>
          </cell>
          <cell r="AZ1831">
            <v>0</v>
          </cell>
          <cell r="BA1831">
            <v>0</v>
          </cell>
          <cell r="BC1831" t="str">
            <v>OTHERS</v>
          </cell>
          <cell r="BE1831" t="str">
            <v>Jun</v>
          </cell>
        </row>
        <row r="1832">
          <cell r="C1832" t="str">
            <v>Kewespo</v>
          </cell>
          <cell r="R1832">
            <v>0</v>
          </cell>
          <cell r="AZ1832">
            <v>0</v>
          </cell>
          <cell r="BA1832">
            <v>0</v>
          </cell>
          <cell r="BC1832" t="str">
            <v>OTHERS</v>
          </cell>
          <cell r="BE1832" t="str">
            <v>Jul</v>
          </cell>
        </row>
        <row r="1833">
          <cell r="C1833" t="str">
            <v>Kewespo</v>
          </cell>
          <cell r="R1833">
            <v>0</v>
          </cell>
          <cell r="AZ1833">
            <v>0</v>
          </cell>
          <cell r="BA1833">
            <v>0</v>
          </cell>
          <cell r="BC1833" t="str">
            <v>OTHERS</v>
          </cell>
          <cell r="BE1833" t="str">
            <v>Aug</v>
          </cell>
        </row>
        <row r="1834">
          <cell r="C1834" t="str">
            <v>Kewespo</v>
          </cell>
          <cell r="R1834">
            <v>0</v>
          </cell>
          <cell r="AZ1834">
            <v>0</v>
          </cell>
          <cell r="BA1834">
            <v>0</v>
          </cell>
          <cell r="BC1834" t="str">
            <v>OTHERS</v>
          </cell>
          <cell r="BE1834" t="str">
            <v>Sep</v>
          </cell>
        </row>
        <row r="1835">
          <cell r="C1835" t="str">
            <v>Kewespo</v>
          </cell>
          <cell r="R1835">
            <v>0</v>
          </cell>
          <cell r="AZ1835">
            <v>0</v>
          </cell>
          <cell r="BA1835">
            <v>0</v>
          </cell>
          <cell r="BC1835" t="str">
            <v>OTHERS</v>
          </cell>
          <cell r="BE1835" t="str">
            <v>Oct</v>
          </cell>
        </row>
        <row r="1836">
          <cell r="C1836" t="str">
            <v>Kewespo</v>
          </cell>
          <cell r="R1836">
            <v>0</v>
          </cell>
          <cell r="AZ1836">
            <v>0</v>
          </cell>
          <cell r="BA1836">
            <v>0</v>
          </cell>
          <cell r="BC1836" t="str">
            <v>OTHERS</v>
          </cell>
          <cell r="BE1836" t="str">
            <v>Nov</v>
          </cell>
        </row>
        <row r="1837">
          <cell r="C1837" t="str">
            <v>Kewespo</v>
          </cell>
          <cell r="R1837">
            <v>0</v>
          </cell>
          <cell r="AZ1837">
            <v>0</v>
          </cell>
          <cell r="BA1837">
            <v>0</v>
          </cell>
          <cell r="BC1837" t="str">
            <v>OTHERS</v>
          </cell>
          <cell r="BE1837" t="str">
            <v>Dec</v>
          </cell>
        </row>
        <row r="1838">
          <cell r="C1838" t="str">
            <v>Other</v>
          </cell>
          <cell r="R1838">
            <v>0</v>
          </cell>
          <cell r="AZ1838">
            <v>0</v>
          </cell>
          <cell r="BA1838">
            <v>0</v>
          </cell>
          <cell r="BC1838" t="str">
            <v>OTHERS</v>
          </cell>
          <cell r="BE1838" t="str">
            <v>Jan</v>
          </cell>
        </row>
        <row r="1839">
          <cell r="C1839" t="str">
            <v>Other</v>
          </cell>
          <cell r="R1839">
            <v>0</v>
          </cell>
          <cell r="AZ1839">
            <v>0</v>
          </cell>
          <cell r="BA1839">
            <v>0</v>
          </cell>
          <cell r="BC1839" t="str">
            <v>OTHERS</v>
          </cell>
          <cell r="BE1839" t="str">
            <v>Feb</v>
          </cell>
        </row>
        <row r="1840">
          <cell r="C1840" t="str">
            <v>Other</v>
          </cell>
          <cell r="R1840">
            <v>0</v>
          </cell>
          <cell r="AZ1840">
            <v>0</v>
          </cell>
          <cell r="BA1840">
            <v>0</v>
          </cell>
          <cell r="BC1840" t="str">
            <v>OTHERS</v>
          </cell>
          <cell r="BE1840" t="str">
            <v>Mar</v>
          </cell>
        </row>
        <row r="1841">
          <cell r="C1841" t="str">
            <v>Other</v>
          </cell>
          <cell r="R1841">
            <v>0</v>
          </cell>
          <cell r="AZ1841">
            <v>0</v>
          </cell>
          <cell r="BA1841">
            <v>0</v>
          </cell>
          <cell r="BC1841" t="str">
            <v>OTHERS</v>
          </cell>
          <cell r="BE1841" t="str">
            <v>Apr</v>
          </cell>
        </row>
        <row r="1842">
          <cell r="C1842" t="str">
            <v>Other</v>
          </cell>
          <cell r="R1842">
            <v>0</v>
          </cell>
          <cell r="AZ1842">
            <v>0</v>
          </cell>
          <cell r="BA1842">
            <v>0</v>
          </cell>
          <cell r="BC1842" t="str">
            <v>OTHERS</v>
          </cell>
          <cell r="BE1842" t="str">
            <v>May</v>
          </cell>
        </row>
        <row r="1843">
          <cell r="C1843" t="str">
            <v>Other</v>
          </cell>
          <cell r="R1843">
            <v>0</v>
          </cell>
          <cell r="AZ1843">
            <v>0</v>
          </cell>
          <cell r="BA1843">
            <v>0</v>
          </cell>
          <cell r="BC1843" t="str">
            <v>OTHERS</v>
          </cell>
          <cell r="BE1843" t="str">
            <v>Jun</v>
          </cell>
        </row>
        <row r="1844">
          <cell r="C1844" t="str">
            <v>Other</v>
          </cell>
          <cell r="R1844">
            <v>0</v>
          </cell>
          <cell r="AZ1844">
            <v>0</v>
          </cell>
          <cell r="BA1844">
            <v>0</v>
          </cell>
          <cell r="BC1844" t="str">
            <v>OTHERS</v>
          </cell>
          <cell r="BE1844" t="str">
            <v>Jul</v>
          </cell>
        </row>
        <row r="1845">
          <cell r="C1845" t="str">
            <v>Other</v>
          </cell>
          <cell r="R1845">
            <v>0</v>
          </cell>
          <cell r="AZ1845">
            <v>0</v>
          </cell>
          <cell r="BA1845">
            <v>0</v>
          </cell>
          <cell r="BC1845" t="str">
            <v>OTHERS</v>
          </cell>
          <cell r="BE1845" t="str">
            <v>Aug</v>
          </cell>
        </row>
        <row r="1846">
          <cell r="C1846" t="str">
            <v>Other</v>
          </cell>
          <cell r="R1846">
            <v>0</v>
          </cell>
          <cell r="AZ1846">
            <v>0</v>
          </cell>
          <cell r="BA1846">
            <v>0</v>
          </cell>
          <cell r="BC1846" t="str">
            <v>OTHERS</v>
          </cell>
          <cell r="BE1846" t="str">
            <v>Sep</v>
          </cell>
        </row>
        <row r="1847">
          <cell r="C1847" t="str">
            <v>Other</v>
          </cell>
          <cell r="R1847">
            <v>0</v>
          </cell>
          <cell r="AZ1847">
            <v>0</v>
          </cell>
          <cell r="BA1847">
            <v>0</v>
          </cell>
          <cell r="BC1847" t="str">
            <v>OTHERS</v>
          </cell>
          <cell r="BE1847" t="str">
            <v>Oct</v>
          </cell>
        </row>
        <row r="1848">
          <cell r="C1848" t="str">
            <v>Other</v>
          </cell>
          <cell r="R1848">
            <v>0</v>
          </cell>
          <cell r="AZ1848">
            <v>0</v>
          </cell>
          <cell r="BA1848">
            <v>0</v>
          </cell>
          <cell r="BC1848" t="str">
            <v>OTHERS</v>
          </cell>
          <cell r="BE1848" t="str">
            <v>Nov</v>
          </cell>
        </row>
        <row r="1849">
          <cell r="C1849" t="str">
            <v>Other</v>
          </cell>
          <cell r="R1849">
            <v>0</v>
          </cell>
          <cell r="AZ1849">
            <v>0</v>
          </cell>
          <cell r="BA1849">
            <v>0</v>
          </cell>
          <cell r="BC1849" t="str">
            <v>OTHERS</v>
          </cell>
          <cell r="BE1849" t="str">
            <v>Dec</v>
          </cell>
        </row>
        <row r="1850">
          <cell r="C1850" t="str">
            <v>Other</v>
          </cell>
          <cell r="R1850">
            <v>0</v>
          </cell>
          <cell r="AZ1850">
            <v>0</v>
          </cell>
          <cell r="BA1850">
            <v>0</v>
          </cell>
          <cell r="BC1850" t="str">
            <v>OTHERS</v>
          </cell>
          <cell r="BE1850" t="str">
            <v>Jan</v>
          </cell>
        </row>
        <row r="1851">
          <cell r="C1851" t="str">
            <v>Other</v>
          </cell>
          <cell r="R1851">
            <v>0</v>
          </cell>
          <cell r="AZ1851">
            <v>0</v>
          </cell>
          <cell r="BA1851">
            <v>0</v>
          </cell>
          <cell r="BC1851" t="str">
            <v>OTHERS</v>
          </cell>
          <cell r="BE1851" t="str">
            <v>Feb</v>
          </cell>
        </row>
        <row r="1852">
          <cell r="C1852" t="str">
            <v>Other</v>
          </cell>
          <cell r="R1852">
            <v>0</v>
          </cell>
          <cell r="AZ1852">
            <v>0</v>
          </cell>
          <cell r="BA1852">
            <v>0</v>
          </cell>
          <cell r="BC1852" t="str">
            <v>OTHERS</v>
          </cell>
          <cell r="BE1852" t="str">
            <v>Mar</v>
          </cell>
        </row>
        <row r="1853">
          <cell r="C1853" t="str">
            <v>Other</v>
          </cell>
          <cell r="R1853">
            <v>0</v>
          </cell>
          <cell r="AZ1853">
            <v>0</v>
          </cell>
          <cell r="BA1853">
            <v>0</v>
          </cell>
          <cell r="BC1853" t="str">
            <v>OTHERS</v>
          </cell>
          <cell r="BE1853" t="str">
            <v>Apr</v>
          </cell>
        </row>
        <row r="1854">
          <cell r="C1854" t="str">
            <v>Other</v>
          </cell>
          <cell r="R1854">
            <v>0</v>
          </cell>
          <cell r="AZ1854">
            <v>0</v>
          </cell>
          <cell r="BA1854">
            <v>0</v>
          </cell>
          <cell r="BC1854" t="str">
            <v>OTHERS</v>
          </cell>
          <cell r="BE1854" t="str">
            <v>May</v>
          </cell>
        </row>
        <row r="1855">
          <cell r="C1855" t="str">
            <v>Other</v>
          </cell>
          <cell r="R1855">
            <v>0</v>
          </cell>
          <cell r="AZ1855">
            <v>0</v>
          </cell>
          <cell r="BA1855">
            <v>0</v>
          </cell>
          <cell r="BC1855" t="str">
            <v>OTHERS</v>
          </cell>
          <cell r="BE1855" t="str">
            <v>Jun</v>
          </cell>
        </row>
        <row r="1856">
          <cell r="C1856" t="str">
            <v>Other</v>
          </cell>
          <cell r="R1856">
            <v>0</v>
          </cell>
          <cell r="AZ1856">
            <v>0</v>
          </cell>
          <cell r="BA1856">
            <v>0</v>
          </cell>
          <cell r="BC1856" t="str">
            <v>OTHERS</v>
          </cell>
          <cell r="BE1856" t="str">
            <v>Jul</v>
          </cell>
        </row>
        <row r="1857">
          <cell r="C1857" t="str">
            <v>Other</v>
          </cell>
          <cell r="R1857">
            <v>0</v>
          </cell>
          <cell r="AZ1857">
            <v>0</v>
          </cell>
          <cell r="BA1857">
            <v>0</v>
          </cell>
          <cell r="BC1857" t="str">
            <v>OTHERS</v>
          </cell>
          <cell r="BE1857" t="str">
            <v>Aug</v>
          </cell>
        </row>
        <row r="1858">
          <cell r="C1858" t="str">
            <v>Other</v>
          </cell>
          <cell r="R1858">
            <v>0</v>
          </cell>
          <cell r="AZ1858">
            <v>0</v>
          </cell>
          <cell r="BA1858">
            <v>0</v>
          </cell>
          <cell r="BC1858" t="str">
            <v>OTHERS</v>
          </cell>
          <cell r="BE1858" t="str">
            <v>Sep</v>
          </cell>
        </row>
        <row r="1859">
          <cell r="C1859" t="str">
            <v>Other</v>
          </cell>
          <cell r="R1859">
            <v>0</v>
          </cell>
          <cell r="AZ1859">
            <v>0</v>
          </cell>
          <cell r="BA1859">
            <v>0</v>
          </cell>
          <cell r="BC1859" t="str">
            <v>OTHERS</v>
          </cell>
          <cell r="BE1859" t="str">
            <v>Oct</v>
          </cell>
        </row>
        <row r="1860">
          <cell r="C1860" t="str">
            <v>Other</v>
          </cell>
          <cell r="R1860">
            <v>0</v>
          </cell>
          <cell r="AZ1860">
            <v>0</v>
          </cell>
          <cell r="BA1860">
            <v>0</v>
          </cell>
          <cell r="BC1860" t="str">
            <v>OTHERS</v>
          </cell>
          <cell r="BE1860" t="str">
            <v>Nov</v>
          </cell>
        </row>
        <row r="1861">
          <cell r="C1861" t="str">
            <v>Other</v>
          </cell>
          <cell r="R1861">
            <v>0</v>
          </cell>
          <cell r="AZ1861">
            <v>0</v>
          </cell>
          <cell r="BA1861">
            <v>0</v>
          </cell>
          <cell r="BC1861" t="str">
            <v>OTHERS</v>
          </cell>
          <cell r="BE1861" t="str">
            <v>Dec</v>
          </cell>
        </row>
        <row r="1862">
          <cell r="C1862" t="str">
            <v>Formosa</v>
          </cell>
          <cell r="R1862">
            <v>0</v>
          </cell>
          <cell r="AZ1862">
            <v>0</v>
          </cell>
          <cell r="BA1862">
            <v>0</v>
          </cell>
          <cell r="BC1862" t="str">
            <v>PLATINUM</v>
          </cell>
          <cell r="BE1862" t="str">
            <v>Jan</v>
          </cell>
        </row>
        <row r="1863">
          <cell r="C1863" t="str">
            <v>Formosa</v>
          </cell>
          <cell r="R1863">
            <v>0</v>
          </cell>
          <cell r="AZ1863">
            <v>0</v>
          </cell>
          <cell r="BA1863">
            <v>0</v>
          </cell>
          <cell r="BC1863" t="str">
            <v>PLATINUM</v>
          </cell>
          <cell r="BE1863" t="str">
            <v>Feb</v>
          </cell>
        </row>
        <row r="1864">
          <cell r="C1864" t="str">
            <v>Formosa</v>
          </cell>
          <cell r="R1864">
            <v>0</v>
          </cell>
          <cell r="AZ1864">
            <v>0</v>
          </cell>
          <cell r="BA1864">
            <v>0</v>
          </cell>
          <cell r="BC1864" t="str">
            <v>PLATINUM</v>
          </cell>
          <cell r="BE1864" t="str">
            <v>Mar</v>
          </cell>
        </row>
        <row r="1865">
          <cell r="C1865" t="str">
            <v>Formosa</v>
          </cell>
          <cell r="R1865">
            <v>0</v>
          </cell>
          <cell r="AZ1865">
            <v>0</v>
          </cell>
          <cell r="BA1865">
            <v>0</v>
          </cell>
          <cell r="BC1865" t="str">
            <v>PLATINUM</v>
          </cell>
          <cell r="BE1865" t="str">
            <v>Apr</v>
          </cell>
        </row>
        <row r="1866">
          <cell r="C1866" t="str">
            <v>Formosa</v>
          </cell>
          <cell r="R1866">
            <v>0</v>
          </cell>
          <cell r="AZ1866">
            <v>0</v>
          </cell>
          <cell r="BA1866">
            <v>0</v>
          </cell>
          <cell r="BC1866" t="str">
            <v>PLATINUM</v>
          </cell>
          <cell r="BE1866" t="str">
            <v>May</v>
          </cell>
        </row>
        <row r="1867">
          <cell r="C1867" t="str">
            <v>Formosa</v>
          </cell>
          <cell r="R1867">
            <v>0</v>
          </cell>
          <cell r="AZ1867">
            <v>0</v>
          </cell>
          <cell r="BA1867">
            <v>0</v>
          </cell>
          <cell r="BC1867" t="str">
            <v>PLATINUM</v>
          </cell>
          <cell r="BE1867" t="str">
            <v>Jun</v>
          </cell>
        </row>
        <row r="1868">
          <cell r="C1868" t="str">
            <v>Formosa</v>
          </cell>
          <cell r="R1868">
            <v>0</v>
          </cell>
          <cell r="AZ1868">
            <v>0</v>
          </cell>
          <cell r="BA1868">
            <v>0</v>
          </cell>
          <cell r="BC1868" t="str">
            <v>PLATINUM</v>
          </cell>
          <cell r="BE1868" t="str">
            <v>Jul</v>
          </cell>
        </row>
        <row r="1869">
          <cell r="C1869" t="str">
            <v>Formosa</v>
          </cell>
          <cell r="R1869">
            <v>0</v>
          </cell>
          <cell r="AZ1869">
            <v>0</v>
          </cell>
          <cell r="BA1869">
            <v>0</v>
          </cell>
          <cell r="BC1869" t="str">
            <v>PLATINUM</v>
          </cell>
          <cell r="BE1869" t="str">
            <v>Aug</v>
          </cell>
        </row>
        <row r="1870">
          <cell r="C1870" t="str">
            <v>Formosa</v>
          </cell>
          <cell r="R1870">
            <v>0</v>
          </cell>
          <cell r="AZ1870">
            <v>0</v>
          </cell>
          <cell r="BA1870">
            <v>0</v>
          </cell>
          <cell r="BC1870" t="str">
            <v>PLATINUM</v>
          </cell>
          <cell r="BE1870" t="str">
            <v>Sep</v>
          </cell>
        </row>
        <row r="1871">
          <cell r="C1871" t="str">
            <v>Formosa</v>
          </cell>
          <cell r="R1871">
            <v>0</v>
          </cell>
          <cell r="AZ1871">
            <v>0</v>
          </cell>
          <cell r="BA1871">
            <v>0</v>
          </cell>
          <cell r="BC1871" t="str">
            <v>PLATINUM</v>
          </cell>
          <cell r="BE1871" t="str">
            <v>Oct</v>
          </cell>
        </row>
        <row r="1872">
          <cell r="C1872" t="str">
            <v>Formosa</v>
          </cell>
          <cell r="R1872">
            <v>0</v>
          </cell>
          <cell r="AZ1872">
            <v>0</v>
          </cell>
          <cell r="BA1872">
            <v>0</v>
          </cell>
          <cell r="BC1872" t="str">
            <v>PLATINUM</v>
          </cell>
          <cell r="BE1872" t="str">
            <v>Nov</v>
          </cell>
        </row>
        <row r="1873">
          <cell r="C1873" t="str">
            <v>Formosa</v>
          </cell>
          <cell r="R1873">
            <v>0</v>
          </cell>
          <cell r="AZ1873">
            <v>0</v>
          </cell>
          <cell r="BA1873">
            <v>0</v>
          </cell>
          <cell r="BC1873" t="str">
            <v>PLATINUM</v>
          </cell>
          <cell r="BE1873" t="str">
            <v>Dec</v>
          </cell>
        </row>
        <row r="1874">
          <cell r="C1874" t="str">
            <v>Formosa</v>
          </cell>
          <cell r="R1874">
            <v>0</v>
          </cell>
          <cell r="AZ1874">
            <v>0</v>
          </cell>
          <cell r="BA1874">
            <v>0</v>
          </cell>
          <cell r="BC1874" t="str">
            <v>PLATINUM</v>
          </cell>
          <cell r="BE1874" t="str">
            <v>Jan</v>
          </cell>
        </row>
        <row r="1875">
          <cell r="C1875" t="str">
            <v>Formosa</v>
          </cell>
          <cell r="R1875">
            <v>0</v>
          </cell>
          <cell r="AZ1875">
            <v>0</v>
          </cell>
          <cell r="BA1875">
            <v>0</v>
          </cell>
          <cell r="BC1875" t="str">
            <v>PLATINUM</v>
          </cell>
          <cell r="BE1875" t="str">
            <v>Feb</v>
          </cell>
        </row>
        <row r="1876">
          <cell r="C1876" t="str">
            <v>Formosa</v>
          </cell>
          <cell r="R1876">
            <v>0</v>
          </cell>
          <cell r="AZ1876">
            <v>0</v>
          </cell>
          <cell r="BA1876">
            <v>0</v>
          </cell>
          <cell r="BC1876" t="str">
            <v>PLATINUM</v>
          </cell>
          <cell r="BE1876" t="str">
            <v>Mar</v>
          </cell>
        </row>
        <row r="1877">
          <cell r="C1877" t="str">
            <v>Formosa</v>
          </cell>
          <cell r="R1877">
            <v>0</v>
          </cell>
          <cell r="AZ1877">
            <v>0</v>
          </cell>
          <cell r="BA1877">
            <v>0</v>
          </cell>
          <cell r="BC1877" t="str">
            <v>PLATINUM</v>
          </cell>
          <cell r="BE1877" t="str">
            <v>Apr</v>
          </cell>
        </row>
        <row r="1878">
          <cell r="C1878" t="str">
            <v>Formosa</v>
          </cell>
          <cell r="R1878">
            <v>0</v>
          </cell>
          <cell r="AZ1878">
            <v>0</v>
          </cell>
          <cell r="BA1878">
            <v>0</v>
          </cell>
          <cell r="BC1878" t="str">
            <v>PLATINUM</v>
          </cell>
          <cell r="BE1878" t="str">
            <v>May</v>
          </cell>
        </row>
        <row r="1879">
          <cell r="C1879" t="str">
            <v>Formosa</v>
          </cell>
          <cell r="R1879">
            <v>0</v>
          </cell>
          <cell r="AZ1879">
            <v>0</v>
          </cell>
          <cell r="BA1879">
            <v>0</v>
          </cell>
          <cell r="BC1879" t="str">
            <v>PLATINUM</v>
          </cell>
          <cell r="BE1879" t="str">
            <v>Jun</v>
          </cell>
        </row>
        <row r="1880">
          <cell r="C1880" t="str">
            <v>Formosa</v>
          </cell>
          <cell r="R1880">
            <v>0</v>
          </cell>
          <cell r="AZ1880">
            <v>0</v>
          </cell>
          <cell r="BA1880">
            <v>0</v>
          </cell>
          <cell r="BC1880" t="str">
            <v>PLATINUM</v>
          </cell>
          <cell r="BE1880" t="str">
            <v>Jul</v>
          </cell>
        </row>
        <row r="1881">
          <cell r="C1881" t="str">
            <v>Formosa</v>
          </cell>
          <cell r="R1881">
            <v>0</v>
          </cell>
          <cell r="AZ1881">
            <v>0</v>
          </cell>
          <cell r="BA1881">
            <v>0</v>
          </cell>
          <cell r="BC1881" t="str">
            <v>PLATINUM</v>
          </cell>
          <cell r="BE1881" t="str">
            <v>Aug</v>
          </cell>
        </row>
        <row r="1882">
          <cell r="C1882" t="str">
            <v>Formosa</v>
          </cell>
          <cell r="R1882">
            <v>0</v>
          </cell>
          <cell r="AZ1882">
            <v>0</v>
          </cell>
          <cell r="BA1882">
            <v>0</v>
          </cell>
          <cell r="BC1882" t="str">
            <v>PLATINUM</v>
          </cell>
          <cell r="BE1882" t="str">
            <v>Sep</v>
          </cell>
        </row>
        <row r="1883">
          <cell r="C1883" t="str">
            <v>Formosa</v>
          </cell>
          <cell r="R1883">
            <v>0</v>
          </cell>
          <cell r="AZ1883">
            <v>0</v>
          </cell>
          <cell r="BA1883">
            <v>0</v>
          </cell>
          <cell r="BC1883" t="str">
            <v>PLATINUM</v>
          </cell>
          <cell r="BE1883" t="str">
            <v>Oct</v>
          </cell>
        </row>
        <row r="1884">
          <cell r="C1884" t="str">
            <v>Formosa</v>
          </cell>
          <cell r="R1884">
            <v>0</v>
          </cell>
          <cell r="AZ1884">
            <v>0</v>
          </cell>
          <cell r="BA1884">
            <v>0</v>
          </cell>
          <cell r="BC1884" t="str">
            <v>PLATINUM</v>
          </cell>
          <cell r="BE1884" t="str">
            <v>Nov</v>
          </cell>
        </row>
        <row r="1885">
          <cell r="C1885" t="str">
            <v>Formosa</v>
          </cell>
          <cell r="R1885">
            <v>0</v>
          </cell>
          <cell r="AZ1885">
            <v>0</v>
          </cell>
          <cell r="BA1885">
            <v>0</v>
          </cell>
          <cell r="BC1885" t="str">
            <v>PLATINUM</v>
          </cell>
          <cell r="BE1885" t="str">
            <v>Dec</v>
          </cell>
        </row>
        <row r="1886">
          <cell r="C1886" t="str">
            <v>Formosa</v>
          </cell>
          <cell r="R1886">
            <v>80000</v>
          </cell>
          <cell r="AZ1886">
            <v>-320000</v>
          </cell>
          <cell r="BA1886">
            <v>-67371.085099652002</v>
          </cell>
          <cell r="BC1886" t="str">
            <v>PLATINUM</v>
          </cell>
          <cell r="BE1886" t="str">
            <v>Jan</v>
          </cell>
        </row>
        <row r="1887">
          <cell r="C1887" t="str">
            <v>Formosa</v>
          </cell>
          <cell r="R1887">
            <v>0</v>
          </cell>
          <cell r="AZ1887">
            <v>0</v>
          </cell>
          <cell r="BA1887">
            <v>0</v>
          </cell>
          <cell r="BC1887" t="str">
            <v>PLATINUM</v>
          </cell>
          <cell r="BE1887" t="str">
            <v>Feb</v>
          </cell>
        </row>
        <row r="1888">
          <cell r="C1888" t="str">
            <v>Formosa</v>
          </cell>
          <cell r="R1888">
            <v>0</v>
          </cell>
          <cell r="AZ1888">
            <v>0</v>
          </cell>
          <cell r="BA1888">
            <v>0</v>
          </cell>
          <cell r="BC1888" t="str">
            <v>PLATINUM</v>
          </cell>
          <cell r="BE1888" t="str">
            <v>Mar</v>
          </cell>
        </row>
        <row r="1889">
          <cell r="C1889" t="str">
            <v>Formosa</v>
          </cell>
          <cell r="R1889">
            <v>0</v>
          </cell>
          <cell r="AZ1889">
            <v>0</v>
          </cell>
          <cell r="BA1889">
            <v>0</v>
          </cell>
          <cell r="BC1889" t="str">
            <v>PLATINUM</v>
          </cell>
          <cell r="BE1889" t="str">
            <v>Apr</v>
          </cell>
        </row>
        <row r="1890">
          <cell r="C1890" t="str">
            <v>Formosa</v>
          </cell>
          <cell r="R1890">
            <v>0</v>
          </cell>
          <cell r="AZ1890">
            <v>0</v>
          </cell>
          <cell r="BA1890">
            <v>0</v>
          </cell>
          <cell r="BC1890" t="str">
            <v>PLATINUM</v>
          </cell>
          <cell r="BE1890" t="str">
            <v>May</v>
          </cell>
        </row>
        <row r="1891">
          <cell r="C1891" t="str">
            <v>Formosa</v>
          </cell>
          <cell r="R1891">
            <v>0</v>
          </cell>
          <cell r="AZ1891">
            <v>0</v>
          </cell>
          <cell r="BA1891">
            <v>0</v>
          </cell>
          <cell r="BC1891" t="str">
            <v>PLATINUM</v>
          </cell>
          <cell r="BE1891" t="str">
            <v>Jun</v>
          </cell>
        </row>
        <row r="1892">
          <cell r="C1892" t="str">
            <v>Formosa</v>
          </cell>
          <cell r="R1892">
            <v>0</v>
          </cell>
          <cell r="AZ1892">
            <v>0</v>
          </cell>
          <cell r="BA1892">
            <v>0</v>
          </cell>
          <cell r="BC1892" t="str">
            <v>PLATINUM</v>
          </cell>
          <cell r="BE1892" t="str">
            <v>Jul</v>
          </cell>
        </row>
        <row r="1893">
          <cell r="C1893" t="str">
            <v>Formosa</v>
          </cell>
          <cell r="R1893">
            <v>0</v>
          </cell>
          <cell r="AZ1893">
            <v>0</v>
          </cell>
          <cell r="BA1893">
            <v>0</v>
          </cell>
          <cell r="BC1893" t="str">
            <v>PLATINUM</v>
          </cell>
          <cell r="BE1893" t="str">
            <v>Aug</v>
          </cell>
        </row>
        <row r="1894">
          <cell r="C1894" t="str">
            <v>Formosa</v>
          </cell>
          <cell r="R1894">
            <v>0</v>
          </cell>
          <cell r="AZ1894">
            <v>0</v>
          </cell>
          <cell r="BA1894">
            <v>0</v>
          </cell>
          <cell r="BC1894" t="str">
            <v>PLATINUM</v>
          </cell>
          <cell r="BE1894" t="str">
            <v>Sep</v>
          </cell>
        </row>
        <row r="1895">
          <cell r="C1895" t="str">
            <v>Formosa</v>
          </cell>
          <cell r="R1895">
            <v>0</v>
          </cell>
          <cell r="AZ1895">
            <v>0</v>
          </cell>
          <cell r="BA1895">
            <v>0</v>
          </cell>
          <cell r="BC1895" t="str">
            <v>PLATINUM</v>
          </cell>
          <cell r="BE1895" t="str">
            <v>Oct</v>
          </cell>
        </row>
        <row r="1896">
          <cell r="C1896" t="str">
            <v>Formosa</v>
          </cell>
          <cell r="R1896">
            <v>0</v>
          </cell>
          <cell r="AZ1896">
            <v>0</v>
          </cell>
          <cell r="BA1896">
            <v>0</v>
          </cell>
          <cell r="BC1896" t="str">
            <v>PLATINUM</v>
          </cell>
          <cell r="BE1896" t="str">
            <v>Nov</v>
          </cell>
        </row>
        <row r="1897">
          <cell r="C1897" t="str">
            <v>Formosa</v>
          </cell>
          <cell r="R1897">
            <v>0</v>
          </cell>
          <cell r="AZ1897">
            <v>0</v>
          </cell>
          <cell r="BA1897">
            <v>0</v>
          </cell>
          <cell r="BC1897" t="str">
            <v>PLATINUM</v>
          </cell>
          <cell r="BE1897" t="str">
            <v>Dec</v>
          </cell>
        </row>
        <row r="1898">
          <cell r="C1898" t="str">
            <v>Formosa</v>
          </cell>
          <cell r="R1898">
            <v>17500</v>
          </cell>
          <cell r="AZ1898">
            <v>-70000</v>
          </cell>
          <cell r="BA1898">
            <v>-17178.481641795537</v>
          </cell>
          <cell r="BC1898" t="str">
            <v>PLATINUM</v>
          </cell>
          <cell r="BE1898" t="str">
            <v>Jan</v>
          </cell>
        </row>
        <row r="1899">
          <cell r="C1899" t="str">
            <v>Formosa</v>
          </cell>
          <cell r="R1899">
            <v>0</v>
          </cell>
          <cell r="AZ1899">
            <v>0</v>
          </cell>
          <cell r="BA1899">
            <v>0</v>
          </cell>
          <cell r="BC1899" t="str">
            <v>PLATINUM</v>
          </cell>
          <cell r="BE1899" t="str">
            <v>Feb</v>
          </cell>
        </row>
        <row r="1900">
          <cell r="C1900" t="str">
            <v>Formosa</v>
          </cell>
          <cell r="R1900">
            <v>0</v>
          </cell>
          <cell r="AZ1900">
            <v>0</v>
          </cell>
          <cell r="BA1900">
            <v>0</v>
          </cell>
          <cell r="BC1900" t="str">
            <v>PLATINUM</v>
          </cell>
          <cell r="BE1900" t="str">
            <v>Mar</v>
          </cell>
        </row>
        <row r="1901">
          <cell r="C1901" t="str">
            <v>Formosa</v>
          </cell>
          <cell r="R1901">
            <v>0</v>
          </cell>
          <cell r="AZ1901">
            <v>0</v>
          </cell>
          <cell r="BA1901">
            <v>0</v>
          </cell>
          <cell r="BC1901" t="str">
            <v>PLATINUM</v>
          </cell>
          <cell r="BE1901" t="str">
            <v>Apr</v>
          </cell>
        </row>
        <row r="1902">
          <cell r="C1902" t="str">
            <v>Formosa</v>
          </cell>
          <cell r="R1902">
            <v>0</v>
          </cell>
          <cell r="AZ1902">
            <v>0</v>
          </cell>
          <cell r="BA1902">
            <v>0</v>
          </cell>
          <cell r="BC1902" t="str">
            <v>PLATINUM</v>
          </cell>
          <cell r="BE1902" t="str">
            <v>May</v>
          </cell>
        </row>
        <row r="1903">
          <cell r="C1903" t="str">
            <v>Formosa</v>
          </cell>
          <cell r="R1903">
            <v>0</v>
          </cell>
          <cell r="AZ1903">
            <v>0</v>
          </cell>
          <cell r="BA1903">
            <v>0</v>
          </cell>
          <cell r="BC1903" t="str">
            <v>PLATINUM</v>
          </cell>
          <cell r="BE1903" t="str">
            <v>Jun</v>
          </cell>
        </row>
        <row r="1904">
          <cell r="C1904" t="str">
            <v>Formosa</v>
          </cell>
          <cell r="R1904">
            <v>0</v>
          </cell>
          <cell r="AZ1904">
            <v>0</v>
          </cell>
          <cell r="BA1904">
            <v>0</v>
          </cell>
          <cell r="BC1904" t="str">
            <v>PLATINUM</v>
          </cell>
          <cell r="BE1904" t="str">
            <v>Jul</v>
          </cell>
        </row>
        <row r="1905">
          <cell r="C1905" t="str">
            <v>Formosa</v>
          </cell>
          <cell r="R1905">
            <v>0</v>
          </cell>
          <cell r="AZ1905">
            <v>0</v>
          </cell>
          <cell r="BA1905">
            <v>0</v>
          </cell>
          <cell r="BC1905" t="str">
            <v>PLATINUM</v>
          </cell>
          <cell r="BE1905" t="str">
            <v>Aug</v>
          </cell>
        </row>
        <row r="1906">
          <cell r="C1906" t="str">
            <v>Formosa</v>
          </cell>
          <cell r="R1906">
            <v>0</v>
          </cell>
          <cell r="AZ1906">
            <v>0</v>
          </cell>
          <cell r="BA1906">
            <v>0</v>
          </cell>
          <cell r="BC1906" t="str">
            <v>PLATINUM</v>
          </cell>
          <cell r="BE1906" t="str">
            <v>Sep</v>
          </cell>
        </row>
        <row r="1907">
          <cell r="C1907" t="str">
            <v>Formosa</v>
          </cell>
          <cell r="R1907">
            <v>0</v>
          </cell>
          <cell r="AZ1907">
            <v>0</v>
          </cell>
          <cell r="BA1907">
            <v>0</v>
          </cell>
          <cell r="BC1907" t="str">
            <v>PLATINUM</v>
          </cell>
          <cell r="BE1907" t="str">
            <v>Oct</v>
          </cell>
        </row>
        <row r="1908">
          <cell r="C1908" t="str">
            <v>Formosa</v>
          </cell>
          <cell r="R1908">
            <v>0</v>
          </cell>
          <cell r="AZ1908">
            <v>0</v>
          </cell>
          <cell r="BA1908">
            <v>0</v>
          </cell>
          <cell r="BC1908" t="str">
            <v>PLATINUM</v>
          </cell>
          <cell r="BE1908" t="str">
            <v>Nov</v>
          </cell>
        </row>
        <row r="1909">
          <cell r="C1909" t="str">
            <v>Formosa</v>
          </cell>
          <cell r="R1909">
            <v>0</v>
          </cell>
          <cell r="AZ1909">
            <v>0</v>
          </cell>
          <cell r="BA1909">
            <v>0</v>
          </cell>
          <cell r="BC1909" t="str">
            <v>PLATINUM</v>
          </cell>
          <cell r="BE1909" t="str">
            <v>Dec</v>
          </cell>
        </row>
        <row r="1910">
          <cell r="C1910" t="str">
            <v>Formosa</v>
          </cell>
          <cell r="R1910">
            <v>17500</v>
          </cell>
          <cell r="AZ1910">
            <v>-70000</v>
          </cell>
          <cell r="BA1910">
            <v>-12296.368089302214</v>
          </cell>
          <cell r="BC1910" t="str">
            <v>PLATINUM</v>
          </cell>
          <cell r="BE1910" t="str">
            <v>Jan</v>
          </cell>
        </row>
        <row r="1911">
          <cell r="C1911" t="str">
            <v>Formosa</v>
          </cell>
          <cell r="R1911">
            <v>0</v>
          </cell>
          <cell r="AZ1911">
            <v>0</v>
          </cell>
          <cell r="BA1911">
            <v>0</v>
          </cell>
          <cell r="BC1911" t="str">
            <v>PLATINUM</v>
          </cell>
          <cell r="BE1911" t="str">
            <v>Feb</v>
          </cell>
        </row>
        <row r="1912">
          <cell r="C1912" t="str">
            <v>Formosa</v>
          </cell>
          <cell r="R1912">
            <v>0</v>
          </cell>
          <cell r="AZ1912">
            <v>0</v>
          </cell>
          <cell r="BA1912">
            <v>0</v>
          </cell>
          <cell r="BC1912" t="str">
            <v>PLATINUM</v>
          </cell>
          <cell r="BE1912" t="str">
            <v>Mar</v>
          </cell>
        </row>
        <row r="1913">
          <cell r="C1913" t="str">
            <v>Formosa</v>
          </cell>
          <cell r="R1913">
            <v>0</v>
          </cell>
          <cell r="AZ1913">
            <v>0</v>
          </cell>
          <cell r="BA1913">
            <v>0</v>
          </cell>
          <cell r="BC1913" t="str">
            <v>PLATINUM</v>
          </cell>
          <cell r="BE1913" t="str">
            <v>Apr</v>
          </cell>
        </row>
        <row r="1914">
          <cell r="C1914" t="str">
            <v>Formosa</v>
          </cell>
          <cell r="R1914">
            <v>0</v>
          </cell>
          <cell r="AZ1914">
            <v>0</v>
          </cell>
          <cell r="BA1914">
            <v>0</v>
          </cell>
          <cell r="BC1914" t="str">
            <v>PLATINUM</v>
          </cell>
          <cell r="BE1914" t="str">
            <v>May</v>
          </cell>
        </row>
        <row r="1915">
          <cell r="C1915" t="str">
            <v>Formosa</v>
          </cell>
          <cell r="R1915">
            <v>0</v>
          </cell>
          <cell r="AZ1915">
            <v>0</v>
          </cell>
          <cell r="BA1915">
            <v>0</v>
          </cell>
          <cell r="BC1915" t="str">
            <v>PLATINUM</v>
          </cell>
          <cell r="BE1915" t="str">
            <v>Jun</v>
          </cell>
        </row>
        <row r="1916">
          <cell r="C1916" t="str">
            <v>Formosa</v>
          </cell>
          <cell r="R1916">
            <v>0</v>
          </cell>
          <cell r="AZ1916">
            <v>0</v>
          </cell>
          <cell r="BA1916">
            <v>0</v>
          </cell>
          <cell r="BC1916" t="str">
            <v>PLATINUM</v>
          </cell>
          <cell r="BE1916" t="str">
            <v>Jul</v>
          </cell>
        </row>
        <row r="1917">
          <cell r="C1917" t="str">
            <v>Formosa</v>
          </cell>
          <cell r="R1917">
            <v>0</v>
          </cell>
          <cell r="AZ1917">
            <v>0</v>
          </cell>
          <cell r="BA1917">
            <v>0</v>
          </cell>
          <cell r="BC1917" t="str">
            <v>PLATINUM</v>
          </cell>
          <cell r="BE1917" t="str">
            <v>Aug</v>
          </cell>
        </row>
        <row r="1918">
          <cell r="C1918" t="str">
            <v>Formosa</v>
          </cell>
          <cell r="R1918">
            <v>0</v>
          </cell>
          <cell r="AZ1918">
            <v>0</v>
          </cell>
          <cell r="BA1918">
            <v>0</v>
          </cell>
          <cell r="BC1918" t="str">
            <v>PLATINUM</v>
          </cell>
          <cell r="BE1918" t="str">
            <v>Sep</v>
          </cell>
        </row>
        <row r="1919">
          <cell r="C1919" t="str">
            <v>Formosa</v>
          </cell>
          <cell r="R1919">
            <v>0</v>
          </cell>
          <cell r="AZ1919">
            <v>0</v>
          </cell>
          <cell r="BA1919">
            <v>0</v>
          </cell>
          <cell r="BC1919" t="str">
            <v>PLATINUM</v>
          </cell>
          <cell r="BE1919" t="str">
            <v>Oct</v>
          </cell>
        </row>
        <row r="1920">
          <cell r="C1920" t="str">
            <v>Formosa</v>
          </cell>
          <cell r="R1920">
            <v>0</v>
          </cell>
          <cell r="AZ1920">
            <v>0</v>
          </cell>
          <cell r="BA1920">
            <v>0</v>
          </cell>
          <cell r="BC1920" t="str">
            <v>PLATINUM</v>
          </cell>
          <cell r="BE1920" t="str">
            <v>Nov</v>
          </cell>
        </row>
        <row r="1921">
          <cell r="C1921" t="str">
            <v>Formosa</v>
          </cell>
          <cell r="R1921">
            <v>0</v>
          </cell>
          <cell r="AZ1921">
            <v>0</v>
          </cell>
          <cell r="BA1921">
            <v>0</v>
          </cell>
          <cell r="BC1921" t="str">
            <v>PLATINUM</v>
          </cell>
          <cell r="BE1921" t="str">
            <v>Dec</v>
          </cell>
        </row>
        <row r="1922">
          <cell r="C1922" t="str">
            <v>Formosa</v>
          </cell>
          <cell r="R1922">
            <v>17500</v>
          </cell>
          <cell r="AZ1922">
            <v>-70000</v>
          </cell>
          <cell r="BA1922">
            <v>-12961.945238809358</v>
          </cell>
          <cell r="BC1922" t="str">
            <v>PLATINUM</v>
          </cell>
          <cell r="BE1922" t="str">
            <v>Jan</v>
          </cell>
        </row>
        <row r="1923">
          <cell r="C1923" t="str">
            <v>Formosa</v>
          </cell>
          <cell r="R1923">
            <v>0</v>
          </cell>
          <cell r="AZ1923">
            <v>0</v>
          </cell>
          <cell r="BA1923">
            <v>0</v>
          </cell>
          <cell r="BC1923" t="str">
            <v>PLATINUM</v>
          </cell>
          <cell r="BE1923" t="str">
            <v>Feb</v>
          </cell>
        </row>
        <row r="1924">
          <cell r="C1924" t="str">
            <v>Formosa</v>
          </cell>
          <cell r="R1924">
            <v>0</v>
          </cell>
          <cell r="AZ1924">
            <v>0</v>
          </cell>
          <cell r="BA1924">
            <v>0</v>
          </cell>
          <cell r="BC1924" t="str">
            <v>PLATINUM</v>
          </cell>
          <cell r="BE1924" t="str">
            <v>Mar</v>
          </cell>
        </row>
        <row r="1925">
          <cell r="C1925" t="str">
            <v>Formosa</v>
          </cell>
          <cell r="R1925">
            <v>0</v>
          </cell>
          <cell r="AZ1925">
            <v>0</v>
          </cell>
          <cell r="BA1925">
            <v>0</v>
          </cell>
          <cell r="BC1925" t="str">
            <v>PLATINUM</v>
          </cell>
          <cell r="BE1925" t="str">
            <v>Apr</v>
          </cell>
        </row>
        <row r="1926">
          <cell r="C1926" t="str">
            <v>Formosa</v>
          </cell>
          <cell r="R1926">
            <v>0</v>
          </cell>
          <cell r="AZ1926">
            <v>0</v>
          </cell>
          <cell r="BA1926">
            <v>0</v>
          </cell>
          <cell r="BC1926" t="str">
            <v>PLATINUM</v>
          </cell>
          <cell r="BE1926" t="str">
            <v>May</v>
          </cell>
        </row>
        <row r="1927">
          <cell r="C1927" t="str">
            <v>Formosa</v>
          </cell>
          <cell r="R1927">
            <v>0</v>
          </cell>
          <cell r="AZ1927">
            <v>0</v>
          </cell>
          <cell r="BA1927">
            <v>0</v>
          </cell>
          <cell r="BC1927" t="str">
            <v>PLATINUM</v>
          </cell>
          <cell r="BE1927" t="str">
            <v>Jun</v>
          </cell>
        </row>
        <row r="1928">
          <cell r="C1928" t="str">
            <v>Formosa</v>
          </cell>
          <cell r="R1928">
            <v>0</v>
          </cell>
          <cell r="AZ1928">
            <v>0</v>
          </cell>
          <cell r="BA1928">
            <v>0</v>
          </cell>
          <cell r="BC1928" t="str">
            <v>PLATINUM</v>
          </cell>
          <cell r="BE1928" t="str">
            <v>Jul</v>
          </cell>
        </row>
        <row r="1929">
          <cell r="C1929" t="str">
            <v>Formosa</v>
          </cell>
          <cell r="R1929">
            <v>0</v>
          </cell>
          <cell r="AZ1929">
            <v>0</v>
          </cell>
          <cell r="BA1929">
            <v>0</v>
          </cell>
          <cell r="BC1929" t="str">
            <v>PLATINUM</v>
          </cell>
          <cell r="BE1929" t="str">
            <v>Aug</v>
          </cell>
        </row>
        <row r="1930">
          <cell r="C1930" t="str">
            <v>Formosa</v>
          </cell>
          <cell r="R1930">
            <v>0</v>
          </cell>
          <cell r="AZ1930">
            <v>0</v>
          </cell>
          <cell r="BA1930">
            <v>0</v>
          </cell>
          <cell r="BC1930" t="str">
            <v>PLATINUM</v>
          </cell>
          <cell r="BE1930" t="str">
            <v>Sep</v>
          </cell>
        </row>
        <row r="1931">
          <cell r="C1931" t="str">
            <v>Formosa</v>
          </cell>
          <cell r="R1931">
            <v>0</v>
          </cell>
          <cell r="AZ1931">
            <v>0</v>
          </cell>
          <cell r="BA1931">
            <v>0</v>
          </cell>
          <cell r="BC1931" t="str">
            <v>PLATINUM</v>
          </cell>
          <cell r="BE1931" t="str">
            <v>Oct</v>
          </cell>
        </row>
        <row r="1932">
          <cell r="C1932" t="str">
            <v>Formosa</v>
          </cell>
          <cell r="R1932">
            <v>0</v>
          </cell>
          <cell r="AZ1932">
            <v>0</v>
          </cell>
          <cell r="BA1932">
            <v>0</v>
          </cell>
          <cell r="BC1932" t="str">
            <v>PLATINUM</v>
          </cell>
          <cell r="BE1932" t="str">
            <v>Nov</v>
          </cell>
        </row>
        <row r="1933">
          <cell r="C1933" t="str">
            <v>Formosa</v>
          </cell>
          <cell r="R1933">
            <v>0</v>
          </cell>
          <cell r="AZ1933">
            <v>0</v>
          </cell>
          <cell r="BA1933">
            <v>0</v>
          </cell>
          <cell r="BC1933" t="str">
            <v>PLATINUM</v>
          </cell>
          <cell r="BE1933" t="str">
            <v>Dec</v>
          </cell>
        </row>
        <row r="1934">
          <cell r="C1934" t="str">
            <v>Formosa</v>
          </cell>
          <cell r="R1934">
            <v>17500</v>
          </cell>
          <cell r="AZ1934">
            <v>-70000</v>
          </cell>
          <cell r="BA1934">
            <v>-9278.1686492007611</v>
          </cell>
          <cell r="BC1934" t="str">
            <v>PLATINUM</v>
          </cell>
          <cell r="BE1934" t="str">
            <v>Jan</v>
          </cell>
        </row>
        <row r="1935">
          <cell r="C1935" t="str">
            <v>Formosa</v>
          </cell>
          <cell r="R1935">
            <v>0</v>
          </cell>
          <cell r="AZ1935">
            <v>0</v>
          </cell>
          <cell r="BA1935">
            <v>0</v>
          </cell>
          <cell r="BC1935" t="str">
            <v>PLATINUM</v>
          </cell>
          <cell r="BE1935" t="str">
            <v>Feb</v>
          </cell>
        </row>
        <row r="1936">
          <cell r="C1936" t="str">
            <v>Formosa</v>
          </cell>
          <cell r="R1936">
            <v>0</v>
          </cell>
          <cell r="AZ1936">
            <v>0</v>
          </cell>
          <cell r="BA1936">
            <v>0</v>
          </cell>
          <cell r="BC1936" t="str">
            <v>PLATINUM</v>
          </cell>
          <cell r="BE1936" t="str">
            <v>Mar</v>
          </cell>
        </row>
        <row r="1937">
          <cell r="C1937" t="str">
            <v>Formosa</v>
          </cell>
          <cell r="R1937">
            <v>0</v>
          </cell>
          <cell r="AZ1937">
            <v>0</v>
          </cell>
          <cell r="BA1937">
            <v>0</v>
          </cell>
          <cell r="BC1937" t="str">
            <v>PLATINUM</v>
          </cell>
          <cell r="BE1937" t="str">
            <v>Apr</v>
          </cell>
        </row>
        <row r="1938">
          <cell r="C1938" t="str">
            <v>Formosa</v>
          </cell>
          <cell r="R1938">
            <v>0</v>
          </cell>
          <cell r="AZ1938">
            <v>0</v>
          </cell>
          <cell r="BA1938">
            <v>0</v>
          </cell>
          <cell r="BC1938" t="str">
            <v>PLATINUM</v>
          </cell>
          <cell r="BE1938" t="str">
            <v>May</v>
          </cell>
        </row>
        <row r="1939">
          <cell r="C1939" t="str">
            <v>Formosa</v>
          </cell>
          <cell r="R1939">
            <v>0</v>
          </cell>
          <cell r="AZ1939">
            <v>0</v>
          </cell>
          <cell r="BA1939">
            <v>0</v>
          </cell>
          <cell r="BC1939" t="str">
            <v>PLATINUM</v>
          </cell>
          <cell r="BE1939" t="str">
            <v>Jun</v>
          </cell>
        </row>
        <row r="1940">
          <cell r="C1940" t="str">
            <v>Formosa</v>
          </cell>
          <cell r="R1940">
            <v>0</v>
          </cell>
          <cell r="AZ1940">
            <v>0</v>
          </cell>
          <cell r="BA1940">
            <v>0</v>
          </cell>
          <cell r="BC1940" t="str">
            <v>PLATINUM</v>
          </cell>
          <cell r="BE1940" t="str">
            <v>Jul</v>
          </cell>
        </row>
        <row r="1941">
          <cell r="C1941" t="str">
            <v>Formosa</v>
          </cell>
          <cell r="R1941">
            <v>0</v>
          </cell>
          <cell r="AZ1941">
            <v>0</v>
          </cell>
          <cell r="BA1941">
            <v>0</v>
          </cell>
          <cell r="BC1941" t="str">
            <v>PLATINUM</v>
          </cell>
          <cell r="BE1941" t="str">
            <v>Aug</v>
          </cell>
        </row>
        <row r="1942">
          <cell r="C1942" t="str">
            <v>Formosa</v>
          </cell>
          <cell r="R1942">
            <v>0</v>
          </cell>
          <cell r="AZ1942">
            <v>0</v>
          </cell>
          <cell r="BA1942">
            <v>0</v>
          </cell>
          <cell r="BC1942" t="str">
            <v>PLATINUM</v>
          </cell>
          <cell r="BE1942" t="str">
            <v>Sep</v>
          </cell>
        </row>
        <row r="1943">
          <cell r="C1943" t="str">
            <v>Formosa</v>
          </cell>
          <cell r="R1943">
            <v>0</v>
          </cell>
          <cell r="AZ1943">
            <v>0</v>
          </cell>
          <cell r="BA1943">
            <v>0</v>
          </cell>
          <cell r="BC1943" t="str">
            <v>PLATINUM</v>
          </cell>
          <cell r="BE1943" t="str">
            <v>Oct</v>
          </cell>
        </row>
        <row r="1944">
          <cell r="C1944" t="str">
            <v>Formosa</v>
          </cell>
          <cell r="R1944">
            <v>0</v>
          </cell>
          <cell r="AZ1944">
            <v>0</v>
          </cell>
          <cell r="BA1944">
            <v>0</v>
          </cell>
          <cell r="BC1944" t="str">
            <v>PLATINUM</v>
          </cell>
          <cell r="BE1944" t="str">
            <v>Nov</v>
          </cell>
        </row>
        <row r="1945">
          <cell r="C1945" t="str">
            <v>Formosa</v>
          </cell>
          <cell r="R1945">
            <v>0</v>
          </cell>
          <cell r="AZ1945">
            <v>0</v>
          </cell>
          <cell r="BA1945">
            <v>0</v>
          </cell>
          <cell r="BC1945" t="str">
            <v>PLATINUM</v>
          </cell>
          <cell r="BE1945" t="str">
            <v>Dec</v>
          </cell>
        </row>
        <row r="1946">
          <cell r="C1946" t="str">
            <v>Hoping</v>
          </cell>
          <cell r="R1946">
            <v>56000</v>
          </cell>
          <cell r="AZ1946">
            <v>-196000</v>
          </cell>
          <cell r="BA1946">
            <v>-45876.988384444194</v>
          </cell>
          <cell r="BC1946" t="str">
            <v>PLATINUM</v>
          </cell>
          <cell r="BE1946" t="str">
            <v>Jan</v>
          </cell>
        </row>
        <row r="1947">
          <cell r="C1947" t="str">
            <v>Hoping</v>
          </cell>
          <cell r="R1947">
            <v>0</v>
          </cell>
          <cell r="AZ1947">
            <v>0</v>
          </cell>
          <cell r="BA1947">
            <v>0</v>
          </cell>
          <cell r="BC1947" t="str">
            <v>PLATINUM</v>
          </cell>
          <cell r="BE1947" t="str">
            <v>Feb</v>
          </cell>
        </row>
        <row r="1948">
          <cell r="C1948" t="str">
            <v>Hoping</v>
          </cell>
          <cell r="R1948">
            <v>0</v>
          </cell>
          <cell r="AZ1948">
            <v>0</v>
          </cell>
          <cell r="BA1948">
            <v>0</v>
          </cell>
          <cell r="BC1948" t="str">
            <v>PLATINUM</v>
          </cell>
          <cell r="BE1948" t="str">
            <v>Mar</v>
          </cell>
        </row>
        <row r="1949">
          <cell r="C1949" t="str">
            <v>Hoping</v>
          </cell>
          <cell r="R1949">
            <v>0</v>
          </cell>
          <cell r="AZ1949">
            <v>0</v>
          </cell>
          <cell r="BA1949">
            <v>0</v>
          </cell>
          <cell r="BC1949" t="str">
            <v>PLATINUM</v>
          </cell>
          <cell r="BE1949" t="str">
            <v>Apr</v>
          </cell>
        </row>
        <row r="1950">
          <cell r="C1950" t="str">
            <v>Hoping</v>
          </cell>
          <cell r="R1950">
            <v>0</v>
          </cell>
          <cell r="AZ1950">
            <v>0</v>
          </cell>
          <cell r="BA1950">
            <v>0</v>
          </cell>
          <cell r="BC1950" t="str">
            <v>PLATINUM</v>
          </cell>
          <cell r="BE1950" t="str">
            <v>May</v>
          </cell>
        </row>
        <row r="1951">
          <cell r="C1951" t="str">
            <v>Hoping</v>
          </cell>
          <cell r="R1951">
            <v>0</v>
          </cell>
          <cell r="AZ1951">
            <v>0</v>
          </cell>
          <cell r="BA1951">
            <v>0</v>
          </cell>
          <cell r="BC1951" t="str">
            <v>PLATINUM</v>
          </cell>
          <cell r="BE1951" t="str">
            <v>Jun</v>
          </cell>
        </row>
        <row r="1952">
          <cell r="C1952" t="str">
            <v>Hoping</v>
          </cell>
          <cell r="R1952">
            <v>0</v>
          </cell>
          <cell r="AZ1952">
            <v>0</v>
          </cell>
          <cell r="BA1952">
            <v>0</v>
          </cell>
          <cell r="BC1952" t="str">
            <v>PLATINUM</v>
          </cell>
          <cell r="BE1952" t="str">
            <v>Jul</v>
          </cell>
        </row>
        <row r="1953">
          <cell r="C1953" t="str">
            <v>Hoping</v>
          </cell>
          <cell r="R1953">
            <v>0</v>
          </cell>
          <cell r="AZ1953">
            <v>0</v>
          </cell>
          <cell r="BA1953">
            <v>0</v>
          </cell>
          <cell r="BC1953" t="str">
            <v>PLATINUM</v>
          </cell>
          <cell r="BE1953" t="str">
            <v>Aug</v>
          </cell>
        </row>
        <row r="1954">
          <cell r="C1954" t="str">
            <v>Hoping</v>
          </cell>
          <cell r="R1954">
            <v>0</v>
          </cell>
          <cell r="AZ1954">
            <v>0</v>
          </cell>
          <cell r="BA1954">
            <v>0</v>
          </cell>
          <cell r="BC1954" t="str">
            <v>PLATINUM</v>
          </cell>
          <cell r="BE1954" t="str">
            <v>Sep</v>
          </cell>
        </row>
        <row r="1955">
          <cell r="C1955" t="str">
            <v>Hoping</v>
          </cell>
          <cell r="R1955">
            <v>0</v>
          </cell>
          <cell r="AZ1955">
            <v>0</v>
          </cell>
          <cell r="BA1955">
            <v>0</v>
          </cell>
          <cell r="BC1955" t="str">
            <v>PLATINUM</v>
          </cell>
          <cell r="BE1955" t="str">
            <v>Oct</v>
          </cell>
        </row>
        <row r="1956">
          <cell r="C1956" t="str">
            <v>Hoping</v>
          </cell>
          <cell r="R1956">
            <v>0</v>
          </cell>
          <cell r="AZ1956">
            <v>0</v>
          </cell>
          <cell r="BA1956">
            <v>0</v>
          </cell>
          <cell r="BC1956" t="str">
            <v>PLATINUM</v>
          </cell>
          <cell r="BE1956" t="str">
            <v>Nov</v>
          </cell>
        </row>
        <row r="1957">
          <cell r="C1957" t="str">
            <v>Hoping</v>
          </cell>
          <cell r="R1957">
            <v>0</v>
          </cell>
          <cell r="AZ1957">
            <v>0</v>
          </cell>
          <cell r="BA1957">
            <v>0</v>
          </cell>
          <cell r="BC1957" t="str">
            <v>PLATINUM</v>
          </cell>
          <cell r="BE1957" t="str">
            <v>Dec</v>
          </cell>
        </row>
        <row r="1958">
          <cell r="C1958" t="str">
            <v>Hoping</v>
          </cell>
          <cell r="R1958">
            <v>13999.999999999996</v>
          </cell>
          <cell r="AZ1958">
            <v>-48999.999999999985</v>
          </cell>
          <cell r="BA1958">
            <v>-13171.043111618796</v>
          </cell>
          <cell r="BC1958" t="str">
            <v>PLATINUM</v>
          </cell>
          <cell r="BE1958" t="str">
            <v>Jan</v>
          </cell>
        </row>
        <row r="1959">
          <cell r="C1959" t="str">
            <v>Hoping</v>
          </cell>
          <cell r="R1959">
            <v>0</v>
          </cell>
          <cell r="AZ1959">
            <v>0</v>
          </cell>
          <cell r="BA1959">
            <v>0</v>
          </cell>
          <cell r="BC1959" t="str">
            <v>PLATINUM</v>
          </cell>
          <cell r="BE1959" t="str">
            <v>Feb</v>
          </cell>
        </row>
        <row r="1960">
          <cell r="C1960" t="str">
            <v>Hoping</v>
          </cell>
          <cell r="R1960">
            <v>0</v>
          </cell>
          <cell r="AZ1960">
            <v>0</v>
          </cell>
          <cell r="BA1960">
            <v>0</v>
          </cell>
          <cell r="BC1960" t="str">
            <v>PLATINUM</v>
          </cell>
          <cell r="BE1960" t="str">
            <v>Mar</v>
          </cell>
        </row>
        <row r="1961">
          <cell r="C1961" t="str">
            <v>Hoping</v>
          </cell>
          <cell r="R1961">
            <v>0</v>
          </cell>
          <cell r="AZ1961">
            <v>0</v>
          </cell>
          <cell r="BA1961">
            <v>0</v>
          </cell>
          <cell r="BC1961" t="str">
            <v>PLATINUM</v>
          </cell>
          <cell r="BE1961" t="str">
            <v>Apr</v>
          </cell>
        </row>
        <row r="1962">
          <cell r="C1962" t="str">
            <v>Hoping</v>
          </cell>
          <cell r="R1962">
            <v>0</v>
          </cell>
          <cell r="AZ1962">
            <v>0</v>
          </cell>
          <cell r="BA1962">
            <v>0</v>
          </cell>
          <cell r="BC1962" t="str">
            <v>PLATINUM</v>
          </cell>
          <cell r="BE1962" t="str">
            <v>May</v>
          </cell>
        </row>
        <row r="1963">
          <cell r="C1963" t="str">
            <v>Hoping</v>
          </cell>
          <cell r="R1963">
            <v>0</v>
          </cell>
          <cell r="AZ1963">
            <v>0</v>
          </cell>
          <cell r="BA1963">
            <v>0</v>
          </cell>
          <cell r="BC1963" t="str">
            <v>PLATINUM</v>
          </cell>
          <cell r="BE1963" t="str">
            <v>Jun</v>
          </cell>
        </row>
        <row r="1964">
          <cell r="C1964" t="str">
            <v>Hoping</v>
          </cell>
          <cell r="R1964">
            <v>0</v>
          </cell>
          <cell r="AZ1964">
            <v>0</v>
          </cell>
          <cell r="BA1964">
            <v>0</v>
          </cell>
          <cell r="BC1964" t="str">
            <v>PLATINUM</v>
          </cell>
          <cell r="BE1964" t="str">
            <v>Jul</v>
          </cell>
        </row>
        <row r="1965">
          <cell r="C1965" t="str">
            <v>Hoping</v>
          </cell>
          <cell r="R1965">
            <v>0</v>
          </cell>
          <cell r="AZ1965">
            <v>0</v>
          </cell>
          <cell r="BA1965">
            <v>0</v>
          </cell>
          <cell r="BC1965" t="str">
            <v>PLATINUM</v>
          </cell>
          <cell r="BE1965" t="str">
            <v>Aug</v>
          </cell>
        </row>
        <row r="1966">
          <cell r="C1966" t="str">
            <v>Hoping</v>
          </cell>
          <cell r="R1966">
            <v>0</v>
          </cell>
          <cell r="AZ1966">
            <v>0</v>
          </cell>
          <cell r="BA1966">
            <v>0</v>
          </cell>
          <cell r="BC1966" t="str">
            <v>PLATINUM</v>
          </cell>
          <cell r="BE1966" t="str">
            <v>Sep</v>
          </cell>
        </row>
        <row r="1967">
          <cell r="C1967" t="str">
            <v>Hoping</v>
          </cell>
          <cell r="R1967">
            <v>0</v>
          </cell>
          <cell r="AZ1967">
            <v>0</v>
          </cell>
          <cell r="BA1967">
            <v>0</v>
          </cell>
          <cell r="BC1967" t="str">
            <v>PLATINUM</v>
          </cell>
          <cell r="BE1967" t="str">
            <v>Oct</v>
          </cell>
        </row>
        <row r="1968">
          <cell r="C1968" t="str">
            <v>Hoping</v>
          </cell>
          <cell r="R1968">
            <v>0</v>
          </cell>
          <cell r="AZ1968">
            <v>0</v>
          </cell>
          <cell r="BA1968">
            <v>0</v>
          </cell>
          <cell r="BC1968" t="str">
            <v>PLATINUM</v>
          </cell>
          <cell r="BE1968" t="str">
            <v>Nov</v>
          </cell>
        </row>
        <row r="1969">
          <cell r="C1969" t="str">
            <v>Hoping</v>
          </cell>
          <cell r="R1969">
            <v>0</v>
          </cell>
          <cell r="AZ1969">
            <v>0</v>
          </cell>
          <cell r="BA1969">
            <v>0</v>
          </cell>
          <cell r="BC1969" t="str">
            <v>PLATINUM</v>
          </cell>
          <cell r="BE1969" t="str">
            <v>Dec</v>
          </cell>
        </row>
        <row r="1970">
          <cell r="C1970" t="str">
            <v>Hoping</v>
          </cell>
          <cell r="R1970">
            <v>0</v>
          </cell>
          <cell r="AZ1970">
            <v>0</v>
          </cell>
          <cell r="BA1970">
            <v>0</v>
          </cell>
          <cell r="BC1970" t="str">
            <v>PLATINUM</v>
          </cell>
          <cell r="BE1970" t="str">
            <v>Jan</v>
          </cell>
        </row>
        <row r="1971">
          <cell r="C1971" t="str">
            <v>Hoping</v>
          </cell>
          <cell r="R1971">
            <v>0</v>
          </cell>
          <cell r="AZ1971">
            <v>0</v>
          </cell>
          <cell r="BA1971">
            <v>0</v>
          </cell>
          <cell r="BC1971" t="str">
            <v>PLATINUM</v>
          </cell>
          <cell r="BE1971" t="str">
            <v>Feb</v>
          </cell>
        </row>
        <row r="1972">
          <cell r="C1972" t="str">
            <v>Hoping</v>
          </cell>
          <cell r="R1972">
            <v>56000</v>
          </cell>
          <cell r="AZ1972">
            <v>-196000</v>
          </cell>
          <cell r="BA1972">
            <v>-37085.290713085662</v>
          </cell>
          <cell r="BC1972" t="str">
            <v>PLATINUM</v>
          </cell>
          <cell r="BE1972" t="str">
            <v>Mar</v>
          </cell>
        </row>
        <row r="1973">
          <cell r="C1973" t="str">
            <v>Hoping</v>
          </cell>
          <cell r="R1973">
            <v>56000</v>
          </cell>
          <cell r="AZ1973">
            <v>-196000</v>
          </cell>
          <cell r="BA1973">
            <v>-37085.290713085662</v>
          </cell>
          <cell r="BC1973" t="str">
            <v>PLATINUM</v>
          </cell>
          <cell r="BE1973" t="str">
            <v>Apr</v>
          </cell>
        </row>
        <row r="1974">
          <cell r="C1974" t="str">
            <v>Hoping</v>
          </cell>
          <cell r="R1974">
            <v>56000</v>
          </cell>
          <cell r="AZ1974">
            <v>-196000</v>
          </cell>
          <cell r="BA1974">
            <v>-37085.290713085662</v>
          </cell>
          <cell r="BC1974" t="str">
            <v>PLATINUM</v>
          </cell>
          <cell r="BE1974" t="str">
            <v>May</v>
          </cell>
        </row>
        <row r="1975">
          <cell r="C1975" t="str">
            <v>Hoping</v>
          </cell>
          <cell r="R1975">
            <v>56000</v>
          </cell>
          <cell r="AZ1975">
            <v>-196000</v>
          </cell>
          <cell r="BA1975">
            <v>-37085.290713085662</v>
          </cell>
          <cell r="BC1975" t="str">
            <v>PLATINUM</v>
          </cell>
          <cell r="BE1975" t="str">
            <v>Jun</v>
          </cell>
        </row>
        <row r="1976">
          <cell r="C1976" t="str">
            <v>Hoping</v>
          </cell>
          <cell r="R1976">
            <v>0</v>
          </cell>
          <cell r="AZ1976">
            <v>0</v>
          </cell>
          <cell r="BA1976">
            <v>0</v>
          </cell>
          <cell r="BC1976" t="str">
            <v>PLATINUM</v>
          </cell>
          <cell r="BE1976" t="str">
            <v>Jul</v>
          </cell>
        </row>
        <row r="1977">
          <cell r="C1977" t="str">
            <v>Hoping</v>
          </cell>
          <cell r="R1977">
            <v>0</v>
          </cell>
          <cell r="AZ1977">
            <v>0</v>
          </cell>
          <cell r="BA1977">
            <v>0</v>
          </cell>
          <cell r="BC1977" t="str">
            <v>PLATINUM</v>
          </cell>
          <cell r="BE1977" t="str">
            <v>Aug</v>
          </cell>
        </row>
        <row r="1978">
          <cell r="C1978" t="str">
            <v>Hoping</v>
          </cell>
          <cell r="R1978">
            <v>0</v>
          </cell>
          <cell r="AZ1978">
            <v>0</v>
          </cell>
          <cell r="BA1978">
            <v>0</v>
          </cell>
          <cell r="BC1978" t="str">
            <v>PLATINUM</v>
          </cell>
          <cell r="BE1978" t="str">
            <v>Sep</v>
          </cell>
        </row>
        <row r="1979">
          <cell r="C1979" t="str">
            <v>Hoping</v>
          </cell>
          <cell r="R1979">
            <v>0</v>
          </cell>
          <cell r="AZ1979">
            <v>0</v>
          </cell>
          <cell r="BA1979">
            <v>0</v>
          </cell>
          <cell r="BC1979" t="str">
            <v>PLATINUM</v>
          </cell>
          <cell r="BE1979" t="str">
            <v>Oct</v>
          </cell>
        </row>
        <row r="1980">
          <cell r="C1980" t="str">
            <v>Hoping</v>
          </cell>
          <cell r="R1980">
            <v>0</v>
          </cell>
          <cell r="AZ1980">
            <v>0</v>
          </cell>
          <cell r="BA1980">
            <v>0</v>
          </cell>
          <cell r="BC1980" t="str">
            <v>PLATINUM</v>
          </cell>
          <cell r="BE1980" t="str">
            <v>Nov</v>
          </cell>
        </row>
        <row r="1981">
          <cell r="C1981" t="str">
            <v>Hoping</v>
          </cell>
          <cell r="R1981">
            <v>0</v>
          </cell>
          <cell r="AZ1981">
            <v>0</v>
          </cell>
          <cell r="BA1981">
            <v>0</v>
          </cell>
          <cell r="BC1981" t="str">
            <v>PLATINUM</v>
          </cell>
          <cell r="BE1981" t="str">
            <v>Dec</v>
          </cell>
        </row>
        <row r="1982">
          <cell r="C1982" t="str">
            <v>Hoping</v>
          </cell>
          <cell r="R1982">
            <v>0</v>
          </cell>
          <cell r="AZ1982">
            <v>0</v>
          </cell>
          <cell r="BA1982">
            <v>0</v>
          </cell>
          <cell r="BC1982" t="str">
            <v>PLATINUM</v>
          </cell>
          <cell r="BE1982" t="str">
            <v>Jan</v>
          </cell>
        </row>
        <row r="1983">
          <cell r="C1983" t="str">
            <v>Hoping</v>
          </cell>
          <cell r="R1983">
            <v>0</v>
          </cell>
          <cell r="AZ1983">
            <v>0</v>
          </cell>
          <cell r="BA1983">
            <v>0</v>
          </cell>
          <cell r="BC1983" t="str">
            <v>PLATINUM</v>
          </cell>
          <cell r="BE1983" t="str">
            <v>Feb</v>
          </cell>
        </row>
        <row r="1984">
          <cell r="C1984" t="str">
            <v>Hoping</v>
          </cell>
          <cell r="R1984">
            <v>13999.999999999996</v>
          </cell>
          <cell r="AZ1984">
            <v>-48999.999999999985</v>
          </cell>
          <cell r="BA1984">
            <v>-10646.992751481263</v>
          </cell>
          <cell r="BC1984" t="str">
            <v>PLATINUM</v>
          </cell>
          <cell r="BE1984" t="str">
            <v>Mar</v>
          </cell>
        </row>
        <row r="1985">
          <cell r="C1985" t="str">
            <v>Hoping</v>
          </cell>
          <cell r="R1985">
            <v>13999.999999999996</v>
          </cell>
          <cell r="AZ1985">
            <v>-48999.999999999985</v>
          </cell>
          <cell r="BA1985">
            <v>-10646.992751481263</v>
          </cell>
          <cell r="BC1985" t="str">
            <v>PLATINUM</v>
          </cell>
          <cell r="BE1985" t="str">
            <v>Apr</v>
          </cell>
        </row>
        <row r="1986">
          <cell r="C1986" t="str">
            <v>Hoping</v>
          </cell>
          <cell r="R1986">
            <v>13999.999999999996</v>
          </cell>
          <cell r="AZ1986">
            <v>-48999.999999999985</v>
          </cell>
          <cell r="BA1986">
            <v>-10646.992751481263</v>
          </cell>
          <cell r="BC1986" t="str">
            <v>PLATINUM</v>
          </cell>
          <cell r="BE1986" t="str">
            <v>May</v>
          </cell>
        </row>
        <row r="1987">
          <cell r="C1987" t="str">
            <v>Hoping</v>
          </cell>
          <cell r="R1987">
            <v>13999.999999999996</v>
          </cell>
          <cell r="AZ1987">
            <v>-48999.999999999985</v>
          </cell>
          <cell r="BA1987">
            <v>-10646.992751481263</v>
          </cell>
          <cell r="BC1987" t="str">
            <v>PLATINUM</v>
          </cell>
          <cell r="BE1987" t="str">
            <v>Jun</v>
          </cell>
        </row>
        <row r="1988">
          <cell r="C1988" t="str">
            <v>Hoping</v>
          </cell>
          <cell r="R1988">
            <v>0</v>
          </cell>
          <cell r="AZ1988">
            <v>0</v>
          </cell>
          <cell r="BA1988">
            <v>0</v>
          </cell>
          <cell r="BC1988" t="str">
            <v>PLATINUM</v>
          </cell>
          <cell r="BE1988" t="str">
            <v>Jul</v>
          </cell>
        </row>
        <row r="1989">
          <cell r="C1989" t="str">
            <v>Hoping</v>
          </cell>
          <cell r="R1989">
            <v>0</v>
          </cell>
          <cell r="AZ1989">
            <v>0</v>
          </cell>
          <cell r="BA1989">
            <v>0</v>
          </cell>
          <cell r="BC1989" t="str">
            <v>PLATINUM</v>
          </cell>
          <cell r="BE1989" t="str">
            <v>Aug</v>
          </cell>
        </row>
        <row r="1990">
          <cell r="C1990" t="str">
            <v>Hoping</v>
          </cell>
          <cell r="R1990">
            <v>0</v>
          </cell>
          <cell r="AZ1990">
            <v>0</v>
          </cell>
          <cell r="BA1990">
            <v>0</v>
          </cell>
          <cell r="BC1990" t="str">
            <v>PLATINUM</v>
          </cell>
          <cell r="BE1990" t="str">
            <v>Sep</v>
          </cell>
        </row>
        <row r="1991">
          <cell r="C1991" t="str">
            <v>Hoping</v>
          </cell>
          <cell r="R1991">
            <v>0</v>
          </cell>
          <cell r="AZ1991">
            <v>0</v>
          </cell>
          <cell r="BA1991">
            <v>0</v>
          </cell>
          <cell r="BC1991" t="str">
            <v>PLATINUM</v>
          </cell>
          <cell r="BE1991" t="str">
            <v>Oct</v>
          </cell>
        </row>
        <row r="1992">
          <cell r="C1992" t="str">
            <v>Hoping</v>
          </cell>
          <cell r="R1992">
            <v>0</v>
          </cell>
          <cell r="AZ1992">
            <v>0</v>
          </cell>
          <cell r="BA1992">
            <v>0</v>
          </cell>
          <cell r="BC1992" t="str">
            <v>PLATINUM</v>
          </cell>
          <cell r="BE1992" t="str">
            <v>Nov</v>
          </cell>
        </row>
        <row r="1993">
          <cell r="C1993" t="str">
            <v>Hoping</v>
          </cell>
          <cell r="R1993">
            <v>0</v>
          </cell>
          <cell r="AZ1993">
            <v>0</v>
          </cell>
          <cell r="BA1993">
            <v>0</v>
          </cell>
          <cell r="BC1993" t="str">
            <v>PLATINUM</v>
          </cell>
          <cell r="BE1993" t="str">
            <v>Dec</v>
          </cell>
        </row>
        <row r="1994">
          <cell r="C1994" t="str">
            <v>Hoping</v>
          </cell>
          <cell r="R1994">
            <v>0</v>
          </cell>
          <cell r="AZ1994">
            <v>0</v>
          </cell>
          <cell r="BA1994">
            <v>0</v>
          </cell>
          <cell r="BC1994" t="str">
            <v>PLATINUM</v>
          </cell>
          <cell r="BE1994" t="str">
            <v>Jan</v>
          </cell>
        </row>
        <row r="1995">
          <cell r="C1995" t="str">
            <v>Hoping</v>
          </cell>
          <cell r="R1995">
            <v>0</v>
          </cell>
          <cell r="AZ1995">
            <v>0</v>
          </cell>
          <cell r="BA1995">
            <v>0</v>
          </cell>
          <cell r="BC1995" t="str">
            <v>PLATINUM</v>
          </cell>
          <cell r="BE1995" t="str">
            <v>Feb</v>
          </cell>
        </row>
        <row r="1996">
          <cell r="C1996" t="str">
            <v>Hoping</v>
          </cell>
          <cell r="R1996">
            <v>0</v>
          </cell>
          <cell r="AZ1996">
            <v>0</v>
          </cell>
          <cell r="BA1996">
            <v>0</v>
          </cell>
          <cell r="BC1996" t="str">
            <v>PLATINUM</v>
          </cell>
          <cell r="BE1996" t="str">
            <v>Mar</v>
          </cell>
        </row>
        <row r="1997">
          <cell r="C1997" t="str">
            <v>Hoping</v>
          </cell>
          <cell r="R1997">
            <v>0</v>
          </cell>
          <cell r="AZ1997">
            <v>0</v>
          </cell>
          <cell r="BA1997">
            <v>0</v>
          </cell>
          <cell r="BC1997" t="str">
            <v>PLATINUM</v>
          </cell>
          <cell r="BE1997" t="str">
            <v>Apr</v>
          </cell>
        </row>
        <row r="1998">
          <cell r="C1998" t="str">
            <v>Hoping</v>
          </cell>
          <cell r="R1998">
            <v>0</v>
          </cell>
          <cell r="AZ1998">
            <v>0</v>
          </cell>
          <cell r="BA1998">
            <v>0</v>
          </cell>
          <cell r="BC1998" t="str">
            <v>PLATINUM</v>
          </cell>
          <cell r="BE1998" t="str">
            <v>May</v>
          </cell>
        </row>
        <row r="1999">
          <cell r="C1999" t="str">
            <v>Hoping</v>
          </cell>
          <cell r="R1999">
            <v>0</v>
          </cell>
          <cell r="AZ1999">
            <v>0</v>
          </cell>
          <cell r="BA1999">
            <v>0</v>
          </cell>
          <cell r="BC1999" t="str">
            <v>PLATINUM</v>
          </cell>
          <cell r="BE1999" t="str">
            <v>Jun</v>
          </cell>
        </row>
        <row r="2000">
          <cell r="C2000" t="str">
            <v>Hoping</v>
          </cell>
          <cell r="R2000">
            <v>56000</v>
          </cell>
          <cell r="AZ2000">
            <v>-196000</v>
          </cell>
          <cell r="BA2000">
            <v>-37134.921733303221</v>
          </cell>
          <cell r="BC2000" t="str">
            <v>PLATINUM</v>
          </cell>
          <cell r="BE2000" t="str">
            <v>Jul</v>
          </cell>
        </row>
        <row r="2001">
          <cell r="C2001" t="str">
            <v>Hoping</v>
          </cell>
          <cell r="R2001">
            <v>0</v>
          </cell>
          <cell r="AZ2001">
            <v>0</v>
          </cell>
          <cell r="BA2001">
            <v>0</v>
          </cell>
          <cell r="BC2001" t="str">
            <v>PLATINUM</v>
          </cell>
          <cell r="BE2001" t="str">
            <v>Aug</v>
          </cell>
        </row>
        <row r="2002">
          <cell r="C2002" t="str">
            <v>Hoping</v>
          </cell>
          <cell r="R2002">
            <v>56000</v>
          </cell>
          <cell r="AZ2002">
            <v>-196000</v>
          </cell>
          <cell r="BA2002">
            <v>-37134.921733303221</v>
          </cell>
          <cell r="BC2002" t="str">
            <v>PLATINUM</v>
          </cell>
          <cell r="BE2002" t="str">
            <v>Sep</v>
          </cell>
        </row>
        <row r="2003">
          <cell r="C2003" t="str">
            <v>Hoping</v>
          </cell>
          <cell r="R2003">
            <v>56000</v>
          </cell>
          <cell r="AZ2003">
            <v>-196000</v>
          </cell>
          <cell r="BA2003">
            <v>-37134.921733303221</v>
          </cell>
          <cell r="BC2003" t="str">
            <v>PLATINUM</v>
          </cell>
          <cell r="BE2003" t="str">
            <v>Oct</v>
          </cell>
        </row>
        <row r="2004">
          <cell r="C2004" t="str">
            <v>Hoping</v>
          </cell>
          <cell r="R2004">
            <v>0</v>
          </cell>
          <cell r="AZ2004">
            <v>0</v>
          </cell>
          <cell r="BA2004">
            <v>0</v>
          </cell>
          <cell r="BC2004" t="str">
            <v>PLATINUM</v>
          </cell>
          <cell r="BE2004" t="str">
            <v>Nov</v>
          </cell>
        </row>
        <row r="2005">
          <cell r="C2005" t="str">
            <v>Hoping</v>
          </cell>
          <cell r="R2005">
            <v>56000</v>
          </cell>
          <cell r="AZ2005">
            <v>-196000</v>
          </cell>
          <cell r="BA2005">
            <v>-37134.921733303221</v>
          </cell>
          <cell r="BC2005" t="str">
            <v>PLATINUM</v>
          </cell>
          <cell r="BE2005" t="str">
            <v>Dec</v>
          </cell>
        </row>
        <row r="2006">
          <cell r="C2006" t="str">
            <v>Hoping</v>
          </cell>
          <cell r="R2006">
            <v>0</v>
          </cell>
          <cell r="AZ2006">
            <v>0</v>
          </cell>
          <cell r="BA2006">
            <v>0</v>
          </cell>
          <cell r="BC2006" t="str">
            <v>PLATINUM</v>
          </cell>
          <cell r="BE2006" t="str">
            <v>Jan</v>
          </cell>
        </row>
        <row r="2007">
          <cell r="C2007" t="str">
            <v>Hoping</v>
          </cell>
          <cell r="R2007">
            <v>0</v>
          </cell>
          <cell r="AZ2007">
            <v>0</v>
          </cell>
          <cell r="BA2007">
            <v>0</v>
          </cell>
          <cell r="BC2007" t="str">
            <v>PLATINUM</v>
          </cell>
          <cell r="BE2007" t="str">
            <v>Feb</v>
          </cell>
        </row>
        <row r="2008">
          <cell r="C2008" t="str">
            <v>Hoping</v>
          </cell>
          <cell r="R2008">
            <v>0</v>
          </cell>
          <cell r="AZ2008">
            <v>0</v>
          </cell>
          <cell r="BA2008">
            <v>0</v>
          </cell>
          <cell r="BC2008" t="str">
            <v>PLATINUM</v>
          </cell>
          <cell r="BE2008" t="str">
            <v>Mar</v>
          </cell>
        </row>
        <row r="2009">
          <cell r="C2009" t="str">
            <v>Hoping</v>
          </cell>
          <cell r="R2009">
            <v>0</v>
          </cell>
          <cell r="AZ2009">
            <v>0</v>
          </cell>
          <cell r="BA2009">
            <v>0</v>
          </cell>
          <cell r="BC2009" t="str">
            <v>PLATINUM</v>
          </cell>
          <cell r="BE2009" t="str">
            <v>Apr</v>
          </cell>
        </row>
        <row r="2010">
          <cell r="C2010" t="str">
            <v>Hoping</v>
          </cell>
          <cell r="R2010">
            <v>0</v>
          </cell>
          <cell r="AZ2010">
            <v>0</v>
          </cell>
          <cell r="BA2010">
            <v>0</v>
          </cell>
          <cell r="BC2010" t="str">
            <v>PLATINUM</v>
          </cell>
          <cell r="BE2010" t="str">
            <v>May</v>
          </cell>
        </row>
        <row r="2011">
          <cell r="C2011" t="str">
            <v>Hoping</v>
          </cell>
          <cell r="R2011">
            <v>0</v>
          </cell>
          <cell r="AZ2011">
            <v>0</v>
          </cell>
          <cell r="BA2011">
            <v>0</v>
          </cell>
          <cell r="BC2011" t="str">
            <v>PLATINUM</v>
          </cell>
          <cell r="BE2011" t="str">
            <v>Jun</v>
          </cell>
        </row>
        <row r="2012">
          <cell r="C2012" t="str">
            <v>Hoping</v>
          </cell>
          <cell r="R2012">
            <v>13999.999999999996</v>
          </cell>
          <cell r="AZ2012">
            <v>-48999.999999999985</v>
          </cell>
          <cell r="BA2012">
            <v>-10597.3617312637</v>
          </cell>
          <cell r="BC2012" t="str">
            <v>PLATINUM</v>
          </cell>
          <cell r="BE2012" t="str">
            <v>Jul</v>
          </cell>
        </row>
        <row r="2013">
          <cell r="C2013" t="str">
            <v>Hoping</v>
          </cell>
          <cell r="R2013">
            <v>0</v>
          </cell>
          <cell r="AZ2013">
            <v>0</v>
          </cell>
          <cell r="BA2013">
            <v>0</v>
          </cell>
          <cell r="BC2013" t="str">
            <v>PLATINUM</v>
          </cell>
          <cell r="BE2013" t="str">
            <v>Aug</v>
          </cell>
        </row>
        <row r="2014">
          <cell r="C2014" t="str">
            <v>Hoping</v>
          </cell>
          <cell r="R2014">
            <v>13999.999999999996</v>
          </cell>
          <cell r="AZ2014">
            <v>-48999.999999999985</v>
          </cell>
          <cell r="BA2014">
            <v>-10597.3617312637</v>
          </cell>
          <cell r="BC2014" t="str">
            <v>PLATINUM</v>
          </cell>
          <cell r="BE2014" t="str">
            <v>Sep</v>
          </cell>
        </row>
        <row r="2015">
          <cell r="C2015" t="str">
            <v>Hoping</v>
          </cell>
          <cell r="R2015">
            <v>13999.999999999996</v>
          </cell>
          <cell r="AZ2015">
            <v>-48999.999999999985</v>
          </cell>
          <cell r="BA2015">
            <v>-10597.3617312637</v>
          </cell>
          <cell r="BC2015" t="str">
            <v>PLATINUM</v>
          </cell>
          <cell r="BE2015" t="str">
            <v>Oct</v>
          </cell>
        </row>
        <row r="2016">
          <cell r="C2016" t="str">
            <v>Hoping</v>
          </cell>
          <cell r="R2016">
            <v>0</v>
          </cell>
          <cell r="AZ2016">
            <v>0</v>
          </cell>
          <cell r="BA2016">
            <v>0</v>
          </cell>
          <cell r="BC2016" t="str">
            <v>PLATINUM</v>
          </cell>
          <cell r="BE2016" t="str">
            <v>Nov</v>
          </cell>
        </row>
        <row r="2017">
          <cell r="C2017" t="str">
            <v>Hoping</v>
          </cell>
          <cell r="R2017">
            <v>13999.999999999996</v>
          </cell>
          <cell r="AZ2017">
            <v>-48999.999999999985</v>
          </cell>
          <cell r="BA2017">
            <v>-10597.3617312637</v>
          </cell>
          <cell r="BC2017" t="str">
            <v>PLATINUM</v>
          </cell>
          <cell r="BE2017" t="str">
            <v>Dec</v>
          </cell>
        </row>
        <row r="2018">
          <cell r="C2018" t="str">
            <v>Hoping</v>
          </cell>
          <cell r="R2018">
            <v>0</v>
          </cell>
          <cell r="AZ2018">
            <v>0</v>
          </cell>
          <cell r="BA2018">
            <v>0</v>
          </cell>
          <cell r="BC2018" t="str">
            <v>PLATINUM</v>
          </cell>
          <cell r="BE2018" t="str">
            <v>Jan</v>
          </cell>
        </row>
        <row r="2019">
          <cell r="C2019" t="str">
            <v>Hoping</v>
          </cell>
          <cell r="R2019">
            <v>0</v>
          </cell>
          <cell r="AZ2019">
            <v>0</v>
          </cell>
          <cell r="BA2019">
            <v>0</v>
          </cell>
          <cell r="BC2019" t="str">
            <v>PLATINUM</v>
          </cell>
          <cell r="BE2019" t="str">
            <v>Feb</v>
          </cell>
        </row>
        <row r="2020">
          <cell r="C2020" t="str">
            <v>Hoping</v>
          </cell>
          <cell r="R2020">
            <v>0</v>
          </cell>
          <cell r="AZ2020">
            <v>0</v>
          </cell>
          <cell r="BA2020">
            <v>0</v>
          </cell>
          <cell r="BC2020" t="str">
            <v>PLATINUM</v>
          </cell>
          <cell r="BE2020" t="str">
            <v>Mar</v>
          </cell>
        </row>
        <row r="2021">
          <cell r="C2021" t="str">
            <v>Hoping</v>
          </cell>
          <cell r="R2021">
            <v>0</v>
          </cell>
          <cell r="AZ2021">
            <v>0</v>
          </cell>
          <cell r="BA2021">
            <v>0</v>
          </cell>
          <cell r="BC2021" t="str">
            <v>PLATINUM</v>
          </cell>
          <cell r="BE2021" t="str">
            <v>Apr</v>
          </cell>
        </row>
        <row r="2022">
          <cell r="C2022" t="str">
            <v>Hoping</v>
          </cell>
          <cell r="R2022">
            <v>0</v>
          </cell>
          <cell r="AZ2022">
            <v>0</v>
          </cell>
          <cell r="BA2022">
            <v>0</v>
          </cell>
          <cell r="BC2022" t="str">
            <v>PLATINUM</v>
          </cell>
          <cell r="BE2022" t="str">
            <v>May</v>
          </cell>
        </row>
        <row r="2023">
          <cell r="C2023" t="str">
            <v>Hoping</v>
          </cell>
          <cell r="R2023">
            <v>0</v>
          </cell>
          <cell r="AZ2023">
            <v>0</v>
          </cell>
          <cell r="BA2023">
            <v>0</v>
          </cell>
          <cell r="BC2023" t="str">
            <v>PLATINUM</v>
          </cell>
          <cell r="BE2023" t="str">
            <v>Jun</v>
          </cell>
        </row>
        <row r="2024">
          <cell r="C2024" t="str">
            <v>Hoping</v>
          </cell>
          <cell r="R2024">
            <v>0</v>
          </cell>
          <cell r="AZ2024">
            <v>0</v>
          </cell>
          <cell r="BA2024">
            <v>0</v>
          </cell>
          <cell r="BC2024" t="str">
            <v>PLATINUM</v>
          </cell>
          <cell r="BE2024" t="str">
            <v>Jul</v>
          </cell>
        </row>
        <row r="2025">
          <cell r="C2025" t="str">
            <v>Hoping</v>
          </cell>
          <cell r="R2025">
            <v>0</v>
          </cell>
          <cell r="AZ2025">
            <v>0</v>
          </cell>
          <cell r="BA2025">
            <v>0</v>
          </cell>
          <cell r="BC2025" t="str">
            <v>PLATINUM</v>
          </cell>
          <cell r="BE2025" t="str">
            <v>Aug</v>
          </cell>
        </row>
        <row r="2026">
          <cell r="C2026" t="str">
            <v>Hoping</v>
          </cell>
          <cell r="R2026">
            <v>0</v>
          </cell>
          <cell r="AZ2026">
            <v>0</v>
          </cell>
          <cell r="BA2026">
            <v>0</v>
          </cell>
          <cell r="BC2026" t="str">
            <v>PLATINUM</v>
          </cell>
          <cell r="BE2026" t="str">
            <v>Sep</v>
          </cell>
        </row>
        <row r="2027">
          <cell r="C2027" t="str">
            <v>Hoping</v>
          </cell>
          <cell r="R2027">
            <v>0</v>
          </cell>
          <cell r="AZ2027">
            <v>0</v>
          </cell>
          <cell r="BA2027">
            <v>0</v>
          </cell>
          <cell r="BC2027" t="str">
            <v>PLATINUM</v>
          </cell>
          <cell r="BE2027" t="str">
            <v>Oct</v>
          </cell>
        </row>
        <row r="2028">
          <cell r="C2028" t="str">
            <v>Hoping</v>
          </cell>
          <cell r="R2028">
            <v>0</v>
          </cell>
          <cell r="AZ2028">
            <v>0</v>
          </cell>
          <cell r="BA2028">
            <v>0</v>
          </cell>
          <cell r="BC2028" t="str">
            <v>PLATINUM</v>
          </cell>
          <cell r="BE2028" t="str">
            <v>Nov</v>
          </cell>
        </row>
        <row r="2029">
          <cell r="C2029" t="str">
            <v>Hoping</v>
          </cell>
          <cell r="R2029">
            <v>0</v>
          </cell>
          <cell r="AZ2029">
            <v>0</v>
          </cell>
          <cell r="BA2029">
            <v>0</v>
          </cell>
          <cell r="BC2029" t="str">
            <v>PLATINUM</v>
          </cell>
          <cell r="BE2029" t="str">
            <v>Dec</v>
          </cell>
        </row>
        <row r="2030">
          <cell r="C2030" t="str">
            <v>Hoping</v>
          </cell>
          <cell r="R2030">
            <v>0</v>
          </cell>
          <cell r="AZ2030">
            <v>0</v>
          </cell>
          <cell r="BA2030">
            <v>0</v>
          </cell>
          <cell r="BC2030" t="str">
            <v>PLATINUM</v>
          </cell>
          <cell r="BE2030" t="str">
            <v>Jan</v>
          </cell>
        </row>
        <row r="2031">
          <cell r="C2031" t="str">
            <v>Hoping</v>
          </cell>
          <cell r="R2031">
            <v>0</v>
          </cell>
          <cell r="AZ2031">
            <v>0</v>
          </cell>
          <cell r="BA2031">
            <v>0</v>
          </cell>
          <cell r="BC2031" t="str">
            <v>PLATINUM</v>
          </cell>
          <cell r="BE2031" t="str">
            <v>Feb</v>
          </cell>
        </row>
        <row r="2032">
          <cell r="C2032" t="str">
            <v>Hoping</v>
          </cell>
          <cell r="R2032">
            <v>0</v>
          </cell>
          <cell r="AZ2032">
            <v>0</v>
          </cell>
          <cell r="BA2032">
            <v>0</v>
          </cell>
          <cell r="BC2032" t="str">
            <v>PLATINUM</v>
          </cell>
          <cell r="BE2032" t="str">
            <v>Mar</v>
          </cell>
        </row>
        <row r="2033">
          <cell r="C2033" t="str">
            <v>Hoping</v>
          </cell>
          <cell r="R2033">
            <v>0</v>
          </cell>
          <cell r="AZ2033">
            <v>0</v>
          </cell>
          <cell r="BA2033">
            <v>0</v>
          </cell>
          <cell r="BC2033" t="str">
            <v>PLATINUM</v>
          </cell>
          <cell r="BE2033" t="str">
            <v>Apr</v>
          </cell>
        </row>
        <row r="2034">
          <cell r="C2034" t="str">
            <v>Hoping</v>
          </cell>
          <cell r="R2034">
            <v>0</v>
          </cell>
          <cell r="AZ2034">
            <v>0</v>
          </cell>
          <cell r="BA2034">
            <v>0</v>
          </cell>
          <cell r="BC2034" t="str">
            <v>PLATINUM</v>
          </cell>
          <cell r="BE2034" t="str">
            <v>May</v>
          </cell>
        </row>
        <row r="2035">
          <cell r="C2035" t="str">
            <v>Hoping</v>
          </cell>
          <cell r="R2035">
            <v>0</v>
          </cell>
          <cell r="AZ2035">
            <v>0</v>
          </cell>
          <cell r="BA2035">
            <v>0</v>
          </cell>
          <cell r="BC2035" t="str">
            <v>PLATINUM</v>
          </cell>
          <cell r="BE2035" t="str">
            <v>Jun</v>
          </cell>
        </row>
        <row r="2036">
          <cell r="C2036" t="str">
            <v>Hoping</v>
          </cell>
          <cell r="R2036">
            <v>0</v>
          </cell>
          <cell r="AZ2036">
            <v>0</v>
          </cell>
          <cell r="BA2036">
            <v>0</v>
          </cell>
          <cell r="BC2036" t="str">
            <v>PLATINUM</v>
          </cell>
          <cell r="BE2036" t="str">
            <v>Jul</v>
          </cell>
        </row>
        <row r="2037">
          <cell r="C2037" t="str">
            <v>Hoping</v>
          </cell>
          <cell r="R2037">
            <v>0</v>
          </cell>
          <cell r="AZ2037">
            <v>0</v>
          </cell>
          <cell r="BA2037">
            <v>0</v>
          </cell>
          <cell r="BC2037" t="str">
            <v>PLATINUM</v>
          </cell>
          <cell r="BE2037" t="str">
            <v>Aug</v>
          </cell>
        </row>
        <row r="2038">
          <cell r="C2038" t="str">
            <v>Hoping</v>
          </cell>
          <cell r="R2038">
            <v>0</v>
          </cell>
          <cell r="AZ2038">
            <v>0</v>
          </cell>
          <cell r="BA2038">
            <v>0</v>
          </cell>
          <cell r="BC2038" t="str">
            <v>PLATINUM</v>
          </cell>
          <cell r="BE2038" t="str">
            <v>Sep</v>
          </cell>
        </row>
        <row r="2039">
          <cell r="C2039" t="str">
            <v>Hoping</v>
          </cell>
          <cell r="R2039">
            <v>0</v>
          </cell>
          <cell r="AZ2039">
            <v>0</v>
          </cell>
          <cell r="BA2039">
            <v>0</v>
          </cell>
          <cell r="BC2039" t="str">
            <v>PLATINUM</v>
          </cell>
          <cell r="BE2039" t="str">
            <v>Oct</v>
          </cell>
        </row>
        <row r="2040">
          <cell r="C2040" t="str">
            <v>Hoping</v>
          </cell>
          <cell r="R2040">
            <v>0</v>
          </cell>
          <cell r="AZ2040">
            <v>0</v>
          </cell>
          <cell r="BA2040">
            <v>0</v>
          </cell>
          <cell r="BC2040" t="str">
            <v>PLATINUM</v>
          </cell>
          <cell r="BE2040" t="str">
            <v>Nov</v>
          </cell>
        </row>
        <row r="2041">
          <cell r="C2041" t="str">
            <v>Hoping</v>
          </cell>
          <cell r="R2041">
            <v>0</v>
          </cell>
          <cell r="AZ2041">
            <v>0</v>
          </cell>
          <cell r="BA2041">
            <v>0</v>
          </cell>
          <cell r="BC2041" t="str">
            <v>PLATINUM</v>
          </cell>
          <cell r="BE2041" t="str">
            <v>Dec</v>
          </cell>
        </row>
        <row r="2042">
          <cell r="C2042" t="str">
            <v>Adani</v>
          </cell>
          <cell r="R2042">
            <v>0</v>
          </cell>
          <cell r="AZ2042">
            <v>0</v>
          </cell>
          <cell r="BA2042">
            <v>0</v>
          </cell>
          <cell r="BC2042" t="str">
            <v>OTHERS</v>
          </cell>
          <cell r="BE2042" t="str">
            <v>Jan</v>
          </cell>
        </row>
        <row r="2043">
          <cell r="C2043" t="str">
            <v>Adani</v>
          </cell>
          <cell r="R2043">
            <v>0</v>
          </cell>
          <cell r="AZ2043">
            <v>0</v>
          </cell>
          <cell r="BA2043">
            <v>0</v>
          </cell>
          <cell r="BC2043" t="str">
            <v>OTHERS</v>
          </cell>
          <cell r="BE2043" t="str">
            <v>Feb</v>
          </cell>
        </row>
        <row r="2044">
          <cell r="C2044" t="str">
            <v>Adani</v>
          </cell>
          <cell r="R2044">
            <v>0</v>
          </cell>
          <cell r="AZ2044">
            <v>0</v>
          </cell>
          <cell r="BA2044">
            <v>0</v>
          </cell>
          <cell r="BC2044" t="str">
            <v>OTHERS</v>
          </cell>
          <cell r="BE2044" t="str">
            <v>Mar</v>
          </cell>
        </row>
        <row r="2045">
          <cell r="C2045" t="str">
            <v>Adani</v>
          </cell>
          <cell r="R2045">
            <v>0</v>
          </cell>
          <cell r="AZ2045">
            <v>0</v>
          </cell>
          <cell r="BA2045">
            <v>0</v>
          </cell>
          <cell r="BC2045" t="str">
            <v>OTHERS</v>
          </cell>
          <cell r="BE2045" t="str">
            <v>Apr</v>
          </cell>
        </row>
        <row r="2046">
          <cell r="C2046" t="str">
            <v>Adani</v>
          </cell>
          <cell r="R2046">
            <v>0</v>
          </cell>
          <cell r="AZ2046">
            <v>0</v>
          </cell>
          <cell r="BA2046">
            <v>0</v>
          </cell>
          <cell r="BC2046" t="str">
            <v>OTHERS</v>
          </cell>
          <cell r="BE2046" t="str">
            <v>May</v>
          </cell>
        </row>
        <row r="2047">
          <cell r="C2047" t="str">
            <v>Adani</v>
          </cell>
          <cell r="R2047">
            <v>0</v>
          </cell>
          <cell r="AZ2047">
            <v>0</v>
          </cell>
          <cell r="BA2047">
            <v>0</v>
          </cell>
          <cell r="BC2047" t="str">
            <v>OTHERS</v>
          </cell>
          <cell r="BE2047" t="str">
            <v>Jun</v>
          </cell>
        </row>
        <row r="2048">
          <cell r="C2048" t="str">
            <v>Adani</v>
          </cell>
          <cell r="R2048">
            <v>0</v>
          </cell>
          <cell r="AZ2048">
            <v>0</v>
          </cell>
          <cell r="BA2048">
            <v>0</v>
          </cell>
          <cell r="BC2048" t="str">
            <v>OTHERS</v>
          </cell>
          <cell r="BE2048" t="str">
            <v>Jul</v>
          </cell>
        </row>
        <row r="2049">
          <cell r="C2049" t="str">
            <v>Adani</v>
          </cell>
          <cell r="R2049">
            <v>0</v>
          </cell>
          <cell r="AZ2049">
            <v>0</v>
          </cell>
          <cell r="BA2049">
            <v>0</v>
          </cell>
          <cell r="BC2049" t="str">
            <v>OTHERS</v>
          </cell>
          <cell r="BE2049" t="str">
            <v>Aug</v>
          </cell>
        </row>
        <row r="2050">
          <cell r="C2050" t="str">
            <v>Adani</v>
          </cell>
          <cell r="R2050">
            <v>0</v>
          </cell>
          <cell r="AZ2050">
            <v>0</v>
          </cell>
          <cell r="BA2050">
            <v>0</v>
          </cell>
          <cell r="BC2050" t="str">
            <v>OTHERS</v>
          </cell>
          <cell r="BE2050" t="str">
            <v>Sep</v>
          </cell>
        </row>
        <row r="2051">
          <cell r="C2051" t="str">
            <v>Adani</v>
          </cell>
          <cell r="R2051">
            <v>0</v>
          </cell>
          <cell r="AZ2051">
            <v>0</v>
          </cell>
          <cell r="BA2051">
            <v>0</v>
          </cell>
          <cell r="BC2051" t="str">
            <v>OTHERS</v>
          </cell>
          <cell r="BE2051" t="str">
            <v>Oct</v>
          </cell>
        </row>
        <row r="2052">
          <cell r="C2052" t="str">
            <v>Adani</v>
          </cell>
          <cell r="R2052">
            <v>0</v>
          </cell>
          <cell r="AZ2052">
            <v>0</v>
          </cell>
          <cell r="BA2052">
            <v>0</v>
          </cell>
          <cell r="BC2052" t="str">
            <v>OTHERS</v>
          </cell>
          <cell r="BE2052" t="str">
            <v>Nov</v>
          </cell>
        </row>
        <row r="2053">
          <cell r="C2053" t="str">
            <v>Adani</v>
          </cell>
          <cell r="R2053">
            <v>0</v>
          </cell>
          <cell r="AZ2053">
            <v>0</v>
          </cell>
          <cell r="BA2053">
            <v>0</v>
          </cell>
          <cell r="BC2053" t="str">
            <v>OTHERS</v>
          </cell>
          <cell r="BE2053" t="str">
            <v>Dec</v>
          </cell>
        </row>
        <row r="2054">
          <cell r="C2054" t="str">
            <v>Adani</v>
          </cell>
          <cell r="R2054">
            <v>0</v>
          </cell>
          <cell r="AZ2054">
            <v>0</v>
          </cell>
          <cell r="BA2054">
            <v>0</v>
          </cell>
          <cell r="BC2054" t="str">
            <v>OTHERS</v>
          </cell>
          <cell r="BE2054" t="str">
            <v>Jan</v>
          </cell>
        </row>
        <row r="2055">
          <cell r="C2055" t="str">
            <v>Adani</v>
          </cell>
          <cell r="R2055">
            <v>0</v>
          </cell>
          <cell r="AZ2055">
            <v>0</v>
          </cell>
          <cell r="BA2055">
            <v>0</v>
          </cell>
          <cell r="BC2055" t="str">
            <v>OTHERS</v>
          </cell>
          <cell r="BE2055" t="str">
            <v>Feb</v>
          </cell>
        </row>
        <row r="2056">
          <cell r="C2056" t="str">
            <v>Adani</v>
          </cell>
          <cell r="R2056">
            <v>0</v>
          </cell>
          <cell r="AZ2056">
            <v>0</v>
          </cell>
          <cell r="BA2056">
            <v>0</v>
          </cell>
          <cell r="BC2056" t="str">
            <v>OTHERS</v>
          </cell>
          <cell r="BE2056" t="str">
            <v>Mar</v>
          </cell>
        </row>
        <row r="2057">
          <cell r="C2057" t="str">
            <v>Adani</v>
          </cell>
          <cell r="R2057">
            <v>0</v>
          </cell>
          <cell r="AZ2057">
            <v>0</v>
          </cell>
          <cell r="BA2057">
            <v>0</v>
          </cell>
          <cell r="BC2057" t="str">
            <v>OTHERS</v>
          </cell>
          <cell r="BE2057" t="str">
            <v>Apr</v>
          </cell>
        </row>
        <row r="2058">
          <cell r="C2058" t="str">
            <v>Adani</v>
          </cell>
          <cell r="R2058">
            <v>0</v>
          </cell>
          <cell r="AZ2058">
            <v>0</v>
          </cell>
          <cell r="BA2058">
            <v>0</v>
          </cell>
          <cell r="BC2058" t="str">
            <v>OTHERS</v>
          </cell>
          <cell r="BE2058" t="str">
            <v>May</v>
          </cell>
        </row>
        <row r="2059">
          <cell r="C2059" t="str">
            <v>Adani</v>
          </cell>
          <cell r="R2059">
            <v>0</v>
          </cell>
          <cell r="AZ2059">
            <v>0</v>
          </cell>
          <cell r="BA2059">
            <v>0</v>
          </cell>
          <cell r="BC2059" t="str">
            <v>OTHERS</v>
          </cell>
          <cell r="BE2059" t="str">
            <v>Jun</v>
          </cell>
        </row>
        <row r="2060">
          <cell r="C2060" t="str">
            <v>Adani</v>
          </cell>
          <cell r="R2060">
            <v>0</v>
          </cell>
          <cell r="AZ2060">
            <v>0</v>
          </cell>
          <cell r="BA2060">
            <v>0</v>
          </cell>
          <cell r="BC2060" t="str">
            <v>OTHERS</v>
          </cell>
          <cell r="BE2060" t="str">
            <v>Jul</v>
          </cell>
        </row>
        <row r="2061">
          <cell r="C2061" t="str">
            <v>Adani</v>
          </cell>
          <cell r="R2061">
            <v>0</v>
          </cell>
          <cell r="AZ2061">
            <v>0</v>
          </cell>
          <cell r="BA2061">
            <v>0</v>
          </cell>
          <cell r="BC2061" t="str">
            <v>OTHERS</v>
          </cell>
          <cell r="BE2061" t="str">
            <v>Aug</v>
          </cell>
        </row>
        <row r="2062">
          <cell r="C2062" t="str">
            <v>Adani</v>
          </cell>
          <cell r="R2062">
            <v>0</v>
          </cell>
          <cell r="AZ2062">
            <v>0</v>
          </cell>
          <cell r="BA2062">
            <v>0</v>
          </cell>
          <cell r="BC2062" t="str">
            <v>OTHERS</v>
          </cell>
          <cell r="BE2062" t="str">
            <v>Sep</v>
          </cell>
        </row>
        <row r="2063">
          <cell r="C2063" t="str">
            <v>Adani</v>
          </cell>
          <cell r="R2063">
            <v>0</v>
          </cell>
          <cell r="AZ2063">
            <v>0</v>
          </cell>
          <cell r="BA2063">
            <v>0</v>
          </cell>
          <cell r="BC2063" t="str">
            <v>OTHERS</v>
          </cell>
          <cell r="BE2063" t="str">
            <v>Oct</v>
          </cell>
        </row>
        <row r="2064">
          <cell r="C2064" t="str">
            <v>Adani</v>
          </cell>
          <cell r="R2064">
            <v>0</v>
          </cell>
          <cell r="AZ2064">
            <v>0</v>
          </cell>
          <cell r="BA2064">
            <v>0</v>
          </cell>
          <cell r="BC2064" t="str">
            <v>OTHERS</v>
          </cell>
          <cell r="BE2064" t="str">
            <v>Nov</v>
          </cell>
        </row>
        <row r="2065">
          <cell r="C2065" t="str">
            <v>Adani</v>
          </cell>
          <cell r="R2065">
            <v>0</v>
          </cell>
          <cell r="AZ2065">
            <v>0</v>
          </cell>
          <cell r="BA2065">
            <v>0</v>
          </cell>
          <cell r="BC2065" t="str">
            <v>OTHERS</v>
          </cell>
          <cell r="BE2065" t="str">
            <v>Dec</v>
          </cell>
        </row>
        <row r="2066">
          <cell r="C2066" t="str">
            <v>Adani</v>
          </cell>
          <cell r="R2066">
            <v>70000</v>
          </cell>
          <cell r="AZ2066">
            <v>-70000</v>
          </cell>
          <cell r="BA2066">
            <v>-90952.16328237686</v>
          </cell>
          <cell r="BC2066" t="str">
            <v>OTHERS</v>
          </cell>
          <cell r="BE2066" t="str">
            <v>Jan</v>
          </cell>
        </row>
        <row r="2067">
          <cell r="C2067" t="str">
            <v>Adani</v>
          </cell>
          <cell r="R2067">
            <v>0</v>
          </cell>
          <cell r="AZ2067">
            <v>0</v>
          </cell>
          <cell r="BA2067">
            <v>0</v>
          </cell>
          <cell r="BC2067" t="str">
            <v>OTHERS</v>
          </cell>
          <cell r="BE2067" t="str">
            <v>Feb</v>
          </cell>
        </row>
        <row r="2068">
          <cell r="C2068" t="str">
            <v>Adani</v>
          </cell>
          <cell r="R2068">
            <v>0</v>
          </cell>
          <cell r="AZ2068">
            <v>0</v>
          </cell>
          <cell r="BA2068">
            <v>0</v>
          </cell>
          <cell r="BC2068" t="str">
            <v>OTHERS</v>
          </cell>
          <cell r="BE2068" t="str">
            <v>Mar</v>
          </cell>
        </row>
        <row r="2069">
          <cell r="C2069" t="str">
            <v>Adani</v>
          </cell>
          <cell r="R2069">
            <v>0</v>
          </cell>
          <cell r="AZ2069">
            <v>0</v>
          </cell>
          <cell r="BA2069">
            <v>0</v>
          </cell>
          <cell r="BC2069" t="str">
            <v>OTHERS</v>
          </cell>
          <cell r="BE2069" t="str">
            <v>Apr</v>
          </cell>
        </row>
        <row r="2070">
          <cell r="C2070" t="str">
            <v>Adani</v>
          </cell>
          <cell r="R2070">
            <v>0</v>
          </cell>
          <cell r="AZ2070">
            <v>0</v>
          </cell>
          <cell r="BA2070">
            <v>0</v>
          </cell>
          <cell r="BC2070" t="str">
            <v>OTHERS</v>
          </cell>
          <cell r="BE2070" t="str">
            <v>May</v>
          </cell>
        </row>
        <row r="2071">
          <cell r="C2071" t="str">
            <v>Adani</v>
          </cell>
          <cell r="R2071">
            <v>0</v>
          </cell>
          <cell r="AZ2071">
            <v>0</v>
          </cell>
          <cell r="BA2071">
            <v>0</v>
          </cell>
          <cell r="BC2071" t="str">
            <v>OTHERS</v>
          </cell>
          <cell r="BE2071" t="str">
            <v>Jun</v>
          </cell>
        </row>
        <row r="2072">
          <cell r="C2072" t="str">
            <v>Adani</v>
          </cell>
          <cell r="R2072">
            <v>0</v>
          </cell>
          <cell r="AZ2072">
            <v>0</v>
          </cell>
          <cell r="BA2072">
            <v>0</v>
          </cell>
          <cell r="BC2072" t="str">
            <v>OTHERS</v>
          </cell>
          <cell r="BE2072" t="str">
            <v>Jul</v>
          </cell>
        </row>
        <row r="2073">
          <cell r="C2073" t="str">
            <v>Adani</v>
          </cell>
          <cell r="R2073">
            <v>0</v>
          </cell>
          <cell r="AZ2073">
            <v>0</v>
          </cell>
          <cell r="BA2073">
            <v>0</v>
          </cell>
          <cell r="BC2073" t="str">
            <v>OTHERS</v>
          </cell>
          <cell r="BE2073" t="str">
            <v>Aug</v>
          </cell>
        </row>
        <row r="2074">
          <cell r="C2074" t="str">
            <v>Adani</v>
          </cell>
          <cell r="R2074">
            <v>0</v>
          </cell>
          <cell r="AZ2074">
            <v>0</v>
          </cell>
          <cell r="BA2074">
            <v>0</v>
          </cell>
          <cell r="BC2074" t="str">
            <v>OTHERS</v>
          </cell>
          <cell r="BE2074" t="str">
            <v>Sep</v>
          </cell>
        </row>
        <row r="2075">
          <cell r="C2075" t="str">
            <v>Adani</v>
          </cell>
          <cell r="R2075">
            <v>0</v>
          </cell>
          <cell r="AZ2075">
            <v>0</v>
          </cell>
          <cell r="BA2075">
            <v>0</v>
          </cell>
          <cell r="BC2075" t="str">
            <v>OTHERS</v>
          </cell>
          <cell r="BE2075" t="str">
            <v>Oct</v>
          </cell>
        </row>
        <row r="2076">
          <cell r="C2076" t="str">
            <v>Adani</v>
          </cell>
          <cell r="R2076">
            <v>0</v>
          </cell>
          <cell r="AZ2076">
            <v>0</v>
          </cell>
          <cell r="BA2076">
            <v>0</v>
          </cell>
          <cell r="BC2076" t="str">
            <v>OTHERS</v>
          </cell>
          <cell r="BE2076" t="str">
            <v>Nov</v>
          </cell>
        </row>
        <row r="2077">
          <cell r="C2077" t="str">
            <v>Adani</v>
          </cell>
          <cell r="R2077">
            <v>0</v>
          </cell>
          <cell r="AZ2077">
            <v>0</v>
          </cell>
          <cell r="BA2077">
            <v>0</v>
          </cell>
          <cell r="BC2077" t="str">
            <v>OTHERS</v>
          </cell>
          <cell r="BE2077" t="str">
            <v>Dec</v>
          </cell>
        </row>
        <row r="2078">
          <cell r="C2078" t="str">
            <v>Adani</v>
          </cell>
          <cell r="R2078">
            <v>70000</v>
          </cell>
          <cell r="AZ2078">
            <v>-70000</v>
          </cell>
          <cell r="BA2078">
            <v>-87395.374774127471</v>
          </cell>
          <cell r="BC2078" t="str">
            <v>OTHERS</v>
          </cell>
          <cell r="BE2078" t="str">
            <v>Jan</v>
          </cell>
        </row>
        <row r="2079">
          <cell r="C2079" t="str">
            <v>Adani</v>
          </cell>
          <cell r="R2079">
            <v>0</v>
          </cell>
          <cell r="AZ2079">
            <v>0</v>
          </cell>
          <cell r="BA2079">
            <v>0</v>
          </cell>
          <cell r="BC2079" t="str">
            <v>OTHERS</v>
          </cell>
          <cell r="BE2079" t="str">
            <v>Feb</v>
          </cell>
        </row>
        <row r="2080">
          <cell r="C2080" t="str">
            <v>Adani</v>
          </cell>
          <cell r="R2080">
            <v>0</v>
          </cell>
          <cell r="AZ2080">
            <v>0</v>
          </cell>
          <cell r="BA2080">
            <v>0</v>
          </cell>
          <cell r="BC2080" t="str">
            <v>OTHERS</v>
          </cell>
          <cell r="BE2080" t="str">
            <v>Mar</v>
          </cell>
        </row>
        <row r="2081">
          <cell r="C2081" t="str">
            <v>Adani</v>
          </cell>
          <cell r="R2081">
            <v>0</v>
          </cell>
          <cell r="AZ2081">
            <v>0</v>
          </cell>
          <cell r="BA2081">
            <v>0</v>
          </cell>
          <cell r="BC2081" t="str">
            <v>OTHERS</v>
          </cell>
          <cell r="BE2081" t="str">
            <v>Apr</v>
          </cell>
        </row>
        <row r="2082">
          <cell r="C2082" t="str">
            <v>Adani</v>
          </cell>
          <cell r="R2082">
            <v>0</v>
          </cell>
          <cell r="AZ2082">
            <v>0</v>
          </cell>
          <cell r="BA2082">
            <v>0</v>
          </cell>
          <cell r="BC2082" t="str">
            <v>OTHERS</v>
          </cell>
          <cell r="BE2082" t="str">
            <v>May</v>
          </cell>
        </row>
        <row r="2083">
          <cell r="C2083" t="str">
            <v>Adani</v>
          </cell>
          <cell r="R2083">
            <v>0</v>
          </cell>
          <cell r="AZ2083">
            <v>0</v>
          </cell>
          <cell r="BA2083">
            <v>0</v>
          </cell>
          <cell r="BC2083" t="str">
            <v>OTHERS</v>
          </cell>
          <cell r="BE2083" t="str">
            <v>Jun</v>
          </cell>
        </row>
        <row r="2084">
          <cell r="C2084" t="str">
            <v>Adani</v>
          </cell>
          <cell r="R2084">
            <v>0</v>
          </cell>
          <cell r="AZ2084">
            <v>0</v>
          </cell>
          <cell r="BA2084">
            <v>0</v>
          </cell>
          <cell r="BC2084" t="str">
            <v>OTHERS</v>
          </cell>
          <cell r="BE2084" t="str">
            <v>Jul</v>
          </cell>
        </row>
        <row r="2085">
          <cell r="C2085" t="str">
            <v>Adani</v>
          </cell>
          <cell r="R2085">
            <v>0</v>
          </cell>
          <cell r="AZ2085">
            <v>0</v>
          </cell>
          <cell r="BA2085">
            <v>0</v>
          </cell>
          <cell r="BC2085" t="str">
            <v>OTHERS</v>
          </cell>
          <cell r="BE2085" t="str">
            <v>Aug</v>
          </cell>
        </row>
        <row r="2086">
          <cell r="C2086" t="str">
            <v>Adani</v>
          </cell>
          <cell r="R2086">
            <v>0</v>
          </cell>
          <cell r="AZ2086">
            <v>0</v>
          </cell>
          <cell r="BA2086">
            <v>0</v>
          </cell>
          <cell r="BC2086" t="str">
            <v>OTHERS</v>
          </cell>
          <cell r="BE2086" t="str">
            <v>Sep</v>
          </cell>
        </row>
        <row r="2087">
          <cell r="C2087" t="str">
            <v>Adani</v>
          </cell>
          <cell r="R2087">
            <v>0</v>
          </cell>
          <cell r="AZ2087">
            <v>0</v>
          </cell>
          <cell r="BA2087">
            <v>0</v>
          </cell>
          <cell r="BC2087" t="str">
            <v>OTHERS</v>
          </cell>
          <cell r="BE2087" t="str">
            <v>Oct</v>
          </cell>
        </row>
        <row r="2088">
          <cell r="C2088" t="str">
            <v>Adani</v>
          </cell>
          <cell r="R2088">
            <v>0</v>
          </cell>
          <cell r="AZ2088">
            <v>0</v>
          </cell>
          <cell r="BA2088">
            <v>0</v>
          </cell>
          <cell r="BC2088" t="str">
            <v>OTHERS</v>
          </cell>
          <cell r="BE2088" t="str">
            <v>Nov</v>
          </cell>
        </row>
        <row r="2089">
          <cell r="C2089" t="str">
            <v>Adani</v>
          </cell>
          <cell r="R2089">
            <v>0</v>
          </cell>
          <cell r="AZ2089">
            <v>0</v>
          </cell>
          <cell r="BA2089">
            <v>0</v>
          </cell>
          <cell r="BC2089" t="str">
            <v>OTHERS</v>
          </cell>
          <cell r="BE2089" t="str">
            <v>Dec</v>
          </cell>
        </row>
        <row r="2090">
          <cell r="C2090" t="str">
            <v>Adani</v>
          </cell>
          <cell r="R2090">
            <v>56000</v>
          </cell>
          <cell r="AZ2090">
            <v>-56000</v>
          </cell>
          <cell r="BA2090">
            <v>-63712.173634280225</v>
          </cell>
          <cell r="BC2090" t="str">
            <v>OTHERS</v>
          </cell>
          <cell r="BE2090" t="str">
            <v>Jan</v>
          </cell>
        </row>
        <row r="2091">
          <cell r="C2091" t="str">
            <v>Adani</v>
          </cell>
          <cell r="R2091">
            <v>0</v>
          </cell>
          <cell r="AZ2091">
            <v>0</v>
          </cell>
          <cell r="BA2091">
            <v>0</v>
          </cell>
          <cell r="BC2091" t="str">
            <v>OTHERS</v>
          </cell>
          <cell r="BE2091" t="str">
            <v>Feb</v>
          </cell>
        </row>
        <row r="2092">
          <cell r="C2092" t="str">
            <v>Adani</v>
          </cell>
          <cell r="R2092">
            <v>0</v>
          </cell>
          <cell r="AZ2092">
            <v>0</v>
          </cell>
          <cell r="BA2092">
            <v>0</v>
          </cell>
          <cell r="BC2092" t="str">
            <v>OTHERS</v>
          </cell>
          <cell r="BE2092" t="str">
            <v>Mar</v>
          </cell>
        </row>
        <row r="2093">
          <cell r="C2093" t="str">
            <v>Adani</v>
          </cell>
          <cell r="R2093">
            <v>0</v>
          </cell>
          <cell r="AZ2093">
            <v>0</v>
          </cell>
          <cell r="BA2093">
            <v>0</v>
          </cell>
          <cell r="BC2093" t="str">
            <v>OTHERS</v>
          </cell>
          <cell r="BE2093" t="str">
            <v>Apr</v>
          </cell>
        </row>
        <row r="2094">
          <cell r="C2094" t="str">
            <v>Adani</v>
          </cell>
          <cell r="R2094">
            <v>0</v>
          </cell>
          <cell r="AZ2094">
            <v>0</v>
          </cell>
          <cell r="BA2094">
            <v>0</v>
          </cell>
          <cell r="BC2094" t="str">
            <v>OTHERS</v>
          </cell>
          <cell r="BE2094" t="str">
            <v>May</v>
          </cell>
        </row>
        <row r="2095">
          <cell r="C2095" t="str">
            <v>Adani</v>
          </cell>
          <cell r="R2095">
            <v>0</v>
          </cell>
          <cell r="AZ2095">
            <v>0</v>
          </cell>
          <cell r="BA2095">
            <v>0</v>
          </cell>
          <cell r="BC2095" t="str">
            <v>OTHERS</v>
          </cell>
          <cell r="BE2095" t="str">
            <v>Jun</v>
          </cell>
        </row>
        <row r="2096">
          <cell r="C2096" t="str">
            <v>Adani</v>
          </cell>
          <cell r="R2096">
            <v>0</v>
          </cell>
          <cell r="AZ2096">
            <v>0</v>
          </cell>
          <cell r="BA2096">
            <v>0</v>
          </cell>
          <cell r="BC2096" t="str">
            <v>OTHERS</v>
          </cell>
          <cell r="BE2096" t="str">
            <v>Jul</v>
          </cell>
        </row>
        <row r="2097">
          <cell r="C2097" t="str">
            <v>Adani</v>
          </cell>
          <cell r="R2097">
            <v>0</v>
          </cell>
          <cell r="AZ2097">
            <v>0</v>
          </cell>
          <cell r="BA2097">
            <v>0</v>
          </cell>
          <cell r="BC2097" t="str">
            <v>OTHERS</v>
          </cell>
          <cell r="BE2097" t="str">
            <v>Aug</v>
          </cell>
        </row>
        <row r="2098">
          <cell r="C2098" t="str">
            <v>Adani</v>
          </cell>
          <cell r="R2098">
            <v>0</v>
          </cell>
          <cell r="AZ2098">
            <v>0</v>
          </cell>
          <cell r="BA2098">
            <v>0</v>
          </cell>
          <cell r="BC2098" t="str">
            <v>OTHERS</v>
          </cell>
          <cell r="BE2098" t="str">
            <v>Sep</v>
          </cell>
        </row>
        <row r="2099">
          <cell r="C2099" t="str">
            <v>Adani</v>
          </cell>
          <cell r="R2099">
            <v>0</v>
          </cell>
          <cell r="AZ2099">
            <v>0</v>
          </cell>
          <cell r="BA2099">
            <v>0</v>
          </cell>
          <cell r="BC2099" t="str">
            <v>OTHERS</v>
          </cell>
          <cell r="BE2099" t="str">
            <v>Oct</v>
          </cell>
        </row>
        <row r="2100">
          <cell r="C2100" t="str">
            <v>Adani</v>
          </cell>
          <cell r="R2100">
            <v>0</v>
          </cell>
          <cell r="AZ2100">
            <v>0</v>
          </cell>
          <cell r="BA2100">
            <v>0</v>
          </cell>
          <cell r="BC2100" t="str">
            <v>OTHERS</v>
          </cell>
          <cell r="BE2100" t="str">
            <v>Nov</v>
          </cell>
        </row>
        <row r="2101">
          <cell r="C2101" t="str">
            <v>Adani</v>
          </cell>
          <cell r="R2101">
            <v>0</v>
          </cell>
          <cell r="AZ2101">
            <v>0</v>
          </cell>
          <cell r="BA2101">
            <v>0</v>
          </cell>
          <cell r="BC2101" t="str">
            <v>OTHERS</v>
          </cell>
          <cell r="BE2101" t="str">
            <v>Dec</v>
          </cell>
        </row>
        <row r="2102">
          <cell r="C2102" t="str">
            <v>Adani</v>
          </cell>
          <cell r="R2102">
            <v>13999.999999999996</v>
          </cell>
          <cell r="AZ2102">
            <v>-13999.999999999996</v>
          </cell>
          <cell r="BA2102">
            <v>-17077.736767384129</v>
          </cell>
          <cell r="BC2102" t="str">
            <v>OTHERS</v>
          </cell>
          <cell r="BE2102" t="str">
            <v>Jan</v>
          </cell>
        </row>
        <row r="2103">
          <cell r="C2103" t="str">
            <v>Adani</v>
          </cell>
          <cell r="R2103">
            <v>0</v>
          </cell>
          <cell r="AZ2103">
            <v>0</v>
          </cell>
          <cell r="BA2103">
            <v>0</v>
          </cell>
          <cell r="BC2103" t="str">
            <v>OTHERS</v>
          </cell>
          <cell r="BE2103" t="str">
            <v>Feb</v>
          </cell>
        </row>
        <row r="2104">
          <cell r="C2104" t="str">
            <v>Adani</v>
          </cell>
          <cell r="R2104">
            <v>0</v>
          </cell>
          <cell r="AZ2104">
            <v>0</v>
          </cell>
          <cell r="BA2104">
            <v>0</v>
          </cell>
          <cell r="BC2104" t="str">
            <v>OTHERS</v>
          </cell>
          <cell r="BE2104" t="str">
            <v>Mar</v>
          </cell>
        </row>
        <row r="2105">
          <cell r="C2105" t="str">
            <v>Adani</v>
          </cell>
          <cell r="R2105">
            <v>0</v>
          </cell>
          <cell r="AZ2105">
            <v>0</v>
          </cell>
          <cell r="BA2105">
            <v>0</v>
          </cell>
          <cell r="BC2105" t="str">
            <v>OTHERS</v>
          </cell>
          <cell r="BE2105" t="str">
            <v>Apr</v>
          </cell>
        </row>
        <row r="2106">
          <cell r="C2106" t="str">
            <v>Adani</v>
          </cell>
          <cell r="R2106">
            <v>0</v>
          </cell>
          <cell r="AZ2106">
            <v>0</v>
          </cell>
          <cell r="BA2106">
            <v>0</v>
          </cell>
          <cell r="BC2106" t="str">
            <v>OTHERS</v>
          </cell>
          <cell r="BE2106" t="str">
            <v>May</v>
          </cell>
        </row>
        <row r="2107">
          <cell r="C2107" t="str">
            <v>Adani</v>
          </cell>
          <cell r="R2107">
            <v>0</v>
          </cell>
          <cell r="AZ2107">
            <v>0</v>
          </cell>
          <cell r="BA2107">
            <v>0</v>
          </cell>
          <cell r="BC2107" t="str">
            <v>OTHERS</v>
          </cell>
          <cell r="BE2107" t="str">
            <v>Jun</v>
          </cell>
        </row>
        <row r="2108">
          <cell r="C2108" t="str">
            <v>Adani</v>
          </cell>
          <cell r="R2108">
            <v>0</v>
          </cell>
          <cell r="AZ2108">
            <v>0</v>
          </cell>
          <cell r="BA2108">
            <v>0</v>
          </cell>
          <cell r="BC2108" t="str">
            <v>OTHERS</v>
          </cell>
          <cell r="BE2108" t="str">
            <v>Jul</v>
          </cell>
        </row>
        <row r="2109">
          <cell r="C2109" t="str">
            <v>Adani</v>
          </cell>
          <cell r="R2109">
            <v>0</v>
          </cell>
          <cell r="AZ2109">
            <v>0</v>
          </cell>
          <cell r="BA2109">
            <v>0</v>
          </cell>
          <cell r="BC2109" t="str">
            <v>OTHERS</v>
          </cell>
          <cell r="BE2109" t="str">
            <v>Aug</v>
          </cell>
        </row>
        <row r="2110">
          <cell r="C2110" t="str">
            <v>Adani</v>
          </cell>
          <cell r="R2110">
            <v>0</v>
          </cell>
          <cell r="AZ2110">
            <v>0</v>
          </cell>
          <cell r="BA2110">
            <v>0</v>
          </cell>
          <cell r="BC2110" t="str">
            <v>OTHERS</v>
          </cell>
          <cell r="BE2110" t="str">
            <v>Sep</v>
          </cell>
        </row>
        <row r="2111">
          <cell r="C2111" t="str">
            <v>Adani</v>
          </cell>
          <cell r="R2111">
            <v>0</v>
          </cell>
          <cell r="AZ2111">
            <v>0</v>
          </cell>
          <cell r="BA2111">
            <v>0</v>
          </cell>
          <cell r="BC2111" t="str">
            <v>OTHERS</v>
          </cell>
          <cell r="BE2111" t="str">
            <v>Oct</v>
          </cell>
        </row>
        <row r="2112">
          <cell r="C2112" t="str">
            <v>Adani</v>
          </cell>
          <cell r="R2112">
            <v>0</v>
          </cell>
          <cell r="AZ2112">
            <v>0</v>
          </cell>
          <cell r="BA2112">
            <v>0</v>
          </cell>
          <cell r="BC2112" t="str">
            <v>OTHERS</v>
          </cell>
          <cell r="BE2112" t="str">
            <v>Nov</v>
          </cell>
        </row>
        <row r="2113">
          <cell r="C2113" t="str">
            <v>Adani</v>
          </cell>
          <cell r="R2113">
            <v>0</v>
          </cell>
          <cell r="AZ2113">
            <v>0</v>
          </cell>
          <cell r="BA2113">
            <v>0</v>
          </cell>
          <cell r="BC2113" t="str">
            <v>OTHERS</v>
          </cell>
          <cell r="BE2113" t="str">
            <v>Dec</v>
          </cell>
        </row>
        <row r="2114">
          <cell r="C2114" t="str">
            <v>Adani</v>
          </cell>
          <cell r="R2114">
            <v>0</v>
          </cell>
          <cell r="AZ2114">
            <v>0</v>
          </cell>
          <cell r="BA2114">
            <v>0</v>
          </cell>
          <cell r="BC2114" t="str">
            <v>OTHERS</v>
          </cell>
          <cell r="BE2114" t="str">
            <v>Jan</v>
          </cell>
        </row>
        <row r="2115">
          <cell r="C2115" t="str">
            <v>Adani</v>
          </cell>
          <cell r="R2115">
            <v>0</v>
          </cell>
          <cell r="AZ2115">
            <v>0</v>
          </cell>
          <cell r="BA2115">
            <v>0</v>
          </cell>
          <cell r="BC2115" t="str">
            <v>OTHERS</v>
          </cell>
          <cell r="BE2115" t="str">
            <v>Feb</v>
          </cell>
        </row>
        <row r="2116">
          <cell r="C2116" t="str">
            <v>Adani</v>
          </cell>
          <cell r="R2116">
            <v>0</v>
          </cell>
          <cell r="AZ2116">
            <v>0</v>
          </cell>
          <cell r="BA2116">
            <v>0</v>
          </cell>
          <cell r="BC2116" t="str">
            <v>OTHERS</v>
          </cell>
          <cell r="BE2116" t="str">
            <v>Mar</v>
          </cell>
        </row>
        <row r="2117">
          <cell r="C2117" t="str">
            <v>Adani</v>
          </cell>
          <cell r="R2117">
            <v>0</v>
          </cell>
          <cell r="AZ2117">
            <v>0</v>
          </cell>
          <cell r="BA2117">
            <v>0</v>
          </cell>
          <cell r="BC2117" t="str">
            <v>OTHERS</v>
          </cell>
          <cell r="BE2117" t="str">
            <v>Apr</v>
          </cell>
        </row>
        <row r="2118">
          <cell r="C2118" t="str">
            <v>Adani</v>
          </cell>
          <cell r="R2118">
            <v>0</v>
          </cell>
          <cell r="AZ2118">
            <v>0</v>
          </cell>
          <cell r="BA2118">
            <v>0</v>
          </cell>
          <cell r="BC2118" t="str">
            <v>OTHERS</v>
          </cell>
          <cell r="BE2118" t="str">
            <v>May</v>
          </cell>
        </row>
        <row r="2119">
          <cell r="C2119" t="str">
            <v>Adani</v>
          </cell>
          <cell r="R2119">
            <v>0</v>
          </cell>
          <cell r="AZ2119">
            <v>0</v>
          </cell>
          <cell r="BA2119">
            <v>0</v>
          </cell>
          <cell r="BC2119" t="str">
            <v>OTHERS</v>
          </cell>
          <cell r="BE2119" t="str">
            <v>Jun</v>
          </cell>
        </row>
        <row r="2120">
          <cell r="C2120" t="str">
            <v>Adani</v>
          </cell>
          <cell r="R2120">
            <v>0</v>
          </cell>
          <cell r="AZ2120">
            <v>0</v>
          </cell>
          <cell r="BA2120">
            <v>0</v>
          </cell>
          <cell r="BC2120" t="str">
            <v>OTHERS</v>
          </cell>
          <cell r="BE2120" t="str">
            <v>Jul</v>
          </cell>
        </row>
        <row r="2121">
          <cell r="C2121" t="str">
            <v>Adani</v>
          </cell>
          <cell r="R2121">
            <v>0</v>
          </cell>
          <cell r="AZ2121">
            <v>0</v>
          </cell>
          <cell r="BA2121">
            <v>0</v>
          </cell>
          <cell r="BC2121" t="str">
            <v>OTHERS</v>
          </cell>
          <cell r="BE2121" t="str">
            <v>Aug</v>
          </cell>
        </row>
        <row r="2122">
          <cell r="C2122" t="str">
            <v>Adani</v>
          </cell>
          <cell r="R2122">
            <v>0</v>
          </cell>
          <cell r="AZ2122">
            <v>0</v>
          </cell>
          <cell r="BA2122">
            <v>0</v>
          </cell>
          <cell r="BC2122" t="str">
            <v>OTHERS</v>
          </cell>
          <cell r="BE2122" t="str">
            <v>Sep</v>
          </cell>
        </row>
        <row r="2123">
          <cell r="C2123" t="str">
            <v>Adani</v>
          </cell>
          <cell r="R2123">
            <v>0</v>
          </cell>
          <cell r="AZ2123">
            <v>0</v>
          </cell>
          <cell r="BA2123">
            <v>0</v>
          </cell>
          <cell r="BC2123" t="str">
            <v>OTHERS</v>
          </cell>
          <cell r="BE2123" t="str">
            <v>Oct</v>
          </cell>
        </row>
        <row r="2124">
          <cell r="C2124" t="str">
            <v>Adani</v>
          </cell>
          <cell r="R2124">
            <v>0</v>
          </cell>
          <cell r="AZ2124">
            <v>0</v>
          </cell>
          <cell r="BA2124">
            <v>0</v>
          </cell>
          <cell r="BC2124" t="str">
            <v>OTHERS</v>
          </cell>
          <cell r="BE2124" t="str">
            <v>Nov</v>
          </cell>
        </row>
        <row r="2125">
          <cell r="C2125" t="str">
            <v>Adani</v>
          </cell>
          <cell r="R2125">
            <v>0</v>
          </cell>
          <cell r="AZ2125">
            <v>0</v>
          </cell>
          <cell r="BA2125">
            <v>0</v>
          </cell>
          <cell r="BC2125" t="str">
            <v>OTHERS</v>
          </cell>
          <cell r="BE2125" t="str">
            <v>Dec</v>
          </cell>
        </row>
        <row r="2126">
          <cell r="C2126" t="str">
            <v>Adani</v>
          </cell>
          <cell r="R2126">
            <v>0</v>
          </cell>
          <cell r="AZ2126">
            <v>0</v>
          </cell>
          <cell r="BA2126">
            <v>0</v>
          </cell>
          <cell r="BC2126" t="str">
            <v>OTHERS</v>
          </cell>
          <cell r="BE2126" t="str">
            <v>Jan</v>
          </cell>
        </row>
        <row r="2127">
          <cell r="C2127" t="str">
            <v>Adani</v>
          </cell>
          <cell r="R2127">
            <v>0</v>
          </cell>
          <cell r="AZ2127">
            <v>0</v>
          </cell>
          <cell r="BA2127">
            <v>0</v>
          </cell>
          <cell r="BC2127" t="str">
            <v>OTHERS</v>
          </cell>
          <cell r="BE2127" t="str">
            <v>Feb</v>
          </cell>
        </row>
        <row r="2128">
          <cell r="C2128" t="str">
            <v>Adani</v>
          </cell>
          <cell r="R2128">
            <v>0</v>
          </cell>
          <cell r="AZ2128">
            <v>0</v>
          </cell>
          <cell r="BA2128">
            <v>0</v>
          </cell>
          <cell r="BC2128" t="str">
            <v>OTHERS</v>
          </cell>
          <cell r="BE2128" t="str">
            <v>Mar</v>
          </cell>
        </row>
        <row r="2129">
          <cell r="C2129" t="str">
            <v>Adani</v>
          </cell>
          <cell r="R2129">
            <v>0</v>
          </cell>
          <cell r="AZ2129">
            <v>0</v>
          </cell>
          <cell r="BA2129">
            <v>0</v>
          </cell>
          <cell r="BC2129" t="str">
            <v>OTHERS</v>
          </cell>
          <cell r="BE2129" t="str">
            <v>Apr</v>
          </cell>
        </row>
        <row r="2130">
          <cell r="C2130" t="str">
            <v>Adani</v>
          </cell>
          <cell r="R2130">
            <v>0</v>
          </cell>
          <cell r="AZ2130">
            <v>0</v>
          </cell>
          <cell r="BA2130">
            <v>0</v>
          </cell>
          <cell r="BC2130" t="str">
            <v>OTHERS</v>
          </cell>
          <cell r="BE2130" t="str">
            <v>May</v>
          </cell>
        </row>
        <row r="2131">
          <cell r="C2131" t="str">
            <v>Adani</v>
          </cell>
          <cell r="R2131">
            <v>0</v>
          </cell>
          <cell r="AZ2131">
            <v>0</v>
          </cell>
          <cell r="BA2131">
            <v>0</v>
          </cell>
          <cell r="BC2131" t="str">
            <v>OTHERS</v>
          </cell>
          <cell r="BE2131" t="str">
            <v>Jun</v>
          </cell>
        </row>
        <row r="2132">
          <cell r="C2132" t="str">
            <v>Adani</v>
          </cell>
          <cell r="R2132">
            <v>0</v>
          </cell>
          <cell r="AZ2132">
            <v>0</v>
          </cell>
          <cell r="BA2132">
            <v>0</v>
          </cell>
          <cell r="BC2132" t="str">
            <v>OTHERS</v>
          </cell>
          <cell r="BE2132" t="str">
            <v>Jul</v>
          </cell>
        </row>
        <row r="2133">
          <cell r="C2133" t="str">
            <v>Adani</v>
          </cell>
          <cell r="R2133">
            <v>0</v>
          </cell>
          <cell r="AZ2133">
            <v>0</v>
          </cell>
          <cell r="BA2133">
            <v>0</v>
          </cell>
          <cell r="BC2133" t="str">
            <v>OTHERS</v>
          </cell>
          <cell r="BE2133" t="str">
            <v>Aug</v>
          </cell>
        </row>
        <row r="2134">
          <cell r="C2134" t="str">
            <v>Adani</v>
          </cell>
          <cell r="R2134">
            <v>0</v>
          </cell>
          <cell r="AZ2134">
            <v>0</v>
          </cell>
          <cell r="BA2134">
            <v>0</v>
          </cell>
          <cell r="BC2134" t="str">
            <v>OTHERS</v>
          </cell>
          <cell r="BE2134" t="str">
            <v>Sep</v>
          </cell>
        </row>
        <row r="2135">
          <cell r="C2135" t="str">
            <v>Adani</v>
          </cell>
          <cell r="R2135">
            <v>0</v>
          </cell>
          <cell r="AZ2135">
            <v>0</v>
          </cell>
          <cell r="BA2135">
            <v>0</v>
          </cell>
          <cell r="BC2135" t="str">
            <v>OTHERS</v>
          </cell>
          <cell r="BE2135" t="str">
            <v>Oct</v>
          </cell>
        </row>
        <row r="2136">
          <cell r="C2136" t="str">
            <v>Adani</v>
          </cell>
          <cell r="R2136">
            <v>0</v>
          </cell>
          <cell r="AZ2136">
            <v>0</v>
          </cell>
          <cell r="BA2136">
            <v>0</v>
          </cell>
          <cell r="BC2136" t="str">
            <v>OTHERS</v>
          </cell>
          <cell r="BE2136" t="str">
            <v>Nov</v>
          </cell>
        </row>
        <row r="2137">
          <cell r="C2137" t="str">
            <v>Adani</v>
          </cell>
          <cell r="R2137">
            <v>0</v>
          </cell>
          <cell r="AZ2137">
            <v>0</v>
          </cell>
          <cell r="BA2137">
            <v>0</v>
          </cell>
          <cell r="BC2137" t="str">
            <v>OTHERS</v>
          </cell>
          <cell r="BE2137" t="str">
            <v>Dec</v>
          </cell>
        </row>
        <row r="2138">
          <cell r="C2138" t="str">
            <v>Adani</v>
          </cell>
          <cell r="R2138">
            <v>70000</v>
          </cell>
          <cell r="AZ2138">
            <v>-70000</v>
          </cell>
          <cell r="BA2138">
            <v>-84593.220338983054</v>
          </cell>
          <cell r="BC2138" t="str">
            <v>OTHERS</v>
          </cell>
          <cell r="BE2138" t="str">
            <v>Jan</v>
          </cell>
        </row>
        <row r="2139">
          <cell r="C2139" t="str">
            <v>Adani</v>
          </cell>
          <cell r="R2139">
            <v>70000</v>
          </cell>
          <cell r="AZ2139">
            <v>-70000</v>
          </cell>
          <cell r="BA2139">
            <v>-84593.220338983054</v>
          </cell>
          <cell r="BC2139" t="str">
            <v>OTHERS</v>
          </cell>
          <cell r="BE2139" t="str">
            <v>Feb</v>
          </cell>
        </row>
        <row r="2140">
          <cell r="C2140" t="str">
            <v>Adani</v>
          </cell>
          <cell r="R2140">
            <v>70000</v>
          </cell>
          <cell r="AZ2140">
            <v>-70000</v>
          </cell>
          <cell r="BA2140">
            <v>-84593.220338983054</v>
          </cell>
          <cell r="BC2140" t="str">
            <v>OTHERS</v>
          </cell>
          <cell r="BE2140" t="str">
            <v>Mar</v>
          </cell>
        </row>
        <row r="2141">
          <cell r="C2141" t="str">
            <v>Adani</v>
          </cell>
          <cell r="R2141">
            <v>70000</v>
          </cell>
          <cell r="AZ2141">
            <v>-70000</v>
          </cell>
          <cell r="BA2141">
            <v>-84593.220338983054</v>
          </cell>
          <cell r="BC2141" t="str">
            <v>OTHERS</v>
          </cell>
          <cell r="BE2141" t="str">
            <v>Apr</v>
          </cell>
        </row>
        <row r="2142">
          <cell r="C2142" t="str">
            <v>Adani</v>
          </cell>
          <cell r="R2142">
            <v>70000</v>
          </cell>
          <cell r="AZ2142">
            <v>-70000</v>
          </cell>
          <cell r="BA2142">
            <v>-84593.220338983054</v>
          </cell>
          <cell r="BC2142" t="str">
            <v>OTHERS</v>
          </cell>
          <cell r="BE2142" t="str">
            <v>May</v>
          </cell>
        </row>
        <row r="2143">
          <cell r="C2143" t="str">
            <v>Adani</v>
          </cell>
          <cell r="R2143">
            <v>0</v>
          </cell>
          <cell r="AZ2143">
            <v>0</v>
          </cell>
          <cell r="BA2143">
            <v>0</v>
          </cell>
          <cell r="BC2143" t="str">
            <v>OTHERS</v>
          </cell>
          <cell r="BE2143" t="str">
            <v>Jun</v>
          </cell>
        </row>
        <row r="2144">
          <cell r="C2144" t="str">
            <v>Adani</v>
          </cell>
          <cell r="R2144">
            <v>0</v>
          </cell>
          <cell r="AZ2144">
            <v>0</v>
          </cell>
          <cell r="BA2144">
            <v>0</v>
          </cell>
          <cell r="BC2144" t="str">
            <v>OTHERS</v>
          </cell>
          <cell r="BE2144" t="str">
            <v>Jul</v>
          </cell>
        </row>
        <row r="2145">
          <cell r="C2145" t="str">
            <v>Adani</v>
          </cell>
          <cell r="R2145">
            <v>0</v>
          </cell>
          <cell r="AZ2145">
            <v>0</v>
          </cell>
          <cell r="BA2145">
            <v>0</v>
          </cell>
          <cell r="BC2145" t="str">
            <v>OTHERS</v>
          </cell>
          <cell r="BE2145" t="str">
            <v>Aug</v>
          </cell>
        </row>
        <row r="2146">
          <cell r="C2146" t="str">
            <v>Adani</v>
          </cell>
          <cell r="R2146">
            <v>0</v>
          </cell>
          <cell r="AZ2146">
            <v>0</v>
          </cell>
          <cell r="BA2146">
            <v>0</v>
          </cell>
          <cell r="BC2146" t="str">
            <v>OTHERS</v>
          </cell>
          <cell r="BE2146" t="str">
            <v>Sep</v>
          </cell>
        </row>
        <row r="2147">
          <cell r="C2147" t="str">
            <v>Adani</v>
          </cell>
          <cell r="R2147">
            <v>0</v>
          </cell>
          <cell r="AZ2147">
            <v>0</v>
          </cell>
          <cell r="BA2147">
            <v>0</v>
          </cell>
          <cell r="BC2147" t="str">
            <v>OTHERS</v>
          </cell>
          <cell r="BE2147" t="str">
            <v>Oct</v>
          </cell>
        </row>
        <row r="2148">
          <cell r="C2148" t="str">
            <v>Adani</v>
          </cell>
          <cell r="R2148">
            <v>0</v>
          </cell>
          <cell r="AZ2148">
            <v>0</v>
          </cell>
          <cell r="BA2148">
            <v>0</v>
          </cell>
          <cell r="BC2148" t="str">
            <v>OTHERS</v>
          </cell>
          <cell r="BE2148" t="str">
            <v>Nov</v>
          </cell>
        </row>
        <row r="2149">
          <cell r="C2149" t="str">
            <v>Adani</v>
          </cell>
          <cell r="R2149">
            <v>0</v>
          </cell>
          <cell r="AZ2149">
            <v>0</v>
          </cell>
          <cell r="BA2149">
            <v>0</v>
          </cell>
          <cell r="BC2149" t="str">
            <v>OTHERS</v>
          </cell>
          <cell r="BE2149" t="str">
            <v>Dec</v>
          </cell>
        </row>
        <row r="2150">
          <cell r="C2150" t="str">
            <v>Adani</v>
          </cell>
          <cell r="R2150">
            <v>0</v>
          </cell>
          <cell r="AZ2150">
            <v>0</v>
          </cell>
          <cell r="BA2150">
            <v>0</v>
          </cell>
          <cell r="BC2150" t="str">
            <v>OTHERS</v>
          </cell>
          <cell r="BE2150" t="str">
            <v>Jan</v>
          </cell>
        </row>
        <row r="2151">
          <cell r="C2151" t="str">
            <v>Adani</v>
          </cell>
          <cell r="R2151">
            <v>0</v>
          </cell>
          <cell r="AZ2151">
            <v>0</v>
          </cell>
          <cell r="BA2151">
            <v>0</v>
          </cell>
          <cell r="BC2151" t="str">
            <v>OTHERS</v>
          </cell>
          <cell r="BE2151" t="str">
            <v>Feb</v>
          </cell>
        </row>
        <row r="2152">
          <cell r="C2152" t="str">
            <v>Adani</v>
          </cell>
          <cell r="R2152">
            <v>0</v>
          </cell>
          <cell r="AZ2152">
            <v>0</v>
          </cell>
          <cell r="BA2152">
            <v>0</v>
          </cell>
          <cell r="BC2152" t="str">
            <v>OTHERS</v>
          </cell>
          <cell r="BE2152" t="str">
            <v>Mar</v>
          </cell>
        </row>
        <row r="2153">
          <cell r="C2153" t="str">
            <v>Adani</v>
          </cell>
          <cell r="R2153">
            <v>0</v>
          </cell>
          <cell r="AZ2153">
            <v>0</v>
          </cell>
          <cell r="BA2153">
            <v>0</v>
          </cell>
          <cell r="BC2153" t="str">
            <v>OTHERS</v>
          </cell>
          <cell r="BE2153" t="str">
            <v>Apr</v>
          </cell>
        </row>
        <row r="2154">
          <cell r="C2154" t="str">
            <v>Adani</v>
          </cell>
          <cell r="R2154">
            <v>0</v>
          </cell>
          <cell r="AZ2154">
            <v>0</v>
          </cell>
          <cell r="BA2154">
            <v>0</v>
          </cell>
          <cell r="BC2154" t="str">
            <v>OTHERS</v>
          </cell>
          <cell r="BE2154" t="str">
            <v>May</v>
          </cell>
        </row>
        <row r="2155">
          <cell r="C2155" t="str">
            <v>Adani</v>
          </cell>
          <cell r="R2155">
            <v>0</v>
          </cell>
          <cell r="AZ2155">
            <v>0</v>
          </cell>
          <cell r="BA2155">
            <v>0</v>
          </cell>
          <cell r="BC2155" t="str">
            <v>OTHERS</v>
          </cell>
          <cell r="BE2155" t="str">
            <v>Jun</v>
          </cell>
        </row>
        <row r="2156">
          <cell r="C2156" t="str">
            <v>Adani</v>
          </cell>
          <cell r="R2156">
            <v>0</v>
          </cell>
          <cell r="AZ2156">
            <v>0</v>
          </cell>
          <cell r="BA2156">
            <v>0</v>
          </cell>
          <cell r="BC2156" t="str">
            <v>OTHERS</v>
          </cell>
          <cell r="BE2156" t="str">
            <v>Jul</v>
          </cell>
        </row>
        <row r="2157">
          <cell r="C2157" t="str">
            <v>Adani</v>
          </cell>
          <cell r="R2157">
            <v>0</v>
          </cell>
          <cell r="AZ2157">
            <v>0</v>
          </cell>
          <cell r="BA2157">
            <v>0</v>
          </cell>
          <cell r="BC2157" t="str">
            <v>OTHERS</v>
          </cell>
          <cell r="BE2157" t="str">
            <v>Aug</v>
          </cell>
        </row>
        <row r="2158">
          <cell r="C2158" t="str">
            <v>Adani</v>
          </cell>
          <cell r="R2158">
            <v>0</v>
          </cell>
          <cell r="AZ2158">
            <v>0</v>
          </cell>
          <cell r="BA2158">
            <v>0</v>
          </cell>
          <cell r="BC2158" t="str">
            <v>OTHERS</v>
          </cell>
          <cell r="BE2158" t="str">
            <v>Sep</v>
          </cell>
        </row>
        <row r="2159">
          <cell r="C2159" t="str">
            <v>Adani</v>
          </cell>
          <cell r="R2159">
            <v>0</v>
          </cell>
          <cell r="AZ2159">
            <v>0</v>
          </cell>
          <cell r="BA2159">
            <v>0</v>
          </cell>
          <cell r="BC2159" t="str">
            <v>OTHERS</v>
          </cell>
          <cell r="BE2159" t="str">
            <v>Oct</v>
          </cell>
        </row>
        <row r="2160">
          <cell r="C2160" t="str">
            <v>Adani</v>
          </cell>
          <cell r="R2160">
            <v>0</v>
          </cell>
          <cell r="AZ2160">
            <v>0</v>
          </cell>
          <cell r="BA2160">
            <v>0</v>
          </cell>
          <cell r="BC2160" t="str">
            <v>OTHERS</v>
          </cell>
          <cell r="BE2160" t="str">
            <v>Nov</v>
          </cell>
        </row>
        <row r="2161">
          <cell r="C2161" t="str">
            <v>Adani</v>
          </cell>
          <cell r="R2161">
            <v>0</v>
          </cell>
          <cell r="AZ2161">
            <v>0</v>
          </cell>
          <cell r="BA2161">
            <v>0</v>
          </cell>
          <cell r="BC2161" t="str">
            <v>OTHERS</v>
          </cell>
          <cell r="BE2161" t="str">
            <v>Dec</v>
          </cell>
        </row>
        <row r="2162">
          <cell r="C2162" t="str">
            <v>Adani</v>
          </cell>
          <cell r="R2162">
            <v>0</v>
          </cell>
          <cell r="AZ2162">
            <v>0</v>
          </cell>
          <cell r="BA2162">
            <v>0</v>
          </cell>
          <cell r="BC2162" t="str">
            <v>OTHERS</v>
          </cell>
          <cell r="BE2162" t="str">
            <v>Jan</v>
          </cell>
        </row>
        <row r="2163">
          <cell r="C2163" t="str">
            <v>Adani</v>
          </cell>
          <cell r="R2163">
            <v>70000</v>
          </cell>
          <cell r="AZ2163">
            <v>-70000</v>
          </cell>
          <cell r="BA2163">
            <v>-78898.305084745763</v>
          </cell>
          <cell r="BC2163" t="str">
            <v>OTHERS</v>
          </cell>
          <cell r="BE2163" t="str">
            <v>Feb</v>
          </cell>
        </row>
        <row r="2164">
          <cell r="C2164" t="str">
            <v>Adani</v>
          </cell>
          <cell r="R2164">
            <v>70000</v>
          </cell>
          <cell r="AZ2164">
            <v>-70000</v>
          </cell>
          <cell r="BA2164">
            <v>-78898.305084745763</v>
          </cell>
          <cell r="BC2164" t="str">
            <v>OTHERS</v>
          </cell>
          <cell r="BE2164" t="str">
            <v>Mar</v>
          </cell>
        </row>
        <row r="2165">
          <cell r="C2165" t="str">
            <v>Adani</v>
          </cell>
          <cell r="R2165">
            <v>70000</v>
          </cell>
          <cell r="AZ2165">
            <v>-70000</v>
          </cell>
          <cell r="BA2165">
            <v>-78898.305084745763</v>
          </cell>
          <cell r="BC2165" t="str">
            <v>OTHERS</v>
          </cell>
          <cell r="BE2165" t="str">
            <v>Apr</v>
          </cell>
        </row>
        <row r="2166">
          <cell r="C2166" t="str">
            <v>Adani</v>
          </cell>
          <cell r="R2166">
            <v>70000</v>
          </cell>
          <cell r="AZ2166">
            <v>-70000</v>
          </cell>
          <cell r="BA2166">
            <v>-78898.305084745763</v>
          </cell>
          <cell r="BC2166" t="str">
            <v>OTHERS</v>
          </cell>
          <cell r="BE2166" t="str">
            <v>May</v>
          </cell>
        </row>
        <row r="2167">
          <cell r="C2167" t="str">
            <v>Adani</v>
          </cell>
          <cell r="R2167">
            <v>0</v>
          </cell>
          <cell r="AZ2167">
            <v>0</v>
          </cell>
          <cell r="BA2167">
            <v>0</v>
          </cell>
          <cell r="BC2167" t="str">
            <v>OTHERS</v>
          </cell>
          <cell r="BE2167" t="str">
            <v>Jun</v>
          </cell>
        </row>
        <row r="2168">
          <cell r="C2168" t="str">
            <v>Adani</v>
          </cell>
          <cell r="R2168">
            <v>0</v>
          </cell>
          <cell r="AZ2168">
            <v>0</v>
          </cell>
          <cell r="BA2168">
            <v>0</v>
          </cell>
          <cell r="BC2168" t="str">
            <v>OTHERS</v>
          </cell>
          <cell r="BE2168" t="str">
            <v>Jul</v>
          </cell>
        </row>
        <row r="2169">
          <cell r="C2169" t="str">
            <v>Adani</v>
          </cell>
          <cell r="R2169">
            <v>0</v>
          </cell>
          <cell r="AZ2169">
            <v>0</v>
          </cell>
          <cell r="BA2169">
            <v>0</v>
          </cell>
          <cell r="BC2169" t="str">
            <v>OTHERS</v>
          </cell>
          <cell r="BE2169" t="str">
            <v>Aug</v>
          </cell>
        </row>
        <row r="2170">
          <cell r="C2170" t="str">
            <v>Adani</v>
          </cell>
          <cell r="R2170">
            <v>0</v>
          </cell>
          <cell r="AZ2170">
            <v>0</v>
          </cell>
          <cell r="BA2170">
            <v>0</v>
          </cell>
          <cell r="BC2170" t="str">
            <v>OTHERS</v>
          </cell>
          <cell r="BE2170" t="str">
            <v>Sep</v>
          </cell>
        </row>
        <row r="2171">
          <cell r="C2171" t="str">
            <v>Adani</v>
          </cell>
          <cell r="R2171">
            <v>0</v>
          </cell>
          <cell r="AZ2171">
            <v>0</v>
          </cell>
          <cell r="BA2171">
            <v>0</v>
          </cell>
          <cell r="BC2171" t="str">
            <v>OTHERS</v>
          </cell>
          <cell r="BE2171" t="str">
            <v>Oct</v>
          </cell>
        </row>
        <row r="2172">
          <cell r="C2172" t="str">
            <v>Adani</v>
          </cell>
          <cell r="R2172">
            <v>0</v>
          </cell>
          <cell r="AZ2172">
            <v>0</v>
          </cell>
          <cell r="BA2172">
            <v>0</v>
          </cell>
          <cell r="BC2172" t="str">
            <v>OTHERS</v>
          </cell>
          <cell r="BE2172" t="str">
            <v>Nov</v>
          </cell>
        </row>
        <row r="2173">
          <cell r="C2173" t="str">
            <v>Adani</v>
          </cell>
          <cell r="R2173">
            <v>0</v>
          </cell>
          <cell r="AZ2173">
            <v>0</v>
          </cell>
          <cell r="BA2173">
            <v>0</v>
          </cell>
          <cell r="BC2173" t="str">
            <v>OTHERS</v>
          </cell>
          <cell r="BE2173" t="str">
            <v>Dec</v>
          </cell>
        </row>
        <row r="2174">
          <cell r="C2174" t="str">
            <v>Adani</v>
          </cell>
          <cell r="R2174">
            <v>0</v>
          </cell>
          <cell r="AZ2174">
            <v>0</v>
          </cell>
          <cell r="BA2174">
            <v>0</v>
          </cell>
          <cell r="BC2174" t="str">
            <v>OTHERS</v>
          </cell>
          <cell r="BE2174" t="str">
            <v>Jan</v>
          </cell>
        </row>
        <row r="2175">
          <cell r="C2175" t="str">
            <v>Adani</v>
          </cell>
          <cell r="R2175">
            <v>70000</v>
          </cell>
          <cell r="AZ2175">
            <v>-70000</v>
          </cell>
          <cell r="BA2175">
            <v>-78898.305084745763</v>
          </cell>
          <cell r="BC2175" t="str">
            <v>OTHERS</v>
          </cell>
          <cell r="BE2175" t="str">
            <v>Feb</v>
          </cell>
        </row>
        <row r="2176">
          <cell r="C2176" t="str">
            <v>Adani</v>
          </cell>
          <cell r="R2176">
            <v>0</v>
          </cell>
          <cell r="AZ2176">
            <v>0</v>
          </cell>
          <cell r="BA2176">
            <v>0</v>
          </cell>
          <cell r="BC2176" t="str">
            <v>OTHERS</v>
          </cell>
          <cell r="BE2176" t="str">
            <v>Mar</v>
          </cell>
        </row>
        <row r="2177">
          <cell r="C2177" t="str">
            <v>Adani</v>
          </cell>
          <cell r="R2177">
            <v>0</v>
          </cell>
          <cell r="AZ2177">
            <v>0</v>
          </cell>
          <cell r="BA2177">
            <v>0</v>
          </cell>
          <cell r="BC2177" t="str">
            <v>OTHERS</v>
          </cell>
          <cell r="BE2177" t="str">
            <v>Apr</v>
          </cell>
        </row>
        <row r="2178">
          <cell r="C2178" t="str">
            <v>Adani</v>
          </cell>
          <cell r="R2178">
            <v>0</v>
          </cell>
          <cell r="AZ2178">
            <v>0</v>
          </cell>
          <cell r="BA2178">
            <v>0</v>
          </cell>
          <cell r="BC2178" t="str">
            <v>OTHERS</v>
          </cell>
          <cell r="BE2178" t="str">
            <v>May</v>
          </cell>
        </row>
        <row r="2179">
          <cell r="C2179" t="str">
            <v>Adani</v>
          </cell>
          <cell r="R2179">
            <v>0</v>
          </cell>
          <cell r="AZ2179">
            <v>0</v>
          </cell>
          <cell r="BA2179">
            <v>0</v>
          </cell>
          <cell r="BC2179" t="str">
            <v>OTHERS</v>
          </cell>
          <cell r="BE2179" t="str">
            <v>Jun</v>
          </cell>
        </row>
        <row r="2180">
          <cell r="C2180" t="str">
            <v>Adani</v>
          </cell>
          <cell r="R2180">
            <v>0</v>
          </cell>
          <cell r="AZ2180">
            <v>0</v>
          </cell>
          <cell r="BA2180">
            <v>0</v>
          </cell>
          <cell r="BC2180" t="str">
            <v>OTHERS</v>
          </cell>
          <cell r="BE2180" t="str">
            <v>Jul</v>
          </cell>
        </row>
        <row r="2181">
          <cell r="C2181" t="str">
            <v>Adani</v>
          </cell>
          <cell r="R2181">
            <v>0</v>
          </cell>
          <cell r="AZ2181">
            <v>0</v>
          </cell>
          <cell r="BA2181">
            <v>0</v>
          </cell>
          <cell r="BC2181" t="str">
            <v>OTHERS</v>
          </cell>
          <cell r="BE2181" t="str">
            <v>Aug</v>
          </cell>
        </row>
        <row r="2182">
          <cell r="C2182" t="str">
            <v>Adani</v>
          </cell>
          <cell r="R2182">
            <v>0</v>
          </cell>
          <cell r="AZ2182">
            <v>0</v>
          </cell>
          <cell r="BA2182">
            <v>0</v>
          </cell>
          <cell r="BC2182" t="str">
            <v>OTHERS</v>
          </cell>
          <cell r="BE2182" t="str">
            <v>Sep</v>
          </cell>
        </row>
        <row r="2183">
          <cell r="C2183" t="str">
            <v>Adani</v>
          </cell>
          <cell r="R2183">
            <v>0</v>
          </cell>
          <cell r="AZ2183">
            <v>0</v>
          </cell>
          <cell r="BA2183">
            <v>0</v>
          </cell>
          <cell r="BC2183" t="str">
            <v>OTHERS</v>
          </cell>
          <cell r="BE2183" t="str">
            <v>Oct</v>
          </cell>
        </row>
        <row r="2184">
          <cell r="C2184" t="str">
            <v>Adani</v>
          </cell>
          <cell r="R2184">
            <v>0</v>
          </cell>
          <cell r="AZ2184">
            <v>0</v>
          </cell>
          <cell r="BA2184">
            <v>0</v>
          </cell>
          <cell r="BC2184" t="str">
            <v>OTHERS</v>
          </cell>
          <cell r="BE2184" t="str">
            <v>Nov</v>
          </cell>
        </row>
        <row r="2185">
          <cell r="C2185" t="str">
            <v>Adani</v>
          </cell>
          <cell r="R2185">
            <v>0</v>
          </cell>
          <cell r="AZ2185">
            <v>0</v>
          </cell>
          <cell r="BA2185">
            <v>0</v>
          </cell>
          <cell r="BC2185" t="str">
            <v>OTHERS</v>
          </cell>
          <cell r="BE2185" t="str">
            <v>Dec</v>
          </cell>
        </row>
        <row r="2186">
          <cell r="C2186" t="str">
            <v>Adani</v>
          </cell>
          <cell r="R2186">
            <v>0</v>
          </cell>
          <cell r="AZ2186">
            <v>0</v>
          </cell>
          <cell r="BA2186">
            <v>0</v>
          </cell>
          <cell r="BC2186" t="str">
            <v>OTHERS</v>
          </cell>
          <cell r="BE2186" t="str">
            <v>Jan</v>
          </cell>
        </row>
        <row r="2187">
          <cell r="C2187" t="str">
            <v>Adani</v>
          </cell>
          <cell r="R2187">
            <v>0</v>
          </cell>
          <cell r="AZ2187">
            <v>0</v>
          </cell>
          <cell r="BA2187">
            <v>0</v>
          </cell>
          <cell r="BC2187" t="str">
            <v>OTHERS</v>
          </cell>
          <cell r="BE2187" t="str">
            <v>Feb</v>
          </cell>
        </row>
        <row r="2188">
          <cell r="C2188" t="str">
            <v>Adani</v>
          </cell>
          <cell r="R2188">
            <v>70000</v>
          </cell>
          <cell r="AZ2188">
            <v>-70000</v>
          </cell>
          <cell r="BA2188">
            <v>-78898.305084745763</v>
          </cell>
          <cell r="BC2188" t="str">
            <v>OTHERS</v>
          </cell>
          <cell r="BE2188" t="str">
            <v>Mar</v>
          </cell>
        </row>
        <row r="2189">
          <cell r="C2189" t="str">
            <v>Adani</v>
          </cell>
          <cell r="R2189">
            <v>70000</v>
          </cell>
          <cell r="AZ2189">
            <v>-70000</v>
          </cell>
          <cell r="BA2189">
            <v>-78898.305084745763</v>
          </cell>
          <cell r="BC2189" t="str">
            <v>OTHERS</v>
          </cell>
          <cell r="BE2189" t="str">
            <v>Apr</v>
          </cell>
        </row>
        <row r="2190">
          <cell r="C2190" t="str">
            <v>Adani</v>
          </cell>
          <cell r="R2190">
            <v>70000</v>
          </cell>
          <cell r="AZ2190">
            <v>-70000</v>
          </cell>
          <cell r="BA2190">
            <v>-78898.305084745763</v>
          </cell>
          <cell r="BC2190" t="str">
            <v>OTHERS</v>
          </cell>
          <cell r="BE2190" t="str">
            <v>May</v>
          </cell>
        </row>
        <row r="2191">
          <cell r="C2191" t="str">
            <v>Adani</v>
          </cell>
          <cell r="R2191">
            <v>70000</v>
          </cell>
          <cell r="AZ2191">
            <v>-70000</v>
          </cell>
          <cell r="BA2191">
            <v>-78898.305084745763</v>
          </cell>
          <cell r="BC2191" t="str">
            <v>OTHERS</v>
          </cell>
          <cell r="BE2191" t="str">
            <v>Jun</v>
          </cell>
        </row>
        <row r="2192">
          <cell r="C2192" t="str">
            <v>Adani</v>
          </cell>
          <cell r="R2192">
            <v>0</v>
          </cell>
          <cell r="AZ2192">
            <v>0</v>
          </cell>
          <cell r="BA2192">
            <v>0</v>
          </cell>
          <cell r="BC2192" t="str">
            <v>OTHERS</v>
          </cell>
          <cell r="BE2192" t="str">
            <v>Jul</v>
          </cell>
        </row>
        <row r="2193">
          <cell r="C2193" t="str">
            <v>Adani</v>
          </cell>
          <cell r="R2193">
            <v>0</v>
          </cell>
          <cell r="AZ2193">
            <v>0</v>
          </cell>
          <cell r="BA2193">
            <v>0</v>
          </cell>
          <cell r="BC2193" t="str">
            <v>OTHERS</v>
          </cell>
          <cell r="BE2193" t="str">
            <v>Aug</v>
          </cell>
        </row>
        <row r="2194">
          <cell r="C2194" t="str">
            <v>Adani</v>
          </cell>
          <cell r="R2194">
            <v>0</v>
          </cell>
          <cell r="AZ2194">
            <v>0</v>
          </cell>
          <cell r="BA2194">
            <v>0</v>
          </cell>
          <cell r="BC2194" t="str">
            <v>OTHERS</v>
          </cell>
          <cell r="BE2194" t="str">
            <v>Sep</v>
          </cell>
        </row>
        <row r="2195">
          <cell r="C2195" t="str">
            <v>Adani</v>
          </cell>
          <cell r="R2195">
            <v>0</v>
          </cell>
          <cell r="AZ2195">
            <v>0</v>
          </cell>
          <cell r="BA2195">
            <v>0</v>
          </cell>
          <cell r="BC2195" t="str">
            <v>OTHERS</v>
          </cell>
          <cell r="BE2195" t="str">
            <v>Oct</v>
          </cell>
        </row>
        <row r="2196">
          <cell r="C2196" t="str">
            <v>Adani</v>
          </cell>
          <cell r="R2196">
            <v>0</v>
          </cell>
          <cell r="AZ2196">
            <v>0</v>
          </cell>
          <cell r="BA2196">
            <v>0</v>
          </cell>
          <cell r="BC2196" t="str">
            <v>OTHERS</v>
          </cell>
          <cell r="BE2196" t="str">
            <v>Nov</v>
          </cell>
        </row>
        <row r="2197">
          <cell r="C2197" t="str">
            <v>Adani</v>
          </cell>
          <cell r="R2197">
            <v>0</v>
          </cell>
          <cell r="AZ2197">
            <v>0</v>
          </cell>
          <cell r="BA2197">
            <v>0</v>
          </cell>
          <cell r="BC2197" t="str">
            <v>OTHERS</v>
          </cell>
          <cell r="BE2197" t="str">
            <v>Dec</v>
          </cell>
        </row>
        <row r="2198">
          <cell r="C2198" t="str">
            <v>Adani</v>
          </cell>
          <cell r="R2198">
            <v>0</v>
          </cell>
          <cell r="AZ2198">
            <v>0</v>
          </cell>
          <cell r="BA2198">
            <v>0</v>
          </cell>
          <cell r="BC2198" t="str">
            <v>OTHERS</v>
          </cell>
          <cell r="BE2198" t="str">
            <v>Jan</v>
          </cell>
        </row>
        <row r="2199">
          <cell r="C2199" t="str">
            <v>Adani</v>
          </cell>
          <cell r="R2199">
            <v>0</v>
          </cell>
          <cell r="AZ2199">
            <v>0</v>
          </cell>
          <cell r="BA2199">
            <v>0</v>
          </cell>
          <cell r="BC2199" t="str">
            <v>OTHERS</v>
          </cell>
          <cell r="BE2199" t="str">
            <v>Feb</v>
          </cell>
        </row>
        <row r="2200">
          <cell r="C2200" t="str">
            <v>Adani</v>
          </cell>
          <cell r="R2200">
            <v>0</v>
          </cell>
          <cell r="AZ2200">
            <v>0</v>
          </cell>
          <cell r="BA2200">
            <v>0</v>
          </cell>
          <cell r="BC2200" t="str">
            <v>OTHERS</v>
          </cell>
          <cell r="BE2200" t="str">
            <v>Mar</v>
          </cell>
        </row>
        <row r="2201">
          <cell r="C2201" t="str">
            <v>Adani</v>
          </cell>
          <cell r="R2201">
            <v>0</v>
          </cell>
          <cell r="AZ2201">
            <v>0</v>
          </cell>
          <cell r="BA2201">
            <v>0</v>
          </cell>
          <cell r="BC2201" t="str">
            <v>OTHERS</v>
          </cell>
          <cell r="BE2201" t="str">
            <v>Apr</v>
          </cell>
        </row>
        <row r="2202">
          <cell r="C2202" t="str">
            <v>Adani</v>
          </cell>
          <cell r="R2202">
            <v>0</v>
          </cell>
          <cell r="AZ2202">
            <v>0</v>
          </cell>
          <cell r="BA2202">
            <v>0</v>
          </cell>
          <cell r="BC2202" t="str">
            <v>OTHERS</v>
          </cell>
          <cell r="BE2202" t="str">
            <v>May</v>
          </cell>
        </row>
        <row r="2203">
          <cell r="C2203" t="str">
            <v>Adani</v>
          </cell>
          <cell r="R2203">
            <v>70000</v>
          </cell>
          <cell r="AZ2203">
            <v>-70000</v>
          </cell>
          <cell r="BA2203">
            <v>-78898.305084745763</v>
          </cell>
          <cell r="BC2203" t="str">
            <v>OTHERS</v>
          </cell>
          <cell r="BE2203" t="str">
            <v>Jun</v>
          </cell>
        </row>
        <row r="2204">
          <cell r="C2204" t="str">
            <v>Adani</v>
          </cell>
          <cell r="R2204">
            <v>0</v>
          </cell>
          <cell r="AZ2204">
            <v>0</v>
          </cell>
          <cell r="BA2204">
            <v>0</v>
          </cell>
          <cell r="BC2204" t="str">
            <v>OTHERS</v>
          </cell>
          <cell r="BE2204" t="str">
            <v>Jul</v>
          </cell>
        </row>
        <row r="2205">
          <cell r="C2205" t="str">
            <v>Adani</v>
          </cell>
          <cell r="R2205">
            <v>0</v>
          </cell>
          <cell r="AZ2205">
            <v>0</v>
          </cell>
          <cell r="BA2205">
            <v>0</v>
          </cell>
          <cell r="BC2205" t="str">
            <v>OTHERS</v>
          </cell>
          <cell r="BE2205" t="str">
            <v>Aug</v>
          </cell>
        </row>
        <row r="2206">
          <cell r="C2206" t="str">
            <v>Adani</v>
          </cell>
          <cell r="R2206">
            <v>0</v>
          </cell>
          <cell r="AZ2206">
            <v>0</v>
          </cell>
          <cell r="BA2206">
            <v>0</v>
          </cell>
          <cell r="BC2206" t="str">
            <v>OTHERS</v>
          </cell>
          <cell r="BE2206" t="str">
            <v>Sep</v>
          </cell>
        </row>
        <row r="2207">
          <cell r="C2207" t="str">
            <v>Adani</v>
          </cell>
          <cell r="R2207">
            <v>0</v>
          </cell>
          <cell r="AZ2207">
            <v>0</v>
          </cell>
          <cell r="BA2207">
            <v>0</v>
          </cell>
          <cell r="BC2207" t="str">
            <v>OTHERS</v>
          </cell>
          <cell r="BE2207" t="str">
            <v>Oct</v>
          </cell>
        </row>
        <row r="2208">
          <cell r="C2208" t="str">
            <v>Adani</v>
          </cell>
          <cell r="R2208">
            <v>0</v>
          </cell>
          <cell r="AZ2208">
            <v>0</v>
          </cell>
          <cell r="BA2208">
            <v>0</v>
          </cell>
          <cell r="BC2208" t="str">
            <v>OTHERS</v>
          </cell>
          <cell r="BE2208" t="str">
            <v>Nov</v>
          </cell>
        </row>
        <row r="2209">
          <cell r="C2209" t="str">
            <v>Adani</v>
          </cell>
          <cell r="R2209">
            <v>0</v>
          </cell>
          <cell r="AZ2209">
            <v>0</v>
          </cell>
          <cell r="BA2209">
            <v>0</v>
          </cell>
          <cell r="BC2209" t="str">
            <v>OTHERS</v>
          </cell>
          <cell r="BE2209" t="str">
            <v>Dec</v>
          </cell>
        </row>
        <row r="2210">
          <cell r="C2210" t="str">
            <v>Udupi</v>
          </cell>
          <cell r="R2210">
            <v>45500</v>
          </cell>
          <cell r="AZ2210">
            <v>-113750</v>
          </cell>
          <cell r="BA2210">
            <v>-63751.67220249684</v>
          </cell>
          <cell r="BC2210" t="str">
            <v>OTHERS</v>
          </cell>
          <cell r="BE2210" t="str">
            <v>Jan</v>
          </cell>
        </row>
        <row r="2211">
          <cell r="C2211" t="str">
            <v>Udupi</v>
          </cell>
          <cell r="R2211">
            <v>0</v>
          </cell>
          <cell r="AZ2211">
            <v>0</v>
          </cell>
          <cell r="BA2211">
            <v>0</v>
          </cell>
          <cell r="BC2211" t="str">
            <v>OTHERS</v>
          </cell>
          <cell r="BE2211" t="str">
            <v>Feb</v>
          </cell>
        </row>
        <row r="2212">
          <cell r="C2212" t="str">
            <v>Udupi</v>
          </cell>
          <cell r="R2212">
            <v>45500</v>
          </cell>
          <cell r="AZ2212">
            <v>-113750</v>
          </cell>
          <cell r="BA2212">
            <v>-63751.67220249684</v>
          </cell>
          <cell r="BC2212" t="str">
            <v>OTHERS</v>
          </cell>
          <cell r="BE2212" t="str">
            <v>Mar</v>
          </cell>
        </row>
        <row r="2213">
          <cell r="C2213" t="str">
            <v>Udupi</v>
          </cell>
          <cell r="R2213">
            <v>45500</v>
          </cell>
          <cell r="AZ2213">
            <v>-113750</v>
          </cell>
          <cell r="BA2213">
            <v>-63751.67220249684</v>
          </cell>
          <cell r="BC2213" t="str">
            <v>OTHERS</v>
          </cell>
          <cell r="BE2213" t="str">
            <v>Apr</v>
          </cell>
        </row>
        <row r="2214">
          <cell r="C2214" t="str">
            <v>Udupi</v>
          </cell>
          <cell r="R2214">
            <v>45500</v>
          </cell>
          <cell r="AZ2214">
            <v>-113750</v>
          </cell>
          <cell r="BA2214">
            <v>-63751.67220249684</v>
          </cell>
          <cell r="BC2214" t="str">
            <v>OTHERS</v>
          </cell>
          <cell r="BE2214" t="str">
            <v>May</v>
          </cell>
        </row>
        <row r="2215">
          <cell r="C2215" t="str">
            <v>Udupi</v>
          </cell>
          <cell r="R2215">
            <v>0</v>
          </cell>
          <cell r="AZ2215">
            <v>0</v>
          </cell>
          <cell r="BA2215">
            <v>0</v>
          </cell>
          <cell r="BC2215" t="str">
            <v>OTHERS</v>
          </cell>
          <cell r="BE2215" t="str">
            <v>Jun</v>
          </cell>
        </row>
        <row r="2216">
          <cell r="C2216" t="str">
            <v>Udupi</v>
          </cell>
          <cell r="R2216">
            <v>45500</v>
          </cell>
          <cell r="AZ2216">
            <v>-113750</v>
          </cell>
          <cell r="BA2216">
            <v>-63751.67220249684</v>
          </cell>
          <cell r="BC2216" t="str">
            <v>OTHERS</v>
          </cell>
          <cell r="BE2216" t="str">
            <v>Jul</v>
          </cell>
        </row>
        <row r="2217">
          <cell r="C2217" t="str">
            <v>Udupi</v>
          </cell>
          <cell r="R2217">
            <v>0</v>
          </cell>
          <cell r="AZ2217">
            <v>0</v>
          </cell>
          <cell r="BA2217">
            <v>0</v>
          </cell>
          <cell r="BC2217" t="str">
            <v>OTHERS</v>
          </cell>
          <cell r="BE2217" t="str">
            <v>Aug</v>
          </cell>
        </row>
        <row r="2218">
          <cell r="C2218" t="str">
            <v>Udupi</v>
          </cell>
          <cell r="R2218">
            <v>0</v>
          </cell>
          <cell r="AZ2218">
            <v>0</v>
          </cell>
          <cell r="BA2218">
            <v>0</v>
          </cell>
          <cell r="BC2218" t="str">
            <v>OTHERS</v>
          </cell>
          <cell r="BE2218" t="str">
            <v>Sep</v>
          </cell>
        </row>
        <row r="2219">
          <cell r="C2219" t="str">
            <v>Udupi</v>
          </cell>
          <cell r="R2219">
            <v>0</v>
          </cell>
          <cell r="AZ2219">
            <v>0</v>
          </cell>
          <cell r="BA2219">
            <v>0</v>
          </cell>
          <cell r="BC2219" t="str">
            <v>OTHERS</v>
          </cell>
          <cell r="BE2219" t="str">
            <v>Oct</v>
          </cell>
        </row>
        <row r="2220">
          <cell r="C2220" t="str">
            <v>Udupi</v>
          </cell>
          <cell r="R2220">
            <v>0</v>
          </cell>
          <cell r="AZ2220">
            <v>0</v>
          </cell>
          <cell r="BA2220">
            <v>0</v>
          </cell>
          <cell r="BC2220" t="str">
            <v>OTHERS</v>
          </cell>
          <cell r="BE2220" t="str">
            <v>Nov</v>
          </cell>
        </row>
        <row r="2221">
          <cell r="C2221" t="str">
            <v>Udupi</v>
          </cell>
          <cell r="R2221">
            <v>0</v>
          </cell>
          <cell r="AZ2221">
            <v>0</v>
          </cell>
          <cell r="BA2221">
            <v>0</v>
          </cell>
          <cell r="BC2221" t="str">
            <v>OTHERS</v>
          </cell>
          <cell r="BE2221" t="str">
            <v>Dec</v>
          </cell>
        </row>
        <row r="2222">
          <cell r="C2222" t="str">
            <v>Udupi</v>
          </cell>
          <cell r="R2222">
            <v>19500.000000000004</v>
          </cell>
          <cell r="AZ2222">
            <v>-48750.000000000007</v>
          </cell>
          <cell r="BA2222">
            <v>-30798.327797503152</v>
          </cell>
          <cell r="BC2222" t="str">
            <v>OTHERS</v>
          </cell>
          <cell r="BE2222" t="str">
            <v>Jan</v>
          </cell>
        </row>
        <row r="2223">
          <cell r="C2223" t="str">
            <v>Udupi</v>
          </cell>
          <cell r="R2223">
            <v>0</v>
          </cell>
          <cell r="AZ2223">
            <v>0</v>
          </cell>
          <cell r="BA2223">
            <v>0</v>
          </cell>
          <cell r="BC2223" t="str">
            <v>OTHERS</v>
          </cell>
          <cell r="BE2223" t="str">
            <v>Feb</v>
          </cell>
        </row>
        <row r="2224">
          <cell r="C2224" t="str">
            <v>Udupi</v>
          </cell>
          <cell r="R2224">
            <v>19500.000000000004</v>
          </cell>
          <cell r="AZ2224">
            <v>-48750.000000000007</v>
          </cell>
          <cell r="BA2224">
            <v>-30798.327797503152</v>
          </cell>
          <cell r="BC2224" t="str">
            <v>OTHERS</v>
          </cell>
          <cell r="BE2224" t="str">
            <v>Mar</v>
          </cell>
        </row>
        <row r="2225">
          <cell r="C2225" t="str">
            <v>Udupi</v>
          </cell>
          <cell r="R2225">
            <v>19500.000000000004</v>
          </cell>
          <cell r="AZ2225">
            <v>-48750.000000000007</v>
          </cell>
          <cell r="BA2225">
            <v>-30798.327797503152</v>
          </cell>
          <cell r="BC2225" t="str">
            <v>OTHERS</v>
          </cell>
          <cell r="BE2225" t="str">
            <v>Apr</v>
          </cell>
        </row>
        <row r="2226">
          <cell r="C2226" t="str">
            <v>Udupi</v>
          </cell>
          <cell r="R2226">
            <v>19500.000000000004</v>
          </cell>
          <cell r="AZ2226">
            <v>-48750.000000000007</v>
          </cell>
          <cell r="BA2226">
            <v>-30798.327797503152</v>
          </cell>
          <cell r="BC2226" t="str">
            <v>OTHERS</v>
          </cell>
          <cell r="BE2226" t="str">
            <v>May</v>
          </cell>
        </row>
        <row r="2227">
          <cell r="C2227" t="str">
            <v>Udupi</v>
          </cell>
          <cell r="R2227">
            <v>0</v>
          </cell>
          <cell r="AZ2227">
            <v>0</v>
          </cell>
          <cell r="BA2227">
            <v>0</v>
          </cell>
          <cell r="BC2227" t="str">
            <v>OTHERS</v>
          </cell>
          <cell r="BE2227" t="str">
            <v>Jun</v>
          </cell>
        </row>
        <row r="2228">
          <cell r="C2228" t="str">
            <v>Udupi</v>
          </cell>
          <cell r="R2228">
            <v>19500.000000000004</v>
          </cell>
          <cell r="AZ2228">
            <v>-48750.000000000007</v>
          </cell>
          <cell r="BA2228">
            <v>-30798.327797503152</v>
          </cell>
          <cell r="BC2228" t="str">
            <v>OTHERS</v>
          </cell>
          <cell r="BE2228" t="str">
            <v>Jul</v>
          </cell>
        </row>
        <row r="2229">
          <cell r="C2229" t="str">
            <v>Udupi</v>
          </cell>
          <cell r="R2229">
            <v>0</v>
          </cell>
          <cell r="AZ2229">
            <v>0</v>
          </cell>
          <cell r="BA2229">
            <v>0</v>
          </cell>
          <cell r="BC2229" t="str">
            <v>OTHERS</v>
          </cell>
          <cell r="BE2229" t="str">
            <v>Aug</v>
          </cell>
        </row>
        <row r="2230">
          <cell r="C2230" t="str">
            <v>Udupi</v>
          </cell>
          <cell r="R2230">
            <v>0</v>
          </cell>
          <cell r="AZ2230">
            <v>0</v>
          </cell>
          <cell r="BA2230">
            <v>0</v>
          </cell>
          <cell r="BC2230" t="str">
            <v>OTHERS</v>
          </cell>
          <cell r="BE2230" t="str">
            <v>Sep</v>
          </cell>
        </row>
        <row r="2231">
          <cell r="C2231" t="str">
            <v>Udupi</v>
          </cell>
          <cell r="R2231">
            <v>0</v>
          </cell>
          <cell r="AZ2231">
            <v>0</v>
          </cell>
          <cell r="BA2231">
            <v>0</v>
          </cell>
          <cell r="BC2231" t="str">
            <v>OTHERS</v>
          </cell>
          <cell r="BE2231" t="str">
            <v>Oct</v>
          </cell>
        </row>
        <row r="2232">
          <cell r="C2232" t="str">
            <v>Udupi</v>
          </cell>
          <cell r="R2232">
            <v>0</v>
          </cell>
          <cell r="AZ2232">
            <v>0</v>
          </cell>
          <cell r="BA2232">
            <v>0</v>
          </cell>
          <cell r="BC2232" t="str">
            <v>OTHERS</v>
          </cell>
          <cell r="BE2232" t="str">
            <v>Nov</v>
          </cell>
        </row>
        <row r="2233">
          <cell r="C2233" t="str">
            <v>Udupi</v>
          </cell>
          <cell r="R2233">
            <v>0</v>
          </cell>
          <cell r="AZ2233">
            <v>0</v>
          </cell>
          <cell r="BA2233">
            <v>0</v>
          </cell>
          <cell r="BC2233" t="str">
            <v>OTHERS</v>
          </cell>
          <cell r="BE2233" t="str">
            <v>Dec</v>
          </cell>
        </row>
        <row r="2234">
          <cell r="C2234" t="str">
            <v>Udupi</v>
          </cell>
          <cell r="R2234">
            <v>0</v>
          </cell>
          <cell r="AZ2234">
            <v>0</v>
          </cell>
          <cell r="BA2234">
            <v>0</v>
          </cell>
          <cell r="BC2234" t="str">
            <v>OTHERS</v>
          </cell>
          <cell r="BE2234" t="str">
            <v>Jan</v>
          </cell>
        </row>
        <row r="2235">
          <cell r="C2235" t="str">
            <v>Udupi</v>
          </cell>
          <cell r="R2235">
            <v>0</v>
          </cell>
          <cell r="AZ2235">
            <v>0</v>
          </cell>
          <cell r="BA2235">
            <v>0</v>
          </cell>
          <cell r="BC2235" t="str">
            <v>OTHERS</v>
          </cell>
          <cell r="BE2235" t="str">
            <v>Feb</v>
          </cell>
        </row>
        <row r="2236">
          <cell r="C2236" t="str">
            <v>Udupi</v>
          </cell>
          <cell r="R2236">
            <v>0</v>
          </cell>
          <cell r="AZ2236">
            <v>0</v>
          </cell>
          <cell r="BA2236">
            <v>0</v>
          </cell>
          <cell r="BC2236" t="str">
            <v>OTHERS</v>
          </cell>
          <cell r="BE2236" t="str">
            <v>Mar</v>
          </cell>
        </row>
        <row r="2237">
          <cell r="C2237" t="str">
            <v>Udupi</v>
          </cell>
          <cell r="R2237">
            <v>0</v>
          </cell>
          <cell r="AZ2237">
            <v>0</v>
          </cell>
          <cell r="BA2237">
            <v>0</v>
          </cell>
          <cell r="BC2237" t="str">
            <v>OTHERS</v>
          </cell>
          <cell r="BE2237" t="str">
            <v>Apr</v>
          </cell>
        </row>
        <row r="2238">
          <cell r="C2238" t="str">
            <v>Udupi</v>
          </cell>
          <cell r="R2238">
            <v>0</v>
          </cell>
          <cell r="AZ2238">
            <v>0</v>
          </cell>
          <cell r="BA2238">
            <v>0</v>
          </cell>
          <cell r="BC2238" t="str">
            <v>OTHERS</v>
          </cell>
          <cell r="BE2238" t="str">
            <v>May</v>
          </cell>
        </row>
        <row r="2239">
          <cell r="C2239" t="str">
            <v>Udupi</v>
          </cell>
          <cell r="R2239">
            <v>0</v>
          </cell>
          <cell r="AZ2239">
            <v>0</v>
          </cell>
          <cell r="BA2239">
            <v>0</v>
          </cell>
          <cell r="BC2239" t="str">
            <v>OTHERS</v>
          </cell>
          <cell r="BE2239" t="str">
            <v>Jun</v>
          </cell>
        </row>
        <row r="2240">
          <cell r="C2240" t="str">
            <v>Udupi</v>
          </cell>
          <cell r="R2240">
            <v>0</v>
          </cell>
          <cell r="AZ2240">
            <v>0</v>
          </cell>
          <cell r="BA2240">
            <v>0</v>
          </cell>
          <cell r="BC2240" t="str">
            <v>OTHERS</v>
          </cell>
          <cell r="BE2240" t="str">
            <v>Jul</v>
          </cell>
        </row>
        <row r="2241">
          <cell r="C2241" t="str">
            <v>Udupi</v>
          </cell>
          <cell r="R2241">
            <v>0</v>
          </cell>
          <cell r="AZ2241">
            <v>0</v>
          </cell>
          <cell r="BA2241">
            <v>0</v>
          </cell>
          <cell r="BC2241" t="str">
            <v>OTHERS</v>
          </cell>
          <cell r="BE2241" t="str">
            <v>Aug</v>
          </cell>
        </row>
        <row r="2242">
          <cell r="C2242" t="str">
            <v>Udupi</v>
          </cell>
          <cell r="R2242">
            <v>0</v>
          </cell>
          <cell r="AZ2242">
            <v>0</v>
          </cell>
          <cell r="BA2242">
            <v>0</v>
          </cell>
          <cell r="BC2242" t="str">
            <v>OTHERS</v>
          </cell>
          <cell r="BE2242" t="str">
            <v>Sep</v>
          </cell>
        </row>
        <row r="2243">
          <cell r="C2243" t="str">
            <v>Udupi</v>
          </cell>
          <cell r="R2243">
            <v>49000</v>
          </cell>
          <cell r="AZ2243">
            <v>-122500</v>
          </cell>
          <cell r="BA2243">
            <v>-63369.416314987262</v>
          </cell>
          <cell r="BC2243" t="str">
            <v>OTHERS</v>
          </cell>
          <cell r="BE2243" t="str">
            <v>Oct</v>
          </cell>
        </row>
        <row r="2244">
          <cell r="C2244" t="str">
            <v>Udupi</v>
          </cell>
          <cell r="R2244">
            <v>49000</v>
          </cell>
          <cell r="AZ2244">
            <v>-122500</v>
          </cell>
          <cell r="BA2244">
            <v>-63369.416314987262</v>
          </cell>
          <cell r="BC2244" t="str">
            <v>OTHERS</v>
          </cell>
          <cell r="BE2244" t="str">
            <v>Nov</v>
          </cell>
        </row>
        <row r="2245">
          <cell r="C2245" t="str">
            <v>Udupi</v>
          </cell>
          <cell r="R2245">
            <v>0</v>
          </cell>
          <cell r="AZ2245">
            <v>0</v>
          </cell>
          <cell r="BA2245">
            <v>0</v>
          </cell>
          <cell r="BC2245" t="str">
            <v>OTHERS</v>
          </cell>
          <cell r="BE2245" t="str">
            <v>Dec</v>
          </cell>
        </row>
        <row r="2246">
          <cell r="C2246" t="str">
            <v>Udupi</v>
          </cell>
          <cell r="R2246">
            <v>0</v>
          </cell>
          <cell r="AZ2246">
            <v>0</v>
          </cell>
          <cell r="BA2246">
            <v>0</v>
          </cell>
          <cell r="BC2246" t="str">
            <v>OTHERS</v>
          </cell>
          <cell r="BE2246" t="str">
            <v>Jan</v>
          </cell>
        </row>
        <row r="2247">
          <cell r="C2247" t="str">
            <v>Udupi</v>
          </cell>
          <cell r="R2247">
            <v>0</v>
          </cell>
          <cell r="AZ2247">
            <v>0</v>
          </cell>
          <cell r="BA2247">
            <v>0</v>
          </cell>
          <cell r="BC2247" t="str">
            <v>OTHERS</v>
          </cell>
          <cell r="BE2247" t="str">
            <v>Feb</v>
          </cell>
        </row>
        <row r="2248">
          <cell r="C2248" t="str">
            <v>Udupi</v>
          </cell>
          <cell r="R2248">
            <v>0</v>
          </cell>
          <cell r="AZ2248">
            <v>0</v>
          </cell>
          <cell r="BA2248">
            <v>0</v>
          </cell>
          <cell r="BC2248" t="str">
            <v>OTHERS</v>
          </cell>
          <cell r="BE2248" t="str">
            <v>Mar</v>
          </cell>
        </row>
        <row r="2249">
          <cell r="C2249" t="str">
            <v>Udupi</v>
          </cell>
          <cell r="R2249">
            <v>0</v>
          </cell>
          <cell r="AZ2249">
            <v>0</v>
          </cell>
          <cell r="BA2249">
            <v>0</v>
          </cell>
          <cell r="BC2249" t="str">
            <v>OTHERS</v>
          </cell>
          <cell r="BE2249" t="str">
            <v>Apr</v>
          </cell>
        </row>
        <row r="2250">
          <cell r="C2250" t="str">
            <v>Udupi</v>
          </cell>
          <cell r="R2250">
            <v>0</v>
          </cell>
          <cell r="AZ2250">
            <v>0</v>
          </cell>
          <cell r="BA2250">
            <v>0</v>
          </cell>
          <cell r="BC2250" t="str">
            <v>OTHERS</v>
          </cell>
          <cell r="BE2250" t="str">
            <v>May</v>
          </cell>
        </row>
        <row r="2251">
          <cell r="C2251" t="str">
            <v>Udupi</v>
          </cell>
          <cell r="R2251">
            <v>0</v>
          </cell>
          <cell r="AZ2251">
            <v>0</v>
          </cell>
          <cell r="BA2251">
            <v>0</v>
          </cell>
          <cell r="BC2251" t="str">
            <v>OTHERS</v>
          </cell>
          <cell r="BE2251" t="str">
            <v>Jun</v>
          </cell>
        </row>
        <row r="2252">
          <cell r="C2252" t="str">
            <v>Udupi</v>
          </cell>
          <cell r="R2252">
            <v>0</v>
          </cell>
          <cell r="AZ2252">
            <v>0</v>
          </cell>
          <cell r="BA2252">
            <v>0</v>
          </cell>
          <cell r="BC2252" t="str">
            <v>OTHERS</v>
          </cell>
          <cell r="BE2252" t="str">
            <v>Jul</v>
          </cell>
        </row>
        <row r="2253">
          <cell r="C2253" t="str">
            <v>Udupi</v>
          </cell>
          <cell r="R2253">
            <v>0</v>
          </cell>
          <cell r="AZ2253">
            <v>0</v>
          </cell>
          <cell r="BA2253">
            <v>0</v>
          </cell>
          <cell r="BC2253" t="str">
            <v>OTHERS</v>
          </cell>
          <cell r="BE2253" t="str">
            <v>Aug</v>
          </cell>
        </row>
        <row r="2254">
          <cell r="C2254" t="str">
            <v>Udupi</v>
          </cell>
          <cell r="R2254">
            <v>0</v>
          </cell>
          <cell r="AZ2254">
            <v>0</v>
          </cell>
          <cell r="BA2254">
            <v>0</v>
          </cell>
          <cell r="BC2254" t="str">
            <v>OTHERS</v>
          </cell>
          <cell r="BE2254" t="str">
            <v>Sep</v>
          </cell>
        </row>
        <row r="2255">
          <cell r="C2255" t="str">
            <v>Udupi</v>
          </cell>
          <cell r="R2255">
            <v>21000.000000000004</v>
          </cell>
          <cell r="AZ2255">
            <v>-52500.000000000007</v>
          </cell>
          <cell r="BA2255">
            <v>-30613.660608089656</v>
          </cell>
          <cell r="BC2255" t="str">
            <v>OTHERS</v>
          </cell>
          <cell r="BE2255" t="str">
            <v>Oct</v>
          </cell>
        </row>
        <row r="2256">
          <cell r="C2256" t="str">
            <v>Udupi</v>
          </cell>
          <cell r="R2256">
            <v>21000.000000000004</v>
          </cell>
          <cell r="AZ2256">
            <v>-52500.000000000007</v>
          </cell>
          <cell r="BA2256">
            <v>-30613.660608089656</v>
          </cell>
          <cell r="BC2256" t="str">
            <v>OTHERS</v>
          </cell>
          <cell r="BE2256" t="str">
            <v>Nov</v>
          </cell>
        </row>
        <row r="2257">
          <cell r="C2257" t="str">
            <v>Udupi</v>
          </cell>
          <cell r="R2257">
            <v>0</v>
          </cell>
          <cell r="AZ2257">
            <v>0</v>
          </cell>
          <cell r="BA2257">
            <v>0</v>
          </cell>
          <cell r="BC2257" t="str">
            <v>OTHERS</v>
          </cell>
          <cell r="BE2257" t="str">
            <v>Dec</v>
          </cell>
        </row>
        <row r="2258">
          <cell r="C2258" t="str">
            <v>Other</v>
          </cell>
          <cell r="R2258">
            <v>0</v>
          </cell>
          <cell r="AZ2258">
            <v>0</v>
          </cell>
          <cell r="BA2258">
            <v>0</v>
          </cell>
          <cell r="BC2258" t="str">
            <v>OTHERS</v>
          </cell>
          <cell r="BE2258" t="str">
            <v>Jan</v>
          </cell>
        </row>
        <row r="2259">
          <cell r="C2259" t="str">
            <v>Other</v>
          </cell>
          <cell r="R2259">
            <v>0</v>
          </cell>
          <cell r="AZ2259">
            <v>0</v>
          </cell>
          <cell r="BA2259">
            <v>0</v>
          </cell>
          <cell r="BC2259" t="str">
            <v>OTHERS</v>
          </cell>
          <cell r="BE2259" t="str">
            <v>Feb</v>
          </cell>
        </row>
        <row r="2260">
          <cell r="C2260" t="str">
            <v>Other</v>
          </cell>
          <cell r="R2260">
            <v>0</v>
          </cell>
          <cell r="AZ2260">
            <v>0</v>
          </cell>
          <cell r="BA2260">
            <v>0</v>
          </cell>
          <cell r="BC2260" t="str">
            <v>OTHERS</v>
          </cell>
          <cell r="BE2260" t="str">
            <v>Mar</v>
          </cell>
        </row>
        <row r="2261">
          <cell r="C2261" t="str">
            <v>Other</v>
          </cell>
          <cell r="R2261">
            <v>0</v>
          </cell>
          <cell r="AZ2261">
            <v>0</v>
          </cell>
          <cell r="BA2261">
            <v>0</v>
          </cell>
          <cell r="BC2261" t="str">
            <v>OTHERS</v>
          </cell>
          <cell r="BE2261" t="str">
            <v>Apr</v>
          </cell>
        </row>
        <row r="2262">
          <cell r="C2262" t="str">
            <v>Other</v>
          </cell>
          <cell r="R2262">
            <v>0</v>
          </cell>
          <cell r="AZ2262">
            <v>0</v>
          </cell>
          <cell r="BA2262">
            <v>0</v>
          </cell>
          <cell r="BC2262" t="str">
            <v>OTHERS</v>
          </cell>
          <cell r="BE2262" t="str">
            <v>May</v>
          </cell>
        </row>
        <row r="2263">
          <cell r="C2263" t="str">
            <v>Other</v>
          </cell>
          <cell r="R2263">
            <v>0</v>
          </cell>
          <cell r="AZ2263">
            <v>0</v>
          </cell>
          <cell r="BA2263">
            <v>0</v>
          </cell>
          <cell r="BC2263" t="str">
            <v>OTHERS</v>
          </cell>
          <cell r="BE2263" t="str">
            <v>Jun</v>
          </cell>
        </row>
        <row r="2264">
          <cell r="C2264" t="str">
            <v>Other</v>
          </cell>
          <cell r="R2264">
            <v>0</v>
          </cell>
          <cell r="AZ2264">
            <v>0</v>
          </cell>
          <cell r="BA2264">
            <v>0</v>
          </cell>
          <cell r="BC2264" t="str">
            <v>OTHERS</v>
          </cell>
          <cell r="BE2264" t="str">
            <v>Jul</v>
          </cell>
        </row>
        <row r="2265">
          <cell r="C2265" t="str">
            <v>Other</v>
          </cell>
          <cell r="R2265">
            <v>0</v>
          </cell>
          <cell r="AZ2265">
            <v>0</v>
          </cell>
          <cell r="BA2265">
            <v>0</v>
          </cell>
          <cell r="BC2265" t="str">
            <v>OTHERS</v>
          </cell>
          <cell r="BE2265" t="str">
            <v>Aug</v>
          </cell>
        </row>
        <row r="2266">
          <cell r="C2266" t="str">
            <v>Other</v>
          </cell>
          <cell r="R2266">
            <v>0</v>
          </cell>
          <cell r="AZ2266">
            <v>0</v>
          </cell>
          <cell r="BA2266">
            <v>0</v>
          </cell>
          <cell r="BC2266" t="str">
            <v>OTHERS</v>
          </cell>
          <cell r="BE2266" t="str">
            <v>Sep</v>
          </cell>
        </row>
        <row r="2267">
          <cell r="C2267" t="str">
            <v>Other</v>
          </cell>
          <cell r="R2267">
            <v>0</v>
          </cell>
          <cell r="AZ2267">
            <v>0</v>
          </cell>
          <cell r="BA2267">
            <v>0</v>
          </cell>
          <cell r="BC2267" t="str">
            <v>OTHERS</v>
          </cell>
          <cell r="BE2267" t="str">
            <v>Oct</v>
          </cell>
        </row>
        <row r="2268">
          <cell r="C2268" t="str">
            <v>Other</v>
          </cell>
          <cell r="R2268">
            <v>0</v>
          </cell>
          <cell r="AZ2268">
            <v>0</v>
          </cell>
          <cell r="BA2268">
            <v>0</v>
          </cell>
          <cell r="BC2268" t="str">
            <v>OTHERS</v>
          </cell>
          <cell r="BE2268" t="str">
            <v>Nov</v>
          </cell>
        </row>
        <row r="2269">
          <cell r="C2269" t="str">
            <v>Other</v>
          </cell>
          <cell r="R2269">
            <v>0</v>
          </cell>
          <cell r="AZ2269">
            <v>0</v>
          </cell>
          <cell r="BA2269">
            <v>0</v>
          </cell>
          <cell r="BC2269" t="str">
            <v>OTHERS</v>
          </cell>
          <cell r="BE2269" t="str">
            <v>Dec</v>
          </cell>
        </row>
        <row r="2270">
          <cell r="C2270" t="str">
            <v>TNB (Tj Bin)</v>
          </cell>
          <cell r="R2270">
            <v>0</v>
          </cell>
          <cell r="AZ2270">
            <v>0</v>
          </cell>
          <cell r="BA2270">
            <v>0</v>
          </cell>
          <cell r="BC2270" t="str">
            <v>OTHERS</v>
          </cell>
          <cell r="BE2270" t="str">
            <v>Jan</v>
          </cell>
        </row>
        <row r="2271">
          <cell r="C2271" t="str">
            <v>TNB (Tj Bin)</v>
          </cell>
          <cell r="R2271">
            <v>0</v>
          </cell>
          <cell r="AZ2271">
            <v>0</v>
          </cell>
          <cell r="BA2271">
            <v>0</v>
          </cell>
          <cell r="BC2271" t="str">
            <v>OTHERS</v>
          </cell>
          <cell r="BE2271" t="str">
            <v>Feb</v>
          </cell>
        </row>
        <row r="2272">
          <cell r="C2272" t="str">
            <v>TNB (Tj Bin)</v>
          </cell>
          <cell r="R2272">
            <v>0</v>
          </cell>
          <cell r="AZ2272">
            <v>0</v>
          </cell>
          <cell r="BA2272">
            <v>0</v>
          </cell>
          <cell r="BC2272" t="str">
            <v>OTHERS</v>
          </cell>
          <cell r="BE2272" t="str">
            <v>Mar</v>
          </cell>
        </row>
        <row r="2273">
          <cell r="C2273" t="str">
            <v>TNB (Tj Bin)</v>
          </cell>
          <cell r="R2273">
            <v>0</v>
          </cell>
          <cell r="AZ2273">
            <v>0</v>
          </cell>
          <cell r="BA2273">
            <v>0</v>
          </cell>
          <cell r="BC2273" t="str">
            <v>OTHERS</v>
          </cell>
          <cell r="BE2273" t="str">
            <v>Apr</v>
          </cell>
        </row>
        <row r="2274">
          <cell r="C2274" t="str">
            <v>TNB (Tj Bin)</v>
          </cell>
          <cell r="R2274">
            <v>0</v>
          </cell>
          <cell r="AZ2274">
            <v>0</v>
          </cell>
          <cell r="BA2274">
            <v>0</v>
          </cell>
          <cell r="BC2274" t="str">
            <v>OTHERS</v>
          </cell>
          <cell r="BE2274" t="str">
            <v>May</v>
          </cell>
        </row>
        <row r="2275">
          <cell r="C2275" t="str">
            <v>TNB (Tj Bin)</v>
          </cell>
          <cell r="R2275">
            <v>0</v>
          </cell>
          <cell r="AZ2275">
            <v>0</v>
          </cell>
          <cell r="BA2275">
            <v>0</v>
          </cell>
          <cell r="BC2275" t="str">
            <v>OTHERS</v>
          </cell>
          <cell r="BE2275" t="str">
            <v>Jun</v>
          </cell>
        </row>
        <row r="2276">
          <cell r="C2276" t="str">
            <v>TNB (Tj Bin)</v>
          </cell>
          <cell r="R2276">
            <v>0</v>
          </cell>
          <cell r="AZ2276">
            <v>0</v>
          </cell>
          <cell r="BA2276">
            <v>0</v>
          </cell>
          <cell r="BC2276" t="str">
            <v>OTHERS</v>
          </cell>
          <cell r="BE2276" t="str">
            <v>Jul</v>
          </cell>
        </row>
        <row r="2277">
          <cell r="C2277" t="str">
            <v>TNB (Tj Bin)</v>
          </cell>
          <cell r="R2277">
            <v>0</v>
          </cell>
          <cell r="AZ2277">
            <v>0</v>
          </cell>
          <cell r="BA2277">
            <v>0</v>
          </cell>
          <cell r="BC2277" t="str">
            <v>OTHERS</v>
          </cell>
          <cell r="BE2277" t="str">
            <v>Aug</v>
          </cell>
        </row>
        <row r="2278">
          <cell r="C2278" t="str">
            <v>TNB (Tj Bin)</v>
          </cell>
          <cell r="R2278">
            <v>0</v>
          </cell>
          <cell r="AZ2278">
            <v>0</v>
          </cell>
          <cell r="BA2278">
            <v>0</v>
          </cell>
          <cell r="BC2278" t="str">
            <v>OTHERS</v>
          </cell>
          <cell r="BE2278" t="str">
            <v>Sep</v>
          </cell>
        </row>
        <row r="2279">
          <cell r="C2279" t="str">
            <v>TNB (Tj Bin)</v>
          </cell>
          <cell r="R2279">
            <v>0</v>
          </cell>
          <cell r="AZ2279">
            <v>0</v>
          </cell>
          <cell r="BA2279">
            <v>0</v>
          </cell>
          <cell r="BC2279" t="str">
            <v>OTHERS</v>
          </cell>
          <cell r="BE2279" t="str">
            <v>Oct</v>
          </cell>
        </row>
        <row r="2280">
          <cell r="C2280" t="str">
            <v>TNB (Tj Bin)</v>
          </cell>
          <cell r="R2280">
            <v>0</v>
          </cell>
          <cell r="AZ2280">
            <v>0</v>
          </cell>
          <cell r="BA2280">
            <v>0</v>
          </cell>
          <cell r="BC2280" t="str">
            <v>OTHERS</v>
          </cell>
          <cell r="BE2280" t="str">
            <v>Nov</v>
          </cell>
        </row>
        <row r="2281">
          <cell r="C2281" t="str">
            <v>TNB (Tj Bin)</v>
          </cell>
          <cell r="R2281">
            <v>0</v>
          </cell>
          <cell r="AZ2281">
            <v>0</v>
          </cell>
          <cell r="BA2281">
            <v>0</v>
          </cell>
          <cell r="BC2281" t="str">
            <v>OTHERS</v>
          </cell>
          <cell r="BE2281" t="str">
            <v>Dec</v>
          </cell>
        </row>
        <row r="2282">
          <cell r="C2282" t="str">
            <v>TNB (Tj Bin)</v>
          </cell>
          <cell r="R2282">
            <v>0</v>
          </cell>
          <cell r="AZ2282">
            <v>0</v>
          </cell>
          <cell r="BA2282">
            <v>0</v>
          </cell>
          <cell r="BC2282" t="str">
            <v>OTHERS</v>
          </cell>
          <cell r="BE2282" t="str">
            <v>Jan</v>
          </cell>
        </row>
        <row r="2283">
          <cell r="C2283" t="str">
            <v>TNB (Tj Bin)</v>
          </cell>
          <cell r="R2283">
            <v>0</v>
          </cell>
          <cell r="AZ2283">
            <v>0</v>
          </cell>
          <cell r="BA2283">
            <v>0</v>
          </cell>
          <cell r="BC2283" t="str">
            <v>OTHERS</v>
          </cell>
          <cell r="BE2283" t="str">
            <v>Feb</v>
          </cell>
        </row>
        <row r="2284">
          <cell r="C2284" t="str">
            <v>TNB (Tj Bin)</v>
          </cell>
          <cell r="R2284">
            <v>0</v>
          </cell>
          <cell r="AZ2284">
            <v>0</v>
          </cell>
          <cell r="BA2284">
            <v>0</v>
          </cell>
          <cell r="BC2284" t="str">
            <v>OTHERS</v>
          </cell>
          <cell r="BE2284" t="str">
            <v>Mar</v>
          </cell>
        </row>
        <row r="2285">
          <cell r="C2285" t="str">
            <v>TNB (Tj Bin)</v>
          </cell>
          <cell r="R2285">
            <v>0</v>
          </cell>
          <cell r="AZ2285">
            <v>0</v>
          </cell>
          <cell r="BA2285">
            <v>0</v>
          </cell>
          <cell r="BC2285" t="str">
            <v>OTHERS</v>
          </cell>
          <cell r="BE2285" t="str">
            <v>Apr</v>
          </cell>
        </row>
        <row r="2286">
          <cell r="C2286" t="str">
            <v>TNB (Tj Bin)</v>
          </cell>
          <cell r="R2286">
            <v>0</v>
          </cell>
          <cell r="AZ2286">
            <v>0</v>
          </cell>
          <cell r="BA2286">
            <v>0</v>
          </cell>
          <cell r="BC2286" t="str">
            <v>OTHERS</v>
          </cell>
          <cell r="BE2286" t="str">
            <v>May</v>
          </cell>
        </row>
        <row r="2287">
          <cell r="C2287" t="str">
            <v>TNB (Tj Bin)</v>
          </cell>
          <cell r="R2287">
            <v>0</v>
          </cell>
          <cell r="AZ2287">
            <v>0</v>
          </cell>
          <cell r="BA2287">
            <v>0</v>
          </cell>
          <cell r="BC2287" t="str">
            <v>OTHERS</v>
          </cell>
          <cell r="BE2287" t="str">
            <v>Jun</v>
          </cell>
        </row>
        <row r="2288">
          <cell r="C2288" t="str">
            <v>TNB (Tj Bin)</v>
          </cell>
          <cell r="R2288">
            <v>0</v>
          </cell>
          <cell r="AZ2288">
            <v>0</v>
          </cell>
          <cell r="BA2288">
            <v>0</v>
          </cell>
          <cell r="BC2288" t="str">
            <v>OTHERS</v>
          </cell>
          <cell r="BE2288" t="str">
            <v>Jul</v>
          </cell>
        </row>
        <row r="2289">
          <cell r="C2289" t="str">
            <v>TNB (Tj Bin)</v>
          </cell>
          <cell r="R2289">
            <v>0</v>
          </cell>
          <cell r="AZ2289">
            <v>0</v>
          </cell>
          <cell r="BA2289">
            <v>0</v>
          </cell>
          <cell r="BC2289" t="str">
            <v>OTHERS</v>
          </cell>
          <cell r="BE2289" t="str">
            <v>Aug</v>
          </cell>
        </row>
        <row r="2290">
          <cell r="C2290" t="str">
            <v>TNB (Tj Bin)</v>
          </cell>
          <cell r="R2290">
            <v>0</v>
          </cell>
          <cell r="AZ2290">
            <v>0</v>
          </cell>
          <cell r="BA2290">
            <v>0</v>
          </cell>
          <cell r="BC2290" t="str">
            <v>OTHERS</v>
          </cell>
          <cell r="BE2290" t="str">
            <v>Sep</v>
          </cell>
        </row>
        <row r="2291">
          <cell r="C2291" t="str">
            <v>TNB (Tj Bin)</v>
          </cell>
          <cell r="R2291">
            <v>0</v>
          </cell>
          <cell r="AZ2291">
            <v>0</v>
          </cell>
          <cell r="BA2291">
            <v>0</v>
          </cell>
          <cell r="BC2291" t="str">
            <v>OTHERS</v>
          </cell>
          <cell r="BE2291" t="str">
            <v>Oct</v>
          </cell>
        </row>
        <row r="2292">
          <cell r="C2292" t="str">
            <v>TNB (Tj Bin)</v>
          </cell>
          <cell r="R2292">
            <v>0</v>
          </cell>
          <cell r="AZ2292">
            <v>0</v>
          </cell>
          <cell r="BA2292">
            <v>0</v>
          </cell>
          <cell r="BC2292" t="str">
            <v>OTHERS</v>
          </cell>
          <cell r="BE2292" t="str">
            <v>Nov</v>
          </cell>
        </row>
        <row r="2293">
          <cell r="C2293" t="str">
            <v>TNB (Tj Bin)</v>
          </cell>
          <cell r="R2293">
            <v>0</v>
          </cell>
          <cell r="AZ2293">
            <v>0</v>
          </cell>
          <cell r="BA2293">
            <v>0</v>
          </cell>
          <cell r="BC2293" t="str">
            <v>OTHERS</v>
          </cell>
          <cell r="BE2293" t="str">
            <v>Dec</v>
          </cell>
        </row>
        <row r="2294">
          <cell r="C2294" t="str">
            <v>TNB</v>
          </cell>
          <cell r="R2294">
            <v>39000</v>
          </cell>
          <cell r="AZ2294">
            <v>-68250</v>
          </cell>
          <cell r="BA2294">
            <v>-48118.241286915058</v>
          </cell>
          <cell r="BC2294" t="str">
            <v>OTHERS</v>
          </cell>
          <cell r="BE2294" t="str">
            <v>Jan</v>
          </cell>
        </row>
        <row r="2295">
          <cell r="C2295" t="str">
            <v>TNB</v>
          </cell>
          <cell r="R2295">
            <v>0</v>
          </cell>
          <cell r="AZ2295">
            <v>0</v>
          </cell>
          <cell r="BA2295">
            <v>0</v>
          </cell>
          <cell r="BC2295" t="str">
            <v>OTHERS</v>
          </cell>
          <cell r="BE2295" t="str">
            <v>Feb</v>
          </cell>
        </row>
        <row r="2296">
          <cell r="C2296" t="str">
            <v>TNB</v>
          </cell>
          <cell r="R2296">
            <v>0</v>
          </cell>
          <cell r="AZ2296">
            <v>0</v>
          </cell>
          <cell r="BA2296">
            <v>0</v>
          </cell>
          <cell r="BC2296" t="str">
            <v>OTHERS</v>
          </cell>
          <cell r="BE2296" t="str">
            <v>Mar</v>
          </cell>
        </row>
        <row r="2297">
          <cell r="C2297" t="str">
            <v>TNB</v>
          </cell>
          <cell r="R2297">
            <v>0</v>
          </cell>
          <cell r="AZ2297">
            <v>0</v>
          </cell>
          <cell r="BA2297">
            <v>0</v>
          </cell>
          <cell r="BC2297" t="str">
            <v>OTHERS</v>
          </cell>
          <cell r="BE2297" t="str">
            <v>Apr</v>
          </cell>
        </row>
        <row r="2298">
          <cell r="C2298" t="str">
            <v>TNB</v>
          </cell>
          <cell r="R2298">
            <v>0</v>
          </cell>
          <cell r="AZ2298">
            <v>0</v>
          </cell>
          <cell r="BA2298">
            <v>0</v>
          </cell>
          <cell r="BC2298" t="str">
            <v>OTHERS</v>
          </cell>
          <cell r="BE2298" t="str">
            <v>May</v>
          </cell>
        </row>
        <row r="2299">
          <cell r="C2299" t="str">
            <v>TNB</v>
          </cell>
          <cell r="R2299">
            <v>0</v>
          </cell>
          <cell r="AZ2299">
            <v>0</v>
          </cell>
          <cell r="BA2299">
            <v>0</v>
          </cell>
          <cell r="BC2299" t="str">
            <v>OTHERS</v>
          </cell>
          <cell r="BE2299" t="str">
            <v>Jun</v>
          </cell>
        </row>
        <row r="2300">
          <cell r="C2300" t="str">
            <v>TNB</v>
          </cell>
          <cell r="R2300">
            <v>0</v>
          </cell>
          <cell r="AZ2300">
            <v>0</v>
          </cell>
          <cell r="BA2300">
            <v>0</v>
          </cell>
          <cell r="BC2300" t="str">
            <v>OTHERS</v>
          </cell>
          <cell r="BE2300" t="str">
            <v>Jul</v>
          </cell>
        </row>
        <row r="2301">
          <cell r="C2301" t="str">
            <v>TNB</v>
          </cell>
          <cell r="R2301">
            <v>0</v>
          </cell>
          <cell r="AZ2301">
            <v>0</v>
          </cell>
          <cell r="BA2301">
            <v>0</v>
          </cell>
          <cell r="BC2301" t="str">
            <v>OTHERS</v>
          </cell>
          <cell r="BE2301" t="str">
            <v>Aug</v>
          </cell>
        </row>
        <row r="2302">
          <cell r="C2302" t="str">
            <v>TNB</v>
          </cell>
          <cell r="R2302">
            <v>0</v>
          </cell>
          <cell r="AZ2302">
            <v>0</v>
          </cell>
          <cell r="BA2302">
            <v>0</v>
          </cell>
          <cell r="BC2302" t="str">
            <v>OTHERS</v>
          </cell>
          <cell r="BE2302" t="str">
            <v>Sep</v>
          </cell>
        </row>
        <row r="2303">
          <cell r="C2303" t="str">
            <v>TNB</v>
          </cell>
          <cell r="R2303">
            <v>0</v>
          </cell>
          <cell r="AZ2303">
            <v>0</v>
          </cell>
          <cell r="BA2303">
            <v>0</v>
          </cell>
          <cell r="BC2303" t="str">
            <v>OTHERS</v>
          </cell>
          <cell r="BE2303" t="str">
            <v>Oct</v>
          </cell>
        </row>
        <row r="2304">
          <cell r="C2304" t="str">
            <v>TNB</v>
          </cell>
          <cell r="R2304">
            <v>0</v>
          </cell>
          <cell r="AZ2304">
            <v>0</v>
          </cell>
          <cell r="BA2304">
            <v>0</v>
          </cell>
          <cell r="BC2304" t="str">
            <v>OTHERS</v>
          </cell>
          <cell r="BE2304" t="str">
            <v>Nov</v>
          </cell>
        </row>
        <row r="2305">
          <cell r="C2305" t="str">
            <v>TNB</v>
          </cell>
          <cell r="R2305">
            <v>0</v>
          </cell>
          <cell r="AZ2305">
            <v>0</v>
          </cell>
          <cell r="BA2305">
            <v>0</v>
          </cell>
          <cell r="BC2305" t="str">
            <v>OTHERS</v>
          </cell>
          <cell r="BE2305" t="str">
            <v>Dec</v>
          </cell>
        </row>
        <row r="2306">
          <cell r="C2306" t="str">
            <v>TNB</v>
          </cell>
          <cell r="R2306">
            <v>6500</v>
          </cell>
          <cell r="AZ2306">
            <v>-11375</v>
          </cell>
          <cell r="BA2306">
            <v>-7337.8887574873443</v>
          </cell>
          <cell r="BC2306" t="str">
            <v>OTHERS</v>
          </cell>
          <cell r="BE2306" t="str">
            <v>Jan</v>
          </cell>
        </row>
        <row r="2307">
          <cell r="C2307" t="str">
            <v>TNB</v>
          </cell>
          <cell r="R2307">
            <v>0</v>
          </cell>
          <cell r="AZ2307">
            <v>0</v>
          </cell>
          <cell r="BA2307">
            <v>0</v>
          </cell>
          <cell r="BC2307" t="str">
            <v>OTHERS</v>
          </cell>
          <cell r="BE2307" t="str">
            <v>Feb</v>
          </cell>
        </row>
        <row r="2308">
          <cell r="C2308" t="str">
            <v>TNB</v>
          </cell>
          <cell r="R2308">
            <v>0</v>
          </cell>
          <cell r="AZ2308">
            <v>0</v>
          </cell>
          <cell r="BA2308">
            <v>0</v>
          </cell>
          <cell r="BC2308" t="str">
            <v>OTHERS</v>
          </cell>
          <cell r="BE2308" t="str">
            <v>Mar</v>
          </cell>
        </row>
        <row r="2309">
          <cell r="C2309" t="str">
            <v>TNB</v>
          </cell>
          <cell r="R2309">
            <v>0</v>
          </cell>
          <cell r="AZ2309">
            <v>0</v>
          </cell>
          <cell r="BA2309">
            <v>0</v>
          </cell>
          <cell r="BC2309" t="str">
            <v>OTHERS</v>
          </cell>
          <cell r="BE2309" t="str">
            <v>Apr</v>
          </cell>
        </row>
        <row r="2310">
          <cell r="C2310" t="str">
            <v>TNB</v>
          </cell>
          <cell r="R2310">
            <v>0</v>
          </cell>
          <cell r="AZ2310">
            <v>0</v>
          </cell>
          <cell r="BA2310">
            <v>0</v>
          </cell>
          <cell r="BC2310" t="str">
            <v>OTHERS</v>
          </cell>
          <cell r="BE2310" t="str">
            <v>May</v>
          </cell>
        </row>
        <row r="2311">
          <cell r="C2311" t="str">
            <v>TNB</v>
          </cell>
          <cell r="R2311">
            <v>0</v>
          </cell>
          <cell r="AZ2311">
            <v>0</v>
          </cell>
          <cell r="BA2311">
            <v>0</v>
          </cell>
          <cell r="BC2311" t="str">
            <v>OTHERS</v>
          </cell>
          <cell r="BE2311" t="str">
            <v>Jun</v>
          </cell>
        </row>
        <row r="2312">
          <cell r="C2312" t="str">
            <v>TNB</v>
          </cell>
          <cell r="R2312">
            <v>0</v>
          </cell>
          <cell r="AZ2312">
            <v>0</v>
          </cell>
          <cell r="BA2312">
            <v>0</v>
          </cell>
          <cell r="BC2312" t="str">
            <v>OTHERS</v>
          </cell>
          <cell r="BE2312" t="str">
            <v>Jul</v>
          </cell>
        </row>
        <row r="2313">
          <cell r="C2313" t="str">
            <v>TNB</v>
          </cell>
          <cell r="R2313">
            <v>0</v>
          </cell>
          <cell r="AZ2313">
            <v>0</v>
          </cell>
          <cell r="BA2313">
            <v>0</v>
          </cell>
          <cell r="BC2313" t="str">
            <v>OTHERS</v>
          </cell>
          <cell r="BE2313" t="str">
            <v>Aug</v>
          </cell>
        </row>
        <row r="2314">
          <cell r="C2314" t="str">
            <v>TNB</v>
          </cell>
          <cell r="R2314">
            <v>0</v>
          </cell>
          <cell r="AZ2314">
            <v>0</v>
          </cell>
          <cell r="BA2314">
            <v>0</v>
          </cell>
          <cell r="BC2314" t="str">
            <v>OTHERS</v>
          </cell>
          <cell r="BE2314" t="str">
            <v>Sep</v>
          </cell>
        </row>
        <row r="2315">
          <cell r="C2315" t="str">
            <v>TNB</v>
          </cell>
          <cell r="R2315">
            <v>0</v>
          </cell>
          <cell r="AZ2315">
            <v>0</v>
          </cell>
          <cell r="BA2315">
            <v>0</v>
          </cell>
          <cell r="BC2315" t="str">
            <v>OTHERS</v>
          </cell>
          <cell r="BE2315" t="str">
            <v>Oct</v>
          </cell>
        </row>
        <row r="2316">
          <cell r="C2316" t="str">
            <v>TNB</v>
          </cell>
          <cell r="R2316">
            <v>0</v>
          </cell>
          <cell r="AZ2316">
            <v>0</v>
          </cell>
          <cell r="BA2316">
            <v>0</v>
          </cell>
          <cell r="BC2316" t="str">
            <v>OTHERS</v>
          </cell>
          <cell r="BE2316" t="str">
            <v>Nov</v>
          </cell>
        </row>
        <row r="2317">
          <cell r="C2317" t="str">
            <v>TNB</v>
          </cell>
          <cell r="R2317">
            <v>0</v>
          </cell>
          <cell r="AZ2317">
            <v>0</v>
          </cell>
          <cell r="BA2317">
            <v>0</v>
          </cell>
          <cell r="BC2317" t="str">
            <v>OTHERS</v>
          </cell>
          <cell r="BE2317" t="str">
            <v>Dec</v>
          </cell>
        </row>
        <row r="2318">
          <cell r="C2318" t="str">
            <v>TNB</v>
          </cell>
          <cell r="R2318">
            <v>19500.000000000004</v>
          </cell>
          <cell r="AZ2318">
            <v>-34125.000000000007</v>
          </cell>
          <cell r="BA2318">
            <v>-27120.150261590661</v>
          </cell>
          <cell r="BC2318" t="str">
            <v>OTHERS</v>
          </cell>
          <cell r="BE2318" t="str">
            <v>Jan</v>
          </cell>
        </row>
        <row r="2319">
          <cell r="C2319" t="str">
            <v>TNB</v>
          </cell>
          <cell r="R2319">
            <v>0</v>
          </cell>
          <cell r="AZ2319">
            <v>0</v>
          </cell>
          <cell r="BA2319">
            <v>0</v>
          </cell>
          <cell r="BC2319" t="str">
            <v>OTHERS</v>
          </cell>
          <cell r="BE2319" t="str">
            <v>Feb</v>
          </cell>
        </row>
        <row r="2320">
          <cell r="C2320" t="str">
            <v>TNB</v>
          </cell>
          <cell r="R2320">
            <v>0</v>
          </cell>
          <cell r="AZ2320">
            <v>0</v>
          </cell>
          <cell r="BA2320">
            <v>0</v>
          </cell>
          <cell r="BC2320" t="str">
            <v>OTHERS</v>
          </cell>
          <cell r="BE2320" t="str">
            <v>Mar</v>
          </cell>
        </row>
        <row r="2321">
          <cell r="C2321" t="str">
            <v>TNB</v>
          </cell>
          <cell r="R2321">
            <v>0</v>
          </cell>
          <cell r="AZ2321">
            <v>0</v>
          </cell>
          <cell r="BA2321">
            <v>0</v>
          </cell>
          <cell r="BC2321" t="str">
            <v>OTHERS</v>
          </cell>
          <cell r="BE2321" t="str">
            <v>Apr</v>
          </cell>
        </row>
        <row r="2322">
          <cell r="C2322" t="str">
            <v>TNB</v>
          </cell>
          <cell r="R2322">
            <v>0</v>
          </cell>
          <cell r="AZ2322">
            <v>0</v>
          </cell>
          <cell r="BA2322">
            <v>0</v>
          </cell>
          <cell r="BC2322" t="str">
            <v>OTHERS</v>
          </cell>
          <cell r="BE2322" t="str">
            <v>May</v>
          </cell>
        </row>
        <row r="2323">
          <cell r="C2323" t="str">
            <v>TNB</v>
          </cell>
          <cell r="R2323">
            <v>0</v>
          </cell>
          <cell r="AZ2323">
            <v>0</v>
          </cell>
          <cell r="BA2323">
            <v>0</v>
          </cell>
          <cell r="BC2323" t="str">
            <v>OTHERS</v>
          </cell>
          <cell r="BE2323" t="str">
            <v>Jun</v>
          </cell>
        </row>
        <row r="2324">
          <cell r="C2324" t="str">
            <v>TNB</v>
          </cell>
          <cell r="R2324">
            <v>0</v>
          </cell>
          <cell r="AZ2324">
            <v>0</v>
          </cell>
          <cell r="BA2324">
            <v>0</v>
          </cell>
          <cell r="BC2324" t="str">
            <v>OTHERS</v>
          </cell>
          <cell r="BE2324" t="str">
            <v>Jul</v>
          </cell>
        </row>
        <row r="2325">
          <cell r="C2325" t="str">
            <v>TNB</v>
          </cell>
          <cell r="R2325">
            <v>0</v>
          </cell>
          <cell r="AZ2325">
            <v>0</v>
          </cell>
          <cell r="BA2325">
            <v>0</v>
          </cell>
          <cell r="BC2325" t="str">
            <v>OTHERS</v>
          </cell>
          <cell r="BE2325" t="str">
            <v>Aug</v>
          </cell>
        </row>
        <row r="2326">
          <cell r="C2326" t="str">
            <v>TNB</v>
          </cell>
          <cell r="R2326">
            <v>0</v>
          </cell>
          <cell r="AZ2326">
            <v>0</v>
          </cell>
          <cell r="BA2326">
            <v>0</v>
          </cell>
          <cell r="BC2326" t="str">
            <v>OTHERS</v>
          </cell>
          <cell r="BE2326" t="str">
            <v>Sep</v>
          </cell>
        </row>
        <row r="2327">
          <cell r="C2327" t="str">
            <v>TNB</v>
          </cell>
          <cell r="R2327">
            <v>0</v>
          </cell>
          <cell r="AZ2327">
            <v>0</v>
          </cell>
          <cell r="BA2327">
            <v>0</v>
          </cell>
          <cell r="BC2327" t="str">
            <v>OTHERS</v>
          </cell>
          <cell r="BE2327" t="str">
            <v>Oct</v>
          </cell>
        </row>
        <row r="2328">
          <cell r="C2328" t="str">
            <v>TNB</v>
          </cell>
          <cell r="R2328">
            <v>0</v>
          </cell>
          <cell r="AZ2328">
            <v>0</v>
          </cell>
          <cell r="BA2328">
            <v>0</v>
          </cell>
          <cell r="BC2328" t="str">
            <v>OTHERS</v>
          </cell>
          <cell r="BE2328" t="str">
            <v>Nov</v>
          </cell>
        </row>
        <row r="2329">
          <cell r="C2329" t="str">
            <v>TNB</v>
          </cell>
          <cell r="R2329">
            <v>0</v>
          </cell>
          <cell r="AZ2329">
            <v>0</v>
          </cell>
          <cell r="BA2329">
            <v>0</v>
          </cell>
          <cell r="BC2329" t="str">
            <v>OTHERS</v>
          </cell>
          <cell r="BE2329" t="str">
            <v>Dec</v>
          </cell>
        </row>
        <row r="2330">
          <cell r="C2330" t="str">
            <v>TNB</v>
          </cell>
          <cell r="R2330">
            <v>0</v>
          </cell>
          <cell r="AZ2330">
            <v>0</v>
          </cell>
          <cell r="BA2330">
            <v>0</v>
          </cell>
          <cell r="BC2330" t="str">
            <v>OTHERS</v>
          </cell>
          <cell r="BE2330" t="str">
            <v>Jan</v>
          </cell>
        </row>
        <row r="2331">
          <cell r="C2331" t="str">
            <v>TNB</v>
          </cell>
          <cell r="R2331">
            <v>39000</v>
          </cell>
          <cell r="AZ2331">
            <v>-68250</v>
          </cell>
          <cell r="BA2331">
            <v>-47146.403080339558</v>
          </cell>
          <cell r="BC2331" t="str">
            <v>OTHERS</v>
          </cell>
          <cell r="BE2331" t="str">
            <v>Feb</v>
          </cell>
        </row>
        <row r="2332">
          <cell r="C2332" t="str">
            <v>TNB</v>
          </cell>
          <cell r="R2332">
            <v>0</v>
          </cell>
          <cell r="AZ2332">
            <v>0</v>
          </cell>
          <cell r="BA2332">
            <v>0</v>
          </cell>
          <cell r="BC2332" t="str">
            <v>OTHERS</v>
          </cell>
          <cell r="BE2332" t="str">
            <v>Mar</v>
          </cell>
        </row>
        <row r="2333">
          <cell r="C2333" t="str">
            <v>TNB</v>
          </cell>
          <cell r="R2333">
            <v>0</v>
          </cell>
          <cell r="AZ2333">
            <v>0</v>
          </cell>
          <cell r="BA2333">
            <v>0</v>
          </cell>
          <cell r="BC2333" t="str">
            <v>OTHERS</v>
          </cell>
          <cell r="BE2333" t="str">
            <v>Apr</v>
          </cell>
        </row>
        <row r="2334">
          <cell r="C2334" t="str">
            <v>TNB</v>
          </cell>
          <cell r="R2334">
            <v>0</v>
          </cell>
          <cell r="AZ2334">
            <v>0</v>
          </cell>
          <cell r="BA2334">
            <v>0</v>
          </cell>
          <cell r="BC2334" t="str">
            <v>OTHERS</v>
          </cell>
          <cell r="BE2334" t="str">
            <v>May</v>
          </cell>
        </row>
        <row r="2335">
          <cell r="C2335" t="str">
            <v>TNB</v>
          </cell>
          <cell r="R2335">
            <v>0</v>
          </cell>
          <cell r="AZ2335">
            <v>0</v>
          </cell>
          <cell r="BA2335">
            <v>0</v>
          </cell>
          <cell r="BC2335" t="str">
            <v>OTHERS</v>
          </cell>
          <cell r="BE2335" t="str">
            <v>Jun</v>
          </cell>
        </row>
        <row r="2336">
          <cell r="C2336" t="str">
            <v>TNB</v>
          </cell>
          <cell r="R2336">
            <v>0</v>
          </cell>
          <cell r="AZ2336">
            <v>0</v>
          </cell>
          <cell r="BA2336">
            <v>0</v>
          </cell>
          <cell r="BC2336" t="str">
            <v>OTHERS</v>
          </cell>
          <cell r="BE2336" t="str">
            <v>Jul</v>
          </cell>
        </row>
        <row r="2337">
          <cell r="C2337" t="str">
            <v>TNB</v>
          </cell>
          <cell r="R2337">
            <v>0</v>
          </cell>
          <cell r="AZ2337">
            <v>0</v>
          </cell>
          <cell r="BA2337">
            <v>0</v>
          </cell>
          <cell r="BC2337" t="str">
            <v>OTHERS</v>
          </cell>
          <cell r="BE2337" t="str">
            <v>Aug</v>
          </cell>
        </row>
        <row r="2338">
          <cell r="C2338" t="str">
            <v>TNB</v>
          </cell>
          <cell r="R2338">
            <v>0</v>
          </cell>
          <cell r="AZ2338">
            <v>0</v>
          </cell>
          <cell r="BA2338">
            <v>0</v>
          </cell>
          <cell r="BC2338" t="str">
            <v>OTHERS</v>
          </cell>
          <cell r="BE2338" t="str">
            <v>Sep</v>
          </cell>
        </row>
        <row r="2339">
          <cell r="C2339" t="str">
            <v>TNB</v>
          </cell>
          <cell r="R2339">
            <v>0</v>
          </cell>
          <cell r="AZ2339">
            <v>0</v>
          </cell>
          <cell r="BA2339">
            <v>0</v>
          </cell>
          <cell r="BC2339" t="str">
            <v>OTHERS</v>
          </cell>
          <cell r="BE2339" t="str">
            <v>Oct</v>
          </cell>
        </row>
        <row r="2340">
          <cell r="C2340" t="str">
            <v>TNB</v>
          </cell>
          <cell r="R2340">
            <v>0</v>
          </cell>
          <cell r="AZ2340">
            <v>0</v>
          </cell>
          <cell r="BA2340">
            <v>0</v>
          </cell>
          <cell r="BC2340" t="str">
            <v>OTHERS</v>
          </cell>
          <cell r="BE2340" t="str">
            <v>Nov</v>
          </cell>
        </row>
        <row r="2341">
          <cell r="C2341" t="str">
            <v>TNB</v>
          </cell>
          <cell r="R2341">
            <v>0</v>
          </cell>
          <cell r="AZ2341">
            <v>0</v>
          </cell>
          <cell r="BA2341">
            <v>0</v>
          </cell>
          <cell r="BC2341" t="str">
            <v>OTHERS</v>
          </cell>
          <cell r="BE2341" t="str">
            <v>Dec</v>
          </cell>
        </row>
        <row r="2342">
          <cell r="C2342" t="str">
            <v>TNB</v>
          </cell>
          <cell r="R2342">
            <v>0</v>
          </cell>
          <cell r="AZ2342">
            <v>0</v>
          </cell>
          <cell r="BA2342">
            <v>0</v>
          </cell>
          <cell r="BC2342" t="str">
            <v>OTHERS</v>
          </cell>
          <cell r="BE2342" t="str">
            <v>Jan</v>
          </cell>
        </row>
        <row r="2343">
          <cell r="C2343" t="str">
            <v>TNB</v>
          </cell>
          <cell r="R2343">
            <v>26000</v>
          </cell>
          <cell r="AZ2343">
            <v>-45500</v>
          </cell>
          <cell r="BA2343">
            <v>-35429.877225653501</v>
          </cell>
          <cell r="BC2343" t="str">
            <v>OTHERS</v>
          </cell>
          <cell r="BE2343" t="str">
            <v>Feb</v>
          </cell>
        </row>
        <row r="2344">
          <cell r="C2344" t="str">
            <v>TNB</v>
          </cell>
          <cell r="R2344">
            <v>0</v>
          </cell>
          <cell r="AZ2344">
            <v>0</v>
          </cell>
          <cell r="BA2344">
            <v>0</v>
          </cell>
          <cell r="BC2344" t="str">
            <v>OTHERS</v>
          </cell>
          <cell r="BE2344" t="str">
            <v>Mar</v>
          </cell>
        </row>
        <row r="2345">
          <cell r="C2345" t="str">
            <v>TNB</v>
          </cell>
          <cell r="R2345">
            <v>0</v>
          </cell>
          <cell r="AZ2345">
            <v>0</v>
          </cell>
          <cell r="BA2345">
            <v>0</v>
          </cell>
          <cell r="BC2345" t="str">
            <v>OTHERS</v>
          </cell>
          <cell r="BE2345" t="str">
            <v>Apr</v>
          </cell>
        </row>
        <row r="2346">
          <cell r="C2346" t="str">
            <v>TNB</v>
          </cell>
          <cell r="R2346">
            <v>0</v>
          </cell>
          <cell r="AZ2346">
            <v>0</v>
          </cell>
          <cell r="BA2346">
            <v>0</v>
          </cell>
          <cell r="BC2346" t="str">
            <v>OTHERS</v>
          </cell>
          <cell r="BE2346" t="str">
            <v>May</v>
          </cell>
        </row>
        <row r="2347">
          <cell r="C2347" t="str">
            <v>TNB</v>
          </cell>
          <cell r="R2347">
            <v>0</v>
          </cell>
          <cell r="AZ2347">
            <v>0</v>
          </cell>
          <cell r="BA2347">
            <v>0</v>
          </cell>
          <cell r="BC2347" t="str">
            <v>OTHERS</v>
          </cell>
          <cell r="BE2347" t="str">
            <v>Jun</v>
          </cell>
        </row>
        <row r="2348">
          <cell r="C2348" t="str">
            <v>TNB</v>
          </cell>
          <cell r="R2348">
            <v>0</v>
          </cell>
          <cell r="AZ2348">
            <v>0</v>
          </cell>
          <cell r="BA2348">
            <v>0</v>
          </cell>
          <cell r="BC2348" t="str">
            <v>OTHERS</v>
          </cell>
          <cell r="BE2348" t="str">
            <v>Jul</v>
          </cell>
        </row>
        <row r="2349">
          <cell r="C2349" t="str">
            <v>TNB</v>
          </cell>
          <cell r="R2349">
            <v>0</v>
          </cell>
          <cell r="AZ2349">
            <v>0</v>
          </cell>
          <cell r="BA2349">
            <v>0</v>
          </cell>
          <cell r="BC2349" t="str">
            <v>OTHERS</v>
          </cell>
          <cell r="BE2349" t="str">
            <v>Aug</v>
          </cell>
        </row>
        <row r="2350">
          <cell r="C2350" t="str">
            <v>TNB</v>
          </cell>
          <cell r="R2350">
            <v>0</v>
          </cell>
          <cell r="AZ2350">
            <v>0</v>
          </cell>
          <cell r="BA2350">
            <v>0</v>
          </cell>
          <cell r="BC2350" t="str">
            <v>OTHERS</v>
          </cell>
          <cell r="BE2350" t="str">
            <v>Sep</v>
          </cell>
        </row>
        <row r="2351">
          <cell r="C2351" t="str">
            <v>TNB</v>
          </cell>
          <cell r="R2351">
            <v>0</v>
          </cell>
          <cell r="AZ2351">
            <v>0</v>
          </cell>
          <cell r="BA2351">
            <v>0</v>
          </cell>
          <cell r="BC2351" t="str">
            <v>OTHERS</v>
          </cell>
          <cell r="BE2351" t="str">
            <v>Oct</v>
          </cell>
        </row>
        <row r="2352">
          <cell r="C2352" t="str">
            <v>TNB</v>
          </cell>
          <cell r="R2352">
            <v>0</v>
          </cell>
          <cell r="AZ2352">
            <v>0</v>
          </cell>
          <cell r="BA2352">
            <v>0</v>
          </cell>
          <cell r="BC2352" t="str">
            <v>OTHERS</v>
          </cell>
          <cell r="BE2352" t="str">
            <v>Nov</v>
          </cell>
        </row>
        <row r="2353">
          <cell r="C2353" t="str">
            <v>TNB</v>
          </cell>
          <cell r="R2353">
            <v>0</v>
          </cell>
          <cell r="AZ2353">
            <v>0</v>
          </cell>
          <cell r="BA2353">
            <v>0</v>
          </cell>
          <cell r="BC2353" t="str">
            <v>OTHERS</v>
          </cell>
          <cell r="BE2353" t="str">
            <v>Dec</v>
          </cell>
        </row>
        <row r="2354">
          <cell r="C2354" t="str">
            <v>TNB</v>
          </cell>
          <cell r="R2354">
            <v>0</v>
          </cell>
          <cell r="AZ2354">
            <v>0</v>
          </cell>
          <cell r="BA2354">
            <v>0</v>
          </cell>
          <cell r="BC2354" t="str">
            <v>OTHERS</v>
          </cell>
          <cell r="BE2354" t="str">
            <v>Jan</v>
          </cell>
        </row>
        <row r="2355">
          <cell r="C2355" t="str">
            <v>TNB</v>
          </cell>
          <cell r="R2355">
            <v>0</v>
          </cell>
          <cell r="AZ2355">
            <v>0</v>
          </cell>
          <cell r="BA2355">
            <v>0</v>
          </cell>
          <cell r="BC2355" t="str">
            <v>OTHERS</v>
          </cell>
          <cell r="BE2355" t="str">
            <v>Feb</v>
          </cell>
        </row>
        <row r="2356">
          <cell r="C2356" t="str">
            <v>TNB</v>
          </cell>
          <cell r="R2356">
            <v>39000</v>
          </cell>
          <cell r="AZ2356">
            <v>-68250</v>
          </cell>
          <cell r="BA2356">
            <v>-51797.87150297327</v>
          </cell>
          <cell r="BC2356" t="str">
            <v>OTHERS</v>
          </cell>
          <cell r="BE2356" t="str">
            <v>Mar</v>
          </cell>
        </row>
        <row r="2357">
          <cell r="C2357" t="str">
            <v>TNB</v>
          </cell>
          <cell r="R2357">
            <v>39000</v>
          </cell>
          <cell r="AZ2357">
            <v>-68250</v>
          </cell>
          <cell r="BA2357">
            <v>-51797.87150297327</v>
          </cell>
          <cell r="BC2357" t="str">
            <v>OTHERS</v>
          </cell>
          <cell r="BE2357" t="str">
            <v>Apr</v>
          </cell>
        </row>
        <row r="2358">
          <cell r="C2358" t="str">
            <v>TNB</v>
          </cell>
          <cell r="R2358">
            <v>0</v>
          </cell>
          <cell r="AZ2358">
            <v>0</v>
          </cell>
          <cell r="BA2358">
            <v>0</v>
          </cell>
          <cell r="BC2358" t="str">
            <v>OTHERS</v>
          </cell>
          <cell r="BE2358" t="str">
            <v>May</v>
          </cell>
        </row>
        <row r="2359">
          <cell r="C2359" t="str">
            <v>TNB</v>
          </cell>
          <cell r="R2359">
            <v>39000</v>
          </cell>
          <cell r="AZ2359">
            <v>-68250</v>
          </cell>
          <cell r="BA2359">
            <v>-51797.87150297327</v>
          </cell>
          <cell r="BC2359" t="str">
            <v>OTHERS</v>
          </cell>
          <cell r="BE2359" t="str">
            <v>Jun</v>
          </cell>
        </row>
        <row r="2360">
          <cell r="C2360" t="str">
            <v>TNB</v>
          </cell>
          <cell r="R2360">
            <v>39000</v>
          </cell>
          <cell r="AZ2360">
            <v>-68250</v>
          </cell>
          <cell r="BA2360">
            <v>-51797.87150297327</v>
          </cell>
          <cell r="BC2360" t="str">
            <v>OTHERS</v>
          </cell>
          <cell r="BE2360" t="str">
            <v>Jul</v>
          </cell>
        </row>
        <row r="2361">
          <cell r="C2361" t="str">
            <v>TNB</v>
          </cell>
          <cell r="R2361">
            <v>39000</v>
          </cell>
          <cell r="AZ2361">
            <v>-68250</v>
          </cell>
          <cell r="BA2361">
            <v>-51797.87150297327</v>
          </cell>
          <cell r="BC2361" t="str">
            <v>OTHERS</v>
          </cell>
          <cell r="BE2361" t="str">
            <v>Aug</v>
          </cell>
        </row>
        <row r="2362">
          <cell r="C2362" t="str">
            <v>TNB</v>
          </cell>
          <cell r="R2362">
            <v>0</v>
          </cell>
          <cell r="AZ2362">
            <v>0</v>
          </cell>
          <cell r="BA2362">
            <v>0</v>
          </cell>
          <cell r="BC2362" t="str">
            <v>OTHERS</v>
          </cell>
          <cell r="BE2362" t="str">
            <v>Sep</v>
          </cell>
        </row>
        <row r="2363">
          <cell r="C2363" t="str">
            <v>TNB</v>
          </cell>
          <cell r="R2363">
            <v>39000</v>
          </cell>
          <cell r="AZ2363">
            <v>-68250</v>
          </cell>
          <cell r="BA2363">
            <v>-51797.87150297327</v>
          </cell>
          <cell r="BC2363" t="str">
            <v>OTHERS</v>
          </cell>
          <cell r="BE2363" t="str">
            <v>Oct</v>
          </cell>
        </row>
        <row r="2364">
          <cell r="C2364" t="str">
            <v>TNB</v>
          </cell>
          <cell r="R2364">
            <v>39000</v>
          </cell>
          <cell r="AZ2364">
            <v>-68250</v>
          </cell>
          <cell r="BA2364">
            <v>-51797.87150297327</v>
          </cell>
          <cell r="BC2364" t="str">
            <v>OTHERS</v>
          </cell>
          <cell r="BE2364" t="str">
            <v>Nov</v>
          </cell>
        </row>
        <row r="2365">
          <cell r="C2365" t="str">
            <v>TNB</v>
          </cell>
          <cell r="R2365">
            <v>39000</v>
          </cell>
          <cell r="AZ2365">
            <v>-68250</v>
          </cell>
          <cell r="BA2365">
            <v>-51797.87150297327</v>
          </cell>
          <cell r="BC2365" t="str">
            <v>OTHERS</v>
          </cell>
          <cell r="BE2365" t="str">
            <v>Dec</v>
          </cell>
        </row>
        <row r="2366">
          <cell r="C2366" t="str">
            <v>TNB</v>
          </cell>
          <cell r="R2366">
            <v>0</v>
          </cell>
          <cell r="AZ2366">
            <v>0</v>
          </cell>
          <cell r="BA2366">
            <v>0</v>
          </cell>
          <cell r="BC2366" t="str">
            <v>OTHERS</v>
          </cell>
          <cell r="BE2366" t="str">
            <v>Jan</v>
          </cell>
        </row>
        <row r="2367">
          <cell r="C2367" t="str">
            <v>TNB</v>
          </cell>
          <cell r="R2367">
            <v>0</v>
          </cell>
          <cell r="AZ2367">
            <v>0</v>
          </cell>
          <cell r="BA2367">
            <v>0</v>
          </cell>
          <cell r="BC2367" t="str">
            <v>OTHERS</v>
          </cell>
          <cell r="BE2367" t="str">
            <v>Feb</v>
          </cell>
        </row>
        <row r="2368">
          <cell r="C2368" t="str">
            <v>TNB</v>
          </cell>
          <cell r="R2368">
            <v>6500</v>
          </cell>
          <cell r="AZ2368">
            <v>-11375</v>
          </cell>
          <cell r="BA2368">
            <v>-7899.0214271775549</v>
          </cell>
          <cell r="BC2368" t="str">
            <v>OTHERS</v>
          </cell>
          <cell r="BE2368" t="str">
            <v>Mar</v>
          </cell>
        </row>
        <row r="2369">
          <cell r="C2369" t="str">
            <v>TNB</v>
          </cell>
          <cell r="R2369">
            <v>6500</v>
          </cell>
          <cell r="AZ2369">
            <v>-11375</v>
          </cell>
          <cell r="BA2369">
            <v>-7899.0214271775549</v>
          </cell>
          <cell r="BC2369" t="str">
            <v>OTHERS</v>
          </cell>
          <cell r="BE2369" t="str">
            <v>Apr</v>
          </cell>
        </row>
        <row r="2370">
          <cell r="C2370" t="str">
            <v>TNB</v>
          </cell>
          <cell r="R2370">
            <v>0</v>
          </cell>
          <cell r="AZ2370">
            <v>0</v>
          </cell>
          <cell r="BA2370">
            <v>0</v>
          </cell>
          <cell r="BC2370" t="str">
            <v>OTHERS</v>
          </cell>
          <cell r="BE2370" t="str">
            <v>May</v>
          </cell>
        </row>
        <row r="2371">
          <cell r="C2371" t="str">
            <v>TNB</v>
          </cell>
          <cell r="R2371">
            <v>6500</v>
          </cell>
          <cell r="AZ2371">
            <v>-11375</v>
          </cell>
          <cell r="BA2371">
            <v>-7899.0214271775549</v>
          </cell>
          <cell r="BC2371" t="str">
            <v>OTHERS</v>
          </cell>
          <cell r="BE2371" t="str">
            <v>Jun</v>
          </cell>
        </row>
        <row r="2372">
          <cell r="C2372" t="str">
            <v>TNB</v>
          </cell>
          <cell r="R2372">
            <v>6500</v>
          </cell>
          <cell r="AZ2372">
            <v>-11375</v>
          </cell>
          <cell r="BA2372">
            <v>-7899.0214271775549</v>
          </cell>
          <cell r="BC2372" t="str">
            <v>OTHERS</v>
          </cell>
          <cell r="BE2372" t="str">
            <v>Jul</v>
          </cell>
        </row>
        <row r="2373">
          <cell r="C2373" t="str">
            <v>TNB</v>
          </cell>
          <cell r="R2373">
            <v>6500</v>
          </cell>
          <cell r="AZ2373">
            <v>-11375</v>
          </cell>
          <cell r="BA2373">
            <v>-7899.0214271775549</v>
          </cell>
          <cell r="BC2373" t="str">
            <v>OTHERS</v>
          </cell>
          <cell r="BE2373" t="str">
            <v>Aug</v>
          </cell>
        </row>
        <row r="2374">
          <cell r="C2374" t="str">
            <v>TNB</v>
          </cell>
          <cell r="R2374">
            <v>0</v>
          </cell>
          <cell r="AZ2374">
            <v>0</v>
          </cell>
          <cell r="BA2374">
            <v>0</v>
          </cell>
          <cell r="BC2374" t="str">
            <v>OTHERS</v>
          </cell>
          <cell r="BE2374" t="str">
            <v>Sep</v>
          </cell>
        </row>
        <row r="2375">
          <cell r="C2375" t="str">
            <v>TNB</v>
          </cell>
          <cell r="R2375">
            <v>6500</v>
          </cell>
          <cell r="AZ2375">
            <v>-11375</v>
          </cell>
          <cell r="BA2375">
            <v>-7899.0214271775549</v>
          </cell>
          <cell r="BC2375" t="str">
            <v>OTHERS</v>
          </cell>
          <cell r="BE2375" t="str">
            <v>Oct</v>
          </cell>
        </row>
        <row r="2376">
          <cell r="C2376" t="str">
            <v>TNB</v>
          </cell>
          <cell r="R2376">
            <v>6500</v>
          </cell>
          <cell r="AZ2376">
            <v>-11375</v>
          </cell>
          <cell r="BA2376">
            <v>-7899.0214271775549</v>
          </cell>
          <cell r="BC2376" t="str">
            <v>OTHERS</v>
          </cell>
          <cell r="BE2376" t="str">
            <v>Nov</v>
          </cell>
        </row>
        <row r="2377">
          <cell r="C2377" t="str">
            <v>TNB</v>
          </cell>
          <cell r="R2377">
            <v>6500</v>
          </cell>
          <cell r="AZ2377">
            <v>-11375</v>
          </cell>
          <cell r="BA2377">
            <v>-7899.0214271775549</v>
          </cell>
          <cell r="BC2377" t="str">
            <v>OTHERS</v>
          </cell>
          <cell r="BE2377" t="str">
            <v>Dec</v>
          </cell>
        </row>
        <row r="2378">
          <cell r="C2378" t="str">
            <v>TNB</v>
          </cell>
          <cell r="R2378">
            <v>0</v>
          </cell>
          <cell r="AZ2378">
            <v>0</v>
          </cell>
          <cell r="BA2378">
            <v>0</v>
          </cell>
          <cell r="BC2378" t="str">
            <v>OTHERS</v>
          </cell>
          <cell r="BE2378" t="str">
            <v>Jan</v>
          </cell>
        </row>
        <row r="2379">
          <cell r="C2379" t="str">
            <v>TNB</v>
          </cell>
          <cell r="R2379">
            <v>0</v>
          </cell>
          <cell r="AZ2379">
            <v>0</v>
          </cell>
          <cell r="BA2379">
            <v>0</v>
          </cell>
          <cell r="BC2379" t="str">
            <v>OTHERS</v>
          </cell>
          <cell r="BE2379" t="str">
            <v>Feb</v>
          </cell>
        </row>
        <row r="2380">
          <cell r="C2380" t="str">
            <v>TNB</v>
          </cell>
          <cell r="R2380">
            <v>19500.000000000004</v>
          </cell>
          <cell r="AZ2380">
            <v>-34125.000000000007</v>
          </cell>
          <cell r="BA2380">
            <v>-29194.044105124067</v>
          </cell>
          <cell r="BC2380" t="str">
            <v>OTHERS</v>
          </cell>
          <cell r="BE2380" t="str">
            <v>Mar</v>
          </cell>
        </row>
        <row r="2381">
          <cell r="C2381" t="str">
            <v>TNB</v>
          </cell>
          <cell r="R2381">
            <v>19500.000000000004</v>
          </cell>
          <cell r="AZ2381">
            <v>-34125.000000000007</v>
          </cell>
          <cell r="BA2381">
            <v>-29194.044105124067</v>
          </cell>
          <cell r="BC2381" t="str">
            <v>OTHERS</v>
          </cell>
          <cell r="BE2381" t="str">
            <v>Apr</v>
          </cell>
        </row>
        <row r="2382">
          <cell r="C2382" t="str">
            <v>TNB</v>
          </cell>
          <cell r="R2382">
            <v>0</v>
          </cell>
          <cell r="AZ2382">
            <v>0</v>
          </cell>
          <cell r="BA2382">
            <v>0</v>
          </cell>
          <cell r="BC2382" t="str">
            <v>OTHERS</v>
          </cell>
          <cell r="BE2382" t="str">
            <v>May</v>
          </cell>
        </row>
        <row r="2383">
          <cell r="C2383" t="str">
            <v>TNB</v>
          </cell>
          <cell r="R2383">
            <v>19500.000000000004</v>
          </cell>
          <cell r="AZ2383">
            <v>-34125.000000000007</v>
          </cell>
          <cell r="BA2383">
            <v>-29194.044105124067</v>
          </cell>
          <cell r="BC2383" t="str">
            <v>OTHERS</v>
          </cell>
          <cell r="BE2383" t="str">
            <v>Jun</v>
          </cell>
        </row>
        <row r="2384">
          <cell r="C2384" t="str">
            <v>TNB</v>
          </cell>
          <cell r="R2384">
            <v>19500.000000000004</v>
          </cell>
          <cell r="AZ2384">
            <v>-34125.000000000007</v>
          </cell>
          <cell r="BA2384">
            <v>-29194.044105124067</v>
          </cell>
          <cell r="BC2384" t="str">
            <v>OTHERS</v>
          </cell>
          <cell r="BE2384" t="str">
            <v>Jul</v>
          </cell>
        </row>
        <row r="2385">
          <cell r="C2385" t="str">
            <v>TNB</v>
          </cell>
          <cell r="R2385">
            <v>19500.000000000004</v>
          </cell>
          <cell r="AZ2385">
            <v>-34125.000000000007</v>
          </cell>
          <cell r="BA2385">
            <v>-29194.044105124067</v>
          </cell>
          <cell r="BC2385" t="str">
            <v>OTHERS</v>
          </cell>
          <cell r="BE2385" t="str">
            <v>Aug</v>
          </cell>
        </row>
        <row r="2386">
          <cell r="C2386" t="str">
            <v>TNB</v>
          </cell>
          <cell r="R2386">
            <v>0</v>
          </cell>
          <cell r="AZ2386">
            <v>0</v>
          </cell>
          <cell r="BA2386">
            <v>0</v>
          </cell>
          <cell r="BC2386" t="str">
            <v>OTHERS</v>
          </cell>
          <cell r="BE2386" t="str">
            <v>Sep</v>
          </cell>
        </row>
        <row r="2387">
          <cell r="C2387" t="str">
            <v>TNB</v>
          </cell>
          <cell r="R2387">
            <v>19500.000000000004</v>
          </cell>
          <cell r="AZ2387">
            <v>-34125.000000000007</v>
          </cell>
          <cell r="BA2387">
            <v>-29194.044105124067</v>
          </cell>
          <cell r="BC2387" t="str">
            <v>OTHERS</v>
          </cell>
          <cell r="BE2387" t="str">
            <v>Oct</v>
          </cell>
        </row>
        <row r="2388">
          <cell r="C2388" t="str">
            <v>TNB</v>
          </cell>
          <cell r="R2388">
            <v>19500.000000000004</v>
          </cell>
          <cell r="AZ2388">
            <v>-34125.000000000007</v>
          </cell>
          <cell r="BA2388">
            <v>-29194.044105124067</v>
          </cell>
          <cell r="BC2388" t="str">
            <v>OTHERS</v>
          </cell>
          <cell r="BE2388" t="str">
            <v>Nov</v>
          </cell>
        </row>
        <row r="2389">
          <cell r="C2389" t="str">
            <v>TNB</v>
          </cell>
          <cell r="R2389">
            <v>19500.000000000004</v>
          </cell>
          <cell r="AZ2389">
            <v>-34125.000000000007</v>
          </cell>
          <cell r="BA2389">
            <v>-29194.044105124067</v>
          </cell>
          <cell r="BC2389" t="str">
            <v>OTHERS</v>
          </cell>
          <cell r="BE2389" t="str">
            <v>Dec</v>
          </cell>
        </row>
        <row r="2390">
          <cell r="C2390" t="str">
            <v>TNB</v>
          </cell>
          <cell r="R2390">
            <v>0</v>
          </cell>
          <cell r="AZ2390">
            <v>0</v>
          </cell>
          <cell r="BA2390">
            <v>0</v>
          </cell>
          <cell r="BC2390" t="str">
            <v>OTHERS</v>
          </cell>
          <cell r="BE2390" t="str">
            <v>Jan</v>
          </cell>
        </row>
        <row r="2391">
          <cell r="C2391" t="str">
            <v>TNB</v>
          </cell>
          <cell r="R2391">
            <v>0</v>
          </cell>
          <cell r="AZ2391">
            <v>0</v>
          </cell>
          <cell r="BA2391">
            <v>0</v>
          </cell>
          <cell r="BC2391" t="str">
            <v>OTHERS</v>
          </cell>
          <cell r="BE2391" t="str">
            <v>Feb</v>
          </cell>
        </row>
        <row r="2392">
          <cell r="C2392" t="str">
            <v>TNB</v>
          </cell>
          <cell r="R2392">
            <v>0</v>
          </cell>
          <cell r="AZ2392">
            <v>0</v>
          </cell>
          <cell r="BA2392">
            <v>0</v>
          </cell>
          <cell r="BC2392" t="str">
            <v>OTHERS</v>
          </cell>
          <cell r="BE2392" t="str">
            <v>Mar</v>
          </cell>
        </row>
        <row r="2393">
          <cell r="C2393" t="str">
            <v>TNB</v>
          </cell>
          <cell r="R2393">
            <v>0</v>
          </cell>
          <cell r="AZ2393">
            <v>0</v>
          </cell>
          <cell r="BA2393">
            <v>0</v>
          </cell>
          <cell r="BC2393" t="str">
            <v>OTHERS</v>
          </cell>
          <cell r="BE2393" t="str">
            <v>Apr</v>
          </cell>
        </row>
        <row r="2394">
          <cell r="C2394" t="str">
            <v>TNB</v>
          </cell>
          <cell r="R2394">
            <v>39000</v>
          </cell>
          <cell r="AZ2394">
            <v>-68250</v>
          </cell>
          <cell r="BA2394">
            <v>-51797.87150297327</v>
          </cell>
          <cell r="BC2394" t="str">
            <v>OTHERS</v>
          </cell>
          <cell r="BE2394" t="str">
            <v>May</v>
          </cell>
        </row>
        <row r="2395">
          <cell r="C2395" t="str">
            <v>TNB</v>
          </cell>
          <cell r="R2395">
            <v>0</v>
          </cell>
          <cell r="AZ2395">
            <v>0</v>
          </cell>
          <cell r="BA2395">
            <v>0</v>
          </cell>
          <cell r="BC2395" t="str">
            <v>OTHERS</v>
          </cell>
          <cell r="BE2395" t="str">
            <v>Jun</v>
          </cell>
        </row>
        <row r="2396">
          <cell r="C2396" t="str">
            <v>TNB</v>
          </cell>
          <cell r="R2396">
            <v>0</v>
          </cell>
          <cell r="AZ2396">
            <v>0</v>
          </cell>
          <cell r="BA2396">
            <v>0</v>
          </cell>
          <cell r="BC2396" t="str">
            <v>OTHERS</v>
          </cell>
          <cell r="BE2396" t="str">
            <v>Jul</v>
          </cell>
        </row>
        <row r="2397">
          <cell r="C2397" t="str">
            <v>TNB</v>
          </cell>
          <cell r="R2397">
            <v>0</v>
          </cell>
          <cell r="AZ2397">
            <v>0</v>
          </cell>
          <cell r="BA2397">
            <v>0</v>
          </cell>
          <cell r="BC2397" t="str">
            <v>OTHERS</v>
          </cell>
          <cell r="BE2397" t="str">
            <v>Aug</v>
          </cell>
        </row>
        <row r="2398">
          <cell r="C2398" t="str">
            <v>TNB</v>
          </cell>
          <cell r="R2398">
            <v>39000</v>
          </cell>
          <cell r="AZ2398">
            <v>-68250</v>
          </cell>
          <cell r="BA2398">
            <v>-51797.87150297327</v>
          </cell>
          <cell r="BC2398" t="str">
            <v>OTHERS</v>
          </cell>
          <cell r="BE2398" t="str">
            <v>Sep</v>
          </cell>
        </row>
        <row r="2399">
          <cell r="C2399" t="str">
            <v>TNB</v>
          </cell>
          <cell r="R2399">
            <v>0</v>
          </cell>
          <cell r="AZ2399">
            <v>0</v>
          </cell>
          <cell r="BA2399">
            <v>0</v>
          </cell>
          <cell r="BC2399" t="str">
            <v>OTHERS</v>
          </cell>
          <cell r="BE2399" t="str">
            <v>Oct</v>
          </cell>
        </row>
        <row r="2400">
          <cell r="C2400" t="str">
            <v>TNB</v>
          </cell>
          <cell r="R2400">
            <v>0</v>
          </cell>
          <cell r="AZ2400">
            <v>0</v>
          </cell>
          <cell r="BA2400">
            <v>0</v>
          </cell>
          <cell r="BC2400" t="str">
            <v>OTHERS</v>
          </cell>
          <cell r="BE2400" t="str">
            <v>Nov</v>
          </cell>
        </row>
        <row r="2401">
          <cell r="C2401" t="str">
            <v>TNB</v>
          </cell>
          <cell r="R2401">
            <v>39000</v>
          </cell>
          <cell r="AZ2401">
            <v>-68250</v>
          </cell>
          <cell r="BA2401">
            <v>-51797.87150297327</v>
          </cell>
          <cell r="BC2401" t="str">
            <v>OTHERS</v>
          </cell>
          <cell r="BE2401" t="str">
            <v>Dec</v>
          </cell>
        </row>
        <row r="2402">
          <cell r="C2402" t="str">
            <v>TNB</v>
          </cell>
          <cell r="R2402">
            <v>0</v>
          </cell>
          <cell r="AZ2402">
            <v>0</v>
          </cell>
          <cell r="BA2402">
            <v>0</v>
          </cell>
          <cell r="BC2402" t="str">
            <v>OTHERS</v>
          </cell>
          <cell r="BE2402" t="str">
            <v>Jan</v>
          </cell>
        </row>
        <row r="2403">
          <cell r="C2403" t="str">
            <v>TNB</v>
          </cell>
          <cell r="R2403">
            <v>0</v>
          </cell>
          <cell r="AZ2403">
            <v>0</v>
          </cell>
          <cell r="BA2403">
            <v>0</v>
          </cell>
          <cell r="BC2403" t="str">
            <v>OTHERS</v>
          </cell>
          <cell r="BE2403" t="str">
            <v>Feb</v>
          </cell>
        </row>
        <row r="2404">
          <cell r="C2404" t="str">
            <v>TNB</v>
          </cell>
          <cell r="R2404">
            <v>0</v>
          </cell>
          <cell r="AZ2404">
            <v>0</v>
          </cell>
          <cell r="BA2404">
            <v>0</v>
          </cell>
          <cell r="BC2404" t="str">
            <v>OTHERS</v>
          </cell>
          <cell r="BE2404" t="str">
            <v>Mar</v>
          </cell>
        </row>
        <row r="2405">
          <cell r="C2405" t="str">
            <v>TNB</v>
          </cell>
          <cell r="R2405">
            <v>0</v>
          </cell>
          <cell r="AZ2405">
            <v>0</v>
          </cell>
          <cell r="BA2405">
            <v>0</v>
          </cell>
          <cell r="BC2405" t="str">
            <v>OTHERS</v>
          </cell>
          <cell r="BE2405" t="str">
            <v>Apr</v>
          </cell>
        </row>
        <row r="2406">
          <cell r="C2406" t="str">
            <v>TNB</v>
          </cell>
          <cell r="R2406">
            <v>6500</v>
          </cell>
          <cell r="AZ2406">
            <v>-11375</v>
          </cell>
          <cell r="BA2406">
            <v>-7899.0214271775549</v>
          </cell>
          <cell r="BC2406" t="str">
            <v>OTHERS</v>
          </cell>
          <cell r="BE2406" t="str">
            <v>May</v>
          </cell>
        </row>
        <row r="2407">
          <cell r="C2407" t="str">
            <v>TNB</v>
          </cell>
          <cell r="R2407">
            <v>0</v>
          </cell>
          <cell r="AZ2407">
            <v>0</v>
          </cell>
          <cell r="BA2407">
            <v>0</v>
          </cell>
          <cell r="BC2407" t="str">
            <v>OTHERS</v>
          </cell>
          <cell r="BE2407" t="str">
            <v>Jun</v>
          </cell>
        </row>
        <row r="2408">
          <cell r="C2408" t="str">
            <v>TNB</v>
          </cell>
          <cell r="R2408">
            <v>0</v>
          </cell>
          <cell r="AZ2408">
            <v>0</v>
          </cell>
          <cell r="BA2408">
            <v>0</v>
          </cell>
          <cell r="BC2408" t="str">
            <v>OTHERS</v>
          </cell>
          <cell r="BE2408" t="str">
            <v>Jul</v>
          </cell>
        </row>
        <row r="2409">
          <cell r="C2409" t="str">
            <v>TNB</v>
          </cell>
          <cell r="R2409">
            <v>0</v>
          </cell>
          <cell r="AZ2409">
            <v>0</v>
          </cell>
          <cell r="BA2409">
            <v>0</v>
          </cell>
          <cell r="BC2409" t="str">
            <v>OTHERS</v>
          </cell>
          <cell r="BE2409" t="str">
            <v>Aug</v>
          </cell>
        </row>
        <row r="2410">
          <cell r="C2410" t="str">
            <v>TNB</v>
          </cell>
          <cell r="R2410">
            <v>6500</v>
          </cell>
          <cell r="AZ2410">
            <v>-11375</v>
          </cell>
          <cell r="BA2410">
            <v>-7899.0214271775549</v>
          </cell>
          <cell r="BC2410" t="str">
            <v>OTHERS</v>
          </cell>
          <cell r="BE2410" t="str">
            <v>Sep</v>
          </cell>
        </row>
        <row r="2411">
          <cell r="C2411" t="str">
            <v>TNB</v>
          </cell>
          <cell r="R2411">
            <v>0</v>
          </cell>
          <cell r="AZ2411">
            <v>0</v>
          </cell>
          <cell r="BA2411">
            <v>0</v>
          </cell>
          <cell r="BC2411" t="str">
            <v>OTHERS</v>
          </cell>
          <cell r="BE2411" t="str">
            <v>Oct</v>
          </cell>
        </row>
        <row r="2412">
          <cell r="C2412" t="str">
            <v>TNB</v>
          </cell>
          <cell r="R2412">
            <v>0</v>
          </cell>
          <cell r="AZ2412">
            <v>0</v>
          </cell>
          <cell r="BA2412">
            <v>0</v>
          </cell>
          <cell r="BC2412" t="str">
            <v>OTHERS</v>
          </cell>
          <cell r="BE2412" t="str">
            <v>Nov</v>
          </cell>
        </row>
        <row r="2413">
          <cell r="C2413" t="str">
            <v>TNB</v>
          </cell>
          <cell r="R2413">
            <v>6500</v>
          </cell>
          <cell r="AZ2413">
            <v>-11375</v>
          </cell>
          <cell r="BA2413">
            <v>-7899.0214271775549</v>
          </cell>
          <cell r="BC2413" t="str">
            <v>OTHERS</v>
          </cell>
          <cell r="BE2413" t="str">
            <v>Dec</v>
          </cell>
        </row>
        <row r="2414">
          <cell r="C2414" t="str">
            <v>TNB</v>
          </cell>
          <cell r="R2414">
            <v>0</v>
          </cell>
          <cell r="AZ2414">
            <v>0</v>
          </cell>
          <cell r="BA2414">
            <v>0</v>
          </cell>
          <cell r="BC2414" t="str">
            <v>OTHERS</v>
          </cell>
          <cell r="BE2414" t="str">
            <v>Jan</v>
          </cell>
        </row>
        <row r="2415">
          <cell r="C2415" t="str">
            <v>TNB</v>
          </cell>
          <cell r="R2415">
            <v>0</v>
          </cell>
          <cell r="AZ2415">
            <v>0</v>
          </cell>
          <cell r="BA2415">
            <v>0</v>
          </cell>
          <cell r="BC2415" t="str">
            <v>OTHERS</v>
          </cell>
          <cell r="BE2415" t="str">
            <v>Feb</v>
          </cell>
        </row>
        <row r="2416">
          <cell r="C2416" t="str">
            <v>TNB</v>
          </cell>
          <cell r="R2416">
            <v>0</v>
          </cell>
          <cell r="AZ2416">
            <v>0</v>
          </cell>
          <cell r="BA2416">
            <v>0</v>
          </cell>
          <cell r="BC2416" t="str">
            <v>OTHERS</v>
          </cell>
          <cell r="BE2416" t="str">
            <v>Mar</v>
          </cell>
        </row>
        <row r="2417">
          <cell r="C2417" t="str">
            <v>TNB</v>
          </cell>
          <cell r="R2417">
            <v>0</v>
          </cell>
          <cell r="AZ2417">
            <v>0</v>
          </cell>
          <cell r="BA2417">
            <v>0</v>
          </cell>
          <cell r="BC2417" t="str">
            <v>OTHERS</v>
          </cell>
          <cell r="BE2417" t="str">
            <v>Apr</v>
          </cell>
        </row>
        <row r="2418">
          <cell r="C2418" t="str">
            <v>TNB</v>
          </cell>
          <cell r="R2418">
            <v>19500.000000000004</v>
          </cell>
          <cell r="AZ2418">
            <v>-34125.000000000007</v>
          </cell>
          <cell r="BA2418">
            <v>-29194.044105124067</v>
          </cell>
          <cell r="BC2418" t="str">
            <v>OTHERS</v>
          </cell>
          <cell r="BE2418" t="str">
            <v>May</v>
          </cell>
        </row>
        <row r="2419">
          <cell r="C2419" t="str">
            <v>TNB</v>
          </cell>
          <cell r="R2419">
            <v>0</v>
          </cell>
          <cell r="AZ2419">
            <v>0</v>
          </cell>
          <cell r="BA2419">
            <v>0</v>
          </cell>
          <cell r="BC2419" t="str">
            <v>OTHERS</v>
          </cell>
          <cell r="BE2419" t="str">
            <v>Jun</v>
          </cell>
        </row>
        <row r="2420">
          <cell r="C2420" t="str">
            <v>TNB</v>
          </cell>
          <cell r="R2420">
            <v>0</v>
          </cell>
          <cell r="AZ2420">
            <v>0</v>
          </cell>
          <cell r="BA2420">
            <v>0</v>
          </cell>
          <cell r="BC2420" t="str">
            <v>OTHERS</v>
          </cell>
          <cell r="BE2420" t="str">
            <v>Jul</v>
          </cell>
        </row>
        <row r="2421">
          <cell r="C2421" t="str">
            <v>TNB</v>
          </cell>
          <cell r="R2421">
            <v>0</v>
          </cell>
          <cell r="AZ2421">
            <v>0</v>
          </cell>
          <cell r="BA2421">
            <v>0</v>
          </cell>
          <cell r="BC2421" t="str">
            <v>OTHERS</v>
          </cell>
          <cell r="BE2421" t="str">
            <v>Aug</v>
          </cell>
        </row>
        <row r="2422">
          <cell r="C2422" t="str">
            <v>TNB</v>
          </cell>
          <cell r="R2422">
            <v>19500.000000000004</v>
          </cell>
          <cell r="AZ2422">
            <v>-34125.000000000007</v>
          </cell>
          <cell r="BA2422">
            <v>-29194.044105124067</v>
          </cell>
          <cell r="BC2422" t="str">
            <v>OTHERS</v>
          </cell>
          <cell r="BE2422" t="str">
            <v>Sep</v>
          </cell>
        </row>
        <row r="2423">
          <cell r="C2423" t="str">
            <v>TNB</v>
          </cell>
          <cell r="R2423">
            <v>0</v>
          </cell>
          <cell r="AZ2423">
            <v>0</v>
          </cell>
          <cell r="BA2423">
            <v>0</v>
          </cell>
          <cell r="BC2423" t="str">
            <v>OTHERS</v>
          </cell>
          <cell r="BE2423" t="str">
            <v>Oct</v>
          </cell>
        </row>
        <row r="2424">
          <cell r="C2424" t="str">
            <v>TNB</v>
          </cell>
          <cell r="R2424">
            <v>0</v>
          </cell>
          <cell r="AZ2424">
            <v>0</v>
          </cell>
          <cell r="BA2424">
            <v>0</v>
          </cell>
          <cell r="BC2424" t="str">
            <v>OTHERS</v>
          </cell>
          <cell r="BE2424" t="str">
            <v>Nov</v>
          </cell>
        </row>
        <row r="2425">
          <cell r="C2425" t="str">
            <v>TNB</v>
          </cell>
          <cell r="R2425">
            <v>19500.000000000004</v>
          </cell>
          <cell r="AZ2425">
            <v>-34125.000000000007</v>
          </cell>
          <cell r="BA2425">
            <v>-29194.044105124067</v>
          </cell>
          <cell r="BC2425" t="str">
            <v>OTHERS</v>
          </cell>
          <cell r="BE2425" t="str">
            <v>Dec</v>
          </cell>
        </row>
        <row r="2426">
          <cell r="C2426" t="str">
            <v>Other</v>
          </cell>
          <cell r="R2426">
            <v>0</v>
          </cell>
          <cell r="AZ2426">
            <v>0</v>
          </cell>
          <cell r="BA2426">
            <v>0</v>
          </cell>
          <cell r="BC2426" t="str">
            <v>OTHERS</v>
          </cell>
          <cell r="BE2426" t="str">
            <v>Jan</v>
          </cell>
        </row>
        <row r="2427">
          <cell r="C2427" t="str">
            <v>Other</v>
          </cell>
          <cell r="R2427">
            <v>0</v>
          </cell>
          <cell r="AZ2427">
            <v>0</v>
          </cell>
          <cell r="BA2427">
            <v>0</v>
          </cell>
          <cell r="BC2427" t="str">
            <v>OTHERS</v>
          </cell>
          <cell r="BE2427" t="str">
            <v>Feb</v>
          </cell>
        </row>
        <row r="2428">
          <cell r="C2428" t="str">
            <v>Other</v>
          </cell>
          <cell r="R2428">
            <v>0</v>
          </cell>
          <cell r="AZ2428">
            <v>0</v>
          </cell>
          <cell r="BA2428">
            <v>0</v>
          </cell>
          <cell r="BC2428" t="str">
            <v>OTHERS</v>
          </cell>
          <cell r="BE2428" t="str">
            <v>Mar</v>
          </cell>
        </row>
        <row r="2429">
          <cell r="C2429" t="str">
            <v>Other</v>
          </cell>
          <cell r="R2429">
            <v>0</v>
          </cell>
          <cell r="AZ2429">
            <v>0</v>
          </cell>
          <cell r="BA2429">
            <v>0</v>
          </cell>
          <cell r="BC2429" t="str">
            <v>OTHERS</v>
          </cell>
          <cell r="BE2429" t="str">
            <v>Apr</v>
          </cell>
        </row>
        <row r="2430">
          <cell r="C2430" t="str">
            <v>Other</v>
          </cell>
          <cell r="R2430">
            <v>0</v>
          </cell>
          <cell r="AZ2430">
            <v>0</v>
          </cell>
          <cell r="BA2430">
            <v>0</v>
          </cell>
          <cell r="BC2430" t="str">
            <v>OTHERS</v>
          </cell>
          <cell r="BE2430" t="str">
            <v>May</v>
          </cell>
        </row>
        <row r="2431">
          <cell r="C2431" t="str">
            <v>Other</v>
          </cell>
          <cell r="R2431">
            <v>0</v>
          </cell>
          <cell r="AZ2431">
            <v>0</v>
          </cell>
          <cell r="BA2431">
            <v>0</v>
          </cell>
          <cell r="BC2431" t="str">
            <v>OTHERS</v>
          </cell>
          <cell r="BE2431" t="str">
            <v>Jun</v>
          </cell>
        </row>
        <row r="2432">
          <cell r="C2432" t="str">
            <v>Other</v>
          </cell>
          <cell r="R2432">
            <v>0</v>
          </cell>
          <cell r="AZ2432">
            <v>0</v>
          </cell>
          <cell r="BA2432">
            <v>0</v>
          </cell>
          <cell r="BC2432" t="str">
            <v>OTHERS</v>
          </cell>
          <cell r="BE2432" t="str">
            <v>Jul</v>
          </cell>
        </row>
        <row r="2433">
          <cell r="C2433" t="str">
            <v>Other</v>
          </cell>
          <cell r="R2433">
            <v>0</v>
          </cell>
          <cell r="AZ2433">
            <v>0</v>
          </cell>
          <cell r="BA2433">
            <v>0</v>
          </cell>
          <cell r="BC2433" t="str">
            <v>OTHERS</v>
          </cell>
          <cell r="BE2433" t="str">
            <v>Aug</v>
          </cell>
        </row>
        <row r="2434">
          <cell r="C2434" t="str">
            <v>Other</v>
          </cell>
          <cell r="R2434">
            <v>0</v>
          </cell>
          <cell r="AZ2434">
            <v>0</v>
          </cell>
          <cell r="BA2434">
            <v>0</v>
          </cell>
          <cell r="BC2434" t="str">
            <v>OTHERS</v>
          </cell>
          <cell r="BE2434" t="str">
            <v>Sep</v>
          </cell>
        </row>
        <row r="2435">
          <cell r="C2435" t="str">
            <v>Other</v>
          </cell>
          <cell r="R2435">
            <v>0</v>
          </cell>
          <cell r="AZ2435">
            <v>0</v>
          </cell>
          <cell r="BA2435">
            <v>0</v>
          </cell>
          <cell r="BC2435" t="str">
            <v>OTHERS</v>
          </cell>
          <cell r="BE2435" t="str">
            <v>Oct</v>
          </cell>
        </row>
        <row r="2436">
          <cell r="C2436" t="str">
            <v>Other</v>
          </cell>
          <cell r="R2436">
            <v>0</v>
          </cell>
          <cell r="AZ2436">
            <v>0</v>
          </cell>
          <cell r="BA2436">
            <v>0</v>
          </cell>
          <cell r="BC2436" t="str">
            <v>OTHERS</v>
          </cell>
          <cell r="BE2436" t="str">
            <v>Nov</v>
          </cell>
        </row>
        <row r="2437">
          <cell r="C2437" t="str">
            <v>Other</v>
          </cell>
          <cell r="R2437">
            <v>0</v>
          </cell>
          <cell r="AZ2437">
            <v>0</v>
          </cell>
          <cell r="BA2437">
            <v>0</v>
          </cell>
          <cell r="BC2437" t="str">
            <v>OTHERS</v>
          </cell>
          <cell r="BE2437" t="str">
            <v>Dec</v>
          </cell>
        </row>
        <row r="2438">
          <cell r="C2438" t="str">
            <v>Other</v>
          </cell>
          <cell r="R2438">
            <v>0</v>
          </cell>
          <cell r="AZ2438">
            <v>0</v>
          </cell>
          <cell r="BA2438">
            <v>0</v>
          </cell>
          <cell r="BC2438" t="str">
            <v>OTHERS</v>
          </cell>
          <cell r="BE2438" t="str">
            <v>Jan</v>
          </cell>
        </row>
        <row r="2439">
          <cell r="C2439" t="str">
            <v>Other</v>
          </cell>
          <cell r="R2439">
            <v>0</v>
          </cell>
          <cell r="AZ2439">
            <v>0</v>
          </cell>
          <cell r="BA2439">
            <v>0</v>
          </cell>
          <cell r="BC2439" t="str">
            <v>OTHERS</v>
          </cell>
          <cell r="BE2439" t="str">
            <v>Feb</v>
          </cell>
        </row>
        <row r="2440">
          <cell r="C2440" t="str">
            <v>Other</v>
          </cell>
          <cell r="R2440">
            <v>0</v>
          </cell>
          <cell r="AZ2440">
            <v>0</v>
          </cell>
          <cell r="BA2440">
            <v>0</v>
          </cell>
          <cell r="BC2440" t="str">
            <v>OTHERS</v>
          </cell>
          <cell r="BE2440" t="str">
            <v>Mar</v>
          </cell>
        </row>
        <row r="2441">
          <cell r="C2441" t="str">
            <v>Other</v>
          </cell>
          <cell r="R2441">
            <v>0</v>
          </cell>
          <cell r="AZ2441">
            <v>0</v>
          </cell>
          <cell r="BA2441">
            <v>0</v>
          </cell>
          <cell r="BC2441" t="str">
            <v>OTHERS</v>
          </cell>
          <cell r="BE2441" t="str">
            <v>Apr</v>
          </cell>
        </row>
        <row r="2442">
          <cell r="C2442" t="str">
            <v>Other</v>
          </cell>
          <cell r="R2442">
            <v>0</v>
          </cell>
          <cell r="AZ2442">
            <v>0</v>
          </cell>
          <cell r="BA2442">
            <v>0</v>
          </cell>
          <cell r="BC2442" t="str">
            <v>OTHERS</v>
          </cell>
          <cell r="BE2442" t="str">
            <v>May</v>
          </cell>
        </row>
        <row r="2443">
          <cell r="C2443" t="str">
            <v>Other</v>
          </cell>
          <cell r="R2443">
            <v>0</v>
          </cell>
          <cell r="AZ2443">
            <v>0</v>
          </cell>
          <cell r="BA2443">
            <v>0</v>
          </cell>
          <cell r="BC2443" t="str">
            <v>OTHERS</v>
          </cell>
          <cell r="BE2443" t="str">
            <v>Jun</v>
          </cell>
        </row>
        <row r="2444">
          <cell r="C2444" t="str">
            <v>Other</v>
          </cell>
          <cell r="R2444">
            <v>0</v>
          </cell>
          <cell r="AZ2444">
            <v>0</v>
          </cell>
          <cell r="BA2444">
            <v>0</v>
          </cell>
          <cell r="BC2444" t="str">
            <v>OTHERS</v>
          </cell>
          <cell r="BE2444" t="str">
            <v>Jul</v>
          </cell>
        </row>
        <row r="2445">
          <cell r="C2445" t="str">
            <v>Other</v>
          </cell>
          <cell r="R2445">
            <v>0</v>
          </cell>
          <cell r="AZ2445">
            <v>0</v>
          </cell>
          <cell r="BA2445">
            <v>0</v>
          </cell>
          <cell r="BC2445" t="str">
            <v>OTHERS</v>
          </cell>
          <cell r="BE2445" t="str">
            <v>Aug</v>
          </cell>
        </row>
        <row r="2446">
          <cell r="C2446" t="str">
            <v>Other</v>
          </cell>
          <cell r="R2446">
            <v>0</v>
          </cell>
          <cell r="AZ2446">
            <v>0</v>
          </cell>
          <cell r="BA2446">
            <v>0</v>
          </cell>
          <cell r="BC2446" t="str">
            <v>OTHERS</v>
          </cell>
          <cell r="BE2446" t="str">
            <v>Sep</v>
          </cell>
        </row>
        <row r="2447">
          <cell r="C2447" t="str">
            <v>Other</v>
          </cell>
          <cell r="R2447">
            <v>0</v>
          </cell>
          <cell r="AZ2447">
            <v>0</v>
          </cell>
          <cell r="BA2447">
            <v>0</v>
          </cell>
          <cell r="BC2447" t="str">
            <v>OTHERS</v>
          </cell>
          <cell r="BE2447" t="str">
            <v>Oct</v>
          </cell>
        </row>
        <row r="2448">
          <cell r="C2448" t="str">
            <v>Other</v>
          </cell>
          <cell r="R2448">
            <v>0</v>
          </cell>
          <cell r="AZ2448">
            <v>0</v>
          </cell>
          <cell r="BA2448">
            <v>0</v>
          </cell>
          <cell r="BC2448" t="str">
            <v>OTHERS</v>
          </cell>
          <cell r="BE2448" t="str">
            <v>Nov</v>
          </cell>
        </row>
        <row r="2449">
          <cell r="C2449" t="str">
            <v>Other</v>
          </cell>
          <cell r="R2449">
            <v>0</v>
          </cell>
          <cell r="AZ2449">
            <v>0</v>
          </cell>
          <cell r="BA2449">
            <v>0</v>
          </cell>
          <cell r="BC2449" t="str">
            <v>OTHERS</v>
          </cell>
          <cell r="BE2449" t="str">
            <v>Dec</v>
          </cell>
        </row>
        <row r="2450">
          <cell r="C2450" t="str">
            <v>Other</v>
          </cell>
          <cell r="R2450">
            <v>0</v>
          </cell>
          <cell r="AZ2450">
            <v>0</v>
          </cell>
          <cell r="BA2450">
            <v>0</v>
          </cell>
          <cell r="BC2450" t="str">
            <v>OTHERS</v>
          </cell>
          <cell r="BE2450" t="str">
            <v>Jan</v>
          </cell>
        </row>
        <row r="2451">
          <cell r="C2451" t="str">
            <v>Other</v>
          </cell>
          <cell r="R2451">
            <v>0</v>
          </cell>
          <cell r="AZ2451">
            <v>0</v>
          </cell>
          <cell r="BA2451">
            <v>0</v>
          </cell>
          <cell r="BC2451" t="str">
            <v>OTHERS</v>
          </cell>
          <cell r="BE2451" t="str">
            <v>Feb</v>
          </cell>
        </row>
        <row r="2452">
          <cell r="C2452" t="str">
            <v>Other</v>
          </cell>
          <cell r="R2452">
            <v>0</v>
          </cell>
          <cell r="AZ2452">
            <v>0</v>
          </cell>
          <cell r="BA2452">
            <v>0</v>
          </cell>
          <cell r="BC2452" t="str">
            <v>OTHERS</v>
          </cell>
          <cell r="BE2452" t="str">
            <v>Mar</v>
          </cell>
        </row>
        <row r="2453">
          <cell r="C2453" t="str">
            <v>Other</v>
          </cell>
          <cell r="R2453">
            <v>0</v>
          </cell>
          <cell r="AZ2453">
            <v>0</v>
          </cell>
          <cell r="BA2453">
            <v>0</v>
          </cell>
          <cell r="BC2453" t="str">
            <v>OTHERS</v>
          </cell>
          <cell r="BE2453" t="str">
            <v>Apr</v>
          </cell>
        </row>
        <row r="2454">
          <cell r="C2454" t="str">
            <v>Other</v>
          </cell>
          <cell r="R2454">
            <v>0</v>
          </cell>
          <cell r="AZ2454">
            <v>0</v>
          </cell>
          <cell r="BA2454">
            <v>0</v>
          </cell>
          <cell r="BC2454" t="str">
            <v>OTHERS</v>
          </cell>
          <cell r="BE2454" t="str">
            <v>May</v>
          </cell>
        </row>
        <row r="2455">
          <cell r="C2455" t="str">
            <v>Other</v>
          </cell>
          <cell r="R2455">
            <v>0</v>
          </cell>
          <cell r="AZ2455">
            <v>0</v>
          </cell>
          <cell r="BA2455">
            <v>0</v>
          </cell>
          <cell r="BC2455" t="str">
            <v>OTHERS</v>
          </cell>
          <cell r="BE2455" t="str">
            <v>Jun</v>
          </cell>
        </row>
        <row r="2456">
          <cell r="C2456" t="str">
            <v>Other</v>
          </cell>
          <cell r="R2456">
            <v>0</v>
          </cell>
          <cell r="AZ2456">
            <v>0</v>
          </cell>
          <cell r="BA2456">
            <v>0</v>
          </cell>
          <cell r="BC2456" t="str">
            <v>OTHERS</v>
          </cell>
          <cell r="BE2456" t="str">
            <v>Jul</v>
          </cell>
        </row>
        <row r="2457">
          <cell r="C2457" t="str">
            <v>Other</v>
          </cell>
          <cell r="R2457">
            <v>0</v>
          </cell>
          <cell r="AZ2457">
            <v>0</v>
          </cell>
          <cell r="BA2457">
            <v>0</v>
          </cell>
          <cell r="BC2457" t="str">
            <v>OTHERS</v>
          </cell>
          <cell r="BE2457" t="str">
            <v>Aug</v>
          </cell>
        </row>
        <row r="2458">
          <cell r="C2458" t="str">
            <v>Other</v>
          </cell>
          <cell r="R2458">
            <v>0</v>
          </cell>
          <cell r="AZ2458">
            <v>0</v>
          </cell>
          <cell r="BA2458">
            <v>0</v>
          </cell>
          <cell r="BC2458" t="str">
            <v>OTHERS</v>
          </cell>
          <cell r="BE2458" t="str">
            <v>Sep</v>
          </cell>
        </row>
        <row r="2459">
          <cell r="C2459" t="str">
            <v>Other</v>
          </cell>
          <cell r="R2459">
            <v>0</v>
          </cell>
          <cell r="AZ2459">
            <v>0</v>
          </cell>
          <cell r="BA2459">
            <v>0</v>
          </cell>
          <cell r="BC2459" t="str">
            <v>OTHERS</v>
          </cell>
          <cell r="BE2459" t="str">
            <v>Oct</v>
          </cell>
        </row>
        <row r="2460">
          <cell r="C2460" t="str">
            <v>Other</v>
          </cell>
          <cell r="R2460">
            <v>0</v>
          </cell>
          <cell r="AZ2460">
            <v>0</v>
          </cell>
          <cell r="BA2460">
            <v>0</v>
          </cell>
          <cell r="BC2460" t="str">
            <v>OTHERS</v>
          </cell>
          <cell r="BE2460" t="str">
            <v>Nov</v>
          </cell>
        </row>
        <row r="2461">
          <cell r="C2461" t="str">
            <v>Other</v>
          </cell>
          <cell r="R2461">
            <v>0</v>
          </cell>
          <cell r="AZ2461">
            <v>0</v>
          </cell>
          <cell r="BA2461">
            <v>0</v>
          </cell>
          <cell r="BC2461" t="str">
            <v>OTHERS</v>
          </cell>
          <cell r="BE2461" t="str">
            <v>Dec</v>
          </cell>
        </row>
        <row r="2462">
          <cell r="C2462" t="str">
            <v>Other</v>
          </cell>
          <cell r="R2462">
            <v>0</v>
          </cell>
          <cell r="AZ2462">
            <v>0</v>
          </cell>
          <cell r="BA2462">
            <v>0</v>
          </cell>
          <cell r="BC2462" t="str">
            <v>OTHERS</v>
          </cell>
          <cell r="BE2462" t="str">
            <v>Jan</v>
          </cell>
        </row>
        <row r="2463">
          <cell r="C2463" t="str">
            <v>Other</v>
          </cell>
          <cell r="R2463">
            <v>0</v>
          </cell>
          <cell r="AZ2463">
            <v>0</v>
          </cell>
          <cell r="BA2463">
            <v>0</v>
          </cell>
          <cell r="BC2463" t="str">
            <v>OTHERS</v>
          </cell>
          <cell r="BE2463" t="str">
            <v>Feb</v>
          </cell>
        </row>
        <row r="2464">
          <cell r="C2464" t="str">
            <v>Other</v>
          </cell>
          <cell r="R2464">
            <v>0</v>
          </cell>
          <cell r="AZ2464">
            <v>0</v>
          </cell>
          <cell r="BA2464">
            <v>0</v>
          </cell>
          <cell r="BC2464" t="str">
            <v>OTHERS</v>
          </cell>
          <cell r="BE2464" t="str">
            <v>Mar</v>
          </cell>
        </row>
        <row r="2465">
          <cell r="C2465" t="str">
            <v>Other</v>
          </cell>
          <cell r="R2465">
            <v>0</v>
          </cell>
          <cell r="AZ2465">
            <v>0</v>
          </cell>
          <cell r="BA2465">
            <v>0</v>
          </cell>
          <cell r="BC2465" t="str">
            <v>OTHERS</v>
          </cell>
          <cell r="BE2465" t="str">
            <v>Apr</v>
          </cell>
        </row>
        <row r="2466">
          <cell r="C2466" t="str">
            <v>Other</v>
          </cell>
          <cell r="R2466">
            <v>0</v>
          </cell>
          <cell r="AZ2466">
            <v>0</v>
          </cell>
          <cell r="BA2466">
            <v>0</v>
          </cell>
          <cell r="BC2466" t="str">
            <v>OTHERS</v>
          </cell>
          <cell r="BE2466" t="str">
            <v>May</v>
          </cell>
        </row>
        <row r="2467">
          <cell r="C2467" t="str">
            <v>Other</v>
          </cell>
          <cell r="R2467">
            <v>0</v>
          </cell>
          <cell r="AZ2467">
            <v>0</v>
          </cell>
          <cell r="BA2467">
            <v>0</v>
          </cell>
          <cell r="BC2467" t="str">
            <v>OTHERS</v>
          </cell>
          <cell r="BE2467" t="str">
            <v>Jun</v>
          </cell>
        </row>
        <row r="2468">
          <cell r="C2468" t="str">
            <v>Other</v>
          </cell>
          <cell r="R2468">
            <v>0</v>
          </cell>
          <cell r="AZ2468">
            <v>0</v>
          </cell>
          <cell r="BA2468">
            <v>0</v>
          </cell>
          <cell r="BC2468" t="str">
            <v>OTHERS</v>
          </cell>
          <cell r="BE2468" t="str">
            <v>Jul</v>
          </cell>
        </row>
        <row r="2469">
          <cell r="C2469" t="str">
            <v>Other</v>
          </cell>
          <cell r="R2469">
            <v>0</v>
          </cell>
          <cell r="AZ2469">
            <v>0</v>
          </cell>
          <cell r="BA2469">
            <v>0</v>
          </cell>
          <cell r="BC2469" t="str">
            <v>OTHERS</v>
          </cell>
          <cell r="BE2469" t="str">
            <v>Aug</v>
          </cell>
        </row>
        <row r="2470">
          <cell r="C2470" t="str">
            <v>Other</v>
          </cell>
          <cell r="R2470">
            <v>0</v>
          </cell>
          <cell r="AZ2470">
            <v>0</v>
          </cell>
          <cell r="BA2470">
            <v>0</v>
          </cell>
          <cell r="BC2470" t="str">
            <v>OTHERS</v>
          </cell>
          <cell r="BE2470" t="str">
            <v>Sep</v>
          </cell>
        </row>
        <row r="2471">
          <cell r="C2471" t="str">
            <v>Other</v>
          </cell>
          <cell r="R2471">
            <v>0</v>
          </cell>
          <cell r="AZ2471">
            <v>0</v>
          </cell>
          <cell r="BA2471">
            <v>0</v>
          </cell>
          <cell r="BC2471" t="str">
            <v>OTHERS</v>
          </cell>
          <cell r="BE2471" t="str">
            <v>Oct</v>
          </cell>
        </row>
        <row r="2472">
          <cell r="C2472" t="str">
            <v>Other</v>
          </cell>
          <cell r="R2472">
            <v>0</v>
          </cell>
          <cell r="AZ2472">
            <v>0</v>
          </cell>
          <cell r="BA2472">
            <v>0</v>
          </cell>
          <cell r="BC2472" t="str">
            <v>OTHERS</v>
          </cell>
          <cell r="BE2472" t="str">
            <v>Nov</v>
          </cell>
        </row>
        <row r="2473">
          <cell r="C2473" t="str">
            <v>Other</v>
          </cell>
          <cell r="R2473">
            <v>0</v>
          </cell>
          <cell r="AZ2473">
            <v>0</v>
          </cell>
          <cell r="BA2473">
            <v>0</v>
          </cell>
          <cell r="BC2473" t="str">
            <v>OTHERS</v>
          </cell>
          <cell r="BE2473" t="str">
            <v>Dec</v>
          </cell>
        </row>
        <row r="2474">
          <cell r="C2474" t="str">
            <v>Tamaka (Banpu)</v>
          </cell>
          <cell r="R2474">
            <v>0</v>
          </cell>
          <cell r="AZ2474">
            <v>0</v>
          </cell>
          <cell r="BA2474">
            <v>0</v>
          </cell>
          <cell r="BC2474" t="str">
            <v>OTHERS</v>
          </cell>
          <cell r="BE2474" t="str">
            <v>Jan</v>
          </cell>
        </row>
        <row r="2475">
          <cell r="C2475" t="str">
            <v>Tamaka (Banpu)</v>
          </cell>
          <cell r="R2475">
            <v>0</v>
          </cell>
          <cell r="AZ2475">
            <v>0</v>
          </cell>
          <cell r="BA2475">
            <v>0</v>
          </cell>
          <cell r="BC2475" t="str">
            <v>OTHERS</v>
          </cell>
          <cell r="BE2475" t="str">
            <v>Feb</v>
          </cell>
        </row>
        <row r="2476">
          <cell r="C2476" t="str">
            <v>Tamaka (Banpu)</v>
          </cell>
          <cell r="R2476">
            <v>0</v>
          </cell>
          <cell r="AZ2476">
            <v>0</v>
          </cell>
          <cell r="BA2476">
            <v>0</v>
          </cell>
          <cell r="BC2476" t="str">
            <v>OTHERS</v>
          </cell>
          <cell r="BE2476" t="str">
            <v>Mar</v>
          </cell>
        </row>
        <row r="2477">
          <cell r="C2477" t="str">
            <v>Tamaka (Banpu)</v>
          </cell>
          <cell r="R2477">
            <v>0</v>
          </cell>
          <cell r="AZ2477">
            <v>0</v>
          </cell>
          <cell r="BA2477">
            <v>0</v>
          </cell>
          <cell r="BC2477" t="str">
            <v>OTHERS</v>
          </cell>
          <cell r="BE2477" t="str">
            <v>Apr</v>
          </cell>
        </row>
        <row r="2478">
          <cell r="C2478" t="str">
            <v>Tamaka (Banpu)</v>
          </cell>
          <cell r="R2478">
            <v>0</v>
          </cell>
          <cell r="AZ2478">
            <v>0</v>
          </cell>
          <cell r="BA2478">
            <v>0</v>
          </cell>
          <cell r="BC2478" t="str">
            <v>OTHERS</v>
          </cell>
          <cell r="BE2478" t="str">
            <v>May</v>
          </cell>
        </row>
        <row r="2479">
          <cell r="C2479" t="str">
            <v>Tamaka (Banpu)</v>
          </cell>
          <cell r="R2479">
            <v>0</v>
          </cell>
          <cell r="AZ2479">
            <v>0</v>
          </cell>
          <cell r="BA2479">
            <v>0</v>
          </cell>
          <cell r="BC2479" t="str">
            <v>OTHERS</v>
          </cell>
          <cell r="BE2479" t="str">
            <v>Jun</v>
          </cell>
        </row>
        <row r="2480">
          <cell r="C2480" t="str">
            <v>Tamaka (Banpu)</v>
          </cell>
          <cell r="R2480">
            <v>0</v>
          </cell>
          <cell r="AZ2480">
            <v>0</v>
          </cell>
          <cell r="BA2480">
            <v>0</v>
          </cell>
          <cell r="BC2480" t="str">
            <v>OTHERS</v>
          </cell>
          <cell r="BE2480" t="str">
            <v>Jul</v>
          </cell>
        </row>
        <row r="2481">
          <cell r="C2481" t="str">
            <v>Tamaka (Banpu)</v>
          </cell>
          <cell r="R2481">
            <v>0</v>
          </cell>
          <cell r="AZ2481">
            <v>0</v>
          </cell>
          <cell r="BA2481">
            <v>0</v>
          </cell>
          <cell r="BC2481" t="str">
            <v>OTHERS</v>
          </cell>
          <cell r="BE2481" t="str">
            <v>Aug</v>
          </cell>
        </row>
        <row r="2482">
          <cell r="C2482" t="str">
            <v>Tamaka (Banpu)</v>
          </cell>
          <cell r="R2482">
            <v>0</v>
          </cell>
          <cell r="AZ2482">
            <v>0</v>
          </cell>
          <cell r="BA2482">
            <v>0</v>
          </cell>
          <cell r="BC2482" t="str">
            <v>OTHERS</v>
          </cell>
          <cell r="BE2482" t="str">
            <v>Sep</v>
          </cell>
        </row>
        <row r="2483">
          <cell r="C2483" t="str">
            <v>Tamaka (Banpu)</v>
          </cell>
          <cell r="R2483">
            <v>0</v>
          </cell>
          <cell r="AZ2483">
            <v>0</v>
          </cell>
          <cell r="BA2483">
            <v>0</v>
          </cell>
          <cell r="BC2483" t="str">
            <v>OTHERS</v>
          </cell>
          <cell r="BE2483" t="str">
            <v>Oct</v>
          </cell>
        </row>
        <row r="2484">
          <cell r="C2484" t="str">
            <v>Tamaka (Banpu)</v>
          </cell>
          <cell r="R2484">
            <v>0</v>
          </cell>
          <cell r="AZ2484">
            <v>0</v>
          </cell>
          <cell r="BA2484">
            <v>0</v>
          </cell>
          <cell r="BC2484" t="str">
            <v>OTHERS</v>
          </cell>
          <cell r="BE2484" t="str">
            <v>Nov</v>
          </cell>
        </row>
        <row r="2485">
          <cell r="C2485" t="str">
            <v>Tamaka (Banpu)</v>
          </cell>
          <cell r="R2485">
            <v>0</v>
          </cell>
          <cell r="AZ2485">
            <v>0</v>
          </cell>
          <cell r="BA2485">
            <v>0</v>
          </cell>
          <cell r="BC2485" t="str">
            <v>OTHERS</v>
          </cell>
          <cell r="BE2485" t="str">
            <v>Dec</v>
          </cell>
        </row>
        <row r="2486">
          <cell r="C2486" t="str">
            <v>Ayudthaya (Banpu)</v>
          </cell>
          <cell r="R2486">
            <v>50000</v>
          </cell>
          <cell r="AZ2486">
            <v>-25000</v>
          </cell>
          <cell r="BA2486">
            <v>-58898.305084745763</v>
          </cell>
          <cell r="BC2486" t="str">
            <v>OTHERS</v>
          </cell>
          <cell r="BE2486" t="str">
            <v>Jan</v>
          </cell>
        </row>
        <row r="2487">
          <cell r="C2487" t="str">
            <v>Ayudthaya (Banpu)</v>
          </cell>
          <cell r="R2487">
            <v>0</v>
          </cell>
          <cell r="AZ2487">
            <v>0</v>
          </cell>
          <cell r="BA2487">
            <v>0</v>
          </cell>
          <cell r="BC2487" t="str">
            <v>OTHERS</v>
          </cell>
          <cell r="BE2487" t="str">
            <v>Feb</v>
          </cell>
        </row>
        <row r="2488">
          <cell r="C2488" t="str">
            <v>Ayudthaya (Banpu)</v>
          </cell>
          <cell r="R2488">
            <v>50000</v>
          </cell>
          <cell r="AZ2488">
            <v>-25000</v>
          </cell>
          <cell r="BA2488">
            <v>-58898.305084745763</v>
          </cell>
          <cell r="BC2488" t="str">
            <v>OTHERS</v>
          </cell>
          <cell r="BE2488" t="str">
            <v>Mar</v>
          </cell>
        </row>
        <row r="2489">
          <cell r="C2489" t="str">
            <v>Ayudthaya (Banpu)</v>
          </cell>
          <cell r="R2489">
            <v>0</v>
          </cell>
          <cell r="AZ2489">
            <v>0</v>
          </cell>
          <cell r="BA2489">
            <v>0</v>
          </cell>
          <cell r="BC2489" t="str">
            <v>OTHERS</v>
          </cell>
          <cell r="BE2489" t="str">
            <v>Apr</v>
          </cell>
        </row>
        <row r="2490">
          <cell r="C2490" t="str">
            <v>Ayudthaya (Banpu)</v>
          </cell>
          <cell r="R2490">
            <v>50000</v>
          </cell>
          <cell r="AZ2490">
            <v>-25000</v>
          </cell>
          <cell r="BA2490">
            <v>-58898.305084745763</v>
          </cell>
          <cell r="BC2490" t="str">
            <v>OTHERS</v>
          </cell>
          <cell r="BE2490" t="str">
            <v>May</v>
          </cell>
        </row>
        <row r="2491">
          <cell r="C2491" t="str">
            <v>Ayudthaya (Banpu)</v>
          </cell>
          <cell r="R2491">
            <v>50000</v>
          </cell>
          <cell r="AZ2491">
            <v>-25000</v>
          </cell>
          <cell r="BA2491">
            <v>-58898.305084745763</v>
          </cell>
          <cell r="BC2491" t="str">
            <v>OTHERS</v>
          </cell>
          <cell r="BE2491" t="str">
            <v>Jun</v>
          </cell>
        </row>
        <row r="2492">
          <cell r="C2492" t="str">
            <v>Ayudthaya (Banpu)</v>
          </cell>
          <cell r="R2492">
            <v>0</v>
          </cell>
          <cell r="AZ2492">
            <v>0</v>
          </cell>
          <cell r="BA2492">
            <v>0</v>
          </cell>
          <cell r="BC2492" t="str">
            <v>OTHERS</v>
          </cell>
          <cell r="BE2492" t="str">
            <v>Jul</v>
          </cell>
        </row>
        <row r="2493">
          <cell r="C2493" t="str">
            <v>Ayudthaya (Banpu)</v>
          </cell>
          <cell r="R2493">
            <v>0</v>
          </cell>
          <cell r="AZ2493">
            <v>0</v>
          </cell>
          <cell r="BA2493">
            <v>0</v>
          </cell>
          <cell r="BC2493" t="str">
            <v>OTHERS</v>
          </cell>
          <cell r="BE2493" t="str">
            <v>Aug</v>
          </cell>
        </row>
        <row r="2494">
          <cell r="C2494" t="str">
            <v>Ayudthaya (Banpu)</v>
          </cell>
          <cell r="R2494">
            <v>0</v>
          </cell>
          <cell r="AZ2494">
            <v>0</v>
          </cell>
          <cell r="BA2494">
            <v>0</v>
          </cell>
          <cell r="BC2494" t="str">
            <v>OTHERS</v>
          </cell>
          <cell r="BE2494" t="str">
            <v>Sep</v>
          </cell>
        </row>
        <row r="2495">
          <cell r="C2495" t="str">
            <v>Ayudthaya (Banpu)</v>
          </cell>
          <cell r="R2495">
            <v>0</v>
          </cell>
          <cell r="AZ2495">
            <v>0</v>
          </cell>
          <cell r="BA2495">
            <v>0</v>
          </cell>
          <cell r="BC2495" t="str">
            <v>OTHERS</v>
          </cell>
          <cell r="BE2495" t="str">
            <v>Oct</v>
          </cell>
        </row>
        <row r="2496">
          <cell r="C2496" t="str">
            <v>Ayudthaya (Banpu)</v>
          </cell>
          <cell r="R2496">
            <v>0</v>
          </cell>
          <cell r="AZ2496">
            <v>0</v>
          </cell>
          <cell r="BA2496">
            <v>0</v>
          </cell>
          <cell r="BC2496" t="str">
            <v>OTHERS</v>
          </cell>
          <cell r="BE2496" t="str">
            <v>Nov</v>
          </cell>
        </row>
        <row r="2497">
          <cell r="C2497" t="str">
            <v>Ayudthaya (Banpu)</v>
          </cell>
          <cell r="R2497">
            <v>0</v>
          </cell>
          <cell r="AZ2497">
            <v>0</v>
          </cell>
          <cell r="BA2497">
            <v>0</v>
          </cell>
          <cell r="BC2497" t="str">
            <v>OTHERS</v>
          </cell>
          <cell r="BE2497" t="str">
            <v>Dec</v>
          </cell>
        </row>
        <row r="2498">
          <cell r="C2498" t="str">
            <v>Ayudthaya (Banpu)</v>
          </cell>
          <cell r="R2498">
            <v>0</v>
          </cell>
          <cell r="AZ2498">
            <v>0</v>
          </cell>
          <cell r="BA2498">
            <v>0</v>
          </cell>
          <cell r="BC2498" t="str">
            <v>OTHERS</v>
          </cell>
          <cell r="BE2498" t="str">
            <v>Jan</v>
          </cell>
        </row>
        <row r="2499">
          <cell r="C2499" t="str">
            <v>Ayudthaya (Banpu)</v>
          </cell>
          <cell r="R2499">
            <v>0</v>
          </cell>
          <cell r="AZ2499">
            <v>0</v>
          </cell>
          <cell r="BA2499">
            <v>0</v>
          </cell>
          <cell r="BC2499" t="str">
            <v>OTHERS</v>
          </cell>
          <cell r="BE2499" t="str">
            <v>Feb</v>
          </cell>
        </row>
        <row r="2500">
          <cell r="C2500" t="str">
            <v>Ayudthaya (Banpu)</v>
          </cell>
          <cell r="R2500">
            <v>0</v>
          </cell>
          <cell r="AZ2500">
            <v>0</v>
          </cell>
          <cell r="BA2500">
            <v>0</v>
          </cell>
          <cell r="BC2500" t="str">
            <v>OTHERS</v>
          </cell>
          <cell r="BE2500" t="str">
            <v>Mar</v>
          </cell>
        </row>
        <row r="2501">
          <cell r="C2501" t="str">
            <v>Ayudthaya (Banpu)</v>
          </cell>
          <cell r="R2501">
            <v>0</v>
          </cell>
          <cell r="AZ2501">
            <v>0</v>
          </cell>
          <cell r="BA2501">
            <v>0</v>
          </cell>
          <cell r="BC2501" t="str">
            <v>OTHERS</v>
          </cell>
          <cell r="BE2501" t="str">
            <v>Apr</v>
          </cell>
        </row>
        <row r="2502">
          <cell r="C2502" t="str">
            <v>Ayudthaya (Banpu)</v>
          </cell>
          <cell r="R2502">
            <v>0</v>
          </cell>
          <cell r="AZ2502">
            <v>0</v>
          </cell>
          <cell r="BA2502">
            <v>0</v>
          </cell>
          <cell r="BC2502" t="str">
            <v>OTHERS</v>
          </cell>
          <cell r="BE2502" t="str">
            <v>May</v>
          </cell>
        </row>
        <row r="2503">
          <cell r="C2503" t="str">
            <v>Ayudthaya (Banpu)</v>
          </cell>
          <cell r="R2503">
            <v>0</v>
          </cell>
          <cell r="AZ2503">
            <v>0</v>
          </cell>
          <cell r="BA2503">
            <v>0</v>
          </cell>
          <cell r="BC2503" t="str">
            <v>OTHERS</v>
          </cell>
          <cell r="BE2503" t="str">
            <v>Jun</v>
          </cell>
        </row>
        <row r="2504">
          <cell r="C2504" t="str">
            <v>Ayudthaya (Banpu)</v>
          </cell>
          <cell r="R2504">
            <v>50000</v>
          </cell>
          <cell r="AZ2504">
            <v>-25000</v>
          </cell>
          <cell r="BA2504">
            <v>-55084.745762711864</v>
          </cell>
          <cell r="BC2504" t="str">
            <v>OTHERS</v>
          </cell>
          <cell r="BE2504" t="str">
            <v>Jul</v>
          </cell>
        </row>
        <row r="2505">
          <cell r="C2505" t="str">
            <v>Ayudthaya (Banpu)</v>
          </cell>
          <cell r="R2505">
            <v>50000</v>
          </cell>
          <cell r="AZ2505">
            <v>-25000</v>
          </cell>
          <cell r="BA2505">
            <v>-55084.745762711864</v>
          </cell>
          <cell r="BC2505" t="str">
            <v>OTHERS</v>
          </cell>
          <cell r="BE2505" t="str">
            <v>Aug</v>
          </cell>
        </row>
        <row r="2506">
          <cell r="C2506" t="str">
            <v>Ayudthaya (Banpu)</v>
          </cell>
          <cell r="R2506">
            <v>0</v>
          </cell>
          <cell r="AZ2506">
            <v>0</v>
          </cell>
          <cell r="BA2506">
            <v>0</v>
          </cell>
          <cell r="BC2506" t="str">
            <v>OTHERS</v>
          </cell>
          <cell r="BE2506" t="str">
            <v>Sep</v>
          </cell>
        </row>
        <row r="2507">
          <cell r="C2507" t="str">
            <v>Ayudthaya (Banpu)</v>
          </cell>
          <cell r="R2507">
            <v>0</v>
          </cell>
          <cell r="AZ2507">
            <v>0</v>
          </cell>
          <cell r="BA2507">
            <v>0</v>
          </cell>
          <cell r="BC2507" t="str">
            <v>OTHERS</v>
          </cell>
          <cell r="BE2507" t="str">
            <v>Oct</v>
          </cell>
        </row>
        <row r="2508">
          <cell r="C2508" t="str">
            <v>Ayudthaya (Banpu)</v>
          </cell>
          <cell r="R2508">
            <v>0</v>
          </cell>
          <cell r="AZ2508">
            <v>0</v>
          </cell>
          <cell r="BA2508">
            <v>0</v>
          </cell>
          <cell r="BC2508" t="str">
            <v>OTHERS</v>
          </cell>
          <cell r="BE2508" t="str">
            <v>Nov</v>
          </cell>
        </row>
        <row r="2509">
          <cell r="C2509" t="str">
            <v>Ayudthaya (Banpu)</v>
          </cell>
          <cell r="R2509">
            <v>0</v>
          </cell>
          <cell r="AZ2509">
            <v>0</v>
          </cell>
          <cell r="BA2509">
            <v>0</v>
          </cell>
          <cell r="BC2509" t="str">
            <v>OTHERS</v>
          </cell>
          <cell r="BE2509" t="str">
            <v>Dec</v>
          </cell>
        </row>
        <row r="2510">
          <cell r="C2510" t="str">
            <v>Ayudthaya (Banpu)</v>
          </cell>
          <cell r="R2510">
            <v>0</v>
          </cell>
          <cell r="AZ2510">
            <v>0</v>
          </cell>
          <cell r="BA2510">
            <v>0</v>
          </cell>
          <cell r="BC2510" t="str">
            <v>OTHERS</v>
          </cell>
          <cell r="BE2510" t="str">
            <v>Jan</v>
          </cell>
        </row>
        <row r="2511">
          <cell r="C2511" t="str">
            <v>Ayudthaya (Banpu)</v>
          </cell>
          <cell r="R2511">
            <v>0</v>
          </cell>
          <cell r="AZ2511">
            <v>0</v>
          </cell>
          <cell r="BA2511">
            <v>0</v>
          </cell>
          <cell r="BC2511" t="str">
            <v>OTHERS</v>
          </cell>
          <cell r="BE2511" t="str">
            <v>Feb</v>
          </cell>
        </row>
        <row r="2512">
          <cell r="C2512" t="str">
            <v>Ayudthaya (Banpu)</v>
          </cell>
          <cell r="R2512">
            <v>0</v>
          </cell>
          <cell r="AZ2512">
            <v>0</v>
          </cell>
          <cell r="BA2512">
            <v>0</v>
          </cell>
          <cell r="BC2512" t="str">
            <v>OTHERS</v>
          </cell>
          <cell r="BE2512" t="str">
            <v>Mar</v>
          </cell>
        </row>
        <row r="2513">
          <cell r="C2513" t="str">
            <v>Ayudthaya (Banpu)</v>
          </cell>
          <cell r="R2513">
            <v>0</v>
          </cell>
          <cell r="AZ2513">
            <v>0</v>
          </cell>
          <cell r="BA2513">
            <v>0</v>
          </cell>
          <cell r="BC2513" t="str">
            <v>OTHERS</v>
          </cell>
          <cell r="BE2513" t="str">
            <v>Apr</v>
          </cell>
        </row>
        <row r="2514">
          <cell r="C2514" t="str">
            <v>Ayudthaya (Banpu)</v>
          </cell>
          <cell r="R2514">
            <v>0</v>
          </cell>
          <cell r="AZ2514">
            <v>0</v>
          </cell>
          <cell r="BA2514">
            <v>0</v>
          </cell>
          <cell r="BC2514" t="str">
            <v>OTHERS</v>
          </cell>
          <cell r="BE2514" t="str">
            <v>May</v>
          </cell>
        </row>
        <row r="2515">
          <cell r="C2515" t="str">
            <v>Ayudthaya (Banpu)</v>
          </cell>
          <cell r="R2515">
            <v>0</v>
          </cell>
          <cell r="AZ2515">
            <v>0</v>
          </cell>
          <cell r="BA2515">
            <v>0</v>
          </cell>
          <cell r="BC2515" t="str">
            <v>OTHERS</v>
          </cell>
          <cell r="BE2515" t="str">
            <v>Jun</v>
          </cell>
        </row>
        <row r="2516">
          <cell r="C2516" t="str">
            <v>Ayudthaya (Banpu)</v>
          </cell>
          <cell r="R2516">
            <v>0</v>
          </cell>
          <cell r="AZ2516">
            <v>0</v>
          </cell>
          <cell r="BA2516">
            <v>0</v>
          </cell>
          <cell r="BC2516" t="str">
            <v>OTHERS</v>
          </cell>
          <cell r="BE2516" t="str">
            <v>Jul</v>
          </cell>
        </row>
        <row r="2517">
          <cell r="C2517" t="str">
            <v>Ayudthaya (Banpu)</v>
          </cell>
          <cell r="R2517">
            <v>0</v>
          </cell>
          <cell r="AZ2517">
            <v>0</v>
          </cell>
          <cell r="BA2517">
            <v>0</v>
          </cell>
          <cell r="BC2517" t="str">
            <v>OTHERS</v>
          </cell>
          <cell r="BE2517" t="str">
            <v>Aug</v>
          </cell>
        </row>
        <row r="2518">
          <cell r="C2518" t="str">
            <v>Ayudthaya (Banpu)</v>
          </cell>
          <cell r="R2518">
            <v>50000</v>
          </cell>
          <cell r="AZ2518">
            <v>-25000</v>
          </cell>
          <cell r="BA2518">
            <v>-60041.254237288136</v>
          </cell>
          <cell r="BC2518" t="str">
            <v>OTHERS</v>
          </cell>
          <cell r="BE2518" t="str">
            <v>Sep</v>
          </cell>
        </row>
        <row r="2519">
          <cell r="C2519" t="str">
            <v>Ayudthaya (Banpu)</v>
          </cell>
          <cell r="R2519">
            <v>0</v>
          </cell>
          <cell r="AZ2519">
            <v>0</v>
          </cell>
          <cell r="BA2519">
            <v>0</v>
          </cell>
          <cell r="BC2519" t="str">
            <v>OTHERS</v>
          </cell>
          <cell r="BE2519" t="str">
            <v>Oct</v>
          </cell>
        </row>
        <row r="2520">
          <cell r="C2520" t="str">
            <v>Ayudthaya (Banpu)</v>
          </cell>
          <cell r="R2520">
            <v>50000</v>
          </cell>
          <cell r="AZ2520">
            <v>-25000</v>
          </cell>
          <cell r="BA2520">
            <v>-60041.254237288136</v>
          </cell>
          <cell r="BC2520" t="str">
            <v>OTHERS</v>
          </cell>
          <cell r="BE2520" t="str">
            <v>Nov</v>
          </cell>
        </row>
        <row r="2521">
          <cell r="C2521" t="str">
            <v>Ayudthaya (Banpu)</v>
          </cell>
          <cell r="R2521">
            <v>0</v>
          </cell>
          <cell r="AZ2521">
            <v>0</v>
          </cell>
          <cell r="BA2521">
            <v>0</v>
          </cell>
          <cell r="BC2521" t="str">
            <v>OTHERS</v>
          </cell>
          <cell r="BE2521" t="str">
            <v>Dec</v>
          </cell>
        </row>
        <row r="2522">
          <cell r="C2522" t="str">
            <v>Tamaka (Banpu)</v>
          </cell>
          <cell r="R2522">
            <v>0</v>
          </cell>
          <cell r="AZ2522">
            <v>0</v>
          </cell>
          <cell r="BA2522">
            <v>0</v>
          </cell>
          <cell r="BC2522" t="str">
            <v>OTHERS</v>
          </cell>
          <cell r="BE2522" t="str">
            <v>Jan</v>
          </cell>
        </row>
        <row r="2523">
          <cell r="C2523" t="str">
            <v>Tamaka (Banpu)</v>
          </cell>
          <cell r="R2523">
            <v>0</v>
          </cell>
          <cell r="AZ2523">
            <v>0</v>
          </cell>
          <cell r="BA2523">
            <v>0</v>
          </cell>
          <cell r="BC2523" t="str">
            <v>OTHERS</v>
          </cell>
          <cell r="BE2523" t="str">
            <v>Feb</v>
          </cell>
        </row>
        <row r="2524">
          <cell r="C2524" t="str">
            <v>Tamaka (Banpu)</v>
          </cell>
          <cell r="R2524">
            <v>55000</v>
          </cell>
          <cell r="AZ2524">
            <v>-27500</v>
          </cell>
          <cell r="BA2524">
            <v>-66045.379661016952</v>
          </cell>
          <cell r="BC2524" t="str">
            <v>OTHERS</v>
          </cell>
          <cell r="BE2524" t="str">
            <v>Mar</v>
          </cell>
        </row>
        <row r="2525">
          <cell r="C2525" t="str">
            <v>Tamaka (Banpu)</v>
          </cell>
          <cell r="R2525">
            <v>0</v>
          </cell>
          <cell r="AZ2525">
            <v>0</v>
          </cell>
          <cell r="BA2525">
            <v>0</v>
          </cell>
          <cell r="BC2525" t="str">
            <v>OTHERS</v>
          </cell>
          <cell r="BE2525" t="str">
            <v>Apr</v>
          </cell>
        </row>
        <row r="2526">
          <cell r="C2526" t="str">
            <v>Tamaka (Banpu)</v>
          </cell>
          <cell r="R2526">
            <v>0</v>
          </cell>
          <cell r="AZ2526">
            <v>0</v>
          </cell>
          <cell r="BA2526">
            <v>0</v>
          </cell>
          <cell r="BC2526" t="str">
            <v>OTHERS</v>
          </cell>
          <cell r="BE2526" t="str">
            <v>May</v>
          </cell>
        </row>
        <row r="2527">
          <cell r="C2527" t="str">
            <v>Tamaka (Banpu)</v>
          </cell>
          <cell r="R2527">
            <v>0</v>
          </cell>
          <cell r="AZ2527">
            <v>0</v>
          </cell>
          <cell r="BA2527">
            <v>0</v>
          </cell>
          <cell r="BC2527" t="str">
            <v>OTHERS</v>
          </cell>
          <cell r="BE2527" t="str">
            <v>Jun</v>
          </cell>
        </row>
        <row r="2528">
          <cell r="C2528" t="str">
            <v>Tamaka (Banpu)</v>
          </cell>
          <cell r="R2528">
            <v>0</v>
          </cell>
          <cell r="AZ2528">
            <v>0</v>
          </cell>
          <cell r="BA2528">
            <v>0</v>
          </cell>
          <cell r="BC2528" t="str">
            <v>OTHERS</v>
          </cell>
          <cell r="BE2528" t="str">
            <v>Jul</v>
          </cell>
        </row>
        <row r="2529">
          <cell r="C2529" t="str">
            <v>Tamaka (Banpu)</v>
          </cell>
          <cell r="R2529">
            <v>0</v>
          </cell>
          <cell r="AZ2529">
            <v>0</v>
          </cell>
          <cell r="BA2529">
            <v>0</v>
          </cell>
          <cell r="BC2529" t="str">
            <v>OTHERS</v>
          </cell>
          <cell r="BE2529" t="str">
            <v>Aug</v>
          </cell>
        </row>
        <row r="2530">
          <cell r="C2530" t="str">
            <v>Tamaka (Banpu)</v>
          </cell>
          <cell r="R2530">
            <v>0</v>
          </cell>
          <cell r="AZ2530">
            <v>0</v>
          </cell>
          <cell r="BA2530">
            <v>0</v>
          </cell>
          <cell r="BC2530" t="str">
            <v>OTHERS</v>
          </cell>
          <cell r="BE2530" t="str">
            <v>Sep</v>
          </cell>
        </row>
        <row r="2531">
          <cell r="C2531" t="str">
            <v>Tamaka (Banpu)</v>
          </cell>
          <cell r="R2531">
            <v>0</v>
          </cell>
          <cell r="AZ2531">
            <v>0</v>
          </cell>
          <cell r="BA2531">
            <v>0</v>
          </cell>
          <cell r="BC2531" t="str">
            <v>OTHERS</v>
          </cell>
          <cell r="BE2531" t="str">
            <v>Oct</v>
          </cell>
        </row>
        <row r="2532">
          <cell r="C2532" t="str">
            <v>Tamaka (Banpu)</v>
          </cell>
          <cell r="R2532">
            <v>0</v>
          </cell>
          <cell r="AZ2532">
            <v>0</v>
          </cell>
          <cell r="BA2532">
            <v>0</v>
          </cell>
          <cell r="BC2532" t="str">
            <v>OTHERS</v>
          </cell>
          <cell r="BE2532" t="str">
            <v>Nov</v>
          </cell>
        </row>
        <row r="2533">
          <cell r="C2533" t="str">
            <v>Tamaka (Banpu)</v>
          </cell>
          <cell r="R2533">
            <v>0</v>
          </cell>
          <cell r="AZ2533">
            <v>0</v>
          </cell>
          <cell r="BA2533">
            <v>0</v>
          </cell>
          <cell r="BC2533" t="str">
            <v>OTHERS</v>
          </cell>
          <cell r="BE2533" t="str">
            <v>Dec</v>
          </cell>
        </row>
        <row r="2534">
          <cell r="C2534" t="str">
            <v>Tamaka (Banpu)</v>
          </cell>
          <cell r="R2534">
            <v>0</v>
          </cell>
          <cell r="AZ2534">
            <v>0</v>
          </cell>
          <cell r="BA2534">
            <v>0</v>
          </cell>
          <cell r="BC2534" t="str">
            <v>OTHERS</v>
          </cell>
          <cell r="BE2534" t="str">
            <v>Jan</v>
          </cell>
        </row>
        <row r="2535">
          <cell r="C2535" t="str">
            <v>Tamaka (Banpu)</v>
          </cell>
          <cell r="R2535">
            <v>0</v>
          </cell>
          <cell r="AZ2535">
            <v>0</v>
          </cell>
          <cell r="BA2535">
            <v>0</v>
          </cell>
          <cell r="BC2535" t="str">
            <v>OTHERS</v>
          </cell>
          <cell r="BE2535" t="str">
            <v>Feb</v>
          </cell>
        </row>
        <row r="2536">
          <cell r="C2536" t="str">
            <v>Tamaka (Banpu)</v>
          </cell>
          <cell r="R2536">
            <v>0</v>
          </cell>
          <cell r="AZ2536">
            <v>0</v>
          </cell>
          <cell r="BA2536">
            <v>0</v>
          </cell>
          <cell r="BC2536" t="str">
            <v>OTHERS</v>
          </cell>
          <cell r="BE2536" t="str">
            <v>Mar</v>
          </cell>
        </row>
        <row r="2537">
          <cell r="C2537" t="str">
            <v>Tamaka (Banpu)</v>
          </cell>
          <cell r="R2537">
            <v>0</v>
          </cell>
          <cell r="AZ2537">
            <v>0</v>
          </cell>
          <cell r="BA2537">
            <v>0</v>
          </cell>
          <cell r="BC2537" t="str">
            <v>OTHERS</v>
          </cell>
          <cell r="BE2537" t="str">
            <v>Apr</v>
          </cell>
        </row>
        <row r="2538">
          <cell r="C2538" t="str">
            <v>Tamaka (Banpu)</v>
          </cell>
          <cell r="R2538">
            <v>0</v>
          </cell>
          <cell r="AZ2538">
            <v>0</v>
          </cell>
          <cell r="BA2538">
            <v>0</v>
          </cell>
          <cell r="BC2538" t="str">
            <v>OTHERS</v>
          </cell>
          <cell r="BE2538" t="str">
            <v>May</v>
          </cell>
        </row>
        <row r="2539">
          <cell r="C2539" t="str">
            <v>Tamaka (Banpu)</v>
          </cell>
          <cell r="R2539">
            <v>0</v>
          </cell>
          <cell r="AZ2539">
            <v>0</v>
          </cell>
          <cell r="BA2539">
            <v>0</v>
          </cell>
          <cell r="BC2539" t="str">
            <v>OTHERS</v>
          </cell>
          <cell r="BE2539" t="str">
            <v>Jun</v>
          </cell>
        </row>
        <row r="2540">
          <cell r="C2540" t="str">
            <v>Tamaka (Banpu)</v>
          </cell>
          <cell r="R2540">
            <v>55000</v>
          </cell>
          <cell r="AZ2540">
            <v>-27500</v>
          </cell>
          <cell r="BA2540">
            <v>-61991.52542372881</v>
          </cell>
          <cell r="BC2540" t="str">
            <v>OTHERS</v>
          </cell>
          <cell r="BE2540" t="str">
            <v>Jul</v>
          </cell>
        </row>
        <row r="2541">
          <cell r="C2541" t="str">
            <v>Tamaka (Banpu)</v>
          </cell>
          <cell r="R2541">
            <v>0</v>
          </cell>
          <cell r="AZ2541">
            <v>0</v>
          </cell>
          <cell r="BA2541">
            <v>0</v>
          </cell>
          <cell r="BC2541" t="str">
            <v>OTHERS</v>
          </cell>
          <cell r="BE2541" t="str">
            <v>Aug</v>
          </cell>
        </row>
        <row r="2542">
          <cell r="C2542" t="str">
            <v>Tamaka (Banpu)</v>
          </cell>
          <cell r="R2542">
            <v>0</v>
          </cell>
          <cell r="AZ2542">
            <v>0</v>
          </cell>
          <cell r="BA2542">
            <v>0</v>
          </cell>
          <cell r="BC2542" t="str">
            <v>OTHERS</v>
          </cell>
          <cell r="BE2542" t="str">
            <v>Sep</v>
          </cell>
        </row>
        <row r="2543">
          <cell r="C2543" t="str">
            <v>Tamaka (Banpu)</v>
          </cell>
          <cell r="R2543">
            <v>55000</v>
          </cell>
          <cell r="AZ2543">
            <v>-27500</v>
          </cell>
          <cell r="BA2543">
            <v>-61991.52542372881</v>
          </cell>
          <cell r="BC2543" t="str">
            <v>OTHERS</v>
          </cell>
          <cell r="BE2543" t="str">
            <v>Oct</v>
          </cell>
        </row>
        <row r="2544">
          <cell r="C2544" t="str">
            <v>Tamaka (Banpu)</v>
          </cell>
          <cell r="R2544">
            <v>0</v>
          </cell>
          <cell r="AZ2544">
            <v>0</v>
          </cell>
          <cell r="BA2544">
            <v>0</v>
          </cell>
          <cell r="BC2544" t="str">
            <v>OTHERS</v>
          </cell>
          <cell r="BE2544" t="str">
            <v>Nov</v>
          </cell>
        </row>
        <row r="2545">
          <cell r="C2545" t="str">
            <v>Tamaka (Banpu)</v>
          </cell>
          <cell r="R2545">
            <v>0</v>
          </cell>
          <cell r="AZ2545">
            <v>0</v>
          </cell>
          <cell r="BA2545">
            <v>0</v>
          </cell>
          <cell r="BC2545" t="str">
            <v>OTHERS</v>
          </cell>
          <cell r="BE2545" t="str">
            <v>Dec</v>
          </cell>
        </row>
        <row r="2546">
          <cell r="C2546" t="str">
            <v>SCC (CMMC)</v>
          </cell>
          <cell r="R2546">
            <v>47500</v>
          </cell>
          <cell r="AZ2546">
            <v>-23750</v>
          </cell>
          <cell r="BA2546">
            <v>-52230.678810511832</v>
          </cell>
          <cell r="BC2546" t="str">
            <v>OTHERS</v>
          </cell>
          <cell r="BE2546" t="str">
            <v>Jan</v>
          </cell>
        </row>
        <row r="2547">
          <cell r="C2547" t="str">
            <v>SCC (CMMC)</v>
          </cell>
          <cell r="R2547">
            <v>47500</v>
          </cell>
          <cell r="AZ2547">
            <v>-23750</v>
          </cell>
          <cell r="BA2547">
            <v>-52230.678810511832</v>
          </cell>
          <cell r="BC2547" t="str">
            <v>OTHERS</v>
          </cell>
          <cell r="BE2547" t="str">
            <v>Feb</v>
          </cell>
        </row>
        <row r="2548">
          <cell r="C2548" t="str">
            <v>SCC (CMMC)</v>
          </cell>
          <cell r="R2548">
            <v>0</v>
          </cell>
          <cell r="AZ2548">
            <v>0</v>
          </cell>
          <cell r="BA2548">
            <v>0</v>
          </cell>
          <cell r="BC2548" t="str">
            <v>OTHERS</v>
          </cell>
          <cell r="BE2548" t="str">
            <v>Mar</v>
          </cell>
        </row>
        <row r="2549">
          <cell r="C2549" t="str">
            <v>SCC (CMMC)</v>
          </cell>
          <cell r="R2549">
            <v>47500</v>
          </cell>
          <cell r="AZ2549">
            <v>-23750</v>
          </cell>
          <cell r="BA2549">
            <v>-52230.678810511832</v>
          </cell>
          <cell r="BC2549" t="str">
            <v>OTHERS</v>
          </cell>
          <cell r="BE2549" t="str">
            <v>Apr</v>
          </cell>
        </row>
        <row r="2550">
          <cell r="C2550" t="str">
            <v>SCC (CMMC)</v>
          </cell>
          <cell r="R2550">
            <v>47500</v>
          </cell>
          <cell r="AZ2550">
            <v>-23750</v>
          </cell>
          <cell r="BA2550">
            <v>-52230.678810511832</v>
          </cell>
          <cell r="BC2550" t="str">
            <v>OTHERS</v>
          </cell>
          <cell r="BE2550" t="str">
            <v>May</v>
          </cell>
        </row>
        <row r="2551">
          <cell r="C2551" t="str">
            <v>SCC (CMMC)</v>
          </cell>
          <cell r="R2551">
            <v>47500</v>
          </cell>
          <cell r="AZ2551">
            <v>-23750</v>
          </cell>
          <cell r="BA2551">
            <v>-52230.678810511832</v>
          </cell>
          <cell r="BC2551" t="str">
            <v>OTHERS</v>
          </cell>
          <cell r="BE2551" t="str">
            <v>Jun</v>
          </cell>
        </row>
        <row r="2552">
          <cell r="C2552" t="str">
            <v>SCC (CMMC)</v>
          </cell>
          <cell r="R2552">
            <v>0</v>
          </cell>
          <cell r="AZ2552">
            <v>0</v>
          </cell>
          <cell r="BA2552">
            <v>0</v>
          </cell>
          <cell r="BC2552" t="str">
            <v>OTHERS</v>
          </cell>
          <cell r="BE2552" t="str">
            <v>Jul</v>
          </cell>
        </row>
        <row r="2553">
          <cell r="C2553" t="str">
            <v>SCC (CMMC)</v>
          </cell>
          <cell r="R2553">
            <v>47500</v>
          </cell>
          <cell r="AZ2553">
            <v>-23750</v>
          </cell>
          <cell r="BA2553">
            <v>-52230.678810511832</v>
          </cell>
          <cell r="BC2553" t="str">
            <v>OTHERS</v>
          </cell>
          <cell r="BE2553" t="str">
            <v>Aug</v>
          </cell>
        </row>
        <row r="2554">
          <cell r="C2554" t="str">
            <v>SCC (CMMC)</v>
          </cell>
          <cell r="R2554">
            <v>0</v>
          </cell>
          <cell r="AZ2554">
            <v>0</v>
          </cell>
          <cell r="BA2554">
            <v>0</v>
          </cell>
          <cell r="BC2554" t="str">
            <v>OTHERS</v>
          </cell>
          <cell r="BE2554" t="str">
            <v>Sep</v>
          </cell>
        </row>
        <row r="2555">
          <cell r="C2555" t="str">
            <v>SCC (CMMC)</v>
          </cell>
          <cell r="R2555">
            <v>0</v>
          </cell>
          <cell r="AZ2555">
            <v>0</v>
          </cell>
          <cell r="BA2555">
            <v>0</v>
          </cell>
          <cell r="BC2555" t="str">
            <v>OTHERS</v>
          </cell>
          <cell r="BE2555" t="str">
            <v>Oct</v>
          </cell>
        </row>
        <row r="2556">
          <cell r="C2556" t="str">
            <v>SCC (CMMC)</v>
          </cell>
          <cell r="R2556">
            <v>0</v>
          </cell>
          <cell r="AZ2556">
            <v>0</v>
          </cell>
          <cell r="BA2556">
            <v>0</v>
          </cell>
          <cell r="BC2556" t="str">
            <v>OTHERS</v>
          </cell>
          <cell r="BE2556" t="str">
            <v>Nov</v>
          </cell>
        </row>
        <row r="2557">
          <cell r="C2557" t="str">
            <v>SCC (CMMC)</v>
          </cell>
          <cell r="R2557">
            <v>0</v>
          </cell>
          <cell r="AZ2557">
            <v>0</v>
          </cell>
          <cell r="BA2557">
            <v>0</v>
          </cell>
          <cell r="BC2557" t="str">
            <v>OTHERS</v>
          </cell>
          <cell r="BE2557" t="str">
            <v>Dec</v>
          </cell>
        </row>
        <row r="2558">
          <cell r="C2558" t="str">
            <v>SCC</v>
          </cell>
          <cell r="R2558">
            <v>47500</v>
          </cell>
          <cell r="AZ2558">
            <v>0</v>
          </cell>
          <cell r="BA2558">
            <v>0</v>
          </cell>
          <cell r="BC2558" t="str">
            <v>BANPU</v>
          </cell>
          <cell r="BE2558" t="str">
            <v>Jan</v>
          </cell>
        </row>
        <row r="2559">
          <cell r="C2559" t="str">
            <v>SCC</v>
          </cell>
          <cell r="R2559">
            <v>47500</v>
          </cell>
          <cell r="AZ2559">
            <v>0</v>
          </cell>
          <cell r="BA2559">
            <v>0</v>
          </cell>
          <cell r="BC2559" t="str">
            <v>BANPU</v>
          </cell>
          <cell r="BE2559" t="str">
            <v>Feb</v>
          </cell>
        </row>
        <row r="2560">
          <cell r="C2560" t="str">
            <v>SCC</v>
          </cell>
          <cell r="R2560">
            <v>0</v>
          </cell>
          <cell r="AZ2560">
            <v>0</v>
          </cell>
          <cell r="BA2560">
            <v>0</v>
          </cell>
          <cell r="BC2560" t="str">
            <v>BANPU</v>
          </cell>
          <cell r="BE2560" t="str">
            <v>Mar</v>
          </cell>
        </row>
        <row r="2561">
          <cell r="C2561" t="str">
            <v>SCC</v>
          </cell>
          <cell r="R2561">
            <v>47500</v>
          </cell>
          <cell r="AZ2561">
            <v>0</v>
          </cell>
          <cell r="BA2561">
            <v>0</v>
          </cell>
          <cell r="BC2561" t="str">
            <v>BANPU</v>
          </cell>
          <cell r="BE2561" t="str">
            <v>Apr</v>
          </cell>
        </row>
        <row r="2562">
          <cell r="C2562" t="str">
            <v>SCC</v>
          </cell>
          <cell r="R2562">
            <v>47500</v>
          </cell>
          <cell r="AZ2562">
            <v>0</v>
          </cell>
          <cell r="BA2562">
            <v>0</v>
          </cell>
          <cell r="BC2562" t="str">
            <v>BANPU</v>
          </cell>
          <cell r="BE2562" t="str">
            <v>May</v>
          </cell>
        </row>
        <row r="2563">
          <cell r="C2563" t="str">
            <v>SCC</v>
          </cell>
          <cell r="R2563">
            <v>47500</v>
          </cell>
          <cell r="AZ2563">
            <v>0</v>
          </cell>
          <cell r="BA2563">
            <v>0</v>
          </cell>
          <cell r="BC2563" t="str">
            <v>BANPU</v>
          </cell>
          <cell r="BE2563" t="str">
            <v>Jun</v>
          </cell>
        </row>
        <row r="2564">
          <cell r="C2564" t="str">
            <v>SCC</v>
          </cell>
          <cell r="R2564">
            <v>0</v>
          </cell>
          <cell r="AZ2564">
            <v>0</v>
          </cell>
          <cell r="BA2564">
            <v>0</v>
          </cell>
          <cell r="BC2564" t="str">
            <v>BANPU</v>
          </cell>
          <cell r="BE2564" t="str">
            <v>Jul</v>
          </cell>
        </row>
        <row r="2565">
          <cell r="C2565" t="str">
            <v>SCC</v>
          </cell>
          <cell r="R2565">
            <v>47500</v>
          </cell>
          <cell r="AZ2565">
            <v>0</v>
          </cell>
          <cell r="BA2565">
            <v>0</v>
          </cell>
          <cell r="BC2565" t="str">
            <v>BANPU</v>
          </cell>
          <cell r="BE2565" t="str">
            <v>Aug</v>
          </cell>
        </row>
        <row r="2566">
          <cell r="C2566" t="str">
            <v>SCC</v>
          </cell>
          <cell r="R2566">
            <v>0</v>
          </cell>
          <cell r="AZ2566">
            <v>0</v>
          </cell>
          <cell r="BA2566">
            <v>0</v>
          </cell>
          <cell r="BC2566" t="str">
            <v>BANPU</v>
          </cell>
          <cell r="BE2566" t="str">
            <v>Sep</v>
          </cell>
        </row>
        <row r="2567">
          <cell r="C2567" t="str">
            <v>SCC</v>
          </cell>
          <cell r="R2567">
            <v>0</v>
          </cell>
          <cell r="AZ2567">
            <v>0</v>
          </cell>
          <cell r="BA2567">
            <v>0</v>
          </cell>
          <cell r="BC2567" t="str">
            <v>BANPU</v>
          </cell>
          <cell r="BE2567" t="str">
            <v>Oct</v>
          </cell>
        </row>
        <row r="2568">
          <cell r="C2568" t="str">
            <v>SCC</v>
          </cell>
          <cell r="R2568">
            <v>0</v>
          </cell>
          <cell r="AZ2568">
            <v>0</v>
          </cell>
          <cell r="BA2568">
            <v>0</v>
          </cell>
          <cell r="BC2568" t="str">
            <v>BANPU</v>
          </cell>
          <cell r="BE2568" t="str">
            <v>Nov</v>
          </cell>
        </row>
        <row r="2569">
          <cell r="C2569" t="str">
            <v>SCC</v>
          </cell>
          <cell r="R2569">
            <v>0</v>
          </cell>
          <cell r="AZ2569">
            <v>0</v>
          </cell>
          <cell r="BA2569">
            <v>0</v>
          </cell>
          <cell r="BC2569" t="str">
            <v>BANPU</v>
          </cell>
          <cell r="BE2569" t="str">
            <v>Dec</v>
          </cell>
        </row>
        <row r="2570">
          <cell r="C2570" t="str">
            <v>SCC (CMMC)</v>
          </cell>
          <cell r="R2570">
            <v>2500.0000000000023</v>
          </cell>
          <cell r="AZ2570">
            <v>-1250.0000000000011</v>
          </cell>
          <cell r="BA2570">
            <v>-2947.405935250888</v>
          </cell>
          <cell r="BC2570" t="str">
            <v>OTHERS</v>
          </cell>
          <cell r="BE2570" t="str">
            <v>Jan</v>
          </cell>
        </row>
        <row r="2571">
          <cell r="C2571" t="str">
            <v>SCC (CMMC)</v>
          </cell>
          <cell r="R2571">
            <v>2500.0000000000023</v>
          </cell>
          <cell r="AZ2571">
            <v>-1250.0000000000011</v>
          </cell>
          <cell r="BA2571">
            <v>-2947.405935250888</v>
          </cell>
          <cell r="BC2571" t="str">
            <v>OTHERS</v>
          </cell>
          <cell r="BE2571" t="str">
            <v>Feb</v>
          </cell>
        </row>
        <row r="2572">
          <cell r="C2572" t="str">
            <v>SCC (CMMC)</v>
          </cell>
          <cell r="R2572">
            <v>0</v>
          </cell>
          <cell r="AZ2572">
            <v>0</v>
          </cell>
          <cell r="BA2572">
            <v>0</v>
          </cell>
          <cell r="BC2572" t="str">
            <v>OTHERS</v>
          </cell>
          <cell r="BE2572" t="str">
            <v>Mar</v>
          </cell>
        </row>
        <row r="2573">
          <cell r="C2573" t="str">
            <v>SCC (CMMC)</v>
          </cell>
          <cell r="R2573">
            <v>2500.0000000000023</v>
          </cell>
          <cell r="AZ2573">
            <v>-1250.0000000000011</v>
          </cell>
          <cell r="BA2573">
            <v>-2947.405935250888</v>
          </cell>
          <cell r="BC2573" t="str">
            <v>OTHERS</v>
          </cell>
          <cell r="BE2573" t="str">
            <v>Apr</v>
          </cell>
        </row>
        <row r="2574">
          <cell r="C2574" t="str">
            <v>SCC (CMMC)</v>
          </cell>
          <cell r="R2574">
            <v>2500.0000000000023</v>
          </cell>
          <cell r="AZ2574">
            <v>-1250.0000000000011</v>
          </cell>
          <cell r="BA2574">
            <v>-2947.405935250888</v>
          </cell>
          <cell r="BC2574" t="str">
            <v>OTHERS</v>
          </cell>
          <cell r="BE2574" t="str">
            <v>May</v>
          </cell>
        </row>
        <row r="2575">
          <cell r="C2575" t="str">
            <v>SCC (CMMC)</v>
          </cell>
          <cell r="R2575">
            <v>2500.0000000000023</v>
          </cell>
          <cell r="AZ2575">
            <v>-1250.0000000000011</v>
          </cell>
          <cell r="BA2575">
            <v>-2947.405935250888</v>
          </cell>
          <cell r="BC2575" t="str">
            <v>OTHERS</v>
          </cell>
          <cell r="BE2575" t="str">
            <v>Jun</v>
          </cell>
        </row>
        <row r="2576">
          <cell r="C2576" t="str">
            <v>SCC (CMMC)</v>
          </cell>
          <cell r="R2576">
            <v>0</v>
          </cell>
          <cell r="AZ2576">
            <v>0</v>
          </cell>
          <cell r="BA2576">
            <v>0</v>
          </cell>
          <cell r="BC2576" t="str">
            <v>OTHERS</v>
          </cell>
          <cell r="BE2576" t="str">
            <v>Jul</v>
          </cell>
        </row>
        <row r="2577">
          <cell r="C2577" t="str">
            <v>SCC (CMMC)</v>
          </cell>
          <cell r="R2577">
            <v>2500.0000000000023</v>
          </cell>
          <cell r="AZ2577">
            <v>-1250.0000000000011</v>
          </cell>
          <cell r="BA2577">
            <v>-2947.405935250888</v>
          </cell>
          <cell r="BC2577" t="str">
            <v>OTHERS</v>
          </cell>
          <cell r="BE2577" t="str">
            <v>Aug</v>
          </cell>
        </row>
        <row r="2578">
          <cell r="C2578" t="str">
            <v>SCC (CMMC)</v>
          </cell>
          <cell r="R2578">
            <v>0</v>
          </cell>
          <cell r="AZ2578">
            <v>0</v>
          </cell>
          <cell r="BA2578">
            <v>0</v>
          </cell>
          <cell r="BC2578" t="str">
            <v>OTHERS</v>
          </cell>
          <cell r="BE2578" t="str">
            <v>Sep</v>
          </cell>
        </row>
        <row r="2579">
          <cell r="C2579" t="str">
            <v>SCC (CMMC)</v>
          </cell>
          <cell r="R2579">
            <v>0</v>
          </cell>
          <cell r="AZ2579">
            <v>0</v>
          </cell>
          <cell r="BA2579">
            <v>0</v>
          </cell>
          <cell r="BC2579" t="str">
            <v>OTHERS</v>
          </cell>
          <cell r="BE2579" t="str">
            <v>Oct</v>
          </cell>
        </row>
        <row r="2580">
          <cell r="C2580" t="str">
            <v>SCC (CMMC)</v>
          </cell>
          <cell r="R2580">
            <v>0</v>
          </cell>
          <cell r="AZ2580">
            <v>0</v>
          </cell>
          <cell r="BA2580">
            <v>0</v>
          </cell>
          <cell r="BC2580" t="str">
            <v>OTHERS</v>
          </cell>
          <cell r="BE2580" t="str">
            <v>Nov</v>
          </cell>
        </row>
        <row r="2581">
          <cell r="C2581" t="str">
            <v>SCC (CMMC)</v>
          </cell>
          <cell r="R2581">
            <v>0</v>
          </cell>
          <cell r="AZ2581">
            <v>0</v>
          </cell>
          <cell r="BA2581">
            <v>0</v>
          </cell>
          <cell r="BC2581" t="str">
            <v>OTHERS</v>
          </cell>
          <cell r="BE2581" t="str">
            <v>Dec</v>
          </cell>
        </row>
        <row r="2582">
          <cell r="C2582" t="str">
            <v>SCC</v>
          </cell>
          <cell r="R2582">
            <v>2500.0000000000023</v>
          </cell>
          <cell r="AZ2582">
            <v>0</v>
          </cell>
          <cell r="BA2582">
            <v>0</v>
          </cell>
          <cell r="BC2582" t="str">
            <v>BANPU</v>
          </cell>
          <cell r="BE2582" t="str">
            <v>Jan</v>
          </cell>
        </row>
        <row r="2583">
          <cell r="C2583" t="str">
            <v>SCC</v>
          </cell>
          <cell r="R2583">
            <v>2500.0000000000023</v>
          </cell>
          <cell r="AZ2583">
            <v>0</v>
          </cell>
          <cell r="BA2583">
            <v>0</v>
          </cell>
          <cell r="BC2583" t="str">
            <v>BANPU</v>
          </cell>
          <cell r="BE2583" t="str">
            <v>Feb</v>
          </cell>
        </row>
        <row r="2584">
          <cell r="C2584" t="str">
            <v>SCC</v>
          </cell>
          <cell r="R2584">
            <v>0</v>
          </cell>
          <cell r="AZ2584">
            <v>0</v>
          </cell>
          <cell r="BA2584">
            <v>0</v>
          </cell>
          <cell r="BC2584" t="str">
            <v>BANPU</v>
          </cell>
          <cell r="BE2584" t="str">
            <v>Mar</v>
          </cell>
        </row>
        <row r="2585">
          <cell r="C2585" t="str">
            <v>SCC</v>
          </cell>
          <cell r="R2585">
            <v>2500.0000000000023</v>
          </cell>
          <cell r="AZ2585">
            <v>0</v>
          </cell>
          <cell r="BA2585">
            <v>0</v>
          </cell>
          <cell r="BC2585" t="str">
            <v>BANPU</v>
          </cell>
          <cell r="BE2585" t="str">
            <v>Apr</v>
          </cell>
        </row>
        <row r="2586">
          <cell r="C2586" t="str">
            <v>SCC</v>
          </cell>
          <cell r="R2586">
            <v>2500.0000000000023</v>
          </cell>
          <cell r="AZ2586">
            <v>0</v>
          </cell>
          <cell r="BA2586">
            <v>0</v>
          </cell>
          <cell r="BC2586" t="str">
            <v>BANPU</v>
          </cell>
          <cell r="BE2586" t="str">
            <v>May</v>
          </cell>
        </row>
        <row r="2587">
          <cell r="C2587" t="str">
            <v>SCC</v>
          </cell>
          <cell r="R2587">
            <v>2500.0000000000023</v>
          </cell>
          <cell r="AZ2587">
            <v>0</v>
          </cell>
          <cell r="BA2587">
            <v>0</v>
          </cell>
          <cell r="BC2587" t="str">
            <v>BANPU</v>
          </cell>
          <cell r="BE2587" t="str">
            <v>Jun</v>
          </cell>
        </row>
        <row r="2588">
          <cell r="C2588" t="str">
            <v>SCC</v>
          </cell>
          <cell r="R2588">
            <v>0</v>
          </cell>
          <cell r="AZ2588">
            <v>0</v>
          </cell>
          <cell r="BA2588">
            <v>0</v>
          </cell>
          <cell r="BC2588" t="str">
            <v>BANPU</v>
          </cell>
          <cell r="BE2588" t="str">
            <v>Jul</v>
          </cell>
        </row>
        <row r="2589">
          <cell r="C2589" t="str">
            <v>SCC</v>
          </cell>
          <cell r="R2589">
            <v>2500.0000000000023</v>
          </cell>
          <cell r="AZ2589">
            <v>0</v>
          </cell>
          <cell r="BA2589">
            <v>0</v>
          </cell>
          <cell r="BC2589" t="str">
            <v>BANPU</v>
          </cell>
          <cell r="BE2589" t="str">
            <v>Aug</v>
          </cell>
        </row>
        <row r="2590">
          <cell r="C2590" t="str">
            <v>SCC</v>
          </cell>
          <cell r="R2590">
            <v>0</v>
          </cell>
          <cell r="AZ2590">
            <v>0</v>
          </cell>
          <cell r="BA2590">
            <v>0</v>
          </cell>
          <cell r="BC2590" t="str">
            <v>BANPU</v>
          </cell>
          <cell r="BE2590" t="str">
            <v>Sep</v>
          </cell>
        </row>
        <row r="2591">
          <cell r="C2591" t="str">
            <v>SCC</v>
          </cell>
          <cell r="R2591">
            <v>0</v>
          </cell>
          <cell r="AZ2591">
            <v>0</v>
          </cell>
          <cell r="BA2591">
            <v>0</v>
          </cell>
          <cell r="BC2591" t="str">
            <v>BANPU</v>
          </cell>
          <cell r="BE2591" t="str">
            <v>Oct</v>
          </cell>
        </row>
        <row r="2592">
          <cell r="C2592" t="str">
            <v>SCC</v>
          </cell>
          <cell r="R2592">
            <v>0</v>
          </cell>
          <cell r="AZ2592">
            <v>0</v>
          </cell>
          <cell r="BA2592">
            <v>0</v>
          </cell>
          <cell r="BC2592" t="str">
            <v>BANPU</v>
          </cell>
          <cell r="BE2592" t="str">
            <v>Nov</v>
          </cell>
        </row>
        <row r="2593">
          <cell r="C2593" t="str">
            <v>SCC</v>
          </cell>
          <cell r="R2593">
            <v>0</v>
          </cell>
          <cell r="AZ2593">
            <v>0</v>
          </cell>
          <cell r="BA2593">
            <v>0</v>
          </cell>
          <cell r="BC2593" t="str">
            <v>BANPU</v>
          </cell>
          <cell r="BE2593" t="str">
            <v>Dec</v>
          </cell>
        </row>
        <row r="2594">
          <cell r="C2594" t="str">
            <v>SCC (CMMC)</v>
          </cell>
          <cell r="R2594">
            <v>0</v>
          </cell>
          <cell r="AZ2594">
            <v>0</v>
          </cell>
          <cell r="BA2594">
            <v>0</v>
          </cell>
          <cell r="BC2594" t="str">
            <v>OTHERS</v>
          </cell>
          <cell r="BE2594" t="str">
            <v>Jan</v>
          </cell>
        </row>
        <row r="2595">
          <cell r="C2595" t="str">
            <v>SCC (CMMC)</v>
          </cell>
          <cell r="R2595">
            <v>0</v>
          </cell>
          <cell r="AZ2595">
            <v>0</v>
          </cell>
          <cell r="BA2595">
            <v>0</v>
          </cell>
          <cell r="BC2595" t="str">
            <v>OTHERS</v>
          </cell>
          <cell r="BE2595" t="str">
            <v>Feb</v>
          </cell>
        </row>
        <row r="2596">
          <cell r="C2596" t="str">
            <v>SCC (CMMC)</v>
          </cell>
          <cell r="R2596">
            <v>0</v>
          </cell>
          <cell r="AZ2596">
            <v>0</v>
          </cell>
          <cell r="BA2596">
            <v>0</v>
          </cell>
          <cell r="BC2596" t="str">
            <v>OTHERS</v>
          </cell>
          <cell r="BE2596" t="str">
            <v>Mar</v>
          </cell>
        </row>
        <row r="2597">
          <cell r="C2597" t="str">
            <v>SCC (CMMC)</v>
          </cell>
          <cell r="R2597">
            <v>0</v>
          </cell>
          <cell r="AZ2597">
            <v>0</v>
          </cell>
          <cell r="BA2597">
            <v>0</v>
          </cell>
          <cell r="BC2597" t="str">
            <v>OTHERS</v>
          </cell>
          <cell r="BE2597" t="str">
            <v>Apr</v>
          </cell>
        </row>
        <row r="2598">
          <cell r="C2598" t="str">
            <v>SCC (CMMC)</v>
          </cell>
          <cell r="R2598">
            <v>0</v>
          </cell>
          <cell r="AZ2598">
            <v>0</v>
          </cell>
          <cell r="BA2598">
            <v>0</v>
          </cell>
          <cell r="BC2598" t="str">
            <v>OTHERS</v>
          </cell>
          <cell r="BE2598" t="str">
            <v>May</v>
          </cell>
        </row>
        <row r="2599">
          <cell r="C2599" t="str">
            <v>SCC (CMMC)</v>
          </cell>
          <cell r="R2599">
            <v>47500</v>
          </cell>
          <cell r="AZ2599">
            <v>-23750</v>
          </cell>
          <cell r="BA2599">
            <v>-52230.678810511832</v>
          </cell>
          <cell r="BC2599" t="str">
            <v>OTHERS</v>
          </cell>
          <cell r="BE2599" t="str">
            <v>Jun</v>
          </cell>
        </row>
        <row r="2600">
          <cell r="C2600" t="str">
            <v>SCC (CMMC)</v>
          </cell>
          <cell r="R2600">
            <v>0</v>
          </cell>
          <cell r="AZ2600">
            <v>0</v>
          </cell>
          <cell r="BA2600">
            <v>0</v>
          </cell>
          <cell r="BC2600" t="str">
            <v>OTHERS</v>
          </cell>
          <cell r="BE2600" t="str">
            <v>Jul</v>
          </cell>
        </row>
        <row r="2601">
          <cell r="C2601" t="str">
            <v>SCC (CMMC)</v>
          </cell>
          <cell r="R2601">
            <v>0</v>
          </cell>
          <cell r="AZ2601">
            <v>0</v>
          </cell>
          <cell r="BA2601">
            <v>0</v>
          </cell>
          <cell r="BC2601" t="str">
            <v>OTHERS</v>
          </cell>
          <cell r="BE2601" t="str">
            <v>Aug</v>
          </cell>
        </row>
        <row r="2602">
          <cell r="C2602" t="str">
            <v>SCC (CMMC)</v>
          </cell>
          <cell r="R2602">
            <v>0</v>
          </cell>
          <cell r="AZ2602">
            <v>0</v>
          </cell>
          <cell r="BA2602">
            <v>0</v>
          </cell>
          <cell r="BC2602" t="str">
            <v>OTHERS</v>
          </cell>
          <cell r="BE2602" t="str">
            <v>Sep</v>
          </cell>
        </row>
        <row r="2603">
          <cell r="C2603" t="str">
            <v>SCC (CMMC)</v>
          </cell>
          <cell r="R2603">
            <v>0</v>
          </cell>
          <cell r="AZ2603">
            <v>0</v>
          </cell>
          <cell r="BA2603">
            <v>0</v>
          </cell>
          <cell r="BC2603" t="str">
            <v>OTHERS</v>
          </cell>
          <cell r="BE2603" t="str">
            <v>Oct</v>
          </cell>
        </row>
        <row r="2604">
          <cell r="C2604" t="str">
            <v>SCC (CMMC)</v>
          </cell>
          <cell r="R2604">
            <v>0</v>
          </cell>
          <cell r="AZ2604">
            <v>0</v>
          </cell>
          <cell r="BA2604">
            <v>0</v>
          </cell>
          <cell r="BC2604" t="str">
            <v>OTHERS</v>
          </cell>
          <cell r="BE2604" t="str">
            <v>Nov</v>
          </cell>
        </row>
        <row r="2605">
          <cell r="C2605" t="str">
            <v>SCC (CMMC)</v>
          </cell>
          <cell r="R2605">
            <v>0</v>
          </cell>
          <cell r="AZ2605">
            <v>0</v>
          </cell>
          <cell r="BA2605">
            <v>0</v>
          </cell>
          <cell r="BC2605" t="str">
            <v>OTHERS</v>
          </cell>
          <cell r="BE2605" t="str">
            <v>Dec</v>
          </cell>
        </row>
        <row r="2606">
          <cell r="C2606" t="str">
            <v>SCC</v>
          </cell>
          <cell r="R2606">
            <v>0</v>
          </cell>
          <cell r="AZ2606">
            <v>0</v>
          </cell>
          <cell r="BA2606">
            <v>0</v>
          </cell>
          <cell r="BC2606" t="str">
            <v>BANPU</v>
          </cell>
          <cell r="BE2606" t="str">
            <v>Jan</v>
          </cell>
        </row>
        <row r="2607">
          <cell r="C2607" t="str">
            <v>SCC</v>
          </cell>
          <cell r="R2607">
            <v>0</v>
          </cell>
          <cell r="AZ2607">
            <v>0</v>
          </cell>
          <cell r="BA2607">
            <v>0</v>
          </cell>
          <cell r="BC2607" t="str">
            <v>BANPU</v>
          </cell>
          <cell r="BE2607" t="str">
            <v>Feb</v>
          </cell>
        </row>
        <row r="2608">
          <cell r="C2608" t="str">
            <v>SCC</v>
          </cell>
          <cell r="R2608">
            <v>0</v>
          </cell>
          <cell r="AZ2608">
            <v>0</v>
          </cell>
          <cell r="BA2608">
            <v>0</v>
          </cell>
          <cell r="BC2608" t="str">
            <v>BANPU</v>
          </cell>
          <cell r="BE2608" t="str">
            <v>Mar</v>
          </cell>
        </row>
        <row r="2609">
          <cell r="C2609" t="str">
            <v>SCC</v>
          </cell>
          <cell r="R2609">
            <v>0</v>
          </cell>
          <cell r="AZ2609">
            <v>0</v>
          </cell>
          <cell r="BA2609">
            <v>0</v>
          </cell>
          <cell r="BC2609" t="str">
            <v>BANPU</v>
          </cell>
          <cell r="BE2609" t="str">
            <v>Apr</v>
          </cell>
        </row>
        <row r="2610">
          <cell r="C2610" t="str">
            <v>SCC</v>
          </cell>
          <cell r="R2610">
            <v>0</v>
          </cell>
          <cell r="AZ2610">
            <v>0</v>
          </cell>
          <cell r="BA2610">
            <v>0</v>
          </cell>
          <cell r="BC2610" t="str">
            <v>BANPU</v>
          </cell>
          <cell r="BE2610" t="str">
            <v>May</v>
          </cell>
        </row>
        <row r="2611">
          <cell r="C2611" t="str">
            <v>SCC</v>
          </cell>
          <cell r="R2611">
            <v>47500</v>
          </cell>
          <cell r="AZ2611">
            <v>0</v>
          </cell>
          <cell r="BA2611">
            <v>0</v>
          </cell>
          <cell r="BC2611" t="str">
            <v>BANPU</v>
          </cell>
          <cell r="BE2611" t="str">
            <v>Jun</v>
          </cell>
        </row>
        <row r="2612">
          <cell r="C2612" t="str">
            <v>SCC</v>
          </cell>
          <cell r="R2612">
            <v>0</v>
          </cell>
          <cell r="AZ2612">
            <v>0</v>
          </cell>
          <cell r="BA2612">
            <v>0</v>
          </cell>
          <cell r="BC2612" t="str">
            <v>BANPU</v>
          </cell>
          <cell r="BE2612" t="str">
            <v>Jul</v>
          </cell>
        </row>
        <row r="2613">
          <cell r="C2613" t="str">
            <v>SCC</v>
          </cell>
          <cell r="R2613">
            <v>0</v>
          </cell>
          <cell r="AZ2613">
            <v>0</v>
          </cell>
          <cell r="BA2613">
            <v>0</v>
          </cell>
          <cell r="BC2613" t="str">
            <v>BANPU</v>
          </cell>
          <cell r="BE2613" t="str">
            <v>Aug</v>
          </cell>
        </row>
        <row r="2614">
          <cell r="C2614" t="str">
            <v>SCC</v>
          </cell>
          <cell r="R2614">
            <v>0</v>
          </cell>
          <cell r="AZ2614">
            <v>0</v>
          </cell>
          <cell r="BA2614">
            <v>0</v>
          </cell>
          <cell r="BC2614" t="str">
            <v>BANPU</v>
          </cell>
          <cell r="BE2614" t="str">
            <v>Sep</v>
          </cell>
        </row>
        <row r="2615">
          <cell r="C2615" t="str">
            <v>SCC</v>
          </cell>
          <cell r="R2615">
            <v>0</v>
          </cell>
          <cell r="AZ2615">
            <v>0</v>
          </cell>
          <cell r="BA2615">
            <v>0</v>
          </cell>
          <cell r="BC2615" t="str">
            <v>BANPU</v>
          </cell>
          <cell r="BE2615" t="str">
            <v>Oct</v>
          </cell>
        </row>
        <row r="2616">
          <cell r="C2616" t="str">
            <v>SCC</v>
          </cell>
          <cell r="R2616">
            <v>0</v>
          </cell>
          <cell r="AZ2616">
            <v>0</v>
          </cell>
          <cell r="BA2616">
            <v>0</v>
          </cell>
          <cell r="BC2616" t="str">
            <v>BANPU</v>
          </cell>
          <cell r="BE2616" t="str">
            <v>Nov</v>
          </cell>
        </row>
        <row r="2617">
          <cell r="C2617" t="str">
            <v>SCC</v>
          </cell>
          <cell r="R2617">
            <v>0</v>
          </cell>
          <cell r="AZ2617">
            <v>0</v>
          </cell>
          <cell r="BA2617">
            <v>0</v>
          </cell>
          <cell r="BC2617" t="str">
            <v>BANPU</v>
          </cell>
          <cell r="BE2617" t="str">
            <v>Dec</v>
          </cell>
        </row>
        <row r="2618">
          <cell r="C2618" t="str">
            <v>SCC (CMMC)</v>
          </cell>
          <cell r="R2618">
            <v>0</v>
          </cell>
          <cell r="AZ2618">
            <v>0</v>
          </cell>
          <cell r="BA2618">
            <v>0</v>
          </cell>
          <cell r="BC2618" t="str">
            <v>OTHERS</v>
          </cell>
          <cell r="BE2618" t="str">
            <v>Jan</v>
          </cell>
        </row>
        <row r="2619">
          <cell r="C2619" t="str">
            <v>SCC (CMMC)</v>
          </cell>
          <cell r="R2619">
            <v>0</v>
          </cell>
          <cell r="AZ2619">
            <v>0</v>
          </cell>
          <cell r="BA2619">
            <v>0</v>
          </cell>
          <cell r="BC2619" t="str">
            <v>OTHERS</v>
          </cell>
          <cell r="BE2619" t="str">
            <v>Feb</v>
          </cell>
        </row>
        <row r="2620">
          <cell r="C2620" t="str">
            <v>SCC (CMMC)</v>
          </cell>
          <cell r="R2620">
            <v>0</v>
          </cell>
          <cell r="AZ2620">
            <v>0</v>
          </cell>
          <cell r="BA2620">
            <v>0</v>
          </cell>
          <cell r="BC2620" t="str">
            <v>OTHERS</v>
          </cell>
          <cell r="BE2620" t="str">
            <v>Mar</v>
          </cell>
        </row>
        <row r="2621">
          <cell r="C2621" t="str">
            <v>SCC (CMMC)</v>
          </cell>
          <cell r="R2621">
            <v>0</v>
          </cell>
          <cell r="AZ2621">
            <v>0</v>
          </cell>
          <cell r="BA2621">
            <v>0</v>
          </cell>
          <cell r="BC2621" t="str">
            <v>OTHERS</v>
          </cell>
          <cell r="BE2621" t="str">
            <v>Apr</v>
          </cell>
        </row>
        <row r="2622">
          <cell r="C2622" t="str">
            <v>SCC (CMMC)</v>
          </cell>
          <cell r="R2622">
            <v>0</v>
          </cell>
          <cell r="AZ2622">
            <v>0</v>
          </cell>
          <cell r="BA2622">
            <v>0</v>
          </cell>
          <cell r="BC2622" t="str">
            <v>OTHERS</v>
          </cell>
          <cell r="BE2622" t="str">
            <v>May</v>
          </cell>
        </row>
        <row r="2623">
          <cell r="C2623" t="str">
            <v>SCC (CMMC)</v>
          </cell>
          <cell r="R2623">
            <v>2500.0000000000023</v>
          </cell>
          <cell r="AZ2623">
            <v>-1250.0000000000011</v>
          </cell>
          <cell r="BA2623">
            <v>-2947.405935250888</v>
          </cell>
          <cell r="BC2623" t="str">
            <v>OTHERS</v>
          </cell>
          <cell r="BE2623" t="str">
            <v>Jun</v>
          </cell>
        </row>
        <row r="2624">
          <cell r="C2624" t="str">
            <v>SCC (CMMC)</v>
          </cell>
          <cell r="R2624">
            <v>0</v>
          </cell>
          <cell r="AZ2624">
            <v>0</v>
          </cell>
          <cell r="BA2624">
            <v>0</v>
          </cell>
          <cell r="BC2624" t="str">
            <v>OTHERS</v>
          </cell>
          <cell r="BE2624" t="str">
            <v>Jul</v>
          </cell>
        </row>
        <row r="2625">
          <cell r="C2625" t="str">
            <v>SCC (CMMC)</v>
          </cell>
          <cell r="R2625">
            <v>0</v>
          </cell>
          <cell r="AZ2625">
            <v>0</v>
          </cell>
          <cell r="BA2625">
            <v>0</v>
          </cell>
          <cell r="BC2625" t="str">
            <v>OTHERS</v>
          </cell>
          <cell r="BE2625" t="str">
            <v>Aug</v>
          </cell>
        </row>
        <row r="2626">
          <cell r="C2626" t="str">
            <v>SCC (CMMC)</v>
          </cell>
          <cell r="R2626">
            <v>0</v>
          </cell>
          <cell r="AZ2626">
            <v>0</v>
          </cell>
          <cell r="BA2626">
            <v>0</v>
          </cell>
          <cell r="BC2626" t="str">
            <v>OTHERS</v>
          </cell>
          <cell r="BE2626" t="str">
            <v>Sep</v>
          </cell>
        </row>
        <row r="2627">
          <cell r="C2627" t="str">
            <v>SCC (CMMC)</v>
          </cell>
          <cell r="R2627">
            <v>0</v>
          </cell>
          <cell r="AZ2627">
            <v>0</v>
          </cell>
          <cell r="BA2627">
            <v>0</v>
          </cell>
          <cell r="BC2627" t="str">
            <v>OTHERS</v>
          </cell>
          <cell r="BE2627" t="str">
            <v>Oct</v>
          </cell>
        </row>
        <row r="2628">
          <cell r="C2628" t="str">
            <v>SCC (CMMC)</v>
          </cell>
          <cell r="R2628">
            <v>0</v>
          </cell>
          <cell r="AZ2628">
            <v>0</v>
          </cell>
          <cell r="BA2628">
            <v>0</v>
          </cell>
          <cell r="BC2628" t="str">
            <v>OTHERS</v>
          </cell>
          <cell r="BE2628" t="str">
            <v>Nov</v>
          </cell>
        </row>
        <row r="2629">
          <cell r="C2629" t="str">
            <v>SCC (CMMC)</v>
          </cell>
          <cell r="R2629">
            <v>0</v>
          </cell>
          <cell r="AZ2629">
            <v>0</v>
          </cell>
          <cell r="BA2629">
            <v>0</v>
          </cell>
          <cell r="BC2629" t="str">
            <v>OTHERS</v>
          </cell>
          <cell r="BE2629" t="str">
            <v>Dec</v>
          </cell>
        </row>
        <row r="2630">
          <cell r="C2630" t="str">
            <v>SCC</v>
          </cell>
          <cell r="R2630">
            <v>0</v>
          </cell>
          <cell r="AZ2630">
            <v>0</v>
          </cell>
          <cell r="BA2630">
            <v>0</v>
          </cell>
          <cell r="BC2630" t="str">
            <v>BANPU</v>
          </cell>
          <cell r="BE2630" t="str">
            <v>Jan</v>
          </cell>
        </row>
        <row r="2631">
          <cell r="C2631" t="str">
            <v>SCC</v>
          </cell>
          <cell r="R2631">
            <v>0</v>
          </cell>
          <cell r="AZ2631">
            <v>0</v>
          </cell>
          <cell r="BA2631">
            <v>0</v>
          </cell>
          <cell r="BC2631" t="str">
            <v>BANPU</v>
          </cell>
          <cell r="BE2631" t="str">
            <v>Feb</v>
          </cell>
        </row>
        <row r="2632">
          <cell r="C2632" t="str">
            <v>SCC</v>
          </cell>
          <cell r="R2632">
            <v>0</v>
          </cell>
          <cell r="AZ2632">
            <v>0</v>
          </cell>
          <cell r="BA2632">
            <v>0</v>
          </cell>
          <cell r="BC2632" t="str">
            <v>BANPU</v>
          </cell>
          <cell r="BE2632" t="str">
            <v>Mar</v>
          </cell>
        </row>
        <row r="2633">
          <cell r="C2633" t="str">
            <v>SCC</v>
          </cell>
          <cell r="R2633">
            <v>0</v>
          </cell>
          <cell r="AZ2633">
            <v>0</v>
          </cell>
          <cell r="BA2633">
            <v>0</v>
          </cell>
          <cell r="BC2633" t="str">
            <v>BANPU</v>
          </cell>
          <cell r="BE2633" t="str">
            <v>Apr</v>
          </cell>
        </row>
        <row r="2634">
          <cell r="C2634" t="str">
            <v>SCC</v>
          </cell>
          <cell r="R2634">
            <v>0</v>
          </cell>
          <cell r="AZ2634">
            <v>0</v>
          </cell>
          <cell r="BA2634">
            <v>0</v>
          </cell>
          <cell r="BC2634" t="str">
            <v>BANPU</v>
          </cell>
          <cell r="BE2634" t="str">
            <v>May</v>
          </cell>
        </row>
        <row r="2635">
          <cell r="C2635" t="str">
            <v>SCC</v>
          </cell>
          <cell r="R2635">
            <v>2500.0000000000023</v>
          </cell>
          <cell r="AZ2635">
            <v>0</v>
          </cell>
          <cell r="BA2635">
            <v>0</v>
          </cell>
          <cell r="BC2635" t="str">
            <v>BANPU</v>
          </cell>
          <cell r="BE2635" t="str">
            <v>Jun</v>
          </cell>
        </row>
        <row r="2636">
          <cell r="C2636" t="str">
            <v>SCC</v>
          </cell>
          <cell r="R2636">
            <v>0</v>
          </cell>
          <cell r="AZ2636">
            <v>0</v>
          </cell>
          <cell r="BA2636">
            <v>0</v>
          </cell>
          <cell r="BC2636" t="str">
            <v>BANPU</v>
          </cell>
          <cell r="BE2636" t="str">
            <v>Jul</v>
          </cell>
        </row>
        <row r="2637">
          <cell r="C2637" t="str">
            <v>SCC</v>
          </cell>
          <cell r="R2637">
            <v>0</v>
          </cell>
          <cell r="AZ2637">
            <v>0</v>
          </cell>
          <cell r="BA2637">
            <v>0</v>
          </cell>
          <cell r="BC2637" t="str">
            <v>BANPU</v>
          </cell>
          <cell r="BE2637" t="str">
            <v>Aug</v>
          </cell>
        </row>
        <row r="2638">
          <cell r="C2638" t="str">
            <v>SCC</v>
          </cell>
          <cell r="R2638">
            <v>0</v>
          </cell>
          <cell r="AZ2638">
            <v>0</v>
          </cell>
          <cell r="BA2638">
            <v>0</v>
          </cell>
          <cell r="BC2638" t="str">
            <v>BANPU</v>
          </cell>
          <cell r="BE2638" t="str">
            <v>Sep</v>
          </cell>
        </row>
        <row r="2639">
          <cell r="C2639" t="str">
            <v>SCC</v>
          </cell>
          <cell r="R2639">
            <v>0</v>
          </cell>
          <cell r="AZ2639">
            <v>0</v>
          </cell>
          <cell r="BA2639">
            <v>0</v>
          </cell>
          <cell r="BC2639" t="str">
            <v>BANPU</v>
          </cell>
          <cell r="BE2639" t="str">
            <v>Oct</v>
          </cell>
        </row>
        <row r="2640">
          <cell r="C2640" t="str">
            <v>SCC</v>
          </cell>
          <cell r="R2640">
            <v>0</v>
          </cell>
          <cell r="AZ2640">
            <v>0</v>
          </cell>
          <cell r="BA2640">
            <v>0</v>
          </cell>
          <cell r="BC2640" t="str">
            <v>BANPU</v>
          </cell>
          <cell r="BE2640" t="str">
            <v>Nov</v>
          </cell>
        </row>
        <row r="2641">
          <cell r="C2641" t="str">
            <v>SCC</v>
          </cell>
          <cell r="R2641">
            <v>0</v>
          </cell>
          <cell r="AZ2641">
            <v>0</v>
          </cell>
          <cell r="BA2641">
            <v>0</v>
          </cell>
          <cell r="BC2641" t="str">
            <v>BANPU</v>
          </cell>
          <cell r="BE2641" t="str">
            <v>Dec</v>
          </cell>
        </row>
        <row r="2642">
          <cell r="C2642" t="str">
            <v>SCC (CMMC)</v>
          </cell>
          <cell r="R2642">
            <v>0</v>
          </cell>
          <cell r="AZ2642">
            <v>0</v>
          </cell>
          <cell r="BA2642">
            <v>0</v>
          </cell>
          <cell r="BC2642" t="str">
            <v>OTHERS</v>
          </cell>
          <cell r="BE2642" t="str">
            <v>Jan</v>
          </cell>
        </row>
        <row r="2643">
          <cell r="C2643" t="str">
            <v>SCC (CMMC)</v>
          </cell>
          <cell r="R2643">
            <v>0</v>
          </cell>
          <cell r="AZ2643">
            <v>0</v>
          </cell>
          <cell r="BA2643">
            <v>0</v>
          </cell>
          <cell r="BC2643" t="str">
            <v>OTHERS</v>
          </cell>
          <cell r="BE2643" t="str">
            <v>Feb</v>
          </cell>
        </row>
        <row r="2644">
          <cell r="C2644" t="str">
            <v>SCC (CMMC)</v>
          </cell>
          <cell r="R2644">
            <v>0</v>
          </cell>
          <cell r="AZ2644">
            <v>0</v>
          </cell>
          <cell r="BA2644">
            <v>0</v>
          </cell>
          <cell r="BC2644" t="str">
            <v>OTHERS</v>
          </cell>
          <cell r="BE2644" t="str">
            <v>Mar</v>
          </cell>
        </row>
        <row r="2645">
          <cell r="C2645" t="str">
            <v>SCC (CMMC)</v>
          </cell>
          <cell r="R2645">
            <v>0</v>
          </cell>
          <cell r="AZ2645">
            <v>0</v>
          </cell>
          <cell r="BA2645">
            <v>0</v>
          </cell>
          <cell r="BC2645" t="str">
            <v>OTHERS</v>
          </cell>
          <cell r="BE2645" t="str">
            <v>Apr</v>
          </cell>
        </row>
        <row r="2646">
          <cell r="C2646" t="str">
            <v>SCC (CMMC)</v>
          </cell>
          <cell r="R2646">
            <v>0</v>
          </cell>
          <cell r="AZ2646">
            <v>0</v>
          </cell>
          <cell r="BA2646">
            <v>0</v>
          </cell>
          <cell r="BC2646" t="str">
            <v>OTHERS</v>
          </cell>
          <cell r="BE2646" t="str">
            <v>May</v>
          </cell>
        </row>
        <row r="2647">
          <cell r="C2647" t="str">
            <v>SCC (CMMC)</v>
          </cell>
          <cell r="R2647">
            <v>0</v>
          </cell>
          <cell r="AZ2647">
            <v>0</v>
          </cell>
          <cell r="BA2647">
            <v>0</v>
          </cell>
          <cell r="BC2647" t="str">
            <v>OTHERS</v>
          </cell>
          <cell r="BE2647" t="str">
            <v>Jun</v>
          </cell>
        </row>
        <row r="2648">
          <cell r="C2648" t="str">
            <v>SCC (CMMC)</v>
          </cell>
          <cell r="R2648">
            <v>0</v>
          </cell>
          <cell r="AZ2648">
            <v>0</v>
          </cell>
          <cell r="BA2648">
            <v>0</v>
          </cell>
          <cell r="BC2648" t="str">
            <v>OTHERS</v>
          </cell>
          <cell r="BE2648" t="str">
            <v>Jul</v>
          </cell>
        </row>
        <row r="2649">
          <cell r="C2649" t="str">
            <v>SCC (CMMC)</v>
          </cell>
          <cell r="R2649">
            <v>0</v>
          </cell>
          <cell r="AZ2649">
            <v>0</v>
          </cell>
          <cell r="BA2649">
            <v>0</v>
          </cell>
          <cell r="BC2649" t="str">
            <v>OTHERS</v>
          </cell>
          <cell r="BE2649" t="str">
            <v>Aug</v>
          </cell>
        </row>
        <row r="2650">
          <cell r="C2650" t="str">
            <v>SCC (CMMC)</v>
          </cell>
          <cell r="R2650">
            <v>47500</v>
          </cell>
          <cell r="AZ2650">
            <v>-23750</v>
          </cell>
          <cell r="BA2650">
            <v>-50939.041207214446</v>
          </cell>
          <cell r="BC2650" t="str">
            <v>OTHERS</v>
          </cell>
          <cell r="BE2650" t="str">
            <v>Sep</v>
          </cell>
        </row>
        <row r="2651">
          <cell r="C2651" t="str">
            <v>SCC (CMMC)</v>
          </cell>
          <cell r="R2651">
            <v>47500</v>
          </cell>
          <cell r="AZ2651">
            <v>-23750</v>
          </cell>
          <cell r="BA2651">
            <v>-50939.041207214446</v>
          </cell>
          <cell r="BC2651" t="str">
            <v>OTHERS</v>
          </cell>
          <cell r="BE2651" t="str">
            <v>Oct</v>
          </cell>
        </row>
        <row r="2652">
          <cell r="C2652" t="str">
            <v>SCC (CMMC)</v>
          </cell>
          <cell r="R2652">
            <v>47500</v>
          </cell>
          <cell r="AZ2652">
            <v>-23750</v>
          </cell>
          <cell r="BA2652">
            <v>-50939.041207214446</v>
          </cell>
          <cell r="BC2652" t="str">
            <v>OTHERS</v>
          </cell>
          <cell r="BE2652" t="str">
            <v>Nov</v>
          </cell>
        </row>
        <row r="2653">
          <cell r="C2653" t="str">
            <v>SCC (CMMC)</v>
          </cell>
          <cell r="R2653">
            <v>47500</v>
          </cell>
          <cell r="AZ2653">
            <v>-23750</v>
          </cell>
          <cell r="BA2653">
            <v>-50939.041207214446</v>
          </cell>
          <cell r="BC2653" t="str">
            <v>OTHERS</v>
          </cell>
          <cell r="BE2653" t="str">
            <v>Dec</v>
          </cell>
        </row>
        <row r="2654">
          <cell r="C2654" t="str">
            <v>SCC</v>
          </cell>
          <cell r="R2654">
            <v>0</v>
          </cell>
          <cell r="AZ2654">
            <v>0</v>
          </cell>
          <cell r="BA2654">
            <v>0</v>
          </cell>
          <cell r="BC2654" t="str">
            <v>BANPU</v>
          </cell>
          <cell r="BE2654" t="str">
            <v>Jan</v>
          </cell>
        </row>
        <row r="2655">
          <cell r="C2655" t="str">
            <v>SCC</v>
          </cell>
          <cell r="R2655">
            <v>0</v>
          </cell>
          <cell r="AZ2655">
            <v>0</v>
          </cell>
          <cell r="BA2655">
            <v>0</v>
          </cell>
          <cell r="BC2655" t="str">
            <v>BANPU</v>
          </cell>
          <cell r="BE2655" t="str">
            <v>Feb</v>
          </cell>
        </row>
        <row r="2656">
          <cell r="C2656" t="str">
            <v>SCC</v>
          </cell>
          <cell r="R2656">
            <v>0</v>
          </cell>
          <cell r="AZ2656">
            <v>0</v>
          </cell>
          <cell r="BA2656">
            <v>0</v>
          </cell>
          <cell r="BC2656" t="str">
            <v>BANPU</v>
          </cell>
          <cell r="BE2656" t="str">
            <v>Mar</v>
          </cell>
        </row>
        <row r="2657">
          <cell r="C2657" t="str">
            <v>SCC</v>
          </cell>
          <cell r="R2657">
            <v>0</v>
          </cell>
          <cell r="AZ2657">
            <v>0</v>
          </cell>
          <cell r="BA2657">
            <v>0</v>
          </cell>
          <cell r="BC2657" t="str">
            <v>BANPU</v>
          </cell>
          <cell r="BE2657" t="str">
            <v>Apr</v>
          </cell>
        </row>
        <row r="2658">
          <cell r="C2658" t="str">
            <v>SCC</v>
          </cell>
          <cell r="R2658">
            <v>0</v>
          </cell>
          <cell r="AZ2658">
            <v>0</v>
          </cell>
          <cell r="BA2658">
            <v>0</v>
          </cell>
          <cell r="BC2658" t="str">
            <v>BANPU</v>
          </cell>
          <cell r="BE2658" t="str">
            <v>May</v>
          </cell>
        </row>
        <row r="2659">
          <cell r="C2659" t="str">
            <v>SCC</v>
          </cell>
          <cell r="R2659">
            <v>0</v>
          </cell>
          <cell r="AZ2659">
            <v>0</v>
          </cell>
          <cell r="BA2659">
            <v>0</v>
          </cell>
          <cell r="BC2659" t="str">
            <v>BANPU</v>
          </cell>
          <cell r="BE2659" t="str">
            <v>Jun</v>
          </cell>
        </row>
        <row r="2660">
          <cell r="C2660" t="str">
            <v>SCC</v>
          </cell>
          <cell r="R2660">
            <v>0</v>
          </cell>
          <cell r="AZ2660">
            <v>0</v>
          </cell>
          <cell r="BA2660">
            <v>0</v>
          </cell>
          <cell r="BC2660" t="str">
            <v>BANPU</v>
          </cell>
          <cell r="BE2660" t="str">
            <v>Jul</v>
          </cell>
        </row>
        <row r="2661">
          <cell r="C2661" t="str">
            <v>SCC</v>
          </cell>
          <cell r="R2661">
            <v>0</v>
          </cell>
          <cell r="AZ2661">
            <v>0</v>
          </cell>
          <cell r="BA2661">
            <v>0</v>
          </cell>
          <cell r="BC2661" t="str">
            <v>BANPU</v>
          </cell>
          <cell r="BE2661" t="str">
            <v>Aug</v>
          </cell>
        </row>
        <row r="2662">
          <cell r="C2662" t="str">
            <v>SCC</v>
          </cell>
          <cell r="R2662">
            <v>47500</v>
          </cell>
          <cell r="AZ2662">
            <v>0</v>
          </cell>
          <cell r="BA2662">
            <v>0</v>
          </cell>
          <cell r="BC2662" t="str">
            <v>BANPU</v>
          </cell>
          <cell r="BE2662" t="str">
            <v>Sep</v>
          </cell>
        </row>
        <row r="2663">
          <cell r="C2663" t="str">
            <v>SCC</v>
          </cell>
          <cell r="R2663">
            <v>47500</v>
          </cell>
          <cell r="AZ2663">
            <v>0</v>
          </cell>
          <cell r="BA2663">
            <v>0</v>
          </cell>
          <cell r="BC2663" t="str">
            <v>BANPU</v>
          </cell>
          <cell r="BE2663" t="str">
            <v>Oct</v>
          </cell>
        </row>
        <row r="2664">
          <cell r="C2664" t="str">
            <v>SCC</v>
          </cell>
          <cell r="R2664">
            <v>47500</v>
          </cell>
          <cell r="AZ2664">
            <v>0</v>
          </cell>
          <cell r="BA2664">
            <v>0</v>
          </cell>
          <cell r="BC2664" t="str">
            <v>BANPU</v>
          </cell>
          <cell r="BE2664" t="str">
            <v>Nov</v>
          </cell>
        </row>
        <row r="2665">
          <cell r="C2665" t="str">
            <v>SCC</v>
          </cell>
          <cell r="R2665">
            <v>47500</v>
          </cell>
          <cell r="AZ2665">
            <v>0</v>
          </cell>
          <cell r="BA2665">
            <v>0</v>
          </cell>
          <cell r="BC2665" t="str">
            <v>BANPU</v>
          </cell>
          <cell r="BE2665" t="str">
            <v>Dec</v>
          </cell>
        </row>
        <row r="2666">
          <cell r="C2666" t="str">
            <v>SCC (CMMC)</v>
          </cell>
          <cell r="R2666">
            <v>0</v>
          </cell>
          <cell r="AZ2666">
            <v>0</v>
          </cell>
          <cell r="BA2666">
            <v>0</v>
          </cell>
          <cell r="BC2666" t="str">
            <v>OTHERS</v>
          </cell>
          <cell r="BE2666" t="str">
            <v>Jan</v>
          </cell>
        </row>
        <row r="2667">
          <cell r="C2667" t="str">
            <v>SCC (CMMC)</v>
          </cell>
          <cell r="R2667">
            <v>0</v>
          </cell>
          <cell r="AZ2667">
            <v>0</v>
          </cell>
          <cell r="BA2667">
            <v>0</v>
          </cell>
          <cell r="BC2667" t="str">
            <v>OTHERS</v>
          </cell>
          <cell r="BE2667" t="str">
            <v>Feb</v>
          </cell>
        </row>
        <row r="2668">
          <cell r="C2668" t="str">
            <v>SCC (CMMC)</v>
          </cell>
          <cell r="R2668">
            <v>0</v>
          </cell>
          <cell r="AZ2668">
            <v>0</v>
          </cell>
          <cell r="BA2668">
            <v>0</v>
          </cell>
          <cell r="BC2668" t="str">
            <v>OTHERS</v>
          </cell>
          <cell r="BE2668" t="str">
            <v>Mar</v>
          </cell>
        </row>
        <row r="2669">
          <cell r="C2669" t="str">
            <v>SCC (CMMC)</v>
          </cell>
          <cell r="R2669">
            <v>0</v>
          </cell>
          <cell r="AZ2669">
            <v>0</v>
          </cell>
          <cell r="BA2669">
            <v>0</v>
          </cell>
          <cell r="BC2669" t="str">
            <v>OTHERS</v>
          </cell>
          <cell r="BE2669" t="str">
            <v>Apr</v>
          </cell>
        </row>
        <row r="2670">
          <cell r="C2670" t="str">
            <v>SCC (CMMC)</v>
          </cell>
          <cell r="R2670">
            <v>0</v>
          </cell>
          <cell r="AZ2670">
            <v>0</v>
          </cell>
          <cell r="BA2670">
            <v>0</v>
          </cell>
          <cell r="BC2670" t="str">
            <v>OTHERS</v>
          </cell>
          <cell r="BE2670" t="str">
            <v>May</v>
          </cell>
        </row>
        <row r="2671">
          <cell r="C2671" t="str">
            <v>SCC (CMMC)</v>
          </cell>
          <cell r="R2671">
            <v>0</v>
          </cell>
          <cell r="AZ2671">
            <v>0</v>
          </cell>
          <cell r="BA2671">
            <v>0</v>
          </cell>
          <cell r="BC2671" t="str">
            <v>OTHERS</v>
          </cell>
          <cell r="BE2671" t="str">
            <v>Jun</v>
          </cell>
        </row>
        <row r="2672">
          <cell r="C2672" t="str">
            <v>SCC (CMMC)</v>
          </cell>
          <cell r="R2672">
            <v>0</v>
          </cell>
          <cell r="AZ2672">
            <v>0</v>
          </cell>
          <cell r="BA2672">
            <v>0</v>
          </cell>
          <cell r="BC2672" t="str">
            <v>OTHERS</v>
          </cell>
          <cell r="BE2672" t="str">
            <v>Jul</v>
          </cell>
        </row>
        <row r="2673">
          <cell r="C2673" t="str">
            <v>SCC (CMMC)</v>
          </cell>
          <cell r="R2673">
            <v>0</v>
          </cell>
          <cell r="AZ2673">
            <v>0</v>
          </cell>
          <cell r="BA2673">
            <v>0</v>
          </cell>
          <cell r="BC2673" t="str">
            <v>OTHERS</v>
          </cell>
          <cell r="BE2673" t="str">
            <v>Aug</v>
          </cell>
        </row>
        <row r="2674">
          <cell r="C2674" t="str">
            <v>SCC (CMMC)</v>
          </cell>
          <cell r="R2674">
            <v>2500.0000000000023</v>
          </cell>
          <cell r="AZ2674">
            <v>-1250.0000000000011</v>
          </cell>
          <cell r="BA2674">
            <v>-2874.5181148194642</v>
          </cell>
          <cell r="BC2674" t="str">
            <v>OTHERS</v>
          </cell>
          <cell r="BE2674" t="str">
            <v>Sep</v>
          </cell>
        </row>
        <row r="2675">
          <cell r="C2675" t="str">
            <v>SCC (CMMC)</v>
          </cell>
          <cell r="R2675">
            <v>2500.0000000000023</v>
          </cell>
          <cell r="AZ2675">
            <v>-1250.0000000000011</v>
          </cell>
          <cell r="BA2675">
            <v>-2874.5181148194642</v>
          </cell>
          <cell r="BC2675" t="str">
            <v>OTHERS</v>
          </cell>
          <cell r="BE2675" t="str">
            <v>Oct</v>
          </cell>
        </row>
        <row r="2676">
          <cell r="C2676" t="str">
            <v>SCC (CMMC)</v>
          </cell>
          <cell r="R2676">
            <v>2500.0000000000023</v>
          </cell>
          <cell r="AZ2676">
            <v>-1250.0000000000011</v>
          </cell>
          <cell r="BA2676">
            <v>-2874.5181148194642</v>
          </cell>
          <cell r="BC2676" t="str">
            <v>OTHERS</v>
          </cell>
          <cell r="BE2676" t="str">
            <v>Nov</v>
          </cell>
        </row>
        <row r="2677">
          <cell r="C2677" t="str">
            <v>SCC (CMMC)</v>
          </cell>
          <cell r="R2677">
            <v>2500.0000000000023</v>
          </cell>
          <cell r="AZ2677">
            <v>-1250.0000000000011</v>
          </cell>
          <cell r="BA2677">
            <v>-2874.5181148194642</v>
          </cell>
          <cell r="BC2677" t="str">
            <v>OTHERS</v>
          </cell>
          <cell r="BE2677" t="str">
            <v>Dec</v>
          </cell>
        </row>
        <row r="2678">
          <cell r="C2678" t="str">
            <v>SCC</v>
          </cell>
          <cell r="R2678">
            <v>0</v>
          </cell>
          <cell r="AZ2678">
            <v>0</v>
          </cell>
          <cell r="BA2678">
            <v>0</v>
          </cell>
          <cell r="BC2678" t="str">
            <v>BANPU</v>
          </cell>
          <cell r="BE2678" t="str">
            <v>Jan</v>
          </cell>
        </row>
        <row r="2679">
          <cell r="C2679" t="str">
            <v>SCC</v>
          </cell>
          <cell r="R2679">
            <v>0</v>
          </cell>
          <cell r="AZ2679">
            <v>0</v>
          </cell>
          <cell r="BA2679">
            <v>0</v>
          </cell>
          <cell r="BC2679" t="str">
            <v>BANPU</v>
          </cell>
          <cell r="BE2679" t="str">
            <v>Feb</v>
          </cell>
        </row>
        <row r="2680">
          <cell r="C2680" t="str">
            <v>SCC</v>
          </cell>
          <cell r="R2680">
            <v>0</v>
          </cell>
          <cell r="AZ2680">
            <v>0</v>
          </cell>
          <cell r="BA2680">
            <v>0</v>
          </cell>
          <cell r="BC2680" t="str">
            <v>BANPU</v>
          </cell>
          <cell r="BE2680" t="str">
            <v>Mar</v>
          </cell>
        </row>
        <row r="2681">
          <cell r="C2681" t="str">
            <v>SCC</v>
          </cell>
          <cell r="R2681">
            <v>0</v>
          </cell>
          <cell r="AZ2681">
            <v>0</v>
          </cell>
          <cell r="BA2681">
            <v>0</v>
          </cell>
          <cell r="BC2681" t="str">
            <v>BANPU</v>
          </cell>
          <cell r="BE2681" t="str">
            <v>Apr</v>
          </cell>
        </row>
        <row r="2682">
          <cell r="C2682" t="str">
            <v>SCC</v>
          </cell>
          <cell r="R2682">
            <v>0</v>
          </cell>
          <cell r="AZ2682">
            <v>0</v>
          </cell>
          <cell r="BA2682">
            <v>0</v>
          </cell>
          <cell r="BC2682" t="str">
            <v>BANPU</v>
          </cell>
          <cell r="BE2682" t="str">
            <v>May</v>
          </cell>
        </row>
        <row r="2683">
          <cell r="C2683" t="str">
            <v>SCC</v>
          </cell>
          <cell r="R2683">
            <v>0</v>
          </cell>
          <cell r="AZ2683">
            <v>0</v>
          </cell>
          <cell r="BA2683">
            <v>0</v>
          </cell>
          <cell r="BC2683" t="str">
            <v>BANPU</v>
          </cell>
          <cell r="BE2683" t="str">
            <v>Jun</v>
          </cell>
        </row>
        <row r="2684">
          <cell r="C2684" t="str">
            <v>SCC</v>
          </cell>
          <cell r="R2684">
            <v>0</v>
          </cell>
          <cell r="AZ2684">
            <v>0</v>
          </cell>
          <cell r="BA2684">
            <v>0</v>
          </cell>
          <cell r="BC2684" t="str">
            <v>BANPU</v>
          </cell>
          <cell r="BE2684" t="str">
            <v>Jul</v>
          </cell>
        </row>
        <row r="2685">
          <cell r="C2685" t="str">
            <v>SCC</v>
          </cell>
          <cell r="R2685">
            <v>0</v>
          </cell>
          <cell r="AZ2685">
            <v>0</v>
          </cell>
          <cell r="BA2685">
            <v>0</v>
          </cell>
          <cell r="BC2685" t="str">
            <v>BANPU</v>
          </cell>
          <cell r="BE2685" t="str">
            <v>Aug</v>
          </cell>
        </row>
        <row r="2686">
          <cell r="C2686" t="str">
            <v>SCC</v>
          </cell>
          <cell r="R2686">
            <v>2500.0000000000023</v>
          </cell>
          <cell r="AZ2686">
            <v>0</v>
          </cell>
          <cell r="BA2686">
            <v>0</v>
          </cell>
          <cell r="BC2686" t="str">
            <v>BANPU</v>
          </cell>
          <cell r="BE2686" t="str">
            <v>Sep</v>
          </cell>
        </row>
        <row r="2687">
          <cell r="C2687" t="str">
            <v>SCC</v>
          </cell>
          <cell r="R2687">
            <v>2500.0000000000023</v>
          </cell>
          <cell r="AZ2687">
            <v>0</v>
          </cell>
          <cell r="BA2687">
            <v>0</v>
          </cell>
          <cell r="BC2687" t="str">
            <v>BANPU</v>
          </cell>
          <cell r="BE2687" t="str">
            <v>Oct</v>
          </cell>
        </row>
        <row r="2688">
          <cell r="C2688" t="str">
            <v>SCC</v>
          </cell>
          <cell r="R2688">
            <v>2500.0000000000023</v>
          </cell>
          <cell r="AZ2688">
            <v>0</v>
          </cell>
          <cell r="BA2688">
            <v>0</v>
          </cell>
          <cell r="BC2688" t="str">
            <v>BANPU</v>
          </cell>
          <cell r="BE2688" t="str">
            <v>Nov</v>
          </cell>
        </row>
        <row r="2689">
          <cell r="C2689" t="str">
            <v>SCC</v>
          </cell>
          <cell r="R2689">
            <v>2500.0000000000023</v>
          </cell>
          <cell r="AZ2689">
            <v>0</v>
          </cell>
          <cell r="BA2689">
            <v>0</v>
          </cell>
          <cell r="BC2689" t="str">
            <v>BANPU</v>
          </cell>
          <cell r="BE2689" t="str">
            <v>Dec</v>
          </cell>
        </row>
        <row r="2690">
          <cell r="C2690" t="str">
            <v>TCC (BPI)_JBG</v>
          </cell>
          <cell r="R2690">
            <v>31200</v>
          </cell>
          <cell r="AZ2690">
            <v>-93600</v>
          </cell>
          <cell r="BA2690">
            <v>-13251.612903225805</v>
          </cell>
          <cell r="BC2690" t="str">
            <v>GOLD</v>
          </cell>
          <cell r="BE2690" t="str">
            <v>Jan</v>
          </cell>
        </row>
        <row r="2691">
          <cell r="C2691" t="str">
            <v>TCC (BPI)_JBG</v>
          </cell>
          <cell r="R2691">
            <v>0</v>
          </cell>
          <cell r="AZ2691">
            <v>0</v>
          </cell>
          <cell r="BA2691">
            <v>0</v>
          </cell>
          <cell r="BC2691" t="str">
            <v>GOLD</v>
          </cell>
          <cell r="BE2691" t="str">
            <v>Feb</v>
          </cell>
        </row>
        <row r="2692">
          <cell r="C2692" t="str">
            <v>TCC (BPI)_JBG</v>
          </cell>
          <cell r="R2692">
            <v>0</v>
          </cell>
          <cell r="AZ2692">
            <v>0</v>
          </cell>
          <cell r="BA2692">
            <v>0</v>
          </cell>
          <cell r="BC2692" t="str">
            <v>GOLD</v>
          </cell>
          <cell r="BE2692" t="str">
            <v>Mar</v>
          </cell>
        </row>
        <row r="2693">
          <cell r="C2693" t="str">
            <v>TCC (BPI)_JBG</v>
          </cell>
          <cell r="R2693">
            <v>0</v>
          </cell>
          <cell r="AZ2693">
            <v>0</v>
          </cell>
          <cell r="BA2693">
            <v>0</v>
          </cell>
          <cell r="BC2693" t="str">
            <v>GOLD</v>
          </cell>
          <cell r="BE2693" t="str">
            <v>Apr</v>
          </cell>
        </row>
        <row r="2694">
          <cell r="C2694" t="str">
            <v>TCC (BPI)_JBG</v>
          </cell>
          <cell r="R2694">
            <v>0</v>
          </cell>
          <cell r="AZ2694">
            <v>0</v>
          </cell>
          <cell r="BA2694">
            <v>0</v>
          </cell>
          <cell r="BC2694" t="str">
            <v>GOLD</v>
          </cell>
          <cell r="BE2694" t="str">
            <v>May</v>
          </cell>
        </row>
        <row r="2695">
          <cell r="C2695" t="str">
            <v>TCC (BPI)_JBG</v>
          </cell>
          <cell r="R2695">
            <v>0</v>
          </cell>
          <cell r="AZ2695">
            <v>0</v>
          </cell>
          <cell r="BA2695">
            <v>0</v>
          </cell>
          <cell r="BC2695" t="str">
            <v>GOLD</v>
          </cell>
          <cell r="BE2695" t="str">
            <v>Jun</v>
          </cell>
        </row>
        <row r="2696">
          <cell r="C2696" t="str">
            <v>TCC (BPI)_JBG</v>
          </cell>
          <cell r="R2696">
            <v>0</v>
          </cell>
          <cell r="AZ2696">
            <v>0</v>
          </cell>
          <cell r="BA2696">
            <v>0</v>
          </cell>
          <cell r="BC2696" t="str">
            <v>GOLD</v>
          </cell>
          <cell r="BE2696" t="str">
            <v>Jul</v>
          </cell>
        </row>
        <row r="2697">
          <cell r="C2697" t="str">
            <v>TCC (BPI)_JBG</v>
          </cell>
          <cell r="R2697">
            <v>0</v>
          </cell>
          <cell r="AZ2697">
            <v>0</v>
          </cell>
          <cell r="BA2697">
            <v>0</v>
          </cell>
          <cell r="BC2697" t="str">
            <v>GOLD</v>
          </cell>
          <cell r="BE2697" t="str">
            <v>Aug</v>
          </cell>
        </row>
        <row r="2698">
          <cell r="C2698" t="str">
            <v>TCC (BPI)_JBG</v>
          </cell>
          <cell r="R2698">
            <v>0</v>
          </cell>
          <cell r="AZ2698">
            <v>0</v>
          </cell>
          <cell r="BA2698">
            <v>0</v>
          </cell>
          <cell r="BC2698" t="str">
            <v>GOLD</v>
          </cell>
          <cell r="BE2698" t="str">
            <v>Sep</v>
          </cell>
        </row>
        <row r="2699">
          <cell r="C2699" t="str">
            <v>TCC (BPI)_JBG</v>
          </cell>
          <cell r="R2699">
            <v>0</v>
          </cell>
          <cell r="AZ2699">
            <v>0</v>
          </cell>
          <cell r="BA2699">
            <v>0</v>
          </cell>
          <cell r="BC2699" t="str">
            <v>GOLD</v>
          </cell>
          <cell r="BE2699" t="str">
            <v>Oct</v>
          </cell>
        </row>
        <row r="2700">
          <cell r="C2700" t="str">
            <v>TCC (BPI)_JBG</v>
          </cell>
          <cell r="R2700">
            <v>0</v>
          </cell>
          <cell r="AZ2700">
            <v>0</v>
          </cell>
          <cell r="BA2700">
            <v>0</v>
          </cell>
          <cell r="BC2700" t="str">
            <v>GOLD</v>
          </cell>
          <cell r="BE2700" t="str">
            <v>Nov</v>
          </cell>
        </row>
        <row r="2701">
          <cell r="C2701" t="str">
            <v>TCC (BPI)_JBG</v>
          </cell>
          <cell r="R2701">
            <v>0</v>
          </cell>
          <cell r="AZ2701">
            <v>0</v>
          </cell>
          <cell r="BA2701">
            <v>0</v>
          </cell>
          <cell r="BC2701" t="str">
            <v>GOLD</v>
          </cell>
          <cell r="BE2701" t="str">
            <v>Dec</v>
          </cell>
        </row>
        <row r="2702">
          <cell r="C2702" t="str">
            <v>TCC</v>
          </cell>
          <cell r="R2702">
            <v>31200</v>
          </cell>
          <cell r="AZ2702">
            <v>0</v>
          </cell>
          <cell r="BA2702">
            <v>0</v>
          </cell>
          <cell r="BC2702" t="str">
            <v>BANPU</v>
          </cell>
          <cell r="BE2702" t="str">
            <v>Jan</v>
          </cell>
        </row>
        <row r="2703">
          <cell r="C2703" t="str">
            <v>TCC</v>
          </cell>
          <cell r="R2703">
            <v>0</v>
          </cell>
          <cell r="AZ2703">
            <v>0</v>
          </cell>
          <cell r="BA2703">
            <v>0</v>
          </cell>
          <cell r="BC2703" t="str">
            <v>BANPU</v>
          </cell>
          <cell r="BE2703" t="str">
            <v>Feb</v>
          </cell>
        </row>
        <row r="2704">
          <cell r="C2704" t="str">
            <v>TCC</v>
          </cell>
          <cell r="R2704">
            <v>0</v>
          </cell>
          <cell r="AZ2704">
            <v>0</v>
          </cell>
          <cell r="BA2704">
            <v>0</v>
          </cell>
          <cell r="BC2704" t="str">
            <v>BANPU</v>
          </cell>
          <cell r="BE2704" t="str">
            <v>Mar</v>
          </cell>
        </row>
        <row r="2705">
          <cell r="C2705" t="str">
            <v>TCC</v>
          </cell>
          <cell r="R2705">
            <v>0</v>
          </cell>
          <cell r="AZ2705">
            <v>0</v>
          </cell>
          <cell r="BA2705">
            <v>0</v>
          </cell>
          <cell r="BC2705" t="str">
            <v>BANPU</v>
          </cell>
          <cell r="BE2705" t="str">
            <v>Apr</v>
          </cell>
        </row>
        <row r="2706">
          <cell r="C2706" t="str">
            <v>TCC</v>
          </cell>
          <cell r="R2706">
            <v>0</v>
          </cell>
          <cell r="AZ2706">
            <v>0</v>
          </cell>
          <cell r="BA2706">
            <v>0</v>
          </cell>
          <cell r="BC2706" t="str">
            <v>BANPU</v>
          </cell>
          <cell r="BE2706" t="str">
            <v>May</v>
          </cell>
        </row>
        <row r="2707">
          <cell r="C2707" t="str">
            <v>TCC</v>
          </cell>
          <cell r="R2707">
            <v>0</v>
          </cell>
          <cell r="AZ2707">
            <v>0</v>
          </cell>
          <cell r="BA2707">
            <v>0</v>
          </cell>
          <cell r="BC2707" t="str">
            <v>BANPU</v>
          </cell>
          <cell r="BE2707" t="str">
            <v>Jun</v>
          </cell>
        </row>
        <row r="2708">
          <cell r="C2708" t="str">
            <v>TCC</v>
          </cell>
          <cell r="R2708">
            <v>0</v>
          </cell>
          <cell r="AZ2708">
            <v>0</v>
          </cell>
          <cell r="BA2708">
            <v>0</v>
          </cell>
          <cell r="BC2708" t="str">
            <v>BANPU</v>
          </cell>
          <cell r="BE2708" t="str">
            <v>Jul</v>
          </cell>
        </row>
        <row r="2709">
          <cell r="C2709" t="str">
            <v>TCC</v>
          </cell>
          <cell r="R2709">
            <v>0</v>
          </cell>
          <cell r="AZ2709">
            <v>0</v>
          </cell>
          <cell r="BA2709">
            <v>0</v>
          </cell>
          <cell r="BC2709" t="str">
            <v>BANPU</v>
          </cell>
          <cell r="BE2709" t="str">
            <v>Aug</v>
          </cell>
        </row>
        <row r="2710">
          <cell r="C2710" t="str">
            <v>TCC</v>
          </cell>
          <cell r="R2710">
            <v>0</v>
          </cell>
          <cell r="AZ2710">
            <v>0</v>
          </cell>
          <cell r="BA2710">
            <v>0</v>
          </cell>
          <cell r="BC2710" t="str">
            <v>BANPU</v>
          </cell>
          <cell r="BE2710" t="str">
            <v>Sep</v>
          </cell>
        </row>
        <row r="2711">
          <cell r="C2711" t="str">
            <v>TCC</v>
          </cell>
          <cell r="R2711">
            <v>0</v>
          </cell>
          <cell r="AZ2711">
            <v>0</v>
          </cell>
          <cell r="BA2711">
            <v>0</v>
          </cell>
          <cell r="BC2711" t="str">
            <v>BANPU</v>
          </cell>
          <cell r="BE2711" t="str">
            <v>Oct</v>
          </cell>
        </row>
        <row r="2712">
          <cell r="C2712" t="str">
            <v>TCC</v>
          </cell>
          <cell r="R2712">
            <v>0</v>
          </cell>
          <cell r="AZ2712">
            <v>0</v>
          </cell>
          <cell r="BA2712">
            <v>0</v>
          </cell>
          <cell r="BC2712" t="str">
            <v>BANPU</v>
          </cell>
          <cell r="BE2712" t="str">
            <v>Nov</v>
          </cell>
        </row>
        <row r="2713">
          <cell r="C2713" t="str">
            <v>TCC</v>
          </cell>
          <cell r="R2713">
            <v>0</v>
          </cell>
          <cell r="AZ2713">
            <v>0</v>
          </cell>
          <cell r="BA2713">
            <v>0</v>
          </cell>
          <cell r="BC2713" t="str">
            <v>BANPU</v>
          </cell>
          <cell r="BE2713" t="str">
            <v>Dec</v>
          </cell>
        </row>
        <row r="2714">
          <cell r="C2714" t="str">
            <v>TCC (BPI)_JBG</v>
          </cell>
          <cell r="R2714">
            <v>20800</v>
          </cell>
          <cell r="AZ2714">
            <v>-62400</v>
          </cell>
          <cell r="BA2714">
            <v>-20981.720430107522</v>
          </cell>
          <cell r="BC2714" t="str">
            <v>GOLD</v>
          </cell>
          <cell r="BE2714" t="str">
            <v>Jan</v>
          </cell>
        </row>
        <row r="2715">
          <cell r="C2715" t="str">
            <v>TCC (BPI)_JBG</v>
          </cell>
          <cell r="R2715">
            <v>0</v>
          </cell>
          <cell r="AZ2715">
            <v>0</v>
          </cell>
          <cell r="BA2715">
            <v>0</v>
          </cell>
          <cell r="BC2715" t="str">
            <v>GOLD</v>
          </cell>
          <cell r="BE2715" t="str">
            <v>Feb</v>
          </cell>
        </row>
        <row r="2716">
          <cell r="C2716" t="str">
            <v>TCC (BPI)_JBG</v>
          </cell>
          <cell r="R2716">
            <v>0</v>
          </cell>
          <cell r="AZ2716">
            <v>0</v>
          </cell>
          <cell r="BA2716">
            <v>0</v>
          </cell>
          <cell r="BC2716" t="str">
            <v>GOLD</v>
          </cell>
          <cell r="BE2716" t="str">
            <v>Mar</v>
          </cell>
        </row>
        <row r="2717">
          <cell r="C2717" t="str">
            <v>TCC (BPI)_JBG</v>
          </cell>
          <cell r="R2717">
            <v>0</v>
          </cell>
          <cell r="AZ2717">
            <v>0</v>
          </cell>
          <cell r="BA2717">
            <v>0</v>
          </cell>
          <cell r="BC2717" t="str">
            <v>GOLD</v>
          </cell>
          <cell r="BE2717" t="str">
            <v>Apr</v>
          </cell>
        </row>
        <row r="2718">
          <cell r="C2718" t="str">
            <v>TCC (BPI)_JBG</v>
          </cell>
          <cell r="R2718">
            <v>0</v>
          </cell>
          <cell r="AZ2718">
            <v>0</v>
          </cell>
          <cell r="BA2718">
            <v>0</v>
          </cell>
          <cell r="BC2718" t="str">
            <v>GOLD</v>
          </cell>
          <cell r="BE2718" t="str">
            <v>May</v>
          </cell>
        </row>
        <row r="2719">
          <cell r="C2719" t="str">
            <v>TCC (BPI)_JBG</v>
          </cell>
          <cell r="R2719">
            <v>0</v>
          </cell>
          <cell r="AZ2719">
            <v>0</v>
          </cell>
          <cell r="BA2719">
            <v>0</v>
          </cell>
          <cell r="BC2719" t="str">
            <v>GOLD</v>
          </cell>
          <cell r="BE2719" t="str">
            <v>Jun</v>
          </cell>
        </row>
        <row r="2720">
          <cell r="C2720" t="str">
            <v>TCC (BPI)_JBG</v>
          </cell>
          <cell r="R2720">
            <v>0</v>
          </cell>
          <cell r="AZ2720">
            <v>0</v>
          </cell>
          <cell r="BA2720">
            <v>0</v>
          </cell>
          <cell r="BC2720" t="str">
            <v>GOLD</v>
          </cell>
          <cell r="BE2720" t="str">
            <v>Jul</v>
          </cell>
        </row>
        <row r="2721">
          <cell r="C2721" t="str">
            <v>TCC (BPI)_JBG</v>
          </cell>
          <cell r="R2721">
            <v>0</v>
          </cell>
          <cell r="AZ2721">
            <v>0</v>
          </cell>
          <cell r="BA2721">
            <v>0</v>
          </cell>
          <cell r="BC2721" t="str">
            <v>GOLD</v>
          </cell>
          <cell r="BE2721" t="str">
            <v>Aug</v>
          </cell>
        </row>
        <row r="2722">
          <cell r="C2722" t="str">
            <v>TCC (BPI)_JBG</v>
          </cell>
          <cell r="R2722">
            <v>0</v>
          </cell>
          <cell r="AZ2722">
            <v>0</v>
          </cell>
          <cell r="BA2722">
            <v>0</v>
          </cell>
          <cell r="BC2722" t="str">
            <v>GOLD</v>
          </cell>
          <cell r="BE2722" t="str">
            <v>Sep</v>
          </cell>
        </row>
        <row r="2723">
          <cell r="C2723" t="str">
            <v>TCC (BPI)_JBG</v>
          </cell>
          <cell r="R2723">
            <v>0</v>
          </cell>
          <cell r="AZ2723">
            <v>0</v>
          </cell>
          <cell r="BA2723">
            <v>0</v>
          </cell>
          <cell r="BC2723" t="str">
            <v>GOLD</v>
          </cell>
          <cell r="BE2723" t="str">
            <v>Oct</v>
          </cell>
        </row>
        <row r="2724">
          <cell r="C2724" t="str">
            <v>TCC (BPI)_JBG</v>
          </cell>
          <cell r="R2724">
            <v>0</v>
          </cell>
          <cell r="AZ2724">
            <v>0</v>
          </cell>
          <cell r="BA2724">
            <v>0</v>
          </cell>
          <cell r="BC2724" t="str">
            <v>GOLD</v>
          </cell>
          <cell r="BE2724" t="str">
            <v>Nov</v>
          </cell>
        </row>
        <row r="2725">
          <cell r="C2725" t="str">
            <v>TCC (BPI)_JBG</v>
          </cell>
          <cell r="R2725">
            <v>0</v>
          </cell>
          <cell r="AZ2725">
            <v>0</v>
          </cell>
          <cell r="BA2725">
            <v>0</v>
          </cell>
          <cell r="BC2725" t="str">
            <v>GOLD</v>
          </cell>
          <cell r="BE2725" t="str">
            <v>Dec</v>
          </cell>
        </row>
        <row r="2726">
          <cell r="C2726" t="str">
            <v>TCC</v>
          </cell>
          <cell r="R2726">
            <v>20800</v>
          </cell>
          <cell r="AZ2726">
            <v>0</v>
          </cell>
          <cell r="BA2726">
            <v>0</v>
          </cell>
          <cell r="BC2726" t="str">
            <v>BANPU</v>
          </cell>
          <cell r="BE2726" t="str">
            <v>Jan</v>
          </cell>
        </row>
        <row r="2727">
          <cell r="C2727" t="str">
            <v>TCC</v>
          </cell>
          <cell r="R2727">
            <v>0</v>
          </cell>
          <cell r="AZ2727">
            <v>0</v>
          </cell>
          <cell r="BA2727">
            <v>0</v>
          </cell>
          <cell r="BC2727" t="str">
            <v>BANPU</v>
          </cell>
          <cell r="BE2727" t="str">
            <v>Feb</v>
          </cell>
        </row>
        <row r="2728">
          <cell r="C2728" t="str">
            <v>TCC</v>
          </cell>
          <cell r="R2728">
            <v>0</v>
          </cell>
          <cell r="AZ2728">
            <v>0</v>
          </cell>
          <cell r="BA2728">
            <v>0</v>
          </cell>
          <cell r="BC2728" t="str">
            <v>BANPU</v>
          </cell>
          <cell r="BE2728" t="str">
            <v>Mar</v>
          </cell>
        </row>
        <row r="2729">
          <cell r="C2729" t="str">
            <v>TCC</v>
          </cell>
          <cell r="R2729">
            <v>0</v>
          </cell>
          <cell r="AZ2729">
            <v>0</v>
          </cell>
          <cell r="BA2729">
            <v>0</v>
          </cell>
          <cell r="BC2729" t="str">
            <v>BANPU</v>
          </cell>
          <cell r="BE2729" t="str">
            <v>Apr</v>
          </cell>
        </row>
        <row r="2730">
          <cell r="C2730" t="str">
            <v>TCC</v>
          </cell>
          <cell r="R2730">
            <v>0</v>
          </cell>
          <cell r="AZ2730">
            <v>0</v>
          </cell>
          <cell r="BA2730">
            <v>0</v>
          </cell>
          <cell r="BC2730" t="str">
            <v>BANPU</v>
          </cell>
          <cell r="BE2730" t="str">
            <v>May</v>
          </cell>
        </row>
        <row r="2731">
          <cell r="C2731" t="str">
            <v>TCC</v>
          </cell>
          <cell r="R2731">
            <v>0</v>
          </cell>
          <cell r="AZ2731">
            <v>0</v>
          </cell>
          <cell r="BA2731">
            <v>0</v>
          </cell>
          <cell r="BC2731" t="str">
            <v>BANPU</v>
          </cell>
          <cell r="BE2731" t="str">
            <v>Jun</v>
          </cell>
        </row>
        <row r="2732">
          <cell r="C2732" t="str">
            <v>TCC</v>
          </cell>
          <cell r="R2732">
            <v>0</v>
          </cell>
          <cell r="AZ2732">
            <v>0</v>
          </cell>
          <cell r="BA2732">
            <v>0</v>
          </cell>
          <cell r="BC2732" t="str">
            <v>BANPU</v>
          </cell>
          <cell r="BE2732" t="str">
            <v>Jul</v>
          </cell>
        </row>
        <row r="2733">
          <cell r="C2733" t="str">
            <v>TCC</v>
          </cell>
          <cell r="R2733">
            <v>0</v>
          </cell>
          <cell r="AZ2733">
            <v>0</v>
          </cell>
          <cell r="BA2733">
            <v>0</v>
          </cell>
          <cell r="BC2733" t="str">
            <v>BANPU</v>
          </cell>
          <cell r="BE2733" t="str">
            <v>Aug</v>
          </cell>
        </row>
        <row r="2734">
          <cell r="C2734" t="str">
            <v>TCC</v>
          </cell>
          <cell r="R2734">
            <v>0</v>
          </cell>
          <cell r="AZ2734">
            <v>0</v>
          </cell>
          <cell r="BA2734">
            <v>0</v>
          </cell>
          <cell r="BC2734" t="str">
            <v>BANPU</v>
          </cell>
          <cell r="BE2734" t="str">
            <v>Sep</v>
          </cell>
        </row>
        <row r="2735">
          <cell r="C2735" t="str">
            <v>TCC</v>
          </cell>
          <cell r="R2735">
            <v>0</v>
          </cell>
          <cell r="AZ2735">
            <v>0</v>
          </cell>
          <cell r="BA2735">
            <v>0</v>
          </cell>
          <cell r="BC2735" t="str">
            <v>BANPU</v>
          </cell>
          <cell r="BE2735" t="str">
            <v>Oct</v>
          </cell>
        </row>
        <row r="2736">
          <cell r="C2736" t="str">
            <v>TCC</v>
          </cell>
          <cell r="R2736">
            <v>0</v>
          </cell>
          <cell r="AZ2736">
            <v>0</v>
          </cell>
          <cell r="BA2736">
            <v>0</v>
          </cell>
          <cell r="BC2736" t="str">
            <v>BANPU</v>
          </cell>
          <cell r="BE2736" t="str">
            <v>Nov</v>
          </cell>
        </row>
        <row r="2737">
          <cell r="C2737" t="str">
            <v>TCC</v>
          </cell>
          <cell r="R2737">
            <v>0</v>
          </cell>
          <cell r="AZ2737">
            <v>0</v>
          </cell>
          <cell r="BA2737">
            <v>0</v>
          </cell>
          <cell r="BC2737" t="str">
            <v>BANPU</v>
          </cell>
          <cell r="BE2737" t="str">
            <v>Dec</v>
          </cell>
        </row>
        <row r="2738">
          <cell r="C2738" t="str">
            <v>TCC (BPI)_JBG</v>
          </cell>
          <cell r="R2738">
            <v>0</v>
          </cell>
          <cell r="AZ2738">
            <v>0</v>
          </cell>
          <cell r="BA2738">
            <v>0</v>
          </cell>
          <cell r="BC2738" t="str">
            <v>GOLD</v>
          </cell>
          <cell r="BE2738" t="str">
            <v>Jan</v>
          </cell>
        </row>
        <row r="2739">
          <cell r="C2739" t="str">
            <v>TCC (BPI)_JBG</v>
          </cell>
          <cell r="R2739">
            <v>31200</v>
          </cell>
          <cell r="AZ2739">
            <v>-93600</v>
          </cell>
          <cell r="BA2739">
            <v>-13251.612903225805</v>
          </cell>
          <cell r="BC2739" t="str">
            <v>GOLD</v>
          </cell>
          <cell r="BE2739" t="str">
            <v>Feb</v>
          </cell>
        </row>
        <row r="2740">
          <cell r="C2740" t="str">
            <v>TCC (BPI)_JBG</v>
          </cell>
          <cell r="R2740">
            <v>0</v>
          </cell>
          <cell r="AZ2740">
            <v>0</v>
          </cell>
          <cell r="BA2740">
            <v>0</v>
          </cell>
          <cell r="BC2740" t="str">
            <v>GOLD</v>
          </cell>
          <cell r="BE2740" t="str">
            <v>Mar</v>
          </cell>
        </row>
        <row r="2741">
          <cell r="C2741" t="str">
            <v>TCC (BPI)_JBG</v>
          </cell>
          <cell r="R2741">
            <v>0</v>
          </cell>
          <cell r="AZ2741">
            <v>0</v>
          </cell>
          <cell r="BA2741">
            <v>0</v>
          </cell>
          <cell r="BC2741" t="str">
            <v>GOLD</v>
          </cell>
          <cell r="BE2741" t="str">
            <v>Apr</v>
          </cell>
        </row>
        <row r="2742">
          <cell r="C2742" t="str">
            <v>TCC (BPI)_JBG</v>
          </cell>
          <cell r="R2742">
            <v>0</v>
          </cell>
          <cell r="AZ2742">
            <v>0</v>
          </cell>
          <cell r="BA2742">
            <v>0</v>
          </cell>
          <cell r="BC2742" t="str">
            <v>GOLD</v>
          </cell>
          <cell r="BE2742" t="str">
            <v>May</v>
          </cell>
        </row>
        <row r="2743">
          <cell r="C2743" t="str">
            <v>TCC (BPI)_JBG</v>
          </cell>
          <cell r="R2743">
            <v>0</v>
          </cell>
          <cell r="AZ2743">
            <v>0</v>
          </cell>
          <cell r="BA2743">
            <v>0</v>
          </cell>
          <cell r="BC2743" t="str">
            <v>GOLD</v>
          </cell>
          <cell r="BE2743" t="str">
            <v>Jun</v>
          </cell>
        </row>
        <row r="2744">
          <cell r="C2744" t="str">
            <v>TCC (BPI)_JBG</v>
          </cell>
          <cell r="R2744">
            <v>0</v>
          </cell>
          <cell r="AZ2744">
            <v>0</v>
          </cell>
          <cell r="BA2744">
            <v>0</v>
          </cell>
          <cell r="BC2744" t="str">
            <v>GOLD</v>
          </cell>
          <cell r="BE2744" t="str">
            <v>Jul</v>
          </cell>
        </row>
        <row r="2745">
          <cell r="C2745" t="str">
            <v>TCC (BPI)_JBG</v>
          </cell>
          <cell r="R2745">
            <v>0</v>
          </cell>
          <cell r="AZ2745">
            <v>0</v>
          </cell>
          <cell r="BA2745">
            <v>0</v>
          </cell>
          <cell r="BC2745" t="str">
            <v>GOLD</v>
          </cell>
          <cell r="BE2745" t="str">
            <v>Aug</v>
          </cell>
        </row>
        <row r="2746">
          <cell r="C2746" t="str">
            <v>TCC (BPI)_JBG</v>
          </cell>
          <cell r="R2746">
            <v>0</v>
          </cell>
          <cell r="AZ2746">
            <v>0</v>
          </cell>
          <cell r="BA2746">
            <v>0</v>
          </cell>
          <cell r="BC2746" t="str">
            <v>GOLD</v>
          </cell>
          <cell r="BE2746" t="str">
            <v>Sep</v>
          </cell>
        </row>
        <row r="2747">
          <cell r="C2747" t="str">
            <v>TCC (BPI)_JBG</v>
          </cell>
          <cell r="R2747">
            <v>0</v>
          </cell>
          <cell r="AZ2747">
            <v>0</v>
          </cell>
          <cell r="BA2747">
            <v>0</v>
          </cell>
          <cell r="BC2747" t="str">
            <v>GOLD</v>
          </cell>
          <cell r="BE2747" t="str">
            <v>Oct</v>
          </cell>
        </row>
        <row r="2748">
          <cell r="C2748" t="str">
            <v>TCC (BPI)_JBG</v>
          </cell>
          <cell r="R2748">
            <v>0</v>
          </cell>
          <cell r="AZ2748">
            <v>0</v>
          </cell>
          <cell r="BA2748">
            <v>0</v>
          </cell>
          <cell r="BC2748" t="str">
            <v>GOLD</v>
          </cell>
          <cell r="BE2748" t="str">
            <v>Nov</v>
          </cell>
        </row>
        <row r="2749">
          <cell r="C2749" t="str">
            <v>TCC (BPI)_JBG</v>
          </cell>
          <cell r="R2749">
            <v>0</v>
          </cell>
          <cell r="AZ2749">
            <v>0</v>
          </cell>
          <cell r="BA2749">
            <v>0</v>
          </cell>
          <cell r="BC2749" t="str">
            <v>GOLD</v>
          </cell>
          <cell r="BE2749" t="str">
            <v>Dec</v>
          </cell>
        </row>
        <row r="2750">
          <cell r="C2750" t="str">
            <v>TCC</v>
          </cell>
          <cell r="R2750">
            <v>0</v>
          </cell>
          <cell r="AZ2750">
            <v>0</v>
          </cell>
          <cell r="BA2750">
            <v>0</v>
          </cell>
          <cell r="BC2750" t="str">
            <v>BANPU</v>
          </cell>
          <cell r="BE2750" t="str">
            <v>Jan</v>
          </cell>
        </row>
        <row r="2751">
          <cell r="C2751" t="str">
            <v>TCC</v>
          </cell>
          <cell r="R2751">
            <v>31200</v>
          </cell>
          <cell r="AZ2751">
            <v>0</v>
          </cell>
          <cell r="BA2751">
            <v>0</v>
          </cell>
          <cell r="BC2751" t="str">
            <v>BANPU</v>
          </cell>
          <cell r="BE2751" t="str">
            <v>Feb</v>
          </cell>
        </row>
        <row r="2752">
          <cell r="C2752" t="str">
            <v>TCC</v>
          </cell>
          <cell r="R2752">
            <v>0</v>
          </cell>
          <cell r="AZ2752">
            <v>0</v>
          </cell>
          <cell r="BA2752">
            <v>0</v>
          </cell>
          <cell r="BC2752" t="str">
            <v>BANPU</v>
          </cell>
          <cell r="BE2752" t="str">
            <v>Mar</v>
          </cell>
        </row>
        <row r="2753">
          <cell r="C2753" t="str">
            <v>TCC</v>
          </cell>
          <cell r="R2753">
            <v>0</v>
          </cell>
          <cell r="AZ2753">
            <v>0</v>
          </cell>
          <cell r="BA2753">
            <v>0</v>
          </cell>
          <cell r="BC2753" t="str">
            <v>BANPU</v>
          </cell>
          <cell r="BE2753" t="str">
            <v>Apr</v>
          </cell>
        </row>
        <row r="2754">
          <cell r="C2754" t="str">
            <v>TCC</v>
          </cell>
          <cell r="R2754">
            <v>0</v>
          </cell>
          <cell r="AZ2754">
            <v>0</v>
          </cell>
          <cell r="BA2754">
            <v>0</v>
          </cell>
          <cell r="BC2754" t="str">
            <v>BANPU</v>
          </cell>
          <cell r="BE2754" t="str">
            <v>May</v>
          </cell>
        </row>
        <row r="2755">
          <cell r="C2755" t="str">
            <v>TCC</v>
          </cell>
          <cell r="R2755">
            <v>0</v>
          </cell>
          <cell r="AZ2755">
            <v>0</v>
          </cell>
          <cell r="BA2755">
            <v>0</v>
          </cell>
          <cell r="BC2755" t="str">
            <v>BANPU</v>
          </cell>
          <cell r="BE2755" t="str">
            <v>Jun</v>
          </cell>
        </row>
        <row r="2756">
          <cell r="C2756" t="str">
            <v>TCC</v>
          </cell>
          <cell r="R2756">
            <v>0</v>
          </cell>
          <cell r="AZ2756">
            <v>0</v>
          </cell>
          <cell r="BA2756">
            <v>0</v>
          </cell>
          <cell r="BC2756" t="str">
            <v>BANPU</v>
          </cell>
          <cell r="BE2756" t="str">
            <v>Jul</v>
          </cell>
        </row>
        <row r="2757">
          <cell r="C2757" t="str">
            <v>TCC</v>
          </cell>
          <cell r="R2757">
            <v>0</v>
          </cell>
          <cell r="AZ2757">
            <v>0</v>
          </cell>
          <cell r="BA2757">
            <v>0</v>
          </cell>
          <cell r="BC2757" t="str">
            <v>BANPU</v>
          </cell>
          <cell r="BE2757" t="str">
            <v>Aug</v>
          </cell>
        </row>
        <row r="2758">
          <cell r="C2758" t="str">
            <v>TCC</v>
          </cell>
          <cell r="R2758">
            <v>0</v>
          </cell>
          <cell r="AZ2758">
            <v>0</v>
          </cell>
          <cell r="BA2758">
            <v>0</v>
          </cell>
          <cell r="BC2758" t="str">
            <v>BANPU</v>
          </cell>
          <cell r="BE2758" t="str">
            <v>Sep</v>
          </cell>
        </row>
        <row r="2759">
          <cell r="C2759" t="str">
            <v>TCC</v>
          </cell>
          <cell r="R2759">
            <v>0</v>
          </cell>
          <cell r="AZ2759">
            <v>0</v>
          </cell>
          <cell r="BA2759">
            <v>0</v>
          </cell>
          <cell r="BC2759" t="str">
            <v>BANPU</v>
          </cell>
          <cell r="BE2759" t="str">
            <v>Oct</v>
          </cell>
        </row>
        <row r="2760">
          <cell r="C2760" t="str">
            <v>TCC</v>
          </cell>
          <cell r="R2760">
            <v>0</v>
          </cell>
          <cell r="AZ2760">
            <v>0</v>
          </cell>
          <cell r="BA2760">
            <v>0</v>
          </cell>
          <cell r="BC2760" t="str">
            <v>BANPU</v>
          </cell>
          <cell r="BE2760" t="str">
            <v>Nov</v>
          </cell>
        </row>
        <row r="2761">
          <cell r="C2761" t="str">
            <v>TCC</v>
          </cell>
          <cell r="R2761">
            <v>0</v>
          </cell>
          <cell r="AZ2761">
            <v>0</v>
          </cell>
          <cell r="BA2761">
            <v>0</v>
          </cell>
          <cell r="BC2761" t="str">
            <v>BANPU</v>
          </cell>
          <cell r="BE2761" t="str">
            <v>Dec</v>
          </cell>
        </row>
        <row r="2762">
          <cell r="C2762" t="str">
            <v>TCC (BPI)_JBG</v>
          </cell>
          <cell r="R2762">
            <v>0</v>
          </cell>
          <cell r="AZ2762">
            <v>0</v>
          </cell>
          <cell r="BA2762">
            <v>0</v>
          </cell>
          <cell r="BC2762" t="str">
            <v>GOLD</v>
          </cell>
          <cell r="BE2762" t="str">
            <v>Jan</v>
          </cell>
        </row>
        <row r="2763">
          <cell r="C2763" t="str">
            <v>TCC (BPI)_JBG</v>
          </cell>
          <cell r="R2763">
            <v>20800</v>
          </cell>
          <cell r="AZ2763">
            <v>-62400</v>
          </cell>
          <cell r="BA2763">
            <v>-20981.720430107522</v>
          </cell>
          <cell r="BC2763" t="str">
            <v>GOLD</v>
          </cell>
          <cell r="BE2763" t="str">
            <v>Feb</v>
          </cell>
        </row>
        <row r="2764">
          <cell r="C2764" t="str">
            <v>TCC (BPI)_JBG</v>
          </cell>
          <cell r="R2764">
            <v>0</v>
          </cell>
          <cell r="AZ2764">
            <v>0</v>
          </cell>
          <cell r="BA2764">
            <v>0</v>
          </cell>
          <cell r="BC2764" t="str">
            <v>GOLD</v>
          </cell>
          <cell r="BE2764" t="str">
            <v>Mar</v>
          </cell>
        </row>
        <row r="2765">
          <cell r="C2765" t="str">
            <v>TCC (BPI)_JBG</v>
          </cell>
          <cell r="R2765">
            <v>0</v>
          </cell>
          <cell r="AZ2765">
            <v>0</v>
          </cell>
          <cell r="BA2765">
            <v>0</v>
          </cell>
          <cell r="BC2765" t="str">
            <v>GOLD</v>
          </cell>
          <cell r="BE2765" t="str">
            <v>Apr</v>
          </cell>
        </row>
        <row r="2766">
          <cell r="C2766" t="str">
            <v>TCC (BPI)_JBG</v>
          </cell>
          <cell r="R2766">
            <v>0</v>
          </cell>
          <cell r="AZ2766">
            <v>0</v>
          </cell>
          <cell r="BA2766">
            <v>0</v>
          </cell>
          <cell r="BC2766" t="str">
            <v>GOLD</v>
          </cell>
          <cell r="BE2766" t="str">
            <v>May</v>
          </cell>
        </row>
        <row r="2767">
          <cell r="C2767" t="str">
            <v>TCC (BPI)_JBG</v>
          </cell>
          <cell r="R2767">
            <v>0</v>
          </cell>
          <cell r="AZ2767">
            <v>0</v>
          </cell>
          <cell r="BA2767">
            <v>0</v>
          </cell>
          <cell r="BC2767" t="str">
            <v>GOLD</v>
          </cell>
          <cell r="BE2767" t="str">
            <v>Jun</v>
          </cell>
        </row>
        <row r="2768">
          <cell r="C2768" t="str">
            <v>TCC (BPI)_JBG</v>
          </cell>
          <cell r="R2768">
            <v>0</v>
          </cell>
          <cell r="AZ2768">
            <v>0</v>
          </cell>
          <cell r="BA2768">
            <v>0</v>
          </cell>
          <cell r="BC2768" t="str">
            <v>GOLD</v>
          </cell>
          <cell r="BE2768" t="str">
            <v>Jul</v>
          </cell>
        </row>
        <row r="2769">
          <cell r="C2769" t="str">
            <v>TCC (BPI)_JBG</v>
          </cell>
          <cell r="R2769">
            <v>0</v>
          </cell>
          <cell r="AZ2769">
            <v>0</v>
          </cell>
          <cell r="BA2769">
            <v>0</v>
          </cell>
          <cell r="BC2769" t="str">
            <v>GOLD</v>
          </cell>
          <cell r="BE2769" t="str">
            <v>Aug</v>
          </cell>
        </row>
        <row r="2770">
          <cell r="C2770" t="str">
            <v>TCC (BPI)_JBG</v>
          </cell>
          <cell r="R2770">
            <v>0</v>
          </cell>
          <cell r="AZ2770">
            <v>0</v>
          </cell>
          <cell r="BA2770">
            <v>0</v>
          </cell>
          <cell r="BC2770" t="str">
            <v>GOLD</v>
          </cell>
          <cell r="BE2770" t="str">
            <v>Sep</v>
          </cell>
        </row>
        <row r="2771">
          <cell r="C2771" t="str">
            <v>TCC (BPI)_JBG</v>
          </cell>
          <cell r="R2771">
            <v>0</v>
          </cell>
          <cell r="AZ2771">
            <v>0</v>
          </cell>
          <cell r="BA2771">
            <v>0</v>
          </cell>
          <cell r="BC2771" t="str">
            <v>GOLD</v>
          </cell>
          <cell r="BE2771" t="str">
            <v>Oct</v>
          </cell>
        </row>
        <row r="2772">
          <cell r="C2772" t="str">
            <v>TCC (BPI)_JBG</v>
          </cell>
          <cell r="R2772">
            <v>0</v>
          </cell>
          <cell r="AZ2772">
            <v>0</v>
          </cell>
          <cell r="BA2772">
            <v>0</v>
          </cell>
          <cell r="BC2772" t="str">
            <v>GOLD</v>
          </cell>
          <cell r="BE2772" t="str">
            <v>Nov</v>
          </cell>
        </row>
        <row r="2773">
          <cell r="C2773" t="str">
            <v>TCC (BPI)_JBG</v>
          </cell>
          <cell r="R2773">
            <v>0</v>
          </cell>
          <cell r="AZ2773">
            <v>0</v>
          </cell>
          <cell r="BA2773">
            <v>0</v>
          </cell>
          <cell r="BC2773" t="str">
            <v>GOLD</v>
          </cell>
          <cell r="BE2773" t="str">
            <v>Dec</v>
          </cell>
        </row>
        <row r="2774">
          <cell r="C2774" t="str">
            <v>TCC</v>
          </cell>
          <cell r="R2774">
            <v>0</v>
          </cell>
          <cell r="AZ2774">
            <v>0</v>
          </cell>
          <cell r="BA2774">
            <v>0</v>
          </cell>
          <cell r="BC2774" t="str">
            <v>BANPU</v>
          </cell>
          <cell r="BE2774" t="str">
            <v>Jan</v>
          </cell>
        </row>
        <row r="2775">
          <cell r="C2775" t="str">
            <v>TCC</v>
          </cell>
          <cell r="R2775">
            <v>20800</v>
          </cell>
          <cell r="AZ2775">
            <v>0</v>
          </cell>
          <cell r="BA2775">
            <v>0</v>
          </cell>
          <cell r="BC2775" t="str">
            <v>BANPU</v>
          </cell>
          <cell r="BE2775" t="str">
            <v>Feb</v>
          </cell>
        </row>
        <row r="2776">
          <cell r="C2776" t="str">
            <v>TCC</v>
          </cell>
          <cell r="R2776">
            <v>0</v>
          </cell>
          <cell r="AZ2776">
            <v>0</v>
          </cell>
          <cell r="BA2776">
            <v>0</v>
          </cell>
          <cell r="BC2776" t="str">
            <v>BANPU</v>
          </cell>
          <cell r="BE2776" t="str">
            <v>Mar</v>
          </cell>
        </row>
        <row r="2777">
          <cell r="C2777" t="str">
            <v>TCC</v>
          </cell>
          <cell r="R2777">
            <v>0</v>
          </cell>
          <cell r="AZ2777">
            <v>0</v>
          </cell>
          <cell r="BA2777">
            <v>0</v>
          </cell>
          <cell r="BC2777" t="str">
            <v>BANPU</v>
          </cell>
          <cell r="BE2777" t="str">
            <v>Apr</v>
          </cell>
        </row>
        <row r="2778">
          <cell r="C2778" t="str">
            <v>TCC</v>
          </cell>
          <cell r="R2778">
            <v>0</v>
          </cell>
          <cell r="AZ2778">
            <v>0</v>
          </cell>
          <cell r="BA2778">
            <v>0</v>
          </cell>
          <cell r="BC2778" t="str">
            <v>BANPU</v>
          </cell>
          <cell r="BE2778" t="str">
            <v>May</v>
          </cell>
        </row>
        <row r="2779">
          <cell r="C2779" t="str">
            <v>TCC</v>
          </cell>
          <cell r="R2779">
            <v>0</v>
          </cell>
          <cell r="AZ2779">
            <v>0</v>
          </cell>
          <cell r="BA2779">
            <v>0</v>
          </cell>
          <cell r="BC2779" t="str">
            <v>BANPU</v>
          </cell>
          <cell r="BE2779" t="str">
            <v>Jun</v>
          </cell>
        </row>
        <row r="2780">
          <cell r="C2780" t="str">
            <v>TCC</v>
          </cell>
          <cell r="R2780">
            <v>0</v>
          </cell>
          <cell r="AZ2780">
            <v>0</v>
          </cell>
          <cell r="BA2780">
            <v>0</v>
          </cell>
          <cell r="BC2780" t="str">
            <v>BANPU</v>
          </cell>
          <cell r="BE2780" t="str">
            <v>Jul</v>
          </cell>
        </row>
        <row r="2781">
          <cell r="C2781" t="str">
            <v>TCC</v>
          </cell>
          <cell r="R2781">
            <v>0</v>
          </cell>
          <cell r="AZ2781">
            <v>0</v>
          </cell>
          <cell r="BA2781">
            <v>0</v>
          </cell>
          <cell r="BC2781" t="str">
            <v>BANPU</v>
          </cell>
          <cell r="BE2781" t="str">
            <v>Aug</v>
          </cell>
        </row>
        <row r="2782">
          <cell r="C2782" t="str">
            <v>TCC</v>
          </cell>
          <cell r="R2782">
            <v>0</v>
          </cell>
          <cell r="AZ2782">
            <v>0</v>
          </cell>
          <cell r="BA2782">
            <v>0</v>
          </cell>
          <cell r="BC2782" t="str">
            <v>BANPU</v>
          </cell>
          <cell r="BE2782" t="str">
            <v>Sep</v>
          </cell>
        </row>
        <row r="2783">
          <cell r="C2783" t="str">
            <v>TCC</v>
          </cell>
          <cell r="R2783">
            <v>0</v>
          </cell>
          <cell r="AZ2783">
            <v>0</v>
          </cell>
          <cell r="BA2783">
            <v>0</v>
          </cell>
          <cell r="BC2783" t="str">
            <v>BANPU</v>
          </cell>
          <cell r="BE2783" t="str">
            <v>Oct</v>
          </cell>
        </row>
        <row r="2784">
          <cell r="C2784" t="str">
            <v>TCC</v>
          </cell>
          <cell r="R2784">
            <v>0</v>
          </cell>
          <cell r="AZ2784">
            <v>0</v>
          </cell>
          <cell r="BA2784">
            <v>0</v>
          </cell>
          <cell r="BC2784" t="str">
            <v>BANPU</v>
          </cell>
          <cell r="BE2784" t="str">
            <v>Nov</v>
          </cell>
        </row>
        <row r="2785">
          <cell r="C2785" t="str">
            <v>TCC</v>
          </cell>
          <cell r="R2785">
            <v>0</v>
          </cell>
          <cell r="AZ2785">
            <v>0</v>
          </cell>
          <cell r="BA2785">
            <v>0</v>
          </cell>
          <cell r="BC2785" t="str">
            <v>BANPU</v>
          </cell>
          <cell r="BE2785" t="str">
            <v>Dec</v>
          </cell>
        </row>
        <row r="2786">
          <cell r="C2786" t="str">
            <v>TCC (BPI)_KTD</v>
          </cell>
          <cell r="R2786">
            <v>0</v>
          </cell>
          <cell r="AZ2786">
            <v>0</v>
          </cell>
          <cell r="BA2786">
            <v>0</v>
          </cell>
          <cell r="BC2786" t="str">
            <v>GOLD</v>
          </cell>
          <cell r="BE2786" t="str">
            <v>Jan</v>
          </cell>
        </row>
        <row r="2787">
          <cell r="C2787" t="str">
            <v>TCC (BPI)_KTD</v>
          </cell>
          <cell r="R2787">
            <v>0</v>
          </cell>
          <cell r="AZ2787">
            <v>0</v>
          </cell>
          <cell r="BA2787">
            <v>0</v>
          </cell>
          <cell r="BC2787" t="str">
            <v>GOLD</v>
          </cell>
          <cell r="BE2787" t="str">
            <v>Feb</v>
          </cell>
        </row>
        <row r="2788">
          <cell r="C2788" t="str">
            <v>TCC (BPI)_KTD</v>
          </cell>
          <cell r="R2788">
            <v>31200</v>
          </cell>
          <cell r="AZ2788">
            <v>-93600</v>
          </cell>
          <cell r="BA2788">
            <v>-14722.306761378584</v>
          </cell>
          <cell r="BC2788" t="str">
            <v>GOLD</v>
          </cell>
          <cell r="BE2788" t="str">
            <v>Mar</v>
          </cell>
        </row>
        <row r="2789">
          <cell r="C2789" t="str">
            <v>TCC (BPI)_KTD</v>
          </cell>
          <cell r="R2789">
            <v>0</v>
          </cell>
          <cell r="AZ2789">
            <v>0</v>
          </cell>
          <cell r="BA2789">
            <v>0</v>
          </cell>
          <cell r="BC2789" t="str">
            <v>GOLD</v>
          </cell>
          <cell r="BE2789" t="str">
            <v>Apr</v>
          </cell>
        </row>
        <row r="2790">
          <cell r="C2790" t="str">
            <v>TCC (BPI)_KTD</v>
          </cell>
          <cell r="R2790">
            <v>0</v>
          </cell>
          <cell r="AZ2790">
            <v>0</v>
          </cell>
          <cell r="BA2790">
            <v>0</v>
          </cell>
          <cell r="BC2790" t="str">
            <v>GOLD</v>
          </cell>
          <cell r="BE2790" t="str">
            <v>May</v>
          </cell>
        </row>
        <row r="2791">
          <cell r="C2791" t="str">
            <v>TCC (BPI)_KTD</v>
          </cell>
          <cell r="R2791">
            <v>0</v>
          </cell>
          <cell r="AZ2791">
            <v>0</v>
          </cell>
          <cell r="BA2791">
            <v>0</v>
          </cell>
          <cell r="BC2791" t="str">
            <v>GOLD</v>
          </cell>
          <cell r="BE2791" t="str">
            <v>Jun</v>
          </cell>
        </row>
        <row r="2792">
          <cell r="C2792" t="str">
            <v>TCC (BPI)_KTD</v>
          </cell>
          <cell r="R2792">
            <v>0</v>
          </cell>
          <cell r="AZ2792">
            <v>0</v>
          </cell>
          <cell r="BA2792">
            <v>0</v>
          </cell>
          <cell r="BC2792" t="str">
            <v>GOLD</v>
          </cell>
          <cell r="BE2792" t="str">
            <v>Jul</v>
          </cell>
        </row>
        <row r="2793">
          <cell r="C2793" t="str">
            <v>TCC (BPI)_KTD</v>
          </cell>
          <cell r="R2793">
            <v>0</v>
          </cell>
          <cell r="AZ2793">
            <v>0</v>
          </cell>
          <cell r="BA2793">
            <v>0</v>
          </cell>
          <cell r="BC2793" t="str">
            <v>GOLD</v>
          </cell>
          <cell r="BE2793" t="str">
            <v>Aug</v>
          </cell>
        </row>
        <row r="2794">
          <cell r="C2794" t="str">
            <v>TCC (BPI)_KTD</v>
          </cell>
          <cell r="R2794">
            <v>0</v>
          </cell>
          <cell r="AZ2794">
            <v>0</v>
          </cell>
          <cell r="BA2794">
            <v>0</v>
          </cell>
          <cell r="BC2794" t="str">
            <v>GOLD</v>
          </cell>
          <cell r="BE2794" t="str">
            <v>Sep</v>
          </cell>
        </row>
        <row r="2795">
          <cell r="C2795" t="str">
            <v>TCC (BPI)_KTD</v>
          </cell>
          <cell r="R2795">
            <v>0</v>
          </cell>
          <cell r="AZ2795">
            <v>0</v>
          </cell>
          <cell r="BA2795">
            <v>0</v>
          </cell>
          <cell r="BC2795" t="str">
            <v>GOLD</v>
          </cell>
          <cell r="BE2795" t="str">
            <v>Oct</v>
          </cell>
        </row>
        <row r="2796">
          <cell r="C2796" t="str">
            <v>TCC (BPI)_KTD</v>
          </cell>
          <cell r="R2796">
            <v>0</v>
          </cell>
          <cell r="AZ2796">
            <v>0</v>
          </cell>
          <cell r="BA2796">
            <v>0</v>
          </cell>
          <cell r="BC2796" t="str">
            <v>GOLD</v>
          </cell>
          <cell r="BE2796" t="str">
            <v>Nov</v>
          </cell>
        </row>
        <row r="2797">
          <cell r="C2797" t="str">
            <v>TCC (BPI)_KTD</v>
          </cell>
          <cell r="R2797">
            <v>0</v>
          </cell>
          <cell r="AZ2797">
            <v>0</v>
          </cell>
          <cell r="BA2797">
            <v>0</v>
          </cell>
          <cell r="BC2797" t="str">
            <v>GOLD</v>
          </cell>
          <cell r="BE2797" t="str">
            <v>Dec</v>
          </cell>
        </row>
        <row r="2798">
          <cell r="C2798" t="str">
            <v>TCC (BPI)</v>
          </cell>
          <cell r="R2798">
            <v>0</v>
          </cell>
          <cell r="AZ2798">
            <v>0</v>
          </cell>
          <cell r="BA2798">
            <v>0</v>
          </cell>
          <cell r="BC2798" t="str">
            <v>BANPU</v>
          </cell>
          <cell r="BE2798" t="str">
            <v>Jan</v>
          </cell>
        </row>
        <row r="2799">
          <cell r="C2799" t="str">
            <v>TCC (BPI)</v>
          </cell>
          <cell r="R2799">
            <v>0</v>
          </cell>
          <cell r="AZ2799">
            <v>0</v>
          </cell>
          <cell r="BA2799">
            <v>0</v>
          </cell>
          <cell r="BC2799" t="str">
            <v>BANPU</v>
          </cell>
          <cell r="BE2799" t="str">
            <v>Feb</v>
          </cell>
        </row>
        <row r="2800">
          <cell r="C2800" t="str">
            <v>TCC (BPI)</v>
          </cell>
          <cell r="R2800">
            <v>31200</v>
          </cell>
          <cell r="AZ2800">
            <v>0</v>
          </cell>
          <cell r="BA2800">
            <v>0</v>
          </cell>
          <cell r="BC2800" t="str">
            <v>BANPU</v>
          </cell>
          <cell r="BE2800" t="str">
            <v>Mar</v>
          </cell>
        </row>
        <row r="2801">
          <cell r="C2801" t="str">
            <v>TCC (BPI)</v>
          </cell>
          <cell r="R2801">
            <v>0</v>
          </cell>
          <cell r="AZ2801">
            <v>0</v>
          </cell>
          <cell r="BA2801">
            <v>0</v>
          </cell>
          <cell r="BC2801" t="str">
            <v>BANPU</v>
          </cell>
          <cell r="BE2801" t="str">
            <v>Apr</v>
          </cell>
        </row>
        <row r="2802">
          <cell r="C2802" t="str">
            <v>TCC (BPI)</v>
          </cell>
          <cell r="R2802">
            <v>0</v>
          </cell>
          <cell r="AZ2802">
            <v>0</v>
          </cell>
          <cell r="BA2802">
            <v>0</v>
          </cell>
          <cell r="BC2802" t="str">
            <v>BANPU</v>
          </cell>
          <cell r="BE2802" t="str">
            <v>May</v>
          </cell>
        </row>
        <row r="2803">
          <cell r="C2803" t="str">
            <v>TCC (BPI)</v>
          </cell>
          <cell r="R2803">
            <v>0</v>
          </cell>
          <cell r="AZ2803">
            <v>0</v>
          </cell>
          <cell r="BA2803">
            <v>0</v>
          </cell>
          <cell r="BC2803" t="str">
            <v>BANPU</v>
          </cell>
          <cell r="BE2803" t="str">
            <v>Jun</v>
          </cell>
        </row>
        <row r="2804">
          <cell r="C2804" t="str">
            <v>TCC (BPI)</v>
          </cell>
          <cell r="R2804">
            <v>0</v>
          </cell>
          <cell r="AZ2804">
            <v>0</v>
          </cell>
          <cell r="BA2804">
            <v>0</v>
          </cell>
          <cell r="BC2804" t="str">
            <v>BANPU</v>
          </cell>
          <cell r="BE2804" t="str">
            <v>Jul</v>
          </cell>
        </row>
        <row r="2805">
          <cell r="C2805" t="str">
            <v>TCC (BPI)</v>
          </cell>
          <cell r="R2805">
            <v>0</v>
          </cell>
          <cell r="AZ2805">
            <v>0</v>
          </cell>
          <cell r="BA2805">
            <v>0</v>
          </cell>
          <cell r="BC2805" t="str">
            <v>BANPU</v>
          </cell>
          <cell r="BE2805" t="str">
            <v>Aug</v>
          </cell>
        </row>
        <row r="2806">
          <cell r="C2806" t="str">
            <v>TCC (BPI)</v>
          </cell>
          <cell r="R2806">
            <v>0</v>
          </cell>
          <cell r="AZ2806">
            <v>0</v>
          </cell>
          <cell r="BA2806">
            <v>0</v>
          </cell>
          <cell r="BC2806" t="str">
            <v>BANPU</v>
          </cell>
          <cell r="BE2806" t="str">
            <v>Sep</v>
          </cell>
        </row>
        <row r="2807">
          <cell r="C2807" t="str">
            <v>TCC (BPI)</v>
          </cell>
          <cell r="R2807">
            <v>0</v>
          </cell>
          <cell r="AZ2807">
            <v>0</v>
          </cell>
          <cell r="BA2807">
            <v>0</v>
          </cell>
          <cell r="BC2807" t="str">
            <v>BANPU</v>
          </cell>
          <cell r="BE2807" t="str">
            <v>Oct</v>
          </cell>
        </row>
        <row r="2808">
          <cell r="C2808" t="str">
            <v>TCC (BPI)</v>
          </cell>
          <cell r="R2808">
            <v>0</v>
          </cell>
          <cell r="AZ2808">
            <v>0</v>
          </cell>
          <cell r="BA2808">
            <v>0</v>
          </cell>
          <cell r="BC2808" t="str">
            <v>BANPU</v>
          </cell>
          <cell r="BE2808" t="str">
            <v>Nov</v>
          </cell>
        </row>
        <row r="2809">
          <cell r="C2809" t="str">
            <v>TCC (BPI)</v>
          </cell>
          <cell r="R2809">
            <v>0</v>
          </cell>
          <cell r="AZ2809">
            <v>0</v>
          </cell>
          <cell r="BA2809">
            <v>0</v>
          </cell>
          <cell r="BC2809" t="str">
            <v>BANPU</v>
          </cell>
          <cell r="BE2809" t="str">
            <v>Dec</v>
          </cell>
        </row>
        <row r="2810">
          <cell r="C2810" t="str">
            <v>TCC (BPI)_KTD</v>
          </cell>
          <cell r="R2810">
            <v>0</v>
          </cell>
          <cell r="AZ2810">
            <v>0</v>
          </cell>
          <cell r="BA2810">
            <v>0</v>
          </cell>
          <cell r="BC2810" t="str">
            <v>GOLD</v>
          </cell>
          <cell r="BE2810" t="str">
            <v>Jan</v>
          </cell>
        </row>
        <row r="2811">
          <cell r="C2811" t="str">
            <v>TCC (BPI)_KTD</v>
          </cell>
          <cell r="R2811">
            <v>0</v>
          </cell>
          <cell r="AZ2811">
            <v>0</v>
          </cell>
          <cell r="BA2811">
            <v>0</v>
          </cell>
          <cell r="BC2811" t="str">
            <v>GOLD</v>
          </cell>
          <cell r="BE2811" t="str">
            <v>Feb</v>
          </cell>
        </row>
        <row r="2812">
          <cell r="C2812" t="str">
            <v>TCC (BPI)_KTD</v>
          </cell>
          <cell r="R2812">
            <v>20800</v>
          </cell>
          <cell r="AZ2812">
            <v>-62400</v>
          </cell>
          <cell r="BA2812">
            <v>-13843.02657195475</v>
          </cell>
          <cell r="BC2812" t="str">
            <v>GOLD</v>
          </cell>
          <cell r="BE2812" t="str">
            <v>Mar</v>
          </cell>
        </row>
        <row r="2813">
          <cell r="C2813" t="str">
            <v>TCC (BPI)_KTD</v>
          </cell>
          <cell r="R2813">
            <v>0</v>
          </cell>
          <cell r="AZ2813">
            <v>0</v>
          </cell>
          <cell r="BA2813">
            <v>0</v>
          </cell>
          <cell r="BC2813" t="str">
            <v>GOLD</v>
          </cell>
          <cell r="BE2813" t="str">
            <v>Apr</v>
          </cell>
        </row>
        <row r="2814">
          <cell r="C2814" t="str">
            <v>TCC (BPI)_KTD</v>
          </cell>
          <cell r="R2814">
            <v>0</v>
          </cell>
          <cell r="AZ2814">
            <v>0</v>
          </cell>
          <cell r="BA2814">
            <v>0</v>
          </cell>
          <cell r="BC2814" t="str">
            <v>GOLD</v>
          </cell>
          <cell r="BE2814" t="str">
            <v>May</v>
          </cell>
        </row>
        <row r="2815">
          <cell r="C2815" t="str">
            <v>TCC (BPI)_KTD</v>
          </cell>
          <cell r="R2815">
            <v>0</v>
          </cell>
          <cell r="AZ2815">
            <v>0</v>
          </cell>
          <cell r="BA2815">
            <v>0</v>
          </cell>
          <cell r="BC2815" t="str">
            <v>GOLD</v>
          </cell>
          <cell r="BE2815" t="str">
            <v>Jun</v>
          </cell>
        </row>
        <row r="2816">
          <cell r="C2816" t="str">
            <v>TCC (BPI)_KTD</v>
          </cell>
          <cell r="R2816">
            <v>0</v>
          </cell>
          <cell r="AZ2816">
            <v>0</v>
          </cell>
          <cell r="BA2816">
            <v>0</v>
          </cell>
          <cell r="BC2816" t="str">
            <v>GOLD</v>
          </cell>
          <cell r="BE2816" t="str">
            <v>Jul</v>
          </cell>
        </row>
        <row r="2817">
          <cell r="C2817" t="str">
            <v>TCC (BPI)_KTD</v>
          </cell>
          <cell r="R2817">
            <v>0</v>
          </cell>
          <cell r="AZ2817">
            <v>0</v>
          </cell>
          <cell r="BA2817">
            <v>0</v>
          </cell>
          <cell r="BC2817" t="str">
            <v>GOLD</v>
          </cell>
          <cell r="BE2817" t="str">
            <v>Aug</v>
          </cell>
        </row>
        <row r="2818">
          <cell r="C2818" t="str">
            <v>TCC (BPI)_KTD</v>
          </cell>
          <cell r="R2818">
            <v>0</v>
          </cell>
          <cell r="AZ2818">
            <v>0</v>
          </cell>
          <cell r="BA2818">
            <v>0</v>
          </cell>
          <cell r="BC2818" t="str">
            <v>GOLD</v>
          </cell>
          <cell r="BE2818" t="str">
            <v>Sep</v>
          </cell>
        </row>
        <row r="2819">
          <cell r="C2819" t="str">
            <v>TCC (BPI)_KTD</v>
          </cell>
          <cell r="R2819">
            <v>0</v>
          </cell>
          <cell r="AZ2819">
            <v>0</v>
          </cell>
          <cell r="BA2819">
            <v>0</v>
          </cell>
          <cell r="BC2819" t="str">
            <v>GOLD</v>
          </cell>
          <cell r="BE2819" t="str">
            <v>Oct</v>
          </cell>
        </row>
        <row r="2820">
          <cell r="C2820" t="str">
            <v>TCC (BPI)_KTD</v>
          </cell>
          <cell r="R2820">
            <v>0</v>
          </cell>
          <cell r="AZ2820">
            <v>0</v>
          </cell>
          <cell r="BA2820">
            <v>0</v>
          </cell>
          <cell r="BC2820" t="str">
            <v>GOLD</v>
          </cell>
          <cell r="BE2820" t="str">
            <v>Nov</v>
          </cell>
        </row>
        <row r="2821">
          <cell r="C2821" t="str">
            <v>TCC (BPI)_KTD</v>
          </cell>
          <cell r="R2821">
            <v>0</v>
          </cell>
          <cell r="AZ2821">
            <v>0</v>
          </cell>
          <cell r="BA2821">
            <v>0</v>
          </cell>
          <cell r="BC2821" t="str">
            <v>GOLD</v>
          </cell>
          <cell r="BE2821" t="str">
            <v>Dec</v>
          </cell>
        </row>
        <row r="2822">
          <cell r="C2822" t="str">
            <v>TCC</v>
          </cell>
          <cell r="R2822">
            <v>0</v>
          </cell>
          <cell r="AZ2822">
            <v>0</v>
          </cell>
          <cell r="BA2822">
            <v>0</v>
          </cell>
          <cell r="BC2822" t="str">
            <v>BANPU</v>
          </cell>
          <cell r="BE2822" t="str">
            <v>Jan</v>
          </cell>
        </row>
        <row r="2823">
          <cell r="C2823" t="str">
            <v>TCC</v>
          </cell>
          <cell r="R2823">
            <v>0</v>
          </cell>
          <cell r="AZ2823">
            <v>0</v>
          </cell>
          <cell r="BA2823">
            <v>0</v>
          </cell>
          <cell r="BC2823" t="str">
            <v>BANPU</v>
          </cell>
          <cell r="BE2823" t="str">
            <v>Feb</v>
          </cell>
        </row>
        <row r="2824">
          <cell r="C2824" t="str">
            <v>TCC</v>
          </cell>
          <cell r="R2824">
            <v>20800</v>
          </cell>
          <cell r="AZ2824">
            <v>0</v>
          </cell>
          <cell r="BA2824">
            <v>0</v>
          </cell>
          <cell r="BC2824" t="str">
            <v>BANPU</v>
          </cell>
          <cell r="BE2824" t="str">
            <v>Mar</v>
          </cell>
        </row>
        <row r="2825">
          <cell r="C2825" t="str">
            <v>TCC</v>
          </cell>
          <cell r="R2825">
            <v>0</v>
          </cell>
          <cell r="AZ2825">
            <v>0</v>
          </cell>
          <cell r="BA2825">
            <v>0</v>
          </cell>
          <cell r="BC2825" t="str">
            <v>BANPU</v>
          </cell>
          <cell r="BE2825" t="str">
            <v>Apr</v>
          </cell>
        </row>
        <row r="2826">
          <cell r="C2826" t="str">
            <v>TCC</v>
          </cell>
          <cell r="R2826">
            <v>0</v>
          </cell>
          <cell r="AZ2826">
            <v>0</v>
          </cell>
          <cell r="BA2826">
            <v>0</v>
          </cell>
          <cell r="BC2826" t="str">
            <v>BANPU</v>
          </cell>
          <cell r="BE2826" t="str">
            <v>May</v>
          </cell>
        </row>
        <row r="2827">
          <cell r="C2827" t="str">
            <v>TCC</v>
          </cell>
          <cell r="R2827">
            <v>0</v>
          </cell>
          <cell r="AZ2827">
            <v>0</v>
          </cell>
          <cell r="BA2827">
            <v>0</v>
          </cell>
          <cell r="BC2827" t="str">
            <v>BANPU</v>
          </cell>
          <cell r="BE2827" t="str">
            <v>Jun</v>
          </cell>
        </row>
        <row r="2828">
          <cell r="C2828" t="str">
            <v>TCC</v>
          </cell>
          <cell r="R2828">
            <v>0</v>
          </cell>
          <cell r="AZ2828">
            <v>0</v>
          </cell>
          <cell r="BA2828">
            <v>0</v>
          </cell>
          <cell r="BC2828" t="str">
            <v>BANPU</v>
          </cell>
          <cell r="BE2828" t="str">
            <v>Jul</v>
          </cell>
        </row>
        <row r="2829">
          <cell r="C2829" t="str">
            <v>TCC</v>
          </cell>
          <cell r="R2829">
            <v>0</v>
          </cell>
          <cell r="AZ2829">
            <v>0</v>
          </cell>
          <cell r="BA2829">
            <v>0</v>
          </cell>
          <cell r="BC2829" t="str">
            <v>BANPU</v>
          </cell>
          <cell r="BE2829" t="str">
            <v>Aug</v>
          </cell>
        </row>
        <row r="2830">
          <cell r="C2830" t="str">
            <v>TCC</v>
          </cell>
          <cell r="R2830">
            <v>0</v>
          </cell>
          <cell r="AZ2830">
            <v>0</v>
          </cell>
          <cell r="BA2830">
            <v>0</v>
          </cell>
          <cell r="BC2830" t="str">
            <v>BANPU</v>
          </cell>
          <cell r="BE2830" t="str">
            <v>Sep</v>
          </cell>
        </row>
        <row r="2831">
          <cell r="C2831" t="str">
            <v>TCC</v>
          </cell>
          <cell r="R2831">
            <v>0</v>
          </cell>
          <cell r="AZ2831">
            <v>0</v>
          </cell>
          <cell r="BA2831">
            <v>0</v>
          </cell>
          <cell r="BC2831" t="str">
            <v>BANPU</v>
          </cell>
          <cell r="BE2831" t="str">
            <v>Oct</v>
          </cell>
        </row>
        <row r="2832">
          <cell r="C2832" t="str">
            <v>TCC</v>
          </cell>
          <cell r="R2832">
            <v>0</v>
          </cell>
          <cell r="AZ2832">
            <v>0</v>
          </cell>
          <cell r="BA2832">
            <v>0</v>
          </cell>
          <cell r="BC2832" t="str">
            <v>BANPU</v>
          </cell>
          <cell r="BE2832" t="str">
            <v>Nov</v>
          </cell>
        </row>
        <row r="2833">
          <cell r="C2833" t="str">
            <v>TCC</v>
          </cell>
          <cell r="R2833">
            <v>0</v>
          </cell>
          <cell r="AZ2833">
            <v>0</v>
          </cell>
          <cell r="BA2833">
            <v>0</v>
          </cell>
          <cell r="BC2833" t="str">
            <v>BANPU</v>
          </cell>
          <cell r="BE2833" t="str">
            <v>Dec</v>
          </cell>
        </row>
        <row r="2834">
          <cell r="C2834" t="str">
            <v>TCC (BPI)_JBG</v>
          </cell>
          <cell r="R2834">
            <v>0</v>
          </cell>
          <cell r="AZ2834">
            <v>0</v>
          </cell>
          <cell r="BA2834">
            <v>0</v>
          </cell>
          <cell r="BC2834" t="str">
            <v>GOLD</v>
          </cell>
          <cell r="BE2834" t="str">
            <v>Jan</v>
          </cell>
        </row>
        <row r="2835">
          <cell r="C2835" t="str">
            <v>TCC (BPI)_JBG</v>
          </cell>
          <cell r="R2835">
            <v>0</v>
          </cell>
          <cell r="AZ2835">
            <v>0</v>
          </cell>
          <cell r="BA2835">
            <v>0</v>
          </cell>
          <cell r="BC2835" t="str">
            <v>GOLD</v>
          </cell>
          <cell r="BE2835" t="str">
            <v>Feb</v>
          </cell>
        </row>
        <row r="2836">
          <cell r="C2836" t="str">
            <v>TCC (BPI)_JBG</v>
          </cell>
          <cell r="R2836">
            <v>0</v>
          </cell>
          <cell r="AZ2836">
            <v>0</v>
          </cell>
          <cell r="BA2836">
            <v>0</v>
          </cell>
          <cell r="BC2836" t="str">
            <v>GOLD</v>
          </cell>
          <cell r="BE2836" t="str">
            <v>Mar</v>
          </cell>
        </row>
        <row r="2837">
          <cell r="C2837" t="str">
            <v>TCC (BPI)_JBG</v>
          </cell>
          <cell r="R2837">
            <v>0</v>
          </cell>
          <cell r="AZ2837">
            <v>0</v>
          </cell>
          <cell r="BA2837">
            <v>0</v>
          </cell>
          <cell r="BC2837" t="str">
            <v>GOLD</v>
          </cell>
          <cell r="BE2837" t="str">
            <v>Apr</v>
          </cell>
        </row>
        <row r="2838">
          <cell r="C2838" t="str">
            <v>TCC (BPI)_JBG</v>
          </cell>
          <cell r="R2838">
            <v>31200</v>
          </cell>
          <cell r="AZ2838">
            <v>-93600</v>
          </cell>
          <cell r="BA2838">
            <v>-11057.548387096773</v>
          </cell>
          <cell r="BC2838" t="str">
            <v>GOLD</v>
          </cell>
          <cell r="BE2838" t="str">
            <v>May</v>
          </cell>
        </row>
        <row r="2839">
          <cell r="C2839" t="str">
            <v>TCC (BPI)_JBG</v>
          </cell>
          <cell r="R2839">
            <v>0</v>
          </cell>
          <cell r="AZ2839">
            <v>0</v>
          </cell>
          <cell r="BA2839">
            <v>0</v>
          </cell>
          <cell r="BC2839" t="str">
            <v>GOLD</v>
          </cell>
          <cell r="BE2839" t="str">
            <v>Jun</v>
          </cell>
        </row>
        <row r="2840">
          <cell r="C2840" t="str">
            <v>TCC (BPI)_JBG</v>
          </cell>
          <cell r="R2840">
            <v>0</v>
          </cell>
          <cell r="AZ2840">
            <v>0</v>
          </cell>
          <cell r="BA2840">
            <v>0</v>
          </cell>
          <cell r="BC2840" t="str">
            <v>GOLD</v>
          </cell>
          <cell r="BE2840" t="str">
            <v>Jul</v>
          </cell>
        </row>
        <row r="2841">
          <cell r="C2841" t="str">
            <v>TCC (BPI)_JBG</v>
          </cell>
          <cell r="R2841">
            <v>0</v>
          </cell>
          <cell r="AZ2841">
            <v>0</v>
          </cell>
          <cell r="BA2841">
            <v>0</v>
          </cell>
          <cell r="BC2841" t="str">
            <v>GOLD</v>
          </cell>
          <cell r="BE2841" t="str">
            <v>Aug</v>
          </cell>
        </row>
        <row r="2842">
          <cell r="C2842" t="str">
            <v>TCC (BPI)_JBG</v>
          </cell>
          <cell r="R2842">
            <v>31200</v>
          </cell>
          <cell r="AZ2842">
            <v>-93600</v>
          </cell>
          <cell r="BA2842">
            <v>-11057.548387096773</v>
          </cell>
          <cell r="BC2842" t="str">
            <v>GOLD</v>
          </cell>
          <cell r="BE2842" t="str">
            <v>Sep</v>
          </cell>
        </row>
        <row r="2843">
          <cell r="C2843" t="str">
            <v>TCC (BPI)_JBG</v>
          </cell>
          <cell r="R2843">
            <v>0</v>
          </cell>
          <cell r="AZ2843">
            <v>0</v>
          </cell>
          <cell r="BA2843">
            <v>0</v>
          </cell>
          <cell r="BC2843" t="str">
            <v>GOLD</v>
          </cell>
          <cell r="BE2843" t="str">
            <v>Oct</v>
          </cell>
        </row>
        <row r="2844">
          <cell r="C2844" t="str">
            <v>TCC (BPI)_JBG</v>
          </cell>
          <cell r="R2844">
            <v>31200</v>
          </cell>
          <cell r="AZ2844">
            <v>-93600</v>
          </cell>
          <cell r="BA2844">
            <v>-11057.548387096773</v>
          </cell>
          <cell r="BC2844" t="str">
            <v>GOLD</v>
          </cell>
          <cell r="BE2844" t="str">
            <v>Nov</v>
          </cell>
        </row>
        <row r="2845">
          <cell r="C2845" t="str">
            <v>TCC (BPI)_JBG</v>
          </cell>
          <cell r="R2845">
            <v>0</v>
          </cell>
          <cell r="AZ2845">
            <v>0</v>
          </cell>
          <cell r="BA2845">
            <v>0</v>
          </cell>
          <cell r="BC2845" t="str">
            <v>GOLD</v>
          </cell>
          <cell r="BE2845" t="str">
            <v>Dec</v>
          </cell>
        </row>
        <row r="2846">
          <cell r="C2846" t="str">
            <v>TCC</v>
          </cell>
          <cell r="R2846">
            <v>0</v>
          </cell>
          <cell r="AZ2846">
            <v>0</v>
          </cell>
          <cell r="BA2846">
            <v>0</v>
          </cell>
          <cell r="BC2846" t="str">
            <v>BANPU</v>
          </cell>
          <cell r="BE2846" t="str">
            <v>Jan</v>
          </cell>
        </row>
        <row r="2847">
          <cell r="C2847" t="str">
            <v>TCC</v>
          </cell>
          <cell r="R2847">
            <v>0</v>
          </cell>
          <cell r="AZ2847">
            <v>0</v>
          </cell>
          <cell r="BA2847">
            <v>0</v>
          </cell>
          <cell r="BC2847" t="str">
            <v>BANPU</v>
          </cell>
          <cell r="BE2847" t="str">
            <v>Feb</v>
          </cell>
        </row>
        <row r="2848">
          <cell r="C2848" t="str">
            <v>TCC</v>
          </cell>
          <cell r="R2848">
            <v>0</v>
          </cell>
          <cell r="AZ2848">
            <v>0</v>
          </cell>
          <cell r="BA2848">
            <v>0</v>
          </cell>
          <cell r="BC2848" t="str">
            <v>BANPU</v>
          </cell>
          <cell r="BE2848" t="str">
            <v>Mar</v>
          </cell>
        </row>
        <row r="2849">
          <cell r="C2849" t="str">
            <v>TCC</v>
          </cell>
          <cell r="R2849">
            <v>0</v>
          </cell>
          <cell r="AZ2849">
            <v>0</v>
          </cell>
          <cell r="BA2849">
            <v>0</v>
          </cell>
          <cell r="BC2849" t="str">
            <v>BANPU</v>
          </cell>
          <cell r="BE2849" t="str">
            <v>Apr</v>
          </cell>
        </row>
        <row r="2850">
          <cell r="C2850" t="str">
            <v>TCC</v>
          </cell>
          <cell r="R2850">
            <v>31200</v>
          </cell>
          <cell r="AZ2850">
            <v>0</v>
          </cell>
          <cell r="BA2850">
            <v>0</v>
          </cell>
          <cell r="BC2850" t="str">
            <v>BANPU</v>
          </cell>
          <cell r="BE2850" t="str">
            <v>May</v>
          </cell>
        </row>
        <row r="2851">
          <cell r="C2851" t="str">
            <v>TCC</v>
          </cell>
          <cell r="R2851">
            <v>0</v>
          </cell>
          <cell r="AZ2851">
            <v>0</v>
          </cell>
          <cell r="BA2851">
            <v>0</v>
          </cell>
          <cell r="BC2851" t="str">
            <v>BANPU</v>
          </cell>
          <cell r="BE2851" t="str">
            <v>Jun</v>
          </cell>
        </row>
        <row r="2852">
          <cell r="C2852" t="str">
            <v>TCC</v>
          </cell>
          <cell r="R2852">
            <v>0</v>
          </cell>
          <cell r="AZ2852">
            <v>0</v>
          </cell>
          <cell r="BA2852">
            <v>0</v>
          </cell>
          <cell r="BC2852" t="str">
            <v>BANPU</v>
          </cell>
          <cell r="BE2852" t="str">
            <v>Jul</v>
          </cell>
        </row>
        <row r="2853">
          <cell r="C2853" t="str">
            <v>TCC</v>
          </cell>
          <cell r="R2853">
            <v>0</v>
          </cell>
          <cell r="AZ2853">
            <v>0</v>
          </cell>
          <cell r="BA2853">
            <v>0</v>
          </cell>
          <cell r="BC2853" t="str">
            <v>BANPU</v>
          </cell>
          <cell r="BE2853" t="str">
            <v>Aug</v>
          </cell>
        </row>
        <row r="2854">
          <cell r="C2854" t="str">
            <v>TCC</v>
          </cell>
          <cell r="R2854">
            <v>31200</v>
          </cell>
          <cell r="AZ2854">
            <v>0</v>
          </cell>
          <cell r="BA2854">
            <v>0</v>
          </cell>
          <cell r="BC2854" t="str">
            <v>BANPU</v>
          </cell>
          <cell r="BE2854" t="str">
            <v>Sep</v>
          </cell>
        </row>
        <row r="2855">
          <cell r="C2855" t="str">
            <v>TCC</v>
          </cell>
          <cell r="R2855">
            <v>0</v>
          </cell>
          <cell r="AZ2855">
            <v>0</v>
          </cell>
          <cell r="BA2855">
            <v>0</v>
          </cell>
          <cell r="BC2855" t="str">
            <v>BANPU</v>
          </cell>
          <cell r="BE2855" t="str">
            <v>Oct</v>
          </cell>
        </row>
        <row r="2856">
          <cell r="C2856" t="str">
            <v>TCC</v>
          </cell>
          <cell r="R2856">
            <v>31200</v>
          </cell>
          <cell r="AZ2856">
            <v>0</v>
          </cell>
          <cell r="BA2856">
            <v>0</v>
          </cell>
          <cell r="BC2856" t="str">
            <v>BANPU</v>
          </cell>
          <cell r="BE2856" t="str">
            <v>Nov</v>
          </cell>
        </row>
        <row r="2857">
          <cell r="C2857" t="str">
            <v>TCC</v>
          </cell>
          <cell r="R2857">
            <v>0</v>
          </cell>
          <cell r="AZ2857">
            <v>0</v>
          </cell>
          <cell r="BA2857">
            <v>0</v>
          </cell>
          <cell r="BC2857" t="str">
            <v>BANPU</v>
          </cell>
          <cell r="BE2857" t="str">
            <v>Dec</v>
          </cell>
        </row>
        <row r="2858">
          <cell r="C2858" t="str">
            <v>TCC (BPI)_JBG</v>
          </cell>
          <cell r="R2858">
            <v>0</v>
          </cell>
          <cell r="AZ2858">
            <v>0</v>
          </cell>
          <cell r="BA2858">
            <v>0</v>
          </cell>
          <cell r="BC2858" t="str">
            <v>GOLD</v>
          </cell>
          <cell r="BE2858" t="str">
            <v>Jan</v>
          </cell>
        </row>
        <row r="2859">
          <cell r="C2859" t="str">
            <v>TCC (BPI)_JBG</v>
          </cell>
          <cell r="R2859">
            <v>0</v>
          </cell>
          <cell r="AZ2859">
            <v>0</v>
          </cell>
          <cell r="BA2859">
            <v>0</v>
          </cell>
          <cell r="BC2859" t="str">
            <v>GOLD</v>
          </cell>
          <cell r="BE2859" t="str">
            <v>Feb</v>
          </cell>
        </row>
        <row r="2860">
          <cell r="C2860" t="str">
            <v>TCC (BPI)_JBG</v>
          </cell>
          <cell r="R2860">
            <v>0</v>
          </cell>
          <cell r="AZ2860">
            <v>0</v>
          </cell>
          <cell r="BA2860">
            <v>0</v>
          </cell>
          <cell r="BC2860" t="str">
            <v>GOLD</v>
          </cell>
          <cell r="BE2860" t="str">
            <v>Mar</v>
          </cell>
        </row>
        <row r="2861">
          <cell r="C2861" t="str">
            <v>TCC (BPI)_JBG</v>
          </cell>
          <cell r="R2861">
            <v>0</v>
          </cell>
          <cell r="AZ2861">
            <v>0</v>
          </cell>
          <cell r="BA2861">
            <v>0</v>
          </cell>
          <cell r="BC2861" t="str">
            <v>GOLD</v>
          </cell>
          <cell r="BE2861" t="str">
            <v>Apr</v>
          </cell>
        </row>
        <row r="2862">
          <cell r="C2862" t="str">
            <v>TCC (BPI)_JBG</v>
          </cell>
          <cell r="R2862">
            <v>20800</v>
          </cell>
          <cell r="AZ2862">
            <v>-62400</v>
          </cell>
          <cell r="BA2862">
            <v>-17507.784946236556</v>
          </cell>
          <cell r="BC2862" t="str">
            <v>GOLD</v>
          </cell>
          <cell r="BE2862" t="str">
            <v>May</v>
          </cell>
        </row>
        <row r="2863">
          <cell r="C2863" t="str">
            <v>TCC (BPI)_JBG</v>
          </cell>
          <cell r="R2863">
            <v>0</v>
          </cell>
          <cell r="AZ2863">
            <v>0</v>
          </cell>
          <cell r="BA2863">
            <v>0</v>
          </cell>
          <cell r="BC2863" t="str">
            <v>GOLD</v>
          </cell>
          <cell r="BE2863" t="str">
            <v>Jun</v>
          </cell>
        </row>
        <row r="2864">
          <cell r="C2864" t="str">
            <v>TCC (BPI)_JBG</v>
          </cell>
          <cell r="R2864">
            <v>0</v>
          </cell>
          <cell r="AZ2864">
            <v>0</v>
          </cell>
          <cell r="BA2864">
            <v>0</v>
          </cell>
          <cell r="BC2864" t="str">
            <v>GOLD</v>
          </cell>
          <cell r="BE2864" t="str">
            <v>Jul</v>
          </cell>
        </row>
        <row r="2865">
          <cell r="C2865" t="str">
            <v>TCC (BPI)_JBG</v>
          </cell>
          <cell r="R2865">
            <v>0</v>
          </cell>
          <cell r="AZ2865">
            <v>0</v>
          </cell>
          <cell r="BA2865">
            <v>0</v>
          </cell>
          <cell r="BC2865" t="str">
            <v>GOLD</v>
          </cell>
          <cell r="BE2865" t="str">
            <v>Aug</v>
          </cell>
        </row>
        <row r="2866">
          <cell r="C2866" t="str">
            <v>TCC (BPI)_JBG</v>
          </cell>
          <cell r="R2866">
            <v>20800</v>
          </cell>
          <cell r="AZ2866">
            <v>-62400</v>
          </cell>
          <cell r="BA2866">
            <v>-17507.784946236556</v>
          </cell>
          <cell r="BC2866" t="str">
            <v>GOLD</v>
          </cell>
          <cell r="BE2866" t="str">
            <v>Sep</v>
          </cell>
        </row>
        <row r="2867">
          <cell r="C2867" t="str">
            <v>TCC (BPI)_JBG</v>
          </cell>
          <cell r="R2867">
            <v>0</v>
          </cell>
          <cell r="AZ2867">
            <v>0</v>
          </cell>
          <cell r="BA2867">
            <v>0</v>
          </cell>
          <cell r="BC2867" t="str">
            <v>GOLD</v>
          </cell>
          <cell r="BE2867" t="str">
            <v>Oct</v>
          </cell>
        </row>
        <row r="2868">
          <cell r="C2868" t="str">
            <v>TCC (BPI)_JBG</v>
          </cell>
          <cell r="R2868">
            <v>20800</v>
          </cell>
          <cell r="AZ2868">
            <v>-62400</v>
          </cell>
          <cell r="BA2868">
            <v>-17507.784946236556</v>
          </cell>
          <cell r="BC2868" t="str">
            <v>GOLD</v>
          </cell>
          <cell r="BE2868" t="str">
            <v>Nov</v>
          </cell>
        </row>
        <row r="2869">
          <cell r="C2869" t="str">
            <v>TCC (BPI)_JBG</v>
          </cell>
          <cell r="R2869">
            <v>0</v>
          </cell>
          <cell r="AZ2869">
            <v>0</v>
          </cell>
          <cell r="BA2869">
            <v>0</v>
          </cell>
          <cell r="BC2869" t="str">
            <v>GOLD</v>
          </cell>
          <cell r="BE2869" t="str">
            <v>Dec</v>
          </cell>
        </row>
        <row r="2870">
          <cell r="C2870" t="str">
            <v>TCC</v>
          </cell>
          <cell r="R2870">
            <v>0</v>
          </cell>
          <cell r="AZ2870">
            <v>0</v>
          </cell>
          <cell r="BA2870">
            <v>0</v>
          </cell>
          <cell r="BC2870" t="str">
            <v>BANPU</v>
          </cell>
          <cell r="BE2870" t="str">
            <v>Jan</v>
          </cell>
        </row>
        <row r="2871">
          <cell r="C2871" t="str">
            <v>TCC</v>
          </cell>
          <cell r="R2871">
            <v>0</v>
          </cell>
          <cell r="AZ2871">
            <v>0</v>
          </cell>
          <cell r="BA2871">
            <v>0</v>
          </cell>
          <cell r="BC2871" t="str">
            <v>BANPU</v>
          </cell>
          <cell r="BE2871" t="str">
            <v>Feb</v>
          </cell>
        </row>
        <row r="2872">
          <cell r="C2872" t="str">
            <v>TCC</v>
          </cell>
          <cell r="R2872">
            <v>0</v>
          </cell>
          <cell r="AZ2872">
            <v>0</v>
          </cell>
          <cell r="BA2872">
            <v>0</v>
          </cell>
          <cell r="BC2872" t="str">
            <v>BANPU</v>
          </cell>
          <cell r="BE2872" t="str">
            <v>Mar</v>
          </cell>
        </row>
        <row r="2873">
          <cell r="C2873" t="str">
            <v>TCC</v>
          </cell>
          <cell r="R2873">
            <v>0</v>
          </cell>
          <cell r="AZ2873">
            <v>0</v>
          </cell>
          <cell r="BA2873">
            <v>0</v>
          </cell>
          <cell r="BC2873" t="str">
            <v>BANPU</v>
          </cell>
          <cell r="BE2873" t="str">
            <v>Apr</v>
          </cell>
        </row>
        <row r="2874">
          <cell r="C2874" t="str">
            <v>TCC</v>
          </cell>
          <cell r="R2874">
            <v>20800</v>
          </cell>
          <cell r="AZ2874">
            <v>0</v>
          </cell>
          <cell r="BA2874">
            <v>0</v>
          </cell>
          <cell r="BC2874" t="str">
            <v>BANPU</v>
          </cell>
          <cell r="BE2874" t="str">
            <v>May</v>
          </cell>
        </row>
        <row r="2875">
          <cell r="C2875" t="str">
            <v>TCC</v>
          </cell>
          <cell r="R2875">
            <v>0</v>
          </cell>
          <cell r="AZ2875">
            <v>0</v>
          </cell>
          <cell r="BA2875">
            <v>0</v>
          </cell>
          <cell r="BC2875" t="str">
            <v>BANPU</v>
          </cell>
          <cell r="BE2875" t="str">
            <v>Jun</v>
          </cell>
        </row>
        <row r="2876">
          <cell r="C2876" t="str">
            <v>TCC</v>
          </cell>
          <cell r="R2876">
            <v>0</v>
          </cell>
          <cell r="AZ2876">
            <v>0</v>
          </cell>
          <cell r="BA2876">
            <v>0</v>
          </cell>
          <cell r="BC2876" t="str">
            <v>BANPU</v>
          </cell>
          <cell r="BE2876" t="str">
            <v>Jul</v>
          </cell>
        </row>
        <row r="2877">
          <cell r="C2877" t="str">
            <v>TCC</v>
          </cell>
          <cell r="R2877">
            <v>0</v>
          </cell>
          <cell r="AZ2877">
            <v>0</v>
          </cell>
          <cell r="BA2877">
            <v>0</v>
          </cell>
          <cell r="BC2877" t="str">
            <v>BANPU</v>
          </cell>
          <cell r="BE2877" t="str">
            <v>Aug</v>
          </cell>
        </row>
        <row r="2878">
          <cell r="C2878" t="str">
            <v>TCC</v>
          </cell>
          <cell r="R2878">
            <v>20800</v>
          </cell>
          <cell r="AZ2878">
            <v>0</v>
          </cell>
          <cell r="BA2878">
            <v>0</v>
          </cell>
          <cell r="BC2878" t="str">
            <v>BANPU</v>
          </cell>
          <cell r="BE2878" t="str">
            <v>Sep</v>
          </cell>
        </row>
        <row r="2879">
          <cell r="C2879" t="str">
            <v>TCC</v>
          </cell>
          <cell r="R2879">
            <v>0</v>
          </cell>
          <cell r="AZ2879">
            <v>0</v>
          </cell>
          <cell r="BA2879">
            <v>0</v>
          </cell>
          <cell r="BC2879" t="str">
            <v>BANPU</v>
          </cell>
          <cell r="BE2879" t="str">
            <v>Oct</v>
          </cell>
        </row>
        <row r="2880">
          <cell r="C2880" t="str">
            <v>TCC</v>
          </cell>
          <cell r="R2880">
            <v>20800</v>
          </cell>
          <cell r="AZ2880">
            <v>0</v>
          </cell>
          <cell r="BA2880">
            <v>0</v>
          </cell>
          <cell r="BC2880" t="str">
            <v>BANPU</v>
          </cell>
          <cell r="BE2880" t="str">
            <v>Nov</v>
          </cell>
        </row>
        <row r="2881">
          <cell r="C2881" t="str">
            <v>TCC</v>
          </cell>
          <cell r="R2881">
            <v>0</v>
          </cell>
          <cell r="AZ2881">
            <v>0</v>
          </cell>
          <cell r="BA2881">
            <v>0</v>
          </cell>
          <cell r="BC2881" t="str">
            <v>BANPU</v>
          </cell>
          <cell r="BE2881" t="str">
            <v>Dec</v>
          </cell>
        </row>
        <row r="2882">
          <cell r="C2882" t="str">
            <v>TCC (BPI)_JBG</v>
          </cell>
          <cell r="R2882">
            <v>0</v>
          </cell>
          <cell r="AZ2882">
            <v>0</v>
          </cell>
          <cell r="BA2882">
            <v>0</v>
          </cell>
          <cell r="BC2882" t="str">
            <v>GOLD</v>
          </cell>
          <cell r="BE2882" t="str">
            <v>Jan</v>
          </cell>
        </row>
        <row r="2883">
          <cell r="C2883" t="str">
            <v>TCC (BPI)_JBG</v>
          </cell>
          <cell r="R2883">
            <v>0</v>
          </cell>
          <cell r="AZ2883">
            <v>0</v>
          </cell>
          <cell r="BA2883">
            <v>0</v>
          </cell>
          <cell r="BC2883" t="str">
            <v>GOLD</v>
          </cell>
          <cell r="BE2883" t="str">
            <v>Feb</v>
          </cell>
        </row>
        <row r="2884">
          <cell r="C2884" t="str">
            <v>TCC (BPI)_JBG</v>
          </cell>
          <cell r="R2884">
            <v>0</v>
          </cell>
          <cell r="AZ2884">
            <v>0</v>
          </cell>
          <cell r="BA2884">
            <v>0</v>
          </cell>
          <cell r="BC2884" t="str">
            <v>GOLD</v>
          </cell>
          <cell r="BE2884" t="str">
            <v>Mar</v>
          </cell>
        </row>
        <row r="2885">
          <cell r="C2885" t="str">
            <v>TCC (BPI)_JBG</v>
          </cell>
          <cell r="R2885">
            <v>0</v>
          </cell>
          <cell r="AZ2885">
            <v>0</v>
          </cell>
          <cell r="BA2885">
            <v>0</v>
          </cell>
          <cell r="BC2885" t="str">
            <v>GOLD</v>
          </cell>
          <cell r="BE2885" t="str">
            <v>Apr</v>
          </cell>
        </row>
        <row r="2886">
          <cell r="C2886" t="str">
            <v>TCC (BPI)_JBG</v>
          </cell>
          <cell r="R2886">
            <v>0</v>
          </cell>
          <cell r="AZ2886">
            <v>0</v>
          </cell>
          <cell r="BA2886">
            <v>0</v>
          </cell>
          <cell r="BC2886" t="str">
            <v>GOLD</v>
          </cell>
          <cell r="BE2886" t="str">
            <v>May</v>
          </cell>
        </row>
        <row r="2887">
          <cell r="C2887" t="str">
            <v>TCC (BPI)_JBG</v>
          </cell>
          <cell r="R2887">
            <v>0</v>
          </cell>
          <cell r="AZ2887">
            <v>0</v>
          </cell>
          <cell r="BA2887">
            <v>0</v>
          </cell>
          <cell r="BC2887" t="str">
            <v>GOLD</v>
          </cell>
          <cell r="BE2887" t="str">
            <v>Jun</v>
          </cell>
        </row>
        <row r="2888">
          <cell r="C2888" t="str">
            <v>TCC (BPI)_JBG</v>
          </cell>
          <cell r="R2888">
            <v>31200</v>
          </cell>
          <cell r="AZ2888">
            <v>-93600</v>
          </cell>
          <cell r="BA2888">
            <v>-10504.325203252034</v>
          </cell>
          <cell r="BC2888" t="str">
            <v>GOLD</v>
          </cell>
          <cell r="BE2888" t="str">
            <v>Jul</v>
          </cell>
        </row>
        <row r="2889">
          <cell r="C2889" t="str">
            <v>TCC (BPI)_JBG</v>
          </cell>
          <cell r="R2889">
            <v>31200</v>
          </cell>
          <cell r="AZ2889">
            <v>-93600</v>
          </cell>
          <cell r="BA2889">
            <v>-10504.325203252034</v>
          </cell>
          <cell r="BC2889" t="str">
            <v>GOLD</v>
          </cell>
          <cell r="BE2889" t="str">
            <v>Aug</v>
          </cell>
        </row>
        <row r="2890">
          <cell r="C2890" t="str">
            <v>TCC (BPI)_JBG</v>
          </cell>
          <cell r="R2890">
            <v>0</v>
          </cell>
          <cell r="AZ2890">
            <v>0</v>
          </cell>
          <cell r="BA2890">
            <v>0</v>
          </cell>
          <cell r="BC2890" t="str">
            <v>GOLD</v>
          </cell>
          <cell r="BE2890" t="str">
            <v>Sep</v>
          </cell>
        </row>
        <row r="2891">
          <cell r="C2891" t="str">
            <v>TCC (BPI)_JBG</v>
          </cell>
          <cell r="R2891">
            <v>0</v>
          </cell>
          <cell r="AZ2891">
            <v>0</v>
          </cell>
          <cell r="BA2891">
            <v>0</v>
          </cell>
          <cell r="BC2891" t="str">
            <v>GOLD</v>
          </cell>
          <cell r="BE2891" t="str">
            <v>Oct</v>
          </cell>
        </row>
        <row r="2892">
          <cell r="C2892" t="str">
            <v>TCC (BPI)_JBG</v>
          </cell>
          <cell r="R2892">
            <v>0</v>
          </cell>
          <cell r="AZ2892">
            <v>0</v>
          </cell>
          <cell r="BA2892">
            <v>0</v>
          </cell>
          <cell r="BC2892" t="str">
            <v>GOLD</v>
          </cell>
          <cell r="BE2892" t="str">
            <v>Nov</v>
          </cell>
        </row>
        <row r="2893">
          <cell r="C2893" t="str">
            <v>TCC (BPI)_JBG</v>
          </cell>
          <cell r="R2893">
            <v>0</v>
          </cell>
          <cell r="AZ2893">
            <v>0</v>
          </cell>
          <cell r="BA2893">
            <v>0</v>
          </cell>
          <cell r="BC2893" t="str">
            <v>GOLD</v>
          </cell>
          <cell r="BE2893" t="str">
            <v>Dec</v>
          </cell>
        </row>
        <row r="2894">
          <cell r="C2894" t="str">
            <v>TCC</v>
          </cell>
          <cell r="R2894">
            <v>0</v>
          </cell>
          <cell r="AZ2894">
            <v>0</v>
          </cell>
          <cell r="BA2894">
            <v>0</v>
          </cell>
          <cell r="BC2894" t="str">
            <v>BANPU</v>
          </cell>
          <cell r="BE2894" t="str">
            <v>Jan</v>
          </cell>
        </row>
        <row r="2895">
          <cell r="C2895" t="str">
            <v>TCC</v>
          </cell>
          <cell r="R2895">
            <v>0</v>
          </cell>
          <cell r="AZ2895">
            <v>0</v>
          </cell>
          <cell r="BA2895">
            <v>0</v>
          </cell>
          <cell r="BC2895" t="str">
            <v>BANPU</v>
          </cell>
          <cell r="BE2895" t="str">
            <v>Feb</v>
          </cell>
        </row>
        <row r="2896">
          <cell r="C2896" t="str">
            <v>TCC</v>
          </cell>
          <cell r="R2896">
            <v>0</v>
          </cell>
          <cell r="AZ2896">
            <v>0</v>
          </cell>
          <cell r="BA2896">
            <v>0</v>
          </cell>
          <cell r="BC2896" t="str">
            <v>BANPU</v>
          </cell>
          <cell r="BE2896" t="str">
            <v>Mar</v>
          </cell>
        </row>
        <row r="2897">
          <cell r="C2897" t="str">
            <v>TCC</v>
          </cell>
          <cell r="R2897">
            <v>0</v>
          </cell>
          <cell r="AZ2897">
            <v>0</v>
          </cell>
          <cell r="BA2897">
            <v>0</v>
          </cell>
          <cell r="BC2897" t="str">
            <v>BANPU</v>
          </cell>
          <cell r="BE2897" t="str">
            <v>Apr</v>
          </cell>
        </row>
        <row r="2898">
          <cell r="C2898" t="str">
            <v>TCC</v>
          </cell>
          <cell r="R2898">
            <v>0</v>
          </cell>
          <cell r="AZ2898">
            <v>0</v>
          </cell>
          <cell r="BA2898">
            <v>0</v>
          </cell>
          <cell r="BC2898" t="str">
            <v>BANPU</v>
          </cell>
          <cell r="BE2898" t="str">
            <v>May</v>
          </cell>
        </row>
        <row r="2899">
          <cell r="C2899" t="str">
            <v>TCC</v>
          </cell>
          <cell r="R2899">
            <v>0</v>
          </cell>
          <cell r="AZ2899">
            <v>0</v>
          </cell>
          <cell r="BA2899">
            <v>0</v>
          </cell>
          <cell r="BC2899" t="str">
            <v>BANPU</v>
          </cell>
          <cell r="BE2899" t="str">
            <v>Jun</v>
          </cell>
        </row>
        <row r="2900">
          <cell r="C2900" t="str">
            <v>TCC</v>
          </cell>
          <cell r="R2900">
            <v>31200</v>
          </cell>
          <cell r="AZ2900">
            <v>0</v>
          </cell>
          <cell r="BA2900">
            <v>0</v>
          </cell>
          <cell r="BC2900" t="str">
            <v>BANPU</v>
          </cell>
          <cell r="BE2900" t="str">
            <v>Jul</v>
          </cell>
        </row>
        <row r="2901">
          <cell r="C2901" t="str">
            <v>TCC</v>
          </cell>
          <cell r="R2901">
            <v>31200</v>
          </cell>
          <cell r="AZ2901">
            <v>0</v>
          </cell>
          <cell r="BA2901">
            <v>0</v>
          </cell>
          <cell r="BC2901" t="str">
            <v>BANPU</v>
          </cell>
          <cell r="BE2901" t="str">
            <v>Aug</v>
          </cell>
        </row>
        <row r="2902">
          <cell r="C2902" t="str">
            <v>TCC</v>
          </cell>
          <cell r="R2902">
            <v>0</v>
          </cell>
          <cell r="AZ2902">
            <v>0</v>
          </cell>
          <cell r="BA2902">
            <v>0</v>
          </cell>
          <cell r="BC2902" t="str">
            <v>BANPU</v>
          </cell>
          <cell r="BE2902" t="str">
            <v>Sep</v>
          </cell>
        </row>
        <row r="2903">
          <cell r="C2903" t="str">
            <v>TCC</v>
          </cell>
          <cell r="R2903">
            <v>0</v>
          </cell>
          <cell r="AZ2903">
            <v>0</v>
          </cell>
          <cell r="BA2903">
            <v>0</v>
          </cell>
          <cell r="BC2903" t="str">
            <v>BANPU</v>
          </cell>
          <cell r="BE2903" t="str">
            <v>Oct</v>
          </cell>
        </row>
        <row r="2904">
          <cell r="C2904" t="str">
            <v>TCC</v>
          </cell>
          <cell r="R2904">
            <v>0</v>
          </cell>
          <cell r="AZ2904">
            <v>0</v>
          </cell>
          <cell r="BA2904">
            <v>0</v>
          </cell>
          <cell r="BC2904" t="str">
            <v>BANPU</v>
          </cell>
          <cell r="BE2904" t="str">
            <v>Nov</v>
          </cell>
        </row>
        <row r="2905">
          <cell r="C2905" t="str">
            <v>TCC</v>
          </cell>
          <cell r="R2905">
            <v>0</v>
          </cell>
          <cell r="AZ2905">
            <v>0</v>
          </cell>
          <cell r="BA2905">
            <v>0</v>
          </cell>
          <cell r="BC2905" t="str">
            <v>BANPU</v>
          </cell>
          <cell r="BE2905" t="str">
            <v>Dec</v>
          </cell>
        </row>
        <row r="2906">
          <cell r="C2906" t="str">
            <v>TCC (BPI)_JBG</v>
          </cell>
          <cell r="R2906">
            <v>0</v>
          </cell>
          <cell r="AZ2906">
            <v>0</v>
          </cell>
          <cell r="BA2906">
            <v>0</v>
          </cell>
          <cell r="BC2906" t="str">
            <v>GOLD</v>
          </cell>
          <cell r="BE2906" t="str">
            <v>Jan</v>
          </cell>
        </row>
        <row r="2907">
          <cell r="C2907" t="str">
            <v>TCC (BPI)_JBG</v>
          </cell>
          <cell r="R2907">
            <v>0</v>
          </cell>
          <cell r="AZ2907">
            <v>0</v>
          </cell>
          <cell r="BA2907">
            <v>0</v>
          </cell>
          <cell r="BC2907" t="str">
            <v>GOLD</v>
          </cell>
          <cell r="BE2907" t="str">
            <v>Feb</v>
          </cell>
        </row>
        <row r="2908">
          <cell r="C2908" t="str">
            <v>TCC (BPI)_JBG</v>
          </cell>
          <cell r="R2908">
            <v>0</v>
          </cell>
          <cell r="AZ2908">
            <v>0</v>
          </cell>
          <cell r="BA2908">
            <v>0</v>
          </cell>
          <cell r="BC2908" t="str">
            <v>GOLD</v>
          </cell>
          <cell r="BE2908" t="str">
            <v>Mar</v>
          </cell>
        </row>
        <row r="2909">
          <cell r="C2909" t="str">
            <v>TCC (BPI)_JBG</v>
          </cell>
          <cell r="R2909">
            <v>0</v>
          </cell>
          <cell r="AZ2909">
            <v>0</v>
          </cell>
          <cell r="BA2909">
            <v>0</v>
          </cell>
          <cell r="BC2909" t="str">
            <v>GOLD</v>
          </cell>
          <cell r="BE2909" t="str">
            <v>Apr</v>
          </cell>
        </row>
        <row r="2910">
          <cell r="C2910" t="str">
            <v>TCC (BPI)_JBG</v>
          </cell>
          <cell r="R2910">
            <v>0</v>
          </cell>
          <cell r="AZ2910">
            <v>0</v>
          </cell>
          <cell r="BA2910">
            <v>0</v>
          </cell>
          <cell r="BC2910" t="str">
            <v>GOLD</v>
          </cell>
          <cell r="BE2910" t="str">
            <v>May</v>
          </cell>
        </row>
        <row r="2911">
          <cell r="C2911" t="str">
            <v>TCC (BPI)_JBG</v>
          </cell>
          <cell r="R2911">
            <v>0</v>
          </cell>
          <cell r="AZ2911">
            <v>0</v>
          </cell>
          <cell r="BA2911">
            <v>0</v>
          </cell>
          <cell r="BC2911" t="str">
            <v>GOLD</v>
          </cell>
          <cell r="BE2911" t="str">
            <v>Jun</v>
          </cell>
        </row>
        <row r="2912">
          <cell r="C2912" t="str">
            <v>TCC (BPI)_JBG</v>
          </cell>
          <cell r="R2912">
            <v>20800</v>
          </cell>
          <cell r="AZ2912">
            <v>-62400</v>
          </cell>
          <cell r="BA2912">
            <v>-18061.0081300813</v>
          </cell>
          <cell r="BC2912" t="str">
            <v>GOLD</v>
          </cell>
          <cell r="BE2912" t="str">
            <v>Jul</v>
          </cell>
        </row>
        <row r="2913">
          <cell r="C2913" t="str">
            <v>TCC (BPI)_JBG</v>
          </cell>
          <cell r="R2913">
            <v>20800</v>
          </cell>
          <cell r="AZ2913">
            <v>-62400</v>
          </cell>
          <cell r="BA2913">
            <v>-18061.0081300813</v>
          </cell>
          <cell r="BC2913" t="str">
            <v>GOLD</v>
          </cell>
          <cell r="BE2913" t="str">
            <v>Aug</v>
          </cell>
        </row>
        <row r="2914">
          <cell r="C2914" t="str">
            <v>TCC (BPI)_JBG</v>
          </cell>
          <cell r="R2914">
            <v>0</v>
          </cell>
          <cell r="AZ2914">
            <v>0</v>
          </cell>
          <cell r="BA2914">
            <v>0</v>
          </cell>
          <cell r="BC2914" t="str">
            <v>GOLD</v>
          </cell>
          <cell r="BE2914" t="str">
            <v>Sep</v>
          </cell>
        </row>
        <row r="2915">
          <cell r="C2915" t="str">
            <v>TCC (BPI)_JBG</v>
          </cell>
          <cell r="R2915">
            <v>0</v>
          </cell>
          <cell r="AZ2915">
            <v>0</v>
          </cell>
          <cell r="BA2915">
            <v>0</v>
          </cell>
          <cell r="BC2915" t="str">
            <v>GOLD</v>
          </cell>
          <cell r="BE2915" t="str">
            <v>Oct</v>
          </cell>
        </row>
        <row r="2916">
          <cell r="C2916" t="str">
            <v>TCC (BPI)_JBG</v>
          </cell>
          <cell r="R2916">
            <v>0</v>
          </cell>
          <cell r="AZ2916">
            <v>0</v>
          </cell>
          <cell r="BA2916">
            <v>0</v>
          </cell>
          <cell r="BC2916" t="str">
            <v>GOLD</v>
          </cell>
          <cell r="BE2916" t="str">
            <v>Nov</v>
          </cell>
        </row>
        <row r="2917">
          <cell r="C2917" t="str">
            <v>TCC (BPI)_JBG</v>
          </cell>
          <cell r="R2917">
            <v>0</v>
          </cell>
          <cell r="AZ2917">
            <v>0</v>
          </cell>
          <cell r="BA2917">
            <v>0</v>
          </cell>
          <cell r="BC2917" t="str">
            <v>GOLD</v>
          </cell>
          <cell r="BE2917" t="str">
            <v>Dec</v>
          </cell>
        </row>
        <row r="2918">
          <cell r="C2918" t="str">
            <v>TCC</v>
          </cell>
          <cell r="R2918">
            <v>0</v>
          </cell>
          <cell r="AZ2918">
            <v>0</v>
          </cell>
          <cell r="BA2918">
            <v>0</v>
          </cell>
          <cell r="BC2918" t="str">
            <v>BANPU</v>
          </cell>
          <cell r="BE2918" t="str">
            <v>Jan</v>
          </cell>
        </row>
        <row r="2919">
          <cell r="C2919" t="str">
            <v>TCC</v>
          </cell>
          <cell r="R2919">
            <v>0</v>
          </cell>
          <cell r="AZ2919">
            <v>0</v>
          </cell>
          <cell r="BA2919">
            <v>0</v>
          </cell>
          <cell r="BC2919" t="str">
            <v>BANPU</v>
          </cell>
          <cell r="BE2919" t="str">
            <v>Feb</v>
          </cell>
        </row>
        <row r="2920">
          <cell r="C2920" t="str">
            <v>TCC</v>
          </cell>
          <cell r="R2920">
            <v>0</v>
          </cell>
          <cell r="AZ2920">
            <v>0</v>
          </cell>
          <cell r="BA2920">
            <v>0</v>
          </cell>
          <cell r="BC2920" t="str">
            <v>BANPU</v>
          </cell>
          <cell r="BE2920" t="str">
            <v>Mar</v>
          </cell>
        </row>
        <row r="2921">
          <cell r="C2921" t="str">
            <v>TCC</v>
          </cell>
          <cell r="R2921">
            <v>0</v>
          </cell>
          <cell r="AZ2921">
            <v>0</v>
          </cell>
          <cell r="BA2921">
            <v>0</v>
          </cell>
          <cell r="BC2921" t="str">
            <v>BANPU</v>
          </cell>
          <cell r="BE2921" t="str">
            <v>Apr</v>
          </cell>
        </row>
        <row r="2922">
          <cell r="C2922" t="str">
            <v>TCC</v>
          </cell>
          <cell r="R2922">
            <v>0</v>
          </cell>
          <cell r="AZ2922">
            <v>0</v>
          </cell>
          <cell r="BA2922">
            <v>0</v>
          </cell>
          <cell r="BC2922" t="str">
            <v>BANPU</v>
          </cell>
          <cell r="BE2922" t="str">
            <v>May</v>
          </cell>
        </row>
        <row r="2923">
          <cell r="C2923" t="str">
            <v>TCC</v>
          </cell>
          <cell r="R2923">
            <v>0</v>
          </cell>
          <cell r="AZ2923">
            <v>0</v>
          </cell>
          <cell r="BA2923">
            <v>0</v>
          </cell>
          <cell r="BC2923" t="str">
            <v>BANPU</v>
          </cell>
          <cell r="BE2923" t="str">
            <v>Jun</v>
          </cell>
        </row>
        <row r="2924">
          <cell r="C2924" t="str">
            <v>TCC</v>
          </cell>
          <cell r="R2924">
            <v>20800</v>
          </cell>
          <cell r="AZ2924">
            <v>0</v>
          </cell>
          <cell r="BA2924">
            <v>0</v>
          </cell>
          <cell r="BC2924" t="str">
            <v>BANPU</v>
          </cell>
          <cell r="BE2924" t="str">
            <v>Jul</v>
          </cell>
        </row>
        <row r="2925">
          <cell r="C2925" t="str">
            <v>TCC</v>
          </cell>
          <cell r="R2925">
            <v>20800</v>
          </cell>
          <cell r="AZ2925">
            <v>0</v>
          </cell>
          <cell r="BA2925">
            <v>0</v>
          </cell>
          <cell r="BC2925" t="str">
            <v>BANPU</v>
          </cell>
          <cell r="BE2925" t="str">
            <v>Aug</v>
          </cell>
        </row>
        <row r="2926">
          <cell r="C2926" t="str">
            <v>TCC</v>
          </cell>
          <cell r="R2926">
            <v>0</v>
          </cell>
          <cell r="AZ2926">
            <v>0</v>
          </cell>
          <cell r="BA2926">
            <v>0</v>
          </cell>
          <cell r="BC2926" t="str">
            <v>BANPU</v>
          </cell>
          <cell r="BE2926" t="str">
            <v>Sep</v>
          </cell>
        </row>
        <row r="2927">
          <cell r="C2927" t="str">
            <v>TCC</v>
          </cell>
          <cell r="R2927">
            <v>0</v>
          </cell>
          <cell r="AZ2927">
            <v>0</v>
          </cell>
          <cell r="BA2927">
            <v>0</v>
          </cell>
          <cell r="BC2927" t="str">
            <v>BANPU</v>
          </cell>
          <cell r="BE2927" t="str">
            <v>Oct</v>
          </cell>
        </row>
        <row r="2928">
          <cell r="C2928" t="str">
            <v>TCC</v>
          </cell>
          <cell r="R2928">
            <v>0</v>
          </cell>
          <cell r="AZ2928">
            <v>0</v>
          </cell>
          <cell r="BA2928">
            <v>0</v>
          </cell>
          <cell r="BC2928" t="str">
            <v>BANPU</v>
          </cell>
          <cell r="BE2928" t="str">
            <v>Nov</v>
          </cell>
        </row>
        <row r="2929">
          <cell r="C2929" t="str">
            <v>TCC</v>
          </cell>
          <cell r="R2929">
            <v>0</v>
          </cell>
          <cell r="AZ2929">
            <v>0</v>
          </cell>
          <cell r="BA2929">
            <v>0</v>
          </cell>
          <cell r="BC2929" t="str">
            <v>BANPU</v>
          </cell>
          <cell r="BE2929" t="str">
            <v>Dec</v>
          </cell>
        </row>
        <row r="2930">
          <cell r="C2930" t="str">
            <v>TCC (CMMC)_KTD</v>
          </cell>
          <cell r="R2930">
            <v>0</v>
          </cell>
          <cell r="AZ2930">
            <v>0</v>
          </cell>
          <cell r="BA2930">
            <v>0</v>
          </cell>
          <cell r="BC2930" t="str">
            <v>GOLD</v>
          </cell>
          <cell r="BE2930" t="str">
            <v>Jan</v>
          </cell>
        </row>
        <row r="2931">
          <cell r="C2931" t="str">
            <v>TCC (CMMC)_KTD</v>
          </cell>
          <cell r="R2931">
            <v>28600.000000000004</v>
          </cell>
          <cell r="AZ2931">
            <v>-85800.000000000015</v>
          </cell>
          <cell r="BA2931">
            <v>-21868.105943600873</v>
          </cell>
          <cell r="BC2931" t="str">
            <v>GOLD</v>
          </cell>
          <cell r="BE2931" t="str">
            <v>Feb</v>
          </cell>
        </row>
        <row r="2932">
          <cell r="C2932" t="str">
            <v>TCC (CMMC)_KTD</v>
          </cell>
          <cell r="R2932">
            <v>0</v>
          </cell>
          <cell r="AZ2932">
            <v>0</v>
          </cell>
          <cell r="BA2932">
            <v>0</v>
          </cell>
          <cell r="BC2932" t="str">
            <v>GOLD</v>
          </cell>
          <cell r="BE2932" t="str">
            <v>Mar</v>
          </cell>
        </row>
        <row r="2933">
          <cell r="C2933" t="str">
            <v>TCC (CMMC)_KTD</v>
          </cell>
          <cell r="R2933">
            <v>0</v>
          </cell>
          <cell r="AZ2933">
            <v>0</v>
          </cell>
          <cell r="BA2933">
            <v>0</v>
          </cell>
          <cell r="BC2933" t="str">
            <v>GOLD</v>
          </cell>
          <cell r="BE2933" t="str">
            <v>Apr</v>
          </cell>
        </row>
        <row r="2934">
          <cell r="C2934" t="str">
            <v>TCC (CMMC)_KTD</v>
          </cell>
          <cell r="R2934">
            <v>0</v>
          </cell>
          <cell r="AZ2934">
            <v>0</v>
          </cell>
          <cell r="BA2934">
            <v>0</v>
          </cell>
          <cell r="BC2934" t="str">
            <v>GOLD</v>
          </cell>
          <cell r="BE2934" t="str">
            <v>May</v>
          </cell>
        </row>
        <row r="2935">
          <cell r="C2935" t="str">
            <v>TCC (CMMC)_KTD</v>
          </cell>
          <cell r="R2935">
            <v>0</v>
          </cell>
          <cell r="AZ2935">
            <v>0</v>
          </cell>
          <cell r="BA2935">
            <v>0</v>
          </cell>
          <cell r="BC2935" t="str">
            <v>GOLD</v>
          </cell>
          <cell r="BE2935" t="str">
            <v>Jun</v>
          </cell>
        </row>
        <row r="2936">
          <cell r="C2936" t="str">
            <v>TCC (CMMC)_KTD</v>
          </cell>
          <cell r="R2936">
            <v>0</v>
          </cell>
          <cell r="AZ2936">
            <v>0</v>
          </cell>
          <cell r="BA2936">
            <v>0</v>
          </cell>
          <cell r="BC2936" t="str">
            <v>GOLD</v>
          </cell>
          <cell r="BE2936" t="str">
            <v>Jul</v>
          </cell>
        </row>
        <row r="2937">
          <cell r="C2937" t="str">
            <v>TCC (CMMC)_KTD</v>
          </cell>
          <cell r="R2937">
            <v>0</v>
          </cell>
          <cell r="AZ2937">
            <v>0</v>
          </cell>
          <cell r="BA2937">
            <v>0</v>
          </cell>
          <cell r="BC2937" t="str">
            <v>GOLD</v>
          </cell>
          <cell r="BE2937" t="str">
            <v>Aug</v>
          </cell>
        </row>
        <row r="2938">
          <cell r="C2938" t="str">
            <v>TCC (CMMC)_KTD</v>
          </cell>
          <cell r="R2938">
            <v>0</v>
          </cell>
          <cell r="AZ2938">
            <v>0</v>
          </cell>
          <cell r="BA2938">
            <v>0</v>
          </cell>
          <cell r="BC2938" t="str">
            <v>GOLD</v>
          </cell>
          <cell r="BE2938" t="str">
            <v>Sep</v>
          </cell>
        </row>
        <row r="2939">
          <cell r="C2939" t="str">
            <v>TCC (CMMC)_KTD</v>
          </cell>
          <cell r="R2939">
            <v>0</v>
          </cell>
          <cell r="AZ2939">
            <v>0</v>
          </cell>
          <cell r="BA2939">
            <v>0</v>
          </cell>
          <cell r="BC2939" t="str">
            <v>GOLD</v>
          </cell>
          <cell r="BE2939" t="str">
            <v>Oct</v>
          </cell>
        </row>
        <row r="2940">
          <cell r="C2940" t="str">
            <v>TCC (CMMC)_KTD</v>
          </cell>
          <cell r="R2940">
            <v>0</v>
          </cell>
          <cell r="AZ2940">
            <v>0</v>
          </cell>
          <cell r="BA2940">
            <v>0</v>
          </cell>
          <cell r="BC2940" t="str">
            <v>GOLD</v>
          </cell>
          <cell r="BE2940" t="str">
            <v>Nov</v>
          </cell>
        </row>
        <row r="2941">
          <cell r="C2941" t="str">
            <v>TCC (CMMC)_KTD</v>
          </cell>
          <cell r="R2941">
            <v>0</v>
          </cell>
          <cell r="AZ2941">
            <v>0</v>
          </cell>
          <cell r="BA2941">
            <v>0</v>
          </cell>
          <cell r="BC2941" t="str">
            <v>GOLD</v>
          </cell>
          <cell r="BE2941" t="str">
            <v>Dec</v>
          </cell>
        </row>
        <row r="2942">
          <cell r="C2942" t="str">
            <v>TCC</v>
          </cell>
          <cell r="R2942">
            <v>0</v>
          </cell>
          <cell r="AZ2942">
            <v>0</v>
          </cell>
          <cell r="BA2942">
            <v>0</v>
          </cell>
          <cell r="BC2942" t="str">
            <v>BANPU</v>
          </cell>
          <cell r="BE2942" t="str">
            <v>Jan</v>
          </cell>
        </row>
        <row r="2943">
          <cell r="C2943" t="str">
            <v>TCC</v>
          </cell>
          <cell r="R2943">
            <v>28600.000000000004</v>
          </cell>
          <cell r="AZ2943">
            <v>0</v>
          </cell>
          <cell r="BA2943">
            <v>0</v>
          </cell>
          <cell r="BC2943" t="str">
            <v>BANPU</v>
          </cell>
          <cell r="BE2943" t="str">
            <v>Feb</v>
          </cell>
        </row>
        <row r="2944">
          <cell r="C2944" t="str">
            <v>TCC</v>
          </cell>
          <cell r="R2944">
            <v>0</v>
          </cell>
          <cell r="AZ2944">
            <v>0</v>
          </cell>
          <cell r="BA2944">
            <v>0</v>
          </cell>
          <cell r="BC2944" t="str">
            <v>BANPU</v>
          </cell>
          <cell r="BE2944" t="str">
            <v>Mar</v>
          </cell>
        </row>
        <row r="2945">
          <cell r="C2945" t="str">
            <v>TCC</v>
          </cell>
          <cell r="R2945">
            <v>0</v>
          </cell>
          <cell r="AZ2945">
            <v>0</v>
          </cell>
          <cell r="BA2945">
            <v>0</v>
          </cell>
          <cell r="BC2945" t="str">
            <v>BANPU</v>
          </cell>
          <cell r="BE2945" t="str">
            <v>Apr</v>
          </cell>
        </row>
        <row r="2946">
          <cell r="C2946" t="str">
            <v>TCC</v>
          </cell>
          <cell r="R2946">
            <v>0</v>
          </cell>
          <cell r="AZ2946">
            <v>0</v>
          </cell>
          <cell r="BA2946">
            <v>0</v>
          </cell>
          <cell r="BC2946" t="str">
            <v>BANPU</v>
          </cell>
          <cell r="BE2946" t="str">
            <v>May</v>
          </cell>
        </row>
        <row r="2947">
          <cell r="C2947" t="str">
            <v>TCC</v>
          </cell>
          <cell r="R2947">
            <v>0</v>
          </cell>
          <cell r="AZ2947">
            <v>0</v>
          </cell>
          <cell r="BA2947">
            <v>0</v>
          </cell>
          <cell r="BC2947" t="str">
            <v>BANPU</v>
          </cell>
          <cell r="BE2947" t="str">
            <v>Jun</v>
          </cell>
        </row>
        <row r="2948">
          <cell r="C2948" t="str">
            <v>TCC</v>
          </cell>
          <cell r="R2948">
            <v>0</v>
          </cell>
          <cell r="AZ2948">
            <v>0</v>
          </cell>
          <cell r="BA2948">
            <v>0</v>
          </cell>
          <cell r="BC2948" t="str">
            <v>BANPU</v>
          </cell>
          <cell r="BE2948" t="str">
            <v>Jul</v>
          </cell>
        </row>
        <row r="2949">
          <cell r="C2949" t="str">
            <v>TCC</v>
          </cell>
          <cell r="R2949">
            <v>0</v>
          </cell>
          <cell r="AZ2949">
            <v>0</v>
          </cell>
          <cell r="BA2949">
            <v>0</v>
          </cell>
          <cell r="BC2949" t="str">
            <v>BANPU</v>
          </cell>
          <cell r="BE2949" t="str">
            <v>Aug</v>
          </cell>
        </row>
        <row r="2950">
          <cell r="C2950" t="str">
            <v>TCC</v>
          </cell>
          <cell r="R2950">
            <v>0</v>
          </cell>
          <cell r="AZ2950">
            <v>0</v>
          </cell>
          <cell r="BA2950">
            <v>0</v>
          </cell>
          <cell r="BC2950" t="str">
            <v>BANPU</v>
          </cell>
          <cell r="BE2950" t="str">
            <v>Sep</v>
          </cell>
        </row>
        <row r="2951">
          <cell r="C2951" t="str">
            <v>TCC</v>
          </cell>
          <cell r="R2951">
            <v>0</v>
          </cell>
          <cell r="AZ2951">
            <v>0</v>
          </cell>
          <cell r="BA2951">
            <v>0</v>
          </cell>
          <cell r="BC2951" t="str">
            <v>BANPU</v>
          </cell>
          <cell r="BE2951" t="str">
            <v>Oct</v>
          </cell>
        </row>
        <row r="2952">
          <cell r="C2952" t="str">
            <v>TCC</v>
          </cell>
          <cell r="R2952">
            <v>0</v>
          </cell>
          <cell r="AZ2952">
            <v>0</v>
          </cell>
          <cell r="BA2952">
            <v>0</v>
          </cell>
          <cell r="BC2952" t="str">
            <v>BANPU</v>
          </cell>
          <cell r="BE2952" t="str">
            <v>Nov</v>
          </cell>
        </row>
        <row r="2953">
          <cell r="C2953" t="str">
            <v>TCC</v>
          </cell>
          <cell r="R2953">
            <v>0</v>
          </cell>
          <cell r="AZ2953">
            <v>0</v>
          </cell>
          <cell r="BA2953">
            <v>0</v>
          </cell>
          <cell r="BC2953" t="str">
            <v>BANPU</v>
          </cell>
          <cell r="BE2953" t="str">
            <v>Dec</v>
          </cell>
        </row>
        <row r="2954">
          <cell r="C2954" t="str">
            <v>TCC (CMMC)_KTD</v>
          </cell>
          <cell r="R2954">
            <v>0</v>
          </cell>
          <cell r="AZ2954">
            <v>0</v>
          </cell>
          <cell r="BA2954">
            <v>0</v>
          </cell>
          <cell r="BC2954" t="str">
            <v>GOLD</v>
          </cell>
          <cell r="BE2954" t="str">
            <v>Jan</v>
          </cell>
        </row>
        <row r="2955">
          <cell r="C2955" t="str">
            <v>TCC (CMMC)_KTD</v>
          </cell>
          <cell r="R2955">
            <v>23399.999999999996</v>
          </cell>
          <cell r="AZ2955">
            <v>-70199.999999999985</v>
          </cell>
          <cell r="BA2955">
            <v>-23043.254056399128</v>
          </cell>
          <cell r="BC2955" t="str">
            <v>GOLD</v>
          </cell>
          <cell r="BE2955" t="str">
            <v>Feb</v>
          </cell>
        </row>
        <row r="2956">
          <cell r="C2956" t="str">
            <v>TCC (CMMC)_KTD</v>
          </cell>
          <cell r="R2956">
            <v>0</v>
          </cell>
          <cell r="AZ2956">
            <v>0</v>
          </cell>
          <cell r="BA2956">
            <v>0</v>
          </cell>
          <cell r="BC2956" t="str">
            <v>GOLD</v>
          </cell>
          <cell r="BE2956" t="str">
            <v>Mar</v>
          </cell>
        </row>
        <row r="2957">
          <cell r="C2957" t="str">
            <v>TCC (CMMC)_KTD</v>
          </cell>
          <cell r="R2957">
            <v>0</v>
          </cell>
          <cell r="AZ2957">
            <v>0</v>
          </cell>
          <cell r="BA2957">
            <v>0</v>
          </cell>
          <cell r="BC2957" t="str">
            <v>GOLD</v>
          </cell>
          <cell r="BE2957" t="str">
            <v>Apr</v>
          </cell>
        </row>
        <row r="2958">
          <cell r="C2958" t="str">
            <v>TCC (CMMC)_KTD</v>
          </cell>
          <cell r="R2958">
            <v>0</v>
          </cell>
          <cell r="AZ2958">
            <v>0</v>
          </cell>
          <cell r="BA2958">
            <v>0</v>
          </cell>
          <cell r="BC2958" t="str">
            <v>GOLD</v>
          </cell>
          <cell r="BE2958" t="str">
            <v>May</v>
          </cell>
        </row>
        <row r="2959">
          <cell r="C2959" t="str">
            <v>TCC (CMMC)_KTD</v>
          </cell>
          <cell r="R2959">
            <v>0</v>
          </cell>
          <cell r="AZ2959">
            <v>0</v>
          </cell>
          <cell r="BA2959">
            <v>0</v>
          </cell>
          <cell r="BC2959" t="str">
            <v>GOLD</v>
          </cell>
          <cell r="BE2959" t="str">
            <v>Jun</v>
          </cell>
        </row>
        <row r="2960">
          <cell r="C2960" t="str">
            <v>TCC (CMMC)_KTD</v>
          </cell>
          <cell r="R2960">
            <v>0</v>
          </cell>
          <cell r="AZ2960">
            <v>0</v>
          </cell>
          <cell r="BA2960">
            <v>0</v>
          </cell>
          <cell r="BC2960" t="str">
            <v>GOLD</v>
          </cell>
          <cell r="BE2960" t="str">
            <v>Jul</v>
          </cell>
        </row>
        <row r="2961">
          <cell r="C2961" t="str">
            <v>TCC (CMMC)_KTD</v>
          </cell>
          <cell r="R2961">
            <v>0</v>
          </cell>
          <cell r="AZ2961">
            <v>0</v>
          </cell>
          <cell r="BA2961">
            <v>0</v>
          </cell>
          <cell r="BC2961" t="str">
            <v>GOLD</v>
          </cell>
          <cell r="BE2961" t="str">
            <v>Aug</v>
          </cell>
        </row>
        <row r="2962">
          <cell r="C2962" t="str">
            <v>TCC (CMMC)_KTD</v>
          </cell>
          <cell r="R2962">
            <v>0</v>
          </cell>
          <cell r="AZ2962">
            <v>0</v>
          </cell>
          <cell r="BA2962">
            <v>0</v>
          </cell>
          <cell r="BC2962" t="str">
            <v>GOLD</v>
          </cell>
          <cell r="BE2962" t="str">
            <v>Sep</v>
          </cell>
        </row>
        <row r="2963">
          <cell r="C2963" t="str">
            <v>TCC (CMMC)_KTD</v>
          </cell>
          <cell r="R2963">
            <v>0</v>
          </cell>
          <cell r="AZ2963">
            <v>0</v>
          </cell>
          <cell r="BA2963">
            <v>0</v>
          </cell>
          <cell r="BC2963" t="str">
            <v>GOLD</v>
          </cell>
          <cell r="BE2963" t="str">
            <v>Oct</v>
          </cell>
        </row>
        <row r="2964">
          <cell r="C2964" t="str">
            <v>TCC (CMMC)_KTD</v>
          </cell>
          <cell r="R2964">
            <v>0</v>
          </cell>
          <cell r="AZ2964">
            <v>0</v>
          </cell>
          <cell r="BA2964">
            <v>0</v>
          </cell>
          <cell r="BC2964" t="str">
            <v>GOLD</v>
          </cell>
          <cell r="BE2964" t="str">
            <v>Nov</v>
          </cell>
        </row>
        <row r="2965">
          <cell r="C2965" t="str">
            <v>TCC (CMMC)_KTD</v>
          </cell>
          <cell r="R2965">
            <v>0</v>
          </cell>
          <cell r="AZ2965">
            <v>0</v>
          </cell>
          <cell r="BA2965">
            <v>0</v>
          </cell>
          <cell r="BC2965" t="str">
            <v>GOLD</v>
          </cell>
          <cell r="BE2965" t="str">
            <v>Dec</v>
          </cell>
        </row>
        <row r="2966">
          <cell r="C2966" t="str">
            <v>TCC</v>
          </cell>
          <cell r="R2966">
            <v>0</v>
          </cell>
          <cell r="AZ2966">
            <v>0</v>
          </cell>
          <cell r="BA2966">
            <v>0</v>
          </cell>
          <cell r="BC2966" t="str">
            <v>BANPU</v>
          </cell>
          <cell r="BE2966" t="str">
            <v>Jan</v>
          </cell>
        </row>
        <row r="2967">
          <cell r="C2967" t="str">
            <v>TCC</v>
          </cell>
          <cell r="R2967">
            <v>23399.999999999996</v>
          </cell>
          <cell r="AZ2967">
            <v>0</v>
          </cell>
          <cell r="BA2967">
            <v>0</v>
          </cell>
          <cell r="BC2967" t="str">
            <v>BANPU</v>
          </cell>
          <cell r="BE2967" t="str">
            <v>Feb</v>
          </cell>
        </row>
        <row r="2968">
          <cell r="C2968" t="str">
            <v>TCC</v>
          </cell>
          <cell r="R2968">
            <v>0</v>
          </cell>
          <cell r="AZ2968">
            <v>0</v>
          </cell>
          <cell r="BA2968">
            <v>0</v>
          </cell>
          <cell r="BC2968" t="str">
            <v>BANPU</v>
          </cell>
          <cell r="BE2968" t="str">
            <v>Mar</v>
          </cell>
        </row>
        <row r="2969">
          <cell r="C2969" t="str">
            <v>TCC</v>
          </cell>
          <cell r="R2969">
            <v>0</v>
          </cell>
          <cell r="AZ2969">
            <v>0</v>
          </cell>
          <cell r="BA2969">
            <v>0</v>
          </cell>
          <cell r="BC2969" t="str">
            <v>BANPU</v>
          </cell>
          <cell r="BE2969" t="str">
            <v>Apr</v>
          </cell>
        </row>
        <row r="2970">
          <cell r="C2970" t="str">
            <v>TCC</v>
          </cell>
          <cell r="R2970">
            <v>0</v>
          </cell>
          <cell r="AZ2970">
            <v>0</v>
          </cell>
          <cell r="BA2970">
            <v>0</v>
          </cell>
          <cell r="BC2970" t="str">
            <v>BANPU</v>
          </cell>
          <cell r="BE2970" t="str">
            <v>May</v>
          </cell>
        </row>
        <row r="2971">
          <cell r="C2971" t="str">
            <v>TCC</v>
          </cell>
          <cell r="R2971">
            <v>0</v>
          </cell>
          <cell r="AZ2971">
            <v>0</v>
          </cell>
          <cell r="BA2971">
            <v>0</v>
          </cell>
          <cell r="BC2971" t="str">
            <v>BANPU</v>
          </cell>
          <cell r="BE2971" t="str">
            <v>Jun</v>
          </cell>
        </row>
        <row r="2972">
          <cell r="C2972" t="str">
            <v>TCC</v>
          </cell>
          <cell r="R2972">
            <v>0</v>
          </cell>
          <cell r="AZ2972">
            <v>0</v>
          </cell>
          <cell r="BA2972">
            <v>0</v>
          </cell>
          <cell r="BC2972" t="str">
            <v>BANPU</v>
          </cell>
          <cell r="BE2972" t="str">
            <v>Jul</v>
          </cell>
        </row>
        <row r="2973">
          <cell r="C2973" t="str">
            <v>TCC</v>
          </cell>
          <cell r="R2973">
            <v>0</v>
          </cell>
          <cell r="AZ2973">
            <v>0</v>
          </cell>
          <cell r="BA2973">
            <v>0</v>
          </cell>
          <cell r="BC2973" t="str">
            <v>BANPU</v>
          </cell>
          <cell r="BE2973" t="str">
            <v>Aug</v>
          </cell>
        </row>
        <row r="2974">
          <cell r="C2974" t="str">
            <v>TCC</v>
          </cell>
          <cell r="R2974">
            <v>0</v>
          </cell>
          <cell r="AZ2974">
            <v>0</v>
          </cell>
          <cell r="BA2974">
            <v>0</v>
          </cell>
          <cell r="BC2974" t="str">
            <v>BANPU</v>
          </cell>
          <cell r="BE2974" t="str">
            <v>Sep</v>
          </cell>
        </row>
        <row r="2975">
          <cell r="C2975" t="str">
            <v>TCC</v>
          </cell>
          <cell r="R2975">
            <v>0</v>
          </cell>
          <cell r="AZ2975">
            <v>0</v>
          </cell>
          <cell r="BA2975">
            <v>0</v>
          </cell>
          <cell r="BC2975" t="str">
            <v>BANPU</v>
          </cell>
          <cell r="BE2975" t="str">
            <v>Oct</v>
          </cell>
        </row>
        <row r="2976">
          <cell r="C2976" t="str">
            <v>TCC</v>
          </cell>
          <cell r="R2976">
            <v>0</v>
          </cell>
          <cell r="AZ2976">
            <v>0</v>
          </cell>
          <cell r="BA2976">
            <v>0</v>
          </cell>
          <cell r="BC2976" t="str">
            <v>BANPU</v>
          </cell>
          <cell r="BE2976" t="str">
            <v>Nov</v>
          </cell>
        </row>
        <row r="2977">
          <cell r="C2977" t="str">
            <v>TCC</v>
          </cell>
          <cell r="R2977">
            <v>0</v>
          </cell>
          <cell r="AZ2977">
            <v>0</v>
          </cell>
          <cell r="BA2977">
            <v>0</v>
          </cell>
          <cell r="BC2977" t="str">
            <v>BANPU</v>
          </cell>
          <cell r="BE2977" t="str">
            <v>Dec</v>
          </cell>
        </row>
        <row r="2978">
          <cell r="C2978" t="str">
            <v>TCC (CMMC)_KTD</v>
          </cell>
          <cell r="R2978">
            <v>0</v>
          </cell>
          <cell r="AZ2978">
            <v>0</v>
          </cell>
          <cell r="BA2978">
            <v>0</v>
          </cell>
          <cell r="BC2978" t="str">
            <v>GOLD</v>
          </cell>
          <cell r="BE2978" t="str">
            <v>Jan</v>
          </cell>
        </row>
        <row r="2979">
          <cell r="C2979" t="str">
            <v>TCC (CMMC)_KTD</v>
          </cell>
          <cell r="R2979">
            <v>0</v>
          </cell>
          <cell r="AZ2979">
            <v>0</v>
          </cell>
          <cell r="BA2979">
            <v>0</v>
          </cell>
          <cell r="BC2979" t="str">
            <v>GOLD</v>
          </cell>
          <cell r="BE2979" t="str">
            <v>Feb</v>
          </cell>
        </row>
        <row r="2980">
          <cell r="C2980" t="str">
            <v>TCC (CMMC)_KTD</v>
          </cell>
          <cell r="R2980">
            <v>0</v>
          </cell>
          <cell r="AZ2980">
            <v>0</v>
          </cell>
          <cell r="BA2980">
            <v>0</v>
          </cell>
          <cell r="BC2980" t="str">
            <v>GOLD</v>
          </cell>
          <cell r="BE2980" t="str">
            <v>Mar</v>
          </cell>
        </row>
        <row r="2981">
          <cell r="C2981" t="str">
            <v>TCC (CMMC)_KTD</v>
          </cell>
          <cell r="R2981">
            <v>28600.000000000004</v>
          </cell>
          <cell r="AZ2981">
            <v>-85800.000000000015</v>
          </cell>
          <cell r="BA2981">
            <v>-17751.302268495998</v>
          </cell>
          <cell r="BC2981" t="str">
            <v>GOLD</v>
          </cell>
          <cell r="BE2981" t="str">
            <v>Apr</v>
          </cell>
        </row>
        <row r="2982">
          <cell r="C2982" t="str">
            <v>TCC (CMMC)_KTD</v>
          </cell>
          <cell r="R2982">
            <v>28600.000000000004</v>
          </cell>
          <cell r="AZ2982">
            <v>-85800.000000000015</v>
          </cell>
          <cell r="BA2982">
            <v>-17751.302268495998</v>
          </cell>
          <cell r="BC2982" t="str">
            <v>GOLD</v>
          </cell>
          <cell r="BE2982" t="str">
            <v>May</v>
          </cell>
        </row>
        <row r="2983">
          <cell r="C2983" t="str">
            <v>TCC (CMMC)_KTD</v>
          </cell>
          <cell r="R2983">
            <v>0</v>
          </cell>
          <cell r="AZ2983">
            <v>0</v>
          </cell>
          <cell r="BA2983">
            <v>0</v>
          </cell>
          <cell r="BC2983" t="str">
            <v>GOLD</v>
          </cell>
          <cell r="BE2983" t="str">
            <v>Jun</v>
          </cell>
        </row>
        <row r="2984">
          <cell r="C2984" t="str">
            <v>TCC (CMMC)_KTD</v>
          </cell>
          <cell r="R2984">
            <v>0</v>
          </cell>
          <cell r="AZ2984">
            <v>0</v>
          </cell>
          <cell r="BA2984">
            <v>0</v>
          </cell>
          <cell r="BC2984" t="str">
            <v>GOLD</v>
          </cell>
          <cell r="BE2984" t="str">
            <v>Jul</v>
          </cell>
        </row>
        <row r="2985">
          <cell r="C2985" t="str">
            <v>TCC (CMMC)_KTD</v>
          </cell>
          <cell r="R2985">
            <v>0</v>
          </cell>
          <cell r="AZ2985">
            <v>0</v>
          </cell>
          <cell r="BA2985">
            <v>0</v>
          </cell>
          <cell r="BC2985" t="str">
            <v>GOLD</v>
          </cell>
          <cell r="BE2985" t="str">
            <v>Aug</v>
          </cell>
        </row>
        <row r="2986">
          <cell r="C2986" t="str">
            <v>TCC (CMMC)_KTD</v>
          </cell>
          <cell r="R2986">
            <v>0</v>
          </cell>
          <cell r="AZ2986">
            <v>0</v>
          </cell>
          <cell r="BA2986">
            <v>0</v>
          </cell>
          <cell r="BC2986" t="str">
            <v>GOLD</v>
          </cell>
          <cell r="BE2986" t="str">
            <v>Sep</v>
          </cell>
        </row>
        <row r="2987">
          <cell r="C2987" t="str">
            <v>TCC (CMMC)_KTD</v>
          </cell>
          <cell r="R2987">
            <v>28600.000000000004</v>
          </cell>
          <cell r="AZ2987">
            <v>-85800.000000000015</v>
          </cell>
          <cell r="BA2987">
            <v>-17751.302268495998</v>
          </cell>
          <cell r="BC2987" t="str">
            <v>GOLD</v>
          </cell>
          <cell r="BE2987" t="str">
            <v>Oct</v>
          </cell>
        </row>
        <row r="2988">
          <cell r="C2988" t="str">
            <v>TCC (CMMC)_KTD</v>
          </cell>
          <cell r="R2988">
            <v>0</v>
          </cell>
          <cell r="AZ2988">
            <v>0</v>
          </cell>
          <cell r="BA2988">
            <v>0</v>
          </cell>
          <cell r="BC2988" t="str">
            <v>GOLD</v>
          </cell>
          <cell r="BE2988" t="str">
            <v>Nov</v>
          </cell>
        </row>
        <row r="2989">
          <cell r="C2989" t="str">
            <v>TCC (CMMC)_KTD</v>
          </cell>
          <cell r="R2989">
            <v>0</v>
          </cell>
          <cell r="AZ2989">
            <v>0</v>
          </cell>
          <cell r="BA2989">
            <v>0</v>
          </cell>
          <cell r="BC2989" t="str">
            <v>GOLD</v>
          </cell>
          <cell r="BE2989" t="str">
            <v>Dec</v>
          </cell>
        </row>
        <row r="2990">
          <cell r="C2990" t="str">
            <v>TCC</v>
          </cell>
          <cell r="R2990">
            <v>0</v>
          </cell>
          <cell r="AZ2990">
            <v>0</v>
          </cell>
          <cell r="BA2990">
            <v>0</v>
          </cell>
          <cell r="BC2990" t="str">
            <v>BANPU</v>
          </cell>
          <cell r="BE2990" t="str">
            <v>Jan</v>
          </cell>
        </row>
        <row r="2991">
          <cell r="C2991" t="str">
            <v>TCC</v>
          </cell>
          <cell r="R2991">
            <v>0</v>
          </cell>
          <cell r="AZ2991">
            <v>0</v>
          </cell>
          <cell r="BA2991">
            <v>0</v>
          </cell>
          <cell r="BC2991" t="str">
            <v>BANPU</v>
          </cell>
          <cell r="BE2991" t="str">
            <v>Feb</v>
          </cell>
        </row>
        <row r="2992">
          <cell r="C2992" t="str">
            <v>TCC</v>
          </cell>
          <cell r="R2992">
            <v>0</v>
          </cell>
          <cell r="AZ2992">
            <v>0</v>
          </cell>
          <cell r="BA2992">
            <v>0</v>
          </cell>
          <cell r="BC2992" t="str">
            <v>BANPU</v>
          </cell>
          <cell r="BE2992" t="str">
            <v>Mar</v>
          </cell>
        </row>
        <row r="2993">
          <cell r="C2993" t="str">
            <v>TCC</v>
          </cell>
          <cell r="R2993">
            <v>28600.000000000004</v>
          </cell>
          <cell r="AZ2993">
            <v>0</v>
          </cell>
          <cell r="BA2993">
            <v>0</v>
          </cell>
          <cell r="BC2993" t="str">
            <v>BANPU</v>
          </cell>
          <cell r="BE2993" t="str">
            <v>Apr</v>
          </cell>
        </row>
        <row r="2994">
          <cell r="C2994" t="str">
            <v>TCC</v>
          </cell>
          <cell r="R2994">
            <v>28600.000000000004</v>
          </cell>
          <cell r="AZ2994">
            <v>0</v>
          </cell>
          <cell r="BA2994">
            <v>0</v>
          </cell>
          <cell r="BC2994" t="str">
            <v>BANPU</v>
          </cell>
          <cell r="BE2994" t="str">
            <v>May</v>
          </cell>
        </row>
        <row r="2995">
          <cell r="C2995" t="str">
            <v>TCC</v>
          </cell>
          <cell r="R2995">
            <v>0</v>
          </cell>
          <cell r="AZ2995">
            <v>0</v>
          </cell>
          <cell r="BA2995">
            <v>0</v>
          </cell>
          <cell r="BC2995" t="str">
            <v>BANPU</v>
          </cell>
          <cell r="BE2995" t="str">
            <v>Jun</v>
          </cell>
        </row>
        <row r="2996">
          <cell r="C2996" t="str">
            <v>TCC</v>
          </cell>
          <cell r="R2996">
            <v>0</v>
          </cell>
          <cell r="AZ2996">
            <v>0</v>
          </cell>
          <cell r="BA2996">
            <v>0</v>
          </cell>
          <cell r="BC2996" t="str">
            <v>BANPU</v>
          </cell>
          <cell r="BE2996" t="str">
            <v>Jul</v>
          </cell>
        </row>
        <row r="2997">
          <cell r="C2997" t="str">
            <v>TCC</v>
          </cell>
          <cell r="R2997">
            <v>0</v>
          </cell>
          <cell r="AZ2997">
            <v>0</v>
          </cell>
          <cell r="BA2997">
            <v>0</v>
          </cell>
          <cell r="BC2997" t="str">
            <v>BANPU</v>
          </cell>
          <cell r="BE2997" t="str">
            <v>Aug</v>
          </cell>
        </row>
        <row r="2998">
          <cell r="C2998" t="str">
            <v>TCC</v>
          </cell>
          <cell r="R2998">
            <v>0</v>
          </cell>
          <cell r="AZ2998">
            <v>0</v>
          </cell>
          <cell r="BA2998">
            <v>0</v>
          </cell>
          <cell r="BC2998" t="str">
            <v>BANPU</v>
          </cell>
          <cell r="BE2998" t="str">
            <v>Sep</v>
          </cell>
        </row>
        <row r="2999">
          <cell r="C2999" t="str">
            <v>TCC</v>
          </cell>
          <cell r="R2999">
            <v>28600.000000000004</v>
          </cell>
          <cell r="AZ2999">
            <v>0</v>
          </cell>
          <cell r="BA2999">
            <v>0</v>
          </cell>
          <cell r="BC2999" t="str">
            <v>BANPU</v>
          </cell>
          <cell r="BE2999" t="str">
            <v>Oct</v>
          </cell>
        </row>
        <row r="3000">
          <cell r="C3000" t="str">
            <v>TCC</v>
          </cell>
          <cell r="R3000">
            <v>0</v>
          </cell>
          <cell r="AZ3000">
            <v>0</v>
          </cell>
          <cell r="BA3000">
            <v>0</v>
          </cell>
          <cell r="BC3000" t="str">
            <v>BANPU</v>
          </cell>
          <cell r="BE3000" t="str">
            <v>Nov</v>
          </cell>
        </row>
        <row r="3001">
          <cell r="C3001" t="str">
            <v>TCC</v>
          </cell>
          <cell r="R3001">
            <v>0</v>
          </cell>
          <cell r="AZ3001">
            <v>0</v>
          </cell>
          <cell r="BA3001">
            <v>0</v>
          </cell>
          <cell r="BC3001" t="str">
            <v>BANPU</v>
          </cell>
          <cell r="BE3001" t="str">
            <v>Dec</v>
          </cell>
        </row>
        <row r="3002">
          <cell r="C3002" t="str">
            <v>TCC (CMMC)_KTD</v>
          </cell>
          <cell r="R3002">
            <v>0</v>
          </cell>
          <cell r="AZ3002">
            <v>0</v>
          </cell>
          <cell r="BA3002">
            <v>0</v>
          </cell>
          <cell r="BC3002" t="str">
            <v>GOLD</v>
          </cell>
          <cell r="BE3002" t="str">
            <v>Jan</v>
          </cell>
        </row>
        <row r="3003">
          <cell r="C3003" t="str">
            <v>TCC (CMMC)_KTD</v>
          </cell>
          <cell r="R3003">
            <v>0</v>
          </cell>
          <cell r="AZ3003">
            <v>0</v>
          </cell>
          <cell r="BA3003">
            <v>0</v>
          </cell>
          <cell r="BC3003" t="str">
            <v>GOLD</v>
          </cell>
          <cell r="BE3003" t="str">
            <v>Feb</v>
          </cell>
        </row>
        <row r="3004">
          <cell r="C3004" t="str">
            <v>TCC (CMMC)_KTD</v>
          </cell>
          <cell r="R3004">
            <v>0</v>
          </cell>
          <cell r="AZ3004">
            <v>0</v>
          </cell>
          <cell r="BA3004">
            <v>0</v>
          </cell>
          <cell r="BC3004" t="str">
            <v>GOLD</v>
          </cell>
          <cell r="BE3004" t="str">
            <v>Mar</v>
          </cell>
        </row>
        <row r="3005">
          <cell r="C3005" t="str">
            <v>TCC (CMMC)_KTD</v>
          </cell>
          <cell r="R3005">
            <v>23399.999999999996</v>
          </cell>
          <cell r="AZ3005">
            <v>-70199.999999999985</v>
          </cell>
          <cell r="BA3005">
            <v>-18705.221616350573</v>
          </cell>
          <cell r="BC3005" t="str">
            <v>GOLD</v>
          </cell>
          <cell r="BE3005" t="str">
            <v>Apr</v>
          </cell>
        </row>
        <row r="3006">
          <cell r="C3006" t="str">
            <v>TCC (CMMC)_KTD</v>
          </cell>
          <cell r="R3006">
            <v>23399.999999999996</v>
          </cell>
          <cell r="AZ3006">
            <v>-70199.999999999985</v>
          </cell>
          <cell r="BA3006">
            <v>-18705.221616350573</v>
          </cell>
          <cell r="BC3006" t="str">
            <v>GOLD</v>
          </cell>
          <cell r="BE3006" t="str">
            <v>May</v>
          </cell>
        </row>
        <row r="3007">
          <cell r="C3007" t="str">
            <v>TCC (CMMC)_KTD</v>
          </cell>
          <cell r="R3007">
            <v>0</v>
          </cell>
          <cell r="AZ3007">
            <v>0</v>
          </cell>
          <cell r="BA3007">
            <v>0</v>
          </cell>
          <cell r="BC3007" t="str">
            <v>GOLD</v>
          </cell>
          <cell r="BE3007" t="str">
            <v>Jun</v>
          </cell>
        </row>
        <row r="3008">
          <cell r="C3008" t="str">
            <v>TCC (CMMC)_KTD</v>
          </cell>
          <cell r="R3008">
            <v>0</v>
          </cell>
          <cell r="AZ3008">
            <v>0</v>
          </cell>
          <cell r="BA3008">
            <v>0</v>
          </cell>
          <cell r="BC3008" t="str">
            <v>GOLD</v>
          </cell>
          <cell r="BE3008" t="str">
            <v>Jul</v>
          </cell>
        </row>
        <row r="3009">
          <cell r="C3009" t="str">
            <v>TCC (CMMC)_KTD</v>
          </cell>
          <cell r="R3009">
            <v>0</v>
          </cell>
          <cell r="AZ3009">
            <v>0</v>
          </cell>
          <cell r="BA3009">
            <v>0</v>
          </cell>
          <cell r="BC3009" t="str">
            <v>GOLD</v>
          </cell>
          <cell r="BE3009" t="str">
            <v>Aug</v>
          </cell>
        </row>
        <row r="3010">
          <cell r="C3010" t="str">
            <v>TCC (CMMC)_KTD</v>
          </cell>
          <cell r="R3010">
            <v>0</v>
          </cell>
          <cell r="AZ3010">
            <v>0</v>
          </cell>
          <cell r="BA3010">
            <v>0</v>
          </cell>
          <cell r="BC3010" t="str">
            <v>GOLD</v>
          </cell>
          <cell r="BE3010" t="str">
            <v>Sep</v>
          </cell>
        </row>
        <row r="3011">
          <cell r="C3011" t="str">
            <v>TCC (CMMC)_KTD</v>
          </cell>
          <cell r="R3011">
            <v>23399.999999999996</v>
          </cell>
          <cell r="AZ3011">
            <v>-70199.999999999985</v>
          </cell>
          <cell r="BA3011">
            <v>-18705.221616350573</v>
          </cell>
          <cell r="BC3011" t="str">
            <v>GOLD</v>
          </cell>
          <cell r="BE3011" t="str">
            <v>Oct</v>
          </cell>
        </row>
        <row r="3012">
          <cell r="C3012" t="str">
            <v>TCC (CMMC)_KTD</v>
          </cell>
          <cell r="R3012">
            <v>0</v>
          </cell>
          <cell r="AZ3012">
            <v>0</v>
          </cell>
          <cell r="BA3012">
            <v>0</v>
          </cell>
          <cell r="BC3012" t="str">
            <v>GOLD</v>
          </cell>
          <cell r="BE3012" t="str">
            <v>Nov</v>
          </cell>
        </row>
        <row r="3013">
          <cell r="C3013" t="str">
            <v>TCC (CMMC)_KTD</v>
          </cell>
          <cell r="R3013">
            <v>0</v>
          </cell>
          <cell r="AZ3013">
            <v>0</v>
          </cell>
          <cell r="BA3013">
            <v>0</v>
          </cell>
          <cell r="BC3013" t="str">
            <v>GOLD</v>
          </cell>
          <cell r="BE3013" t="str">
            <v>Dec</v>
          </cell>
        </row>
        <row r="3014">
          <cell r="C3014" t="str">
            <v>TCC</v>
          </cell>
          <cell r="R3014">
            <v>0</v>
          </cell>
          <cell r="AZ3014">
            <v>0</v>
          </cell>
          <cell r="BA3014">
            <v>0</v>
          </cell>
          <cell r="BC3014" t="str">
            <v>BANPU</v>
          </cell>
          <cell r="BE3014" t="str">
            <v>Jan</v>
          </cell>
        </row>
        <row r="3015">
          <cell r="C3015" t="str">
            <v>TCC</v>
          </cell>
          <cell r="R3015">
            <v>0</v>
          </cell>
          <cell r="AZ3015">
            <v>0</v>
          </cell>
          <cell r="BA3015">
            <v>0</v>
          </cell>
          <cell r="BC3015" t="str">
            <v>BANPU</v>
          </cell>
          <cell r="BE3015" t="str">
            <v>Feb</v>
          </cell>
        </row>
        <row r="3016">
          <cell r="C3016" t="str">
            <v>TCC</v>
          </cell>
          <cell r="R3016">
            <v>0</v>
          </cell>
          <cell r="AZ3016">
            <v>0</v>
          </cell>
          <cell r="BA3016">
            <v>0</v>
          </cell>
          <cell r="BC3016" t="str">
            <v>BANPU</v>
          </cell>
          <cell r="BE3016" t="str">
            <v>Mar</v>
          </cell>
        </row>
        <row r="3017">
          <cell r="C3017" t="str">
            <v>TCC</v>
          </cell>
          <cell r="R3017">
            <v>23399.999999999996</v>
          </cell>
          <cell r="AZ3017">
            <v>0</v>
          </cell>
          <cell r="BA3017">
            <v>0</v>
          </cell>
          <cell r="BC3017" t="str">
            <v>BANPU</v>
          </cell>
          <cell r="BE3017" t="str">
            <v>Apr</v>
          </cell>
        </row>
        <row r="3018">
          <cell r="C3018" t="str">
            <v>TCC</v>
          </cell>
          <cell r="R3018">
            <v>23399.999999999996</v>
          </cell>
          <cell r="AZ3018">
            <v>0</v>
          </cell>
          <cell r="BA3018">
            <v>0</v>
          </cell>
          <cell r="BC3018" t="str">
            <v>BANPU</v>
          </cell>
          <cell r="BE3018" t="str">
            <v>May</v>
          </cell>
        </row>
        <row r="3019">
          <cell r="C3019" t="str">
            <v>TCC</v>
          </cell>
          <cell r="R3019">
            <v>0</v>
          </cell>
          <cell r="AZ3019">
            <v>0</v>
          </cell>
          <cell r="BA3019">
            <v>0</v>
          </cell>
          <cell r="BC3019" t="str">
            <v>BANPU</v>
          </cell>
          <cell r="BE3019" t="str">
            <v>Jun</v>
          </cell>
        </row>
        <row r="3020">
          <cell r="C3020" t="str">
            <v>TCC</v>
          </cell>
          <cell r="R3020">
            <v>0</v>
          </cell>
          <cell r="AZ3020">
            <v>0</v>
          </cell>
          <cell r="BA3020">
            <v>0</v>
          </cell>
          <cell r="BC3020" t="str">
            <v>BANPU</v>
          </cell>
          <cell r="BE3020" t="str">
            <v>Jul</v>
          </cell>
        </row>
        <row r="3021">
          <cell r="C3021" t="str">
            <v>TCC</v>
          </cell>
          <cell r="R3021">
            <v>0</v>
          </cell>
          <cell r="AZ3021">
            <v>0</v>
          </cell>
          <cell r="BA3021">
            <v>0</v>
          </cell>
          <cell r="BC3021" t="str">
            <v>BANPU</v>
          </cell>
          <cell r="BE3021" t="str">
            <v>Aug</v>
          </cell>
        </row>
        <row r="3022">
          <cell r="C3022" t="str">
            <v>TCC</v>
          </cell>
          <cell r="R3022">
            <v>0</v>
          </cell>
          <cell r="AZ3022">
            <v>0</v>
          </cell>
          <cell r="BA3022">
            <v>0</v>
          </cell>
          <cell r="BC3022" t="str">
            <v>BANPU</v>
          </cell>
          <cell r="BE3022" t="str">
            <v>Sep</v>
          </cell>
        </row>
        <row r="3023">
          <cell r="C3023" t="str">
            <v>TCC</v>
          </cell>
          <cell r="R3023">
            <v>23399.999999999996</v>
          </cell>
          <cell r="AZ3023">
            <v>0</v>
          </cell>
          <cell r="BA3023">
            <v>0</v>
          </cell>
          <cell r="BC3023" t="str">
            <v>BANPU</v>
          </cell>
          <cell r="BE3023" t="str">
            <v>Oct</v>
          </cell>
        </row>
        <row r="3024">
          <cell r="C3024" t="str">
            <v>TCC</v>
          </cell>
          <cell r="R3024">
            <v>0</v>
          </cell>
          <cell r="AZ3024">
            <v>0</v>
          </cell>
          <cell r="BA3024">
            <v>0</v>
          </cell>
          <cell r="BC3024" t="str">
            <v>BANPU</v>
          </cell>
          <cell r="BE3024" t="str">
            <v>Nov</v>
          </cell>
        </row>
        <row r="3025">
          <cell r="C3025" t="str">
            <v>TCC</v>
          </cell>
          <cell r="R3025">
            <v>0</v>
          </cell>
          <cell r="AZ3025">
            <v>0</v>
          </cell>
          <cell r="BA3025">
            <v>0</v>
          </cell>
          <cell r="BC3025" t="str">
            <v>BANPU</v>
          </cell>
          <cell r="BE3025" t="str">
            <v>Dec</v>
          </cell>
        </row>
        <row r="3026">
          <cell r="C3026" t="str">
            <v>Other</v>
          </cell>
          <cell r="R3026">
            <v>0</v>
          </cell>
          <cell r="AZ3026">
            <v>0</v>
          </cell>
          <cell r="BA3026">
            <v>0</v>
          </cell>
          <cell r="BC3026" t="str">
            <v>OTHERS</v>
          </cell>
          <cell r="BE3026" t="str">
            <v>Jan</v>
          </cell>
        </row>
        <row r="3027">
          <cell r="C3027" t="str">
            <v>Other</v>
          </cell>
          <cell r="R3027">
            <v>0</v>
          </cell>
          <cell r="AZ3027">
            <v>0</v>
          </cell>
          <cell r="BA3027">
            <v>0</v>
          </cell>
          <cell r="BC3027" t="str">
            <v>OTHERS</v>
          </cell>
          <cell r="BE3027" t="str">
            <v>Feb</v>
          </cell>
        </row>
        <row r="3028">
          <cell r="C3028" t="str">
            <v>Other</v>
          </cell>
          <cell r="R3028">
            <v>0</v>
          </cell>
          <cell r="AZ3028">
            <v>0</v>
          </cell>
          <cell r="BA3028">
            <v>0</v>
          </cell>
          <cell r="BC3028" t="str">
            <v>OTHERS</v>
          </cell>
          <cell r="BE3028" t="str">
            <v>Mar</v>
          </cell>
        </row>
        <row r="3029">
          <cell r="C3029" t="str">
            <v>Other</v>
          </cell>
          <cell r="R3029">
            <v>0</v>
          </cell>
          <cell r="AZ3029">
            <v>0</v>
          </cell>
          <cell r="BA3029">
            <v>0</v>
          </cell>
          <cell r="BC3029" t="str">
            <v>OTHERS</v>
          </cell>
          <cell r="BE3029" t="str">
            <v>Apr</v>
          </cell>
        </row>
        <row r="3030">
          <cell r="C3030" t="str">
            <v>Other</v>
          </cell>
          <cell r="R3030">
            <v>0</v>
          </cell>
          <cell r="AZ3030">
            <v>0</v>
          </cell>
          <cell r="BA3030">
            <v>0</v>
          </cell>
          <cell r="BC3030" t="str">
            <v>OTHERS</v>
          </cell>
          <cell r="BE3030" t="str">
            <v>May</v>
          </cell>
        </row>
        <row r="3031">
          <cell r="C3031" t="str">
            <v>Other</v>
          </cell>
          <cell r="R3031">
            <v>0</v>
          </cell>
          <cell r="AZ3031">
            <v>0</v>
          </cell>
          <cell r="BA3031">
            <v>0</v>
          </cell>
          <cell r="BC3031" t="str">
            <v>OTHERS</v>
          </cell>
          <cell r="BE3031" t="str">
            <v>Jun</v>
          </cell>
        </row>
        <row r="3032">
          <cell r="C3032" t="str">
            <v>Other</v>
          </cell>
          <cell r="R3032">
            <v>0</v>
          </cell>
          <cell r="AZ3032">
            <v>0</v>
          </cell>
          <cell r="BA3032">
            <v>0</v>
          </cell>
          <cell r="BC3032" t="str">
            <v>OTHERS</v>
          </cell>
          <cell r="BE3032" t="str">
            <v>Jul</v>
          </cell>
        </row>
        <row r="3033">
          <cell r="C3033" t="str">
            <v>Other</v>
          </cell>
          <cell r="R3033">
            <v>0</v>
          </cell>
          <cell r="AZ3033">
            <v>0</v>
          </cell>
          <cell r="BA3033">
            <v>0</v>
          </cell>
          <cell r="BC3033" t="str">
            <v>OTHERS</v>
          </cell>
          <cell r="BE3033" t="str">
            <v>Aug</v>
          </cell>
        </row>
        <row r="3034">
          <cell r="C3034" t="str">
            <v>Other</v>
          </cell>
          <cell r="R3034">
            <v>0</v>
          </cell>
          <cell r="AZ3034">
            <v>0</v>
          </cell>
          <cell r="BA3034">
            <v>0</v>
          </cell>
          <cell r="BC3034" t="str">
            <v>OTHERS</v>
          </cell>
          <cell r="BE3034" t="str">
            <v>Sep</v>
          </cell>
        </row>
        <row r="3035">
          <cell r="C3035" t="str">
            <v>Other</v>
          </cell>
          <cell r="R3035">
            <v>0</v>
          </cell>
          <cell r="AZ3035">
            <v>0</v>
          </cell>
          <cell r="BA3035">
            <v>0</v>
          </cell>
          <cell r="BC3035" t="str">
            <v>OTHERS</v>
          </cell>
          <cell r="BE3035" t="str">
            <v>Oct</v>
          </cell>
        </row>
        <row r="3036">
          <cell r="C3036" t="str">
            <v>Other</v>
          </cell>
          <cell r="R3036">
            <v>0</v>
          </cell>
          <cell r="AZ3036">
            <v>0</v>
          </cell>
          <cell r="BA3036">
            <v>0</v>
          </cell>
          <cell r="BC3036" t="str">
            <v>OTHERS</v>
          </cell>
          <cell r="BE3036" t="str">
            <v>Nov</v>
          </cell>
        </row>
        <row r="3037">
          <cell r="C3037" t="str">
            <v>Other</v>
          </cell>
          <cell r="R3037">
            <v>0</v>
          </cell>
          <cell r="AZ3037">
            <v>0</v>
          </cell>
          <cell r="BA3037">
            <v>0</v>
          </cell>
          <cell r="BC3037" t="str">
            <v>OTHERS</v>
          </cell>
          <cell r="BE3037" t="str">
            <v>Dec</v>
          </cell>
        </row>
        <row r="3038">
          <cell r="C3038" t="str">
            <v>SCC-SB</v>
          </cell>
          <cell r="R3038">
            <v>0</v>
          </cell>
          <cell r="AZ3038">
            <v>0</v>
          </cell>
          <cell r="BA3038">
            <v>0</v>
          </cell>
          <cell r="BC3038" t="str">
            <v>BANPU</v>
          </cell>
          <cell r="BE3038" t="str">
            <v>Jan</v>
          </cell>
        </row>
        <row r="3039">
          <cell r="C3039" t="str">
            <v>SCC-SB</v>
          </cell>
          <cell r="R3039">
            <v>0</v>
          </cell>
          <cell r="AZ3039">
            <v>0</v>
          </cell>
          <cell r="BA3039">
            <v>0</v>
          </cell>
          <cell r="BC3039" t="str">
            <v>BANPU</v>
          </cell>
          <cell r="BE3039" t="str">
            <v>Feb</v>
          </cell>
        </row>
        <row r="3040">
          <cell r="C3040" t="str">
            <v>SCC-SB</v>
          </cell>
          <cell r="R3040">
            <v>0</v>
          </cell>
          <cell r="AZ3040">
            <v>0</v>
          </cell>
          <cell r="BA3040">
            <v>0</v>
          </cell>
          <cell r="BC3040" t="str">
            <v>BANPU</v>
          </cell>
          <cell r="BE3040" t="str">
            <v>Mar</v>
          </cell>
        </row>
        <row r="3041">
          <cell r="C3041" t="str">
            <v>SCC-SB</v>
          </cell>
          <cell r="R3041">
            <v>0</v>
          </cell>
          <cell r="AZ3041">
            <v>0</v>
          </cell>
          <cell r="BA3041">
            <v>0</v>
          </cell>
          <cell r="BC3041" t="str">
            <v>BANPU</v>
          </cell>
          <cell r="BE3041" t="str">
            <v>Apr</v>
          </cell>
        </row>
        <row r="3042">
          <cell r="C3042" t="str">
            <v>SCC-SB</v>
          </cell>
          <cell r="R3042">
            <v>0</v>
          </cell>
          <cell r="AZ3042">
            <v>0</v>
          </cell>
          <cell r="BA3042">
            <v>0</v>
          </cell>
          <cell r="BC3042" t="str">
            <v>BANPU</v>
          </cell>
          <cell r="BE3042" t="str">
            <v>May</v>
          </cell>
        </row>
        <row r="3043">
          <cell r="C3043" t="str">
            <v>SCC-SB</v>
          </cell>
          <cell r="R3043">
            <v>0</v>
          </cell>
          <cell r="AZ3043">
            <v>0</v>
          </cell>
          <cell r="BA3043">
            <v>0</v>
          </cell>
          <cell r="BC3043" t="str">
            <v>BANPU</v>
          </cell>
          <cell r="BE3043" t="str">
            <v>Jun</v>
          </cell>
        </row>
        <row r="3044">
          <cell r="C3044" t="str">
            <v>SCC-SB</v>
          </cell>
          <cell r="R3044">
            <v>0</v>
          </cell>
          <cell r="AZ3044">
            <v>0</v>
          </cell>
          <cell r="BA3044">
            <v>0</v>
          </cell>
          <cell r="BC3044" t="str">
            <v>BANPU</v>
          </cell>
          <cell r="BE3044" t="str">
            <v>Jul</v>
          </cell>
        </row>
        <row r="3045">
          <cell r="C3045" t="str">
            <v>SCC-SB</v>
          </cell>
          <cell r="R3045">
            <v>0</v>
          </cell>
          <cell r="AZ3045">
            <v>0</v>
          </cell>
          <cell r="BA3045">
            <v>0</v>
          </cell>
          <cell r="BC3045" t="str">
            <v>BANPU</v>
          </cell>
          <cell r="BE3045" t="str">
            <v>Aug</v>
          </cell>
        </row>
        <row r="3046">
          <cell r="C3046" t="str">
            <v>SCC-SB</v>
          </cell>
          <cell r="R3046">
            <v>0</v>
          </cell>
          <cell r="AZ3046">
            <v>0</v>
          </cell>
          <cell r="BA3046">
            <v>0</v>
          </cell>
          <cell r="BC3046" t="str">
            <v>BANPU</v>
          </cell>
          <cell r="BE3046" t="str">
            <v>Sep</v>
          </cell>
        </row>
        <row r="3047">
          <cell r="C3047" t="str">
            <v>SCC-SB</v>
          </cell>
          <cell r="R3047">
            <v>0</v>
          </cell>
          <cell r="AZ3047">
            <v>0</v>
          </cell>
          <cell r="BA3047">
            <v>0</v>
          </cell>
          <cell r="BC3047" t="str">
            <v>BANPU</v>
          </cell>
          <cell r="BE3047" t="str">
            <v>Oct</v>
          </cell>
        </row>
        <row r="3048">
          <cell r="C3048" t="str">
            <v>SCC-SB</v>
          </cell>
          <cell r="R3048">
            <v>0</v>
          </cell>
          <cell r="AZ3048">
            <v>0</v>
          </cell>
          <cell r="BA3048">
            <v>0</v>
          </cell>
          <cell r="BC3048" t="str">
            <v>BANPU</v>
          </cell>
          <cell r="BE3048" t="str">
            <v>Nov</v>
          </cell>
        </row>
        <row r="3049">
          <cell r="C3049" t="str">
            <v>SCC-SB</v>
          </cell>
          <cell r="R3049">
            <v>0</v>
          </cell>
          <cell r="AZ3049">
            <v>0</v>
          </cell>
          <cell r="BA3049">
            <v>0</v>
          </cell>
          <cell r="BC3049" t="str">
            <v>BANPU</v>
          </cell>
          <cell r="BE3049" t="str">
            <v>Dec</v>
          </cell>
        </row>
        <row r="3050">
          <cell r="C3050" t="str">
            <v>Other1</v>
          </cell>
          <cell r="R3050">
            <v>0</v>
          </cell>
          <cell r="AZ3050">
            <v>0</v>
          </cell>
          <cell r="BA3050">
            <v>0</v>
          </cell>
          <cell r="BC3050" t="str">
            <v>BANPU</v>
          </cell>
          <cell r="BE3050" t="str">
            <v>Jan</v>
          </cell>
        </row>
        <row r="3051">
          <cell r="C3051" t="str">
            <v>Other1</v>
          </cell>
          <cell r="R3051">
            <v>0</v>
          </cell>
          <cell r="AZ3051">
            <v>0</v>
          </cell>
          <cell r="BA3051">
            <v>0</v>
          </cell>
          <cell r="BC3051" t="str">
            <v>BANPU</v>
          </cell>
          <cell r="BE3051" t="str">
            <v>Feb</v>
          </cell>
        </row>
        <row r="3052">
          <cell r="C3052" t="str">
            <v>Other1</v>
          </cell>
          <cell r="R3052">
            <v>0</v>
          </cell>
          <cell r="AZ3052">
            <v>0</v>
          </cell>
          <cell r="BA3052">
            <v>0</v>
          </cell>
          <cell r="BC3052" t="str">
            <v>BANPU</v>
          </cell>
          <cell r="BE3052" t="str">
            <v>Mar</v>
          </cell>
        </row>
        <row r="3053">
          <cell r="C3053" t="str">
            <v>Other1</v>
          </cell>
          <cell r="R3053">
            <v>0</v>
          </cell>
          <cell r="AZ3053">
            <v>0</v>
          </cell>
          <cell r="BA3053">
            <v>0</v>
          </cell>
          <cell r="BC3053" t="str">
            <v>BANPU</v>
          </cell>
          <cell r="BE3053" t="str">
            <v>Apr</v>
          </cell>
        </row>
        <row r="3054">
          <cell r="C3054" t="str">
            <v>Other1</v>
          </cell>
          <cell r="R3054">
            <v>0</v>
          </cell>
          <cell r="AZ3054">
            <v>0</v>
          </cell>
          <cell r="BA3054">
            <v>0</v>
          </cell>
          <cell r="BC3054" t="str">
            <v>BANPU</v>
          </cell>
          <cell r="BE3054" t="str">
            <v>May</v>
          </cell>
        </row>
        <row r="3055">
          <cell r="C3055" t="str">
            <v>Other1</v>
          </cell>
          <cell r="R3055">
            <v>0</v>
          </cell>
          <cell r="AZ3055">
            <v>0</v>
          </cell>
          <cell r="BA3055">
            <v>0</v>
          </cell>
          <cell r="BC3055" t="str">
            <v>BANPU</v>
          </cell>
          <cell r="BE3055" t="str">
            <v>Jun</v>
          </cell>
        </row>
        <row r="3056">
          <cell r="C3056" t="str">
            <v>Other1</v>
          </cell>
          <cell r="R3056">
            <v>11000</v>
          </cell>
          <cell r="AZ3056">
            <v>0</v>
          </cell>
          <cell r="BA3056">
            <v>0</v>
          </cell>
          <cell r="BC3056" t="str">
            <v>BANPU</v>
          </cell>
          <cell r="BE3056" t="str">
            <v>Jul</v>
          </cell>
        </row>
        <row r="3057">
          <cell r="C3057" t="str">
            <v>Other1</v>
          </cell>
          <cell r="R3057">
            <v>11000</v>
          </cell>
          <cell r="AZ3057">
            <v>0</v>
          </cell>
          <cell r="BA3057">
            <v>0</v>
          </cell>
          <cell r="BC3057" t="str">
            <v>BANPU</v>
          </cell>
          <cell r="BE3057" t="str">
            <v>Aug</v>
          </cell>
        </row>
        <row r="3058">
          <cell r="C3058" t="str">
            <v>Other1</v>
          </cell>
          <cell r="R3058">
            <v>11000</v>
          </cell>
          <cell r="AZ3058">
            <v>0</v>
          </cell>
          <cell r="BA3058">
            <v>0</v>
          </cell>
          <cell r="BC3058" t="str">
            <v>BANPU</v>
          </cell>
          <cell r="BE3058" t="str">
            <v>Sep</v>
          </cell>
        </row>
        <row r="3059">
          <cell r="C3059" t="str">
            <v>Other1</v>
          </cell>
          <cell r="R3059">
            <v>11000</v>
          </cell>
          <cell r="AZ3059">
            <v>0</v>
          </cell>
          <cell r="BA3059">
            <v>0</v>
          </cell>
          <cell r="BC3059" t="str">
            <v>BANPU</v>
          </cell>
          <cell r="BE3059" t="str">
            <v>Oct</v>
          </cell>
        </row>
        <row r="3060">
          <cell r="C3060" t="str">
            <v>Other1</v>
          </cell>
          <cell r="R3060">
            <v>11000</v>
          </cell>
          <cell r="AZ3060">
            <v>0</v>
          </cell>
          <cell r="BA3060">
            <v>0</v>
          </cell>
          <cell r="BC3060" t="str">
            <v>BANPU</v>
          </cell>
          <cell r="BE3060" t="str">
            <v>Nov</v>
          </cell>
        </row>
        <row r="3061">
          <cell r="C3061" t="str">
            <v>Other1</v>
          </cell>
          <cell r="R3061">
            <v>11000</v>
          </cell>
          <cell r="AZ3061">
            <v>0</v>
          </cell>
          <cell r="BA3061">
            <v>0</v>
          </cell>
          <cell r="BC3061" t="str">
            <v>BANPU</v>
          </cell>
          <cell r="BE3061" t="str">
            <v>Dec</v>
          </cell>
        </row>
        <row r="3062">
          <cell r="C3062" t="str">
            <v>SCCC</v>
          </cell>
          <cell r="R3062">
            <v>33333.333333333336</v>
          </cell>
          <cell r="AZ3062">
            <v>0</v>
          </cell>
          <cell r="BA3062">
            <v>0</v>
          </cell>
          <cell r="BC3062" t="str">
            <v>BANPU</v>
          </cell>
          <cell r="BE3062" t="str">
            <v>Jan</v>
          </cell>
        </row>
        <row r="3063">
          <cell r="C3063" t="str">
            <v>SCCC</v>
          </cell>
          <cell r="R3063">
            <v>33333.333333333336</v>
          </cell>
          <cell r="AZ3063">
            <v>0</v>
          </cell>
          <cell r="BA3063">
            <v>0</v>
          </cell>
          <cell r="BC3063" t="str">
            <v>BANPU</v>
          </cell>
          <cell r="BE3063" t="str">
            <v>Feb</v>
          </cell>
        </row>
        <row r="3064">
          <cell r="C3064" t="str">
            <v>SCCC</v>
          </cell>
          <cell r="R3064">
            <v>33333.333333333336</v>
          </cell>
          <cell r="AZ3064">
            <v>0</v>
          </cell>
          <cell r="BA3064">
            <v>0</v>
          </cell>
          <cell r="BC3064" t="str">
            <v>BANPU</v>
          </cell>
          <cell r="BE3064" t="str">
            <v>Mar</v>
          </cell>
        </row>
        <row r="3065">
          <cell r="C3065" t="str">
            <v>SCCC</v>
          </cell>
          <cell r="R3065">
            <v>33333.333333333336</v>
          </cell>
          <cell r="AZ3065">
            <v>0</v>
          </cell>
          <cell r="BA3065">
            <v>0</v>
          </cell>
          <cell r="BC3065" t="str">
            <v>BANPU</v>
          </cell>
          <cell r="BE3065" t="str">
            <v>Apr</v>
          </cell>
        </row>
        <row r="3066">
          <cell r="C3066" t="str">
            <v>SCCC</v>
          </cell>
          <cell r="R3066">
            <v>33333.333333333336</v>
          </cell>
          <cell r="AZ3066">
            <v>0</v>
          </cell>
          <cell r="BA3066">
            <v>0</v>
          </cell>
          <cell r="BC3066" t="str">
            <v>BANPU</v>
          </cell>
          <cell r="BE3066" t="str">
            <v>May</v>
          </cell>
        </row>
        <row r="3067">
          <cell r="C3067" t="str">
            <v>SCCC</v>
          </cell>
          <cell r="R3067">
            <v>33333.333333333336</v>
          </cell>
          <cell r="AZ3067">
            <v>0</v>
          </cell>
          <cell r="BA3067">
            <v>0</v>
          </cell>
          <cell r="BC3067" t="str">
            <v>BANPU</v>
          </cell>
          <cell r="BE3067" t="str">
            <v>Jun</v>
          </cell>
        </row>
        <row r="3068">
          <cell r="C3068" t="str">
            <v>SCCC</v>
          </cell>
          <cell r="R3068">
            <v>0</v>
          </cell>
          <cell r="AZ3068">
            <v>0</v>
          </cell>
          <cell r="BA3068">
            <v>0</v>
          </cell>
          <cell r="BC3068" t="str">
            <v>BANPU</v>
          </cell>
          <cell r="BE3068" t="str">
            <v>Jul</v>
          </cell>
        </row>
        <row r="3069">
          <cell r="C3069" t="str">
            <v>SCCC</v>
          </cell>
          <cell r="R3069">
            <v>0</v>
          </cell>
          <cell r="AZ3069">
            <v>0</v>
          </cell>
          <cell r="BA3069">
            <v>0</v>
          </cell>
          <cell r="BC3069" t="str">
            <v>BANPU</v>
          </cell>
          <cell r="BE3069" t="str">
            <v>Aug</v>
          </cell>
        </row>
        <row r="3070">
          <cell r="C3070" t="str">
            <v>SCCC</v>
          </cell>
          <cell r="R3070">
            <v>0</v>
          </cell>
          <cell r="AZ3070">
            <v>0</v>
          </cell>
          <cell r="BA3070">
            <v>0</v>
          </cell>
          <cell r="BC3070" t="str">
            <v>BANPU</v>
          </cell>
          <cell r="BE3070" t="str">
            <v>Sep</v>
          </cell>
        </row>
        <row r="3071">
          <cell r="C3071" t="str">
            <v>SCCC</v>
          </cell>
          <cell r="R3071">
            <v>0</v>
          </cell>
          <cell r="AZ3071">
            <v>0</v>
          </cell>
          <cell r="BA3071">
            <v>0</v>
          </cell>
          <cell r="BC3071" t="str">
            <v>BANPU</v>
          </cell>
          <cell r="BE3071" t="str">
            <v>Oct</v>
          </cell>
        </row>
        <row r="3072">
          <cell r="C3072" t="str">
            <v>SCCC</v>
          </cell>
          <cell r="R3072">
            <v>0</v>
          </cell>
          <cell r="AZ3072">
            <v>0</v>
          </cell>
          <cell r="BA3072">
            <v>0</v>
          </cell>
          <cell r="BC3072" t="str">
            <v>BANPU</v>
          </cell>
          <cell r="BE3072" t="str">
            <v>Nov</v>
          </cell>
        </row>
        <row r="3073">
          <cell r="C3073" t="str">
            <v>SCCC</v>
          </cell>
          <cell r="R3073">
            <v>0</v>
          </cell>
          <cell r="AZ3073">
            <v>0</v>
          </cell>
          <cell r="BA3073">
            <v>0</v>
          </cell>
          <cell r="BC3073" t="str">
            <v>BANPU</v>
          </cell>
          <cell r="BE3073" t="str">
            <v>Dec</v>
          </cell>
        </row>
        <row r="3074">
          <cell r="C3074" t="str">
            <v>SCCC</v>
          </cell>
          <cell r="R3074">
            <v>0</v>
          </cell>
          <cell r="AZ3074">
            <v>0</v>
          </cell>
          <cell r="BA3074">
            <v>0</v>
          </cell>
          <cell r="BC3074" t="str">
            <v>BANPU</v>
          </cell>
          <cell r="BE3074" t="str">
            <v>Jan</v>
          </cell>
        </row>
        <row r="3075">
          <cell r="C3075" t="str">
            <v>SCCC</v>
          </cell>
          <cell r="R3075">
            <v>0</v>
          </cell>
          <cell r="AZ3075">
            <v>0</v>
          </cell>
          <cell r="BA3075">
            <v>0</v>
          </cell>
          <cell r="BC3075" t="str">
            <v>BANPU</v>
          </cell>
          <cell r="BE3075" t="str">
            <v>Feb</v>
          </cell>
        </row>
        <row r="3076">
          <cell r="C3076" t="str">
            <v>SCCC</v>
          </cell>
          <cell r="R3076">
            <v>0</v>
          </cell>
          <cell r="AZ3076">
            <v>0</v>
          </cell>
          <cell r="BA3076">
            <v>0</v>
          </cell>
          <cell r="BC3076" t="str">
            <v>BANPU</v>
          </cell>
          <cell r="BE3076" t="str">
            <v>Mar</v>
          </cell>
        </row>
        <row r="3077">
          <cell r="C3077" t="str">
            <v>SCCC</v>
          </cell>
          <cell r="R3077">
            <v>0</v>
          </cell>
          <cell r="AZ3077">
            <v>0</v>
          </cell>
          <cell r="BA3077">
            <v>0</v>
          </cell>
          <cell r="BC3077" t="str">
            <v>BANPU</v>
          </cell>
          <cell r="BE3077" t="str">
            <v>Apr</v>
          </cell>
        </row>
        <row r="3078">
          <cell r="C3078" t="str">
            <v>SCCC</v>
          </cell>
          <cell r="R3078">
            <v>0</v>
          </cell>
          <cell r="AZ3078">
            <v>0</v>
          </cell>
          <cell r="BA3078">
            <v>0</v>
          </cell>
          <cell r="BC3078" t="str">
            <v>BANPU</v>
          </cell>
          <cell r="BE3078" t="str">
            <v>May</v>
          </cell>
        </row>
        <row r="3079">
          <cell r="C3079" t="str">
            <v>SCCC</v>
          </cell>
          <cell r="R3079">
            <v>0</v>
          </cell>
          <cell r="AZ3079">
            <v>0</v>
          </cell>
          <cell r="BA3079">
            <v>0</v>
          </cell>
          <cell r="BC3079" t="str">
            <v>BANPU</v>
          </cell>
          <cell r="BE3079" t="str">
            <v>Jun</v>
          </cell>
        </row>
        <row r="3080">
          <cell r="C3080" t="str">
            <v>SCCC</v>
          </cell>
          <cell r="R3080">
            <v>33333.333333333336</v>
          </cell>
          <cell r="AZ3080">
            <v>0</v>
          </cell>
          <cell r="BA3080">
            <v>0</v>
          </cell>
          <cell r="BC3080" t="str">
            <v>BANPU</v>
          </cell>
          <cell r="BE3080" t="str">
            <v>Jul</v>
          </cell>
        </row>
        <row r="3081">
          <cell r="C3081" t="str">
            <v>SCCC</v>
          </cell>
          <cell r="R3081">
            <v>33333.333333333336</v>
          </cell>
          <cell r="AZ3081">
            <v>0</v>
          </cell>
          <cell r="BA3081">
            <v>0</v>
          </cell>
          <cell r="BC3081" t="str">
            <v>BANPU</v>
          </cell>
          <cell r="BE3081" t="str">
            <v>Aug</v>
          </cell>
        </row>
        <row r="3082">
          <cell r="C3082" t="str">
            <v>SCCC</v>
          </cell>
          <cell r="R3082">
            <v>33333.333333333336</v>
          </cell>
          <cell r="AZ3082">
            <v>0</v>
          </cell>
          <cell r="BA3082">
            <v>0</v>
          </cell>
          <cell r="BC3082" t="str">
            <v>BANPU</v>
          </cell>
          <cell r="BE3082" t="str">
            <v>Sep</v>
          </cell>
        </row>
        <row r="3083">
          <cell r="C3083" t="str">
            <v>SCCC</v>
          </cell>
          <cell r="R3083">
            <v>0</v>
          </cell>
          <cell r="AZ3083">
            <v>0</v>
          </cell>
          <cell r="BA3083">
            <v>0</v>
          </cell>
          <cell r="BC3083" t="str">
            <v>BANPU</v>
          </cell>
          <cell r="BE3083" t="str">
            <v>Oct</v>
          </cell>
        </row>
        <row r="3084">
          <cell r="C3084" t="str">
            <v>SCCC</v>
          </cell>
          <cell r="R3084">
            <v>0</v>
          </cell>
          <cell r="AZ3084">
            <v>0</v>
          </cell>
          <cell r="BA3084">
            <v>0</v>
          </cell>
          <cell r="BC3084" t="str">
            <v>BANPU</v>
          </cell>
          <cell r="BE3084" t="str">
            <v>Nov</v>
          </cell>
        </row>
        <row r="3085">
          <cell r="C3085" t="str">
            <v>SCCC</v>
          </cell>
          <cell r="R3085">
            <v>0</v>
          </cell>
          <cell r="AZ3085">
            <v>0</v>
          </cell>
          <cell r="BA3085">
            <v>0</v>
          </cell>
          <cell r="BC3085" t="str">
            <v>BANPU</v>
          </cell>
          <cell r="BE3085" t="str">
            <v>Dec</v>
          </cell>
        </row>
        <row r="3086">
          <cell r="C3086" t="str">
            <v>SCCC</v>
          </cell>
          <cell r="R3086">
            <v>0</v>
          </cell>
          <cell r="AZ3086">
            <v>0</v>
          </cell>
          <cell r="BA3086">
            <v>0</v>
          </cell>
          <cell r="BC3086" t="str">
            <v>BANPU</v>
          </cell>
          <cell r="BE3086" t="str">
            <v>Jan</v>
          </cell>
        </row>
        <row r="3087">
          <cell r="C3087" t="str">
            <v>SCCC</v>
          </cell>
          <cell r="R3087">
            <v>0</v>
          </cell>
          <cell r="AZ3087">
            <v>0</v>
          </cell>
          <cell r="BA3087">
            <v>0</v>
          </cell>
          <cell r="BC3087" t="str">
            <v>BANPU</v>
          </cell>
          <cell r="BE3087" t="str">
            <v>Feb</v>
          </cell>
        </row>
        <row r="3088">
          <cell r="C3088" t="str">
            <v>SCCC</v>
          </cell>
          <cell r="R3088">
            <v>0</v>
          </cell>
          <cell r="AZ3088">
            <v>0</v>
          </cell>
          <cell r="BA3088">
            <v>0</v>
          </cell>
          <cell r="BC3088" t="str">
            <v>BANPU</v>
          </cell>
          <cell r="BE3088" t="str">
            <v>Mar</v>
          </cell>
        </row>
        <row r="3089">
          <cell r="C3089" t="str">
            <v>SCCC</v>
          </cell>
          <cell r="R3089">
            <v>0</v>
          </cell>
          <cell r="AZ3089">
            <v>0</v>
          </cell>
          <cell r="BA3089">
            <v>0</v>
          </cell>
          <cell r="BC3089" t="str">
            <v>BANPU</v>
          </cell>
          <cell r="BE3089" t="str">
            <v>Apr</v>
          </cell>
        </row>
        <row r="3090">
          <cell r="C3090" t="str">
            <v>SCCC</v>
          </cell>
          <cell r="R3090">
            <v>0</v>
          </cell>
          <cell r="AZ3090">
            <v>0</v>
          </cell>
          <cell r="BA3090">
            <v>0</v>
          </cell>
          <cell r="BC3090" t="str">
            <v>BANPU</v>
          </cell>
          <cell r="BE3090" t="str">
            <v>May</v>
          </cell>
        </row>
        <row r="3091">
          <cell r="C3091" t="str">
            <v>SCCC</v>
          </cell>
          <cell r="R3091">
            <v>0</v>
          </cell>
          <cell r="AZ3091">
            <v>0</v>
          </cell>
          <cell r="BA3091">
            <v>0</v>
          </cell>
          <cell r="BC3091" t="str">
            <v>BANPU</v>
          </cell>
          <cell r="BE3091" t="str">
            <v>Jun</v>
          </cell>
        </row>
        <row r="3092">
          <cell r="C3092" t="str">
            <v>SCCC</v>
          </cell>
          <cell r="R3092">
            <v>0</v>
          </cell>
          <cell r="AZ3092">
            <v>0</v>
          </cell>
          <cell r="BA3092">
            <v>0</v>
          </cell>
          <cell r="BC3092" t="str">
            <v>BANPU</v>
          </cell>
          <cell r="BE3092" t="str">
            <v>Jul</v>
          </cell>
        </row>
        <row r="3093">
          <cell r="C3093" t="str">
            <v>SCCC</v>
          </cell>
          <cell r="R3093">
            <v>0</v>
          </cell>
          <cell r="AZ3093">
            <v>0</v>
          </cell>
          <cell r="BA3093">
            <v>0</v>
          </cell>
          <cell r="BC3093" t="str">
            <v>BANPU</v>
          </cell>
          <cell r="BE3093" t="str">
            <v>Aug</v>
          </cell>
        </row>
        <row r="3094">
          <cell r="C3094" t="str">
            <v>SCCC</v>
          </cell>
          <cell r="R3094">
            <v>0</v>
          </cell>
          <cell r="AZ3094">
            <v>0</v>
          </cell>
          <cell r="BA3094">
            <v>0</v>
          </cell>
          <cell r="BC3094" t="str">
            <v>BANPU</v>
          </cell>
          <cell r="BE3094" t="str">
            <v>Sep</v>
          </cell>
        </row>
        <row r="3095">
          <cell r="C3095" t="str">
            <v>SCCC</v>
          </cell>
          <cell r="R3095">
            <v>33333.333333333336</v>
          </cell>
          <cell r="AZ3095">
            <v>0</v>
          </cell>
          <cell r="BA3095">
            <v>0</v>
          </cell>
          <cell r="BC3095" t="str">
            <v>BANPU</v>
          </cell>
          <cell r="BE3095" t="str">
            <v>Oct</v>
          </cell>
        </row>
        <row r="3096">
          <cell r="C3096" t="str">
            <v>SCCC</v>
          </cell>
          <cell r="R3096">
            <v>33333.333333333336</v>
          </cell>
          <cell r="AZ3096">
            <v>0</v>
          </cell>
          <cell r="BA3096">
            <v>0</v>
          </cell>
          <cell r="BC3096" t="str">
            <v>BANPU</v>
          </cell>
          <cell r="BE3096" t="str">
            <v>Nov</v>
          </cell>
        </row>
        <row r="3097">
          <cell r="C3097" t="str">
            <v>SCCC</v>
          </cell>
          <cell r="R3097">
            <v>23333.333333333336</v>
          </cell>
          <cell r="AZ3097">
            <v>0</v>
          </cell>
          <cell r="BA3097">
            <v>0</v>
          </cell>
          <cell r="BC3097" t="str">
            <v>BANPU</v>
          </cell>
          <cell r="BE3097" t="str">
            <v>Dec</v>
          </cell>
        </row>
        <row r="3098">
          <cell r="C3098" t="str">
            <v>TKIC</v>
          </cell>
          <cell r="R3098">
            <v>13750</v>
          </cell>
          <cell r="AZ3098">
            <v>0</v>
          </cell>
          <cell r="BA3098">
            <v>0</v>
          </cell>
          <cell r="BC3098" t="str">
            <v>BANPU</v>
          </cell>
          <cell r="BE3098" t="str">
            <v>Jan</v>
          </cell>
        </row>
        <row r="3099">
          <cell r="C3099" t="str">
            <v>TKIC</v>
          </cell>
          <cell r="R3099">
            <v>13750</v>
          </cell>
          <cell r="AZ3099">
            <v>0</v>
          </cell>
          <cell r="BA3099">
            <v>0</v>
          </cell>
          <cell r="BC3099" t="str">
            <v>BANPU</v>
          </cell>
          <cell r="BE3099" t="str">
            <v>Feb</v>
          </cell>
        </row>
        <row r="3100">
          <cell r="C3100" t="str">
            <v>TKIC</v>
          </cell>
          <cell r="R3100">
            <v>13750</v>
          </cell>
          <cell r="AZ3100">
            <v>0</v>
          </cell>
          <cell r="BA3100">
            <v>0</v>
          </cell>
          <cell r="BC3100" t="str">
            <v>BANPU</v>
          </cell>
          <cell r="BE3100" t="str">
            <v>Mar</v>
          </cell>
        </row>
        <row r="3101">
          <cell r="C3101" t="str">
            <v>TKIC</v>
          </cell>
          <cell r="R3101">
            <v>13750</v>
          </cell>
          <cell r="AZ3101">
            <v>0</v>
          </cell>
          <cell r="BA3101">
            <v>0</v>
          </cell>
          <cell r="BC3101" t="str">
            <v>BANPU</v>
          </cell>
          <cell r="BE3101" t="str">
            <v>Apr</v>
          </cell>
        </row>
        <row r="3102">
          <cell r="C3102" t="str">
            <v>TKIC</v>
          </cell>
          <cell r="R3102">
            <v>13750</v>
          </cell>
          <cell r="AZ3102">
            <v>0</v>
          </cell>
          <cell r="BA3102">
            <v>0</v>
          </cell>
          <cell r="BC3102" t="str">
            <v>BANPU</v>
          </cell>
          <cell r="BE3102" t="str">
            <v>May</v>
          </cell>
        </row>
        <row r="3103">
          <cell r="C3103" t="str">
            <v>TKIC</v>
          </cell>
          <cell r="R3103">
            <v>13750</v>
          </cell>
          <cell r="AZ3103">
            <v>0</v>
          </cell>
          <cell r="BA3103">
            <v>0</v>
          </cell>
          <cell r="BC3103" t="str">
            <v>BANPU</v>
          </cell>
          <cell r="BE3103" t="str">
            <v>Jun</v>
          </cell>
        </row>
        <row r="3104">
          <cell r="C3104" t="str">
            <v>TKIC</v>
          </cell>
          <cell r="R3104">
            <v>13750</v>
          </cell>
          <cell r="AZ3104">
            <v>0</v>
          </cell>
          <cell r="BA3104">
            <v>0</v>
          </cell>
          <cell r="BC3104" t="str">
            <v>BANPU</v>
          </cell>
          <cell r="BE3104" t="str">
            <v>Jul</v>
          </cell>
        </row>
        <row r="3105">
          <cell r="C3105" t="str">
            <v>TKIC</v>
          </cell>
          <cell r="R3105">
            <v>13750</v>
          </cell>
          <cell r="AZ3105">
            <v>0</v>
          </cell>
          <cell r="BA3105">
            <v>0</v>
          </cell>
          <cell r="BC3105" t="str">
            <v>BANPU</v>
          </cell>
          <cell r="BE3105" t="str">
            <v>Aug</v>
          </cell>
        </row>
        <row r="3106">
          <cell r="C3106" t="str">
            <v>TKIC</v>
          </cell>
          <cell r="R3106">
            <v>13750</v>
          </cell>
          <cell r="AZ3106">
            <v>0</v>
          </cell>
          <cell r="BA3106">
            <v>0</v>
          </cell>
          <cell r="BC3106" t="str">
            <v>BANPU</v>
          </cell>
          <cell r="BE3106" t="str">
            <v>Sep</v>
          </cell>
        </row>
        <row r="3107">
          <cell r="C3107" t="str">
            <v>TKIC</v>
          </cell>
          <cell r="R3107">
            <v>13750</v>
          </cell>
          <cell r="AZ3107">
            <v>0</v>
          </cell>
          <cell r="BA3107">
            <v>0</v>
          </cell>
          <cell r="BC3107" t="str">
            <v>BANPU</v>
          </cell>
          <cell r="BE3107" t="str">
            <v>Oct</v>
          </cell>
        </row>
        <row r="3108">
          <cell r="C3108" t="str">
            <v>TKIC</v>
          </cell>
          <cell r="R3108">
            <v>13750</v>
          </cell>
          <cell r="AZ3108">
            <v>0</v>
          </cell>
          <cell r="BA3108">
            <v>0</v>
          </cell>
          <cell r="BC3108" t="str">
            <v>BANPU</v>
          </cell>
          <cell r="BE3108" t="str">
            <v>Nov</v>
          </cell>
        </row>
        <row r="3109">
          <cell r="C3109" t="str">
            <v>TKIC</v>
          </cell>
          <cell r="R3109">
            <v>13750</v>
          </cell>
          <cell r="AZ3109">
            <v>0</v>
          </cell>
          <cell r="BA3109">
            <v>0</v>
          </cell>
          <cell r="BC3109" t="str">
            <v>BANPU</v>
          </cell>
          <cell r="BE3109" t="str">
            <v>Dec</v>
          </cell>
        </row>
        <row r="3110">
          <cell r="C3110" t="str">
            <v>CPN</v>
          </cell>
          <cell r="R3110">
            <v>10000</v>
          </cell>
          <cell r="AZ3110">
            <v>0</v>
          </cell>
          <cell r="BA3110">
            <v>0</v>
          </cell>
          <cell r="BC3110" t="str">
            <v>BANPU</v>
          </cell>
          <cell r="BE3110" t="str">
            <v>Jan</v>
          </cell>
        </row>
        <row r="3111">
          <cell r="C3111" t="str">
            <v>CPN</v>
          </cell>
          <cell r="R3111">
            <v>0</v>
          </cell>
          <cell r="AZ3111">
            <v>0</v>
          </cell>
          <cell r="BA3111">
            <v>0</v>
          </cell>
          <cell r="BC3111" t="str">
            <v>BANPU</v>
          </cell>
          <cell r="BE3111" t="str">
            <v>Feb</v>
          </cell>
        </row>
        <row r="3112">
          <cell r="C3112" t="str">
            <v>CPN</v>
          </cell>
          <cell r="R3112">
            <v>0</v>
          </cell>
          <cell r="AZ3112">
            <v>0</v>
          </cell>
          <cell r="BA3112">
            <v>0</v>
          </cell>
          <cell r="BC3112" t="str">
            <v>BANPU</v>
          </cell>
          <cell r="BE3112" t="str">
            <v>Mar</v>
          </cell>
        </row>
        <row r="3113">
          <cell r="C3113" t="str">
            <v>CPN</v>
          </cell>
          <cell r="R3113">
            <v>0</v>
          </cell>
          <cell r="AZ3113">
            <v>0</v>
          </cell>
          <cell r="BA3113">
            <v>0</v>
          </cell>
          <cell r="BC3113" t="str">
            <v>BANPU</v>
          </cell>
          <cell r="BE3113" t="str">
            <v>Apr</v>
          </cell>
        </row>
        <row r="3114">
          <cell r="C3114" t="str">
            <v>CPN</v>
          </cell>
          <cell r="R3114">
            <v>0</v>
          </cell>
          <cell r="AZ3114">
            <v>0</v>
          </cell>
          <cell r="BA3114">
            <v>0</v>
          </cell>
          <cell r="BC3114" t="str">
            <v>BANPU</v>
          </cell>
          <cell r="BE3114" t="str">
            <v>May</v>
          </cell>
        </row>
        <row r="3115">
          <cell r="C3115" t="str">
            <v>CPN</v>
          </cell>
          <cell r="R3115">
            <v>0</v>
          </cell>
          <cell r="AZ3115">
            <v>0</v>
          </cell>
          <cell r="BA3115">
            <v>0</v>
          </cell>
          <cell r="BC3115" t="str">
            <v>BANPU</v>
          </cell>
          <cell r="BE3115" t="str">
            <v>Jun</v>
          </cell>
        </row>
        <row r="3116">
          <cell r="C3116" t="str">
            <v>CPN</v>
          </cell>
          <cell r="R3116">
            <v>0</v>
          </cell>
          <cell r="AZ3116">
            <v>0</v>
          </cell>
          <cell r="BA3116">
            <v>0</v>
          </cell>
          <cell r="BC3116" t="str">
            <v>BANPU</v>
          </cell>
          <cell r="BE3116" t="str">
            <v>Jul</v>
          </cell>
        </row>
        <row r="3117">
          <cell r="C3117" t="str">
            <v>CPN</v>
          </cell>
          <cell r="R3117">
            <v>0</v>
          </cell>
          <cell r="AZ3117">
            <v>0</v>
          </cell>
          <cell r="BA3117">
            <v>0</v>
          </cell>
          <cell r="BC3117" t="str">
            <v>BANPU</v>
          </cell>
          <cell r="BE3117" t="str">
            <v>Aug</v>
          </cell>
        </row>
        <row r="3118">
          <cell r="C3118" t="str">
            <v>CPN</v>
          </cell>
          <cell r="R3118">
            <v>0</v>
          </cell>
          <cell r="AZ3118">
            <v>0</v>
          </cell>
          <cell r="BA3118">
            <v>0</v>
          </cell>
          <cell r="BC3118" t="str">
            <v>BANPU</v>
          </cell>
          <cell r="BE3118" t="str">
            <v>Sep</v>
          </cell>
        </row>
        <row r="3119">
          <cell r="C3119" t="str">
            <v>CPN</v>
          </cell>
          <cell r="R3119">
            <v>0</v>
          </cell>
          <cell r="AZ3119">
            <v>0</v>
          </cell>
          <cell r="BA3119">
            <v>0</v>
          </cell>
          <cell r="BC3119" t="str">
            <v>BANPU</v>
          </cell>
          <cell r="BE3119" t="str">
            <v>Oct</v>
          </cell>
        </row>
        <row r="3120">
          <cell r="C3120" t="str">
            <v>CPN</v>
          </cell>
          <cell r="R3120">
            <v>0</v>
          </cell>
          <cell r="AZ3120">
            <v>0</v>
          </cell>
          <cell r="BA3120">
            <v>0</v>
          </cell>
          <cell r="BC3120" t="str">
            <v>BANPU</v>
          </cell>
          <cell r="BE3120" t="str">
            <v>Nov</v>
          </cell>
        </row>
        <row r="3121">
          <cell r="C3121" t="str">
            <v>CPN</v>
          </cell>
          <cell r="R3121">
            <v>0</v>
          </cell>
          <cell r="AZ3121">
            <v>0</v>
          </cell>
          <cell r="BA3121">
            <v>0</v>
          </cell>
          <cell r="BC3121" t="str">
            <v>BANPU</v>
          </cell>
          <cell r="BE3121" t="str">
            <v>Dec</v>
          </cell>
        </row>
        <row r="3122">
          <cell r="C3122" t="str">
            <v>SKIC</v>
          </cell>
          <cell r="R3122">
            <v>0</v>
          </cell>
          <cell r="AZ3122">
            <v>0</v>
          </cell>
          <cell r="BA3122">
            <v>0</v>
          </cell>
          <cell r="BC3122" t="str">
            <v>BANPU</v>
          </cell>
          <cell r="BE3122" t="str">
            <v>Jan</v>
          </cell>
        </row>
        <row r="3123">
          <cell r="C3123" t="str">
            <v>SKIC</v>
          </cell>
          <cell r="R3123">
            <v>0</v>
          </cell>
          <cell r="AZ3123">
            <v>0</v>
          </cell>
          <cell r="BA3123">
            <v>0</v>
          </cell>
          <cell r="BC3123" t="str">
            <v>BANPU</v>
          </cell>
          <cell r="BE3123" t="str">
            <v>Feb</v>
          </cell>
        </row>
        <row r="3124">
          <cell r="C3124" t="str">
            <v>SKIC</v>
          </cell>
          <cell r="R3124">
            <v>0</v>
          </cell>
          <cell r="AZ3124">
            <v>0</v>
          </cell>
          <cell r="BA3124">
            <v>0</v>
          </cell>
          <cell r="BC3124" t="str">
            <v>BANPU</v>
          </cell>
          <cell r="BE3124" t="str">
            <v>Mar</v>
          </cell>
        </row>
        <row r="3125">
          <cell r="C3125" t="str">
            <v>SKIC</v>
          </cell>
          <cell r="R3125">
            <v>0</v>
          </cell>
          <cell r="AZ3125">
            <v>0</v>
          </cell>
          <cell r="BA3125">
            <v>0</v>
          </cell>
          <cell r="BC3125" t="str">
            <v>BANPU</v>
          </cell>
          <cell r="BE3125" t="str">
            <v>Apr</v>
          </cell>
        </row>
        <row r="3126">
          <cell r="C3126" t="str">
            <v>SKIC</v>
          </cell>
          <cell r="R3126">
            <v>0</v>
          </cell>
          <cell r="AZ3126">
            <v>0</v>
          </cell>
          <cell r="BA3126">
            <v>0</v>
          </cell>
          <cell r="BC3126" t="str">
            <v>BANPU</v>
          </cell>
          <cell r="BE3126" t="str">
            <v>May</v>
          </cell>
        </row>
        <row r="3127">
          <cell r="C3127" t="str">
            <v>SKIC</v>
          </cell>
          <cell r="R3127">
            <v>0</v>
          </cell>
          <cell r="AZ3127">
            <v>0</v>
          </cell>
          <cell r="BA3127">
            <v>0</v>
          </cell>
          <cell r="BC3127" t="str">
            <v>BANPU</v>
          </cell>
          <cell r="BE3127" t="str">
            <v>Jun</v>
          </cell>
        </row>
        <row r="3128">
          <cell r="C3128" t="str">
            <v>SKIC</v>
          </cell>
          <cell r="R3128">
            <v>0</v>
          </cell>
          <cell r="AZ3128">
            <v>0</v>
          </cell>
          <cell r="BA3128">
            <v>0</v>
          </cell>
          <cell r="BC3128" t="str">
            <v>BANPU</v>
          </cell>
          <cell r="BE3128" t="str">
            <v>Jul</v>
          </cell>
        </row>
        <row r="3129">
          <cell r="C3129" t="str">
            <v>SKIC</v>
          </cell>
          <cell r="R3129">
            <v>0</v>
          </cell>
          <cell r="AZ3129">
            <v>0</v>
          </cell>
          <cell r="BA3129">
            <v>0</v>
          </cell>
          <cell r="BC3129" t="str">
            <v>BANPU</v>
          </cell>
          <cell r="BE3129" t="str">
            <v>Aug</v>
          </cell>
        </row>
        <row r="3130">
          <cell r="C3130" t="str">
            <v>SKIC</v>
          </cell>
          <cell r="R3130">
            <v>0</v>
          </cell>
          <cell r="AZ3130">
            <v>0</v>
          </cell>
          <cell r="BA3130">
            <v>0</v>
          </cell>
          <cell r="BC3130" t="str">
            <v>BANPU</v>
          </cell>
          <cell r="BE3130" t="str">
            <v>Sep</v>
          </cell>
        </row>
        <row r="3131">
          <cell r="C3131" t="str">
            <v>SKIC</v>
          </cell>
          <cell r="R3131">
            <v>0</v>
          </cell>
          <cell r="AZ3131">
            <v>0</v>
          </cell>
          <cell r="BA3131">
            <v>0</v>
          </cell>
          <cell r="BC3131" t="str">
            <v>BANPU</v>
          </cell>
          <cell r="BE3131" t="str">
            <v>Oct</v>
          </cell>
        </row>
        <row r="3132">
          <cell r="C3132" t="str">
            <v>SKIC</v>
          </cell>
          <cell r="R3132">
            <v>0</v>
          </cell>
          <cell r="AZ3132">
            <v>0</v>
          </cell>
          <cell r="BA3132">
            <v>0</v>
          </cell>
          <cell r="BC3132" t="str">
            <v>BANPU</v>
          </cell>
          <cell r="BE3132" t="str">
            <v>Nov</v>
          </cell>
        </row>
        <row r="3133">
          <cell r="C3133" t="str">
            <v>SKIC</v>
          </cell>
          <cell r="R3133">
            <v>0</v>
          </cell>
          <cell r="AZ3133">
            <v>0</v>
          </cell>
          <cell r="BA3133">
            <v>0</v>
          </cell>
          <cell r="BC3133" t="str">
            <v>BANPU</v>
          </cell>
          <cell r="BE3133" t="str">
            <v>Dec</v>
          </cell>
        </row>
        <row r="3134">
          <cell r="C3134" t="str">
            <v>CLP</v>
          </cell>
          <cell r="R3134">
            <v>56000</v>
          </cell>
          <cell r="AZ3134">
            <v>-44800</v>
          </cell>
          <cell r="BA3134">
            <v>-71781.936754865659</v>
          </cell>
          <cell r="BC3134" t="str">
            <v>GOLD</v>
          </cell>
          <cell r="BE3134" t="str">
            <v>Jan</v>
          </cell>
        </row>
        <row r="3135">
          <cell r="C3135" t="str">
            <v>CLP</v>
          </cell>
          <cell r="R3135">
            <v>56000</v>
          </cell>
          <cell r="AZ3135">
            <v>-44800</v>
          </cell>
          <cell r="BA3135">
            <v>-71781.936754865659</v>
          </cell>
          <cell r="BC3135" t="str">
            <v>GOLD</v>
          </cell>
          <cell r="BE3135" t="str">
            <v>Feb</v>
          </cell>
        </row>
        <row r="3136">
          <cell r="C3136" t="str">
            <v>CLP</v>
          </cell>
          <cell r="R3136">
            <v>56000</v>
          </cell>
          <cell r="AZ3136">
            <v>-44800</v>
          </cell>
          <cell r="BA3136">
            <v>-71781.936754865659</v>
          </cell>
          <cell r="BC3136" t="str">
            <v>GOLD</v>
          </cell>
          <cell r="BE3136" t="str">
            <v>Mar</v>
          </cell>
        </row>
        <row r="3137">
          <cell r="C3137" t="str">
            <v>CLP</v>
          </cell>
          <cell r="R3137">
            <v>56000</v>
          </cell>
          <cell r="AZ3137">
            <v>-44800</v>
          </cell>
          <cell r="BA3137">
            <v>-71781.936754865659</v>
          </cell>
          <cell r="BC3137" t="str">
            <v>GOLD</v>
          </cell>
          <cell r="BE3137" t="str">
            <v>Apr</v>
          </cell>
        </row>
        <row r="3138">
          <cell r="C3138" t="str">
            <v>CLP</v>
          </cell>
          <cell r="R3138">
            <v>56000</v>
          </cell>
          <cell r="AZ3138">
            <v>-44800</v>
          </cell>
          <cell r="BA3138">
            <v>-71781.936754865659</v>
          </cell>
          <cell r="BC3138" t="str">
            <v>GOLD</v>
          </cell>
          <cell r="BE3138" t="str">
            <v>May</v>
          </cell>
        </row>
        <row r="3139">
          <cell r="C3139" t="str">
            <v>CLP</v>
          </cell>
          <cell r="R3139">
            <v>56000</v>
          </cell>
          <cell r="AZ3139">
            <v>-44800</v>
          </cell>
          <cell r="BA3139">
            <v>-71781.936754865659</v>
          </cell>
          <cell r="BC3139" t="str">
            <v>GOLD</v>
          </cell>
          <cell r="BE3139" t="str">
            <v>Jun</v>
          </cell>
        </row>
        <row r="3140">
          <cell r="C3140" t="str">
            <v>CLP</v>
          </cell>
          <cell r="R3140">
            <v>56000</v>
          </cell>
          <cell r="AZ3140">
            <v>-44800</v>
          </cell>
          <cell r="BA3140">
            <v>-71781.936754865659</v>
          </cell>
          <cell r="BC3140" t="str">
            <v>GOLD</v>
          </cell>
          <cell r="BE3140" t="str">
            <v>Jul</v>
          </cell>
        </row>
        <row r="3141">
          <cell r="C3141" t="str">
            <v>CLP</v>
          </cell>
          <cell r="R3141">
            <v>56000</v>
          </cell>
          <cell r="AZ3141">
            <v>-44800</v>
          </cell>
          <cell r="BA3141">
            <v>-71781.936754865659</v>
          </cell>
          <cell r="BC3141" t="str">
            <v>GOLD</v>
          </cell>
          <cell r="BE3141" t="str">
            <v>Aug</v>
          </cell>
        </row>
        <row r="3142">
          <cell r="C3142" t="str">
            <v>CLP</v>
          </cell>
          <cell r="R3142">
            <v>56000</v>
          </cell>
          <cell r="AZ3142">
            <v>-44800</v>
          </cell>
          <cell r="BA3142">
            <v>-71781.936754865659</v>
          </cell>
          <cell r="BC3142" t="str">
            <v>GOLD</v>
          </cell>
          <cell r="BE3142" t="str">
            <v>Sep</v>
          </cell>
        </row>
        <row r="3143">
          <cell r="C3143" t="str">
            <v>CLP</v>
          </cell>
          <cell r="R3143">
            <v>56000</v>
          </cell>
          <cell r="AZ3143">
            <v>-44800</v>
          </cell>
          <cell r="BA3143">
            <v>-71781.936754865659</v>
          </cell>
          <cell r="BC3143" t="str">
            <v>GOLD</v>
          </cell>
          <cell r="BE3143" t="str">
            <v>Oct</v>
          </cell>
        </row>
        <row r="3144">
          <cell r="C3144" t="str">
            <v>CLP</v>
          </cell>
          <cell r="R3144">
            <v>56000</v>
          </cell>
          <cell r="AZ3144">
            <v>-44800</v>
          </cell>
          <cell r="BA3144">
            <v>-71781.936754865659</v>
          </cell>
          <cell r="BC3144" t="str">
            <v>GOLD</v>
          </cell>
          <cell r="BE3144" t="str">
            <v>Nov</v>
          </cell>
        </row>
        <row r="3145">
          <cell r="C3145" t="str">
            <v>CLP</v>
          </cell>
          <cell r="R3145">
            <v>56000</v>
          </cell>
          <cell r="AZ3145">
            <v>-44800</v>
          </cell>
          <cell r="BA3145">
            <v>-71781.936754865659</v>
          </cell>
          <cell r="BC3145" t="str">
            <v>GOLD</v>
          </cell>
          <cell r="BE3145" t="str">
            <v>Dec</v>
          </cell>
        </row>
        <row r="3146">
          <cell r="C3146" t="str">
            <v>CLP</v>
          </cell>
          <cell r="R3146">
            <v>24000.000000000004</v>
          </cell>
          <cell r="AZ3146">
            <v>-19200.000000000004</v>
          </cell>
          <cell r="BA3146">
            <v>-28692.639516320782</v>
          </cell>
          <cell r="BC3146" t="str">
            <v>GOLD</v>
          </cell>
          <cell r="BE3146" t="str">
            <v>Jan</v>
          </cell>
        </row>
        <row r="3147">
          <cell r="C3147" t="str">
            <v>CLP</v>
          </cell>
          <cell r="R3147">
            <v>24000.000000000004</v>
          </cell>
          <cell r="AZ3147">
            <v>-19200.000000000004</v>
          </cell>
          <cell r="BA3147">
            <v>-28692.639516320782</v>
          </cell>
          <cell r="BC3147" t="str">
            <v>GOLD</v>
          </cell>
          <cell r="BE3147" t="str">
            <v>Feb</v>
          </cell>
        </row>
        <row r="3148">
          <cell r="C3148" t="str">
            <v>CLP</v>
          </cell>
          <cell r="R3148">
            <v>24000.000000000004</v>
          </cell>
          <cell r="AZ3148">
            <v>-19200.000000000004</v>
          </cell>
          <cell r="BA3148">
            <v>-28692.639516320782</v>
          </cell>
          <cell r="BC3148" t="str">
            <v>GOLD</v>
          </cell>
          <cell r="BE3148" t="str">
            <v>Mar</v>
          </cell>
        </row>
        <row r="3149">
          <cell r="C3149" t="str">
            <v>CLP</v>
          </cell>
          <cell r="R3149">
            <v>24000.000000000004</v>
          </cell>
          <cell r="AZ3149">
            <v>-19200.000000000004</v>
          </cell>
          <cell r="BA3149">
            <v>-28692.639516320782</v>
          </cell>
          <cell r="BC3149" t="str">
            <v>GOLD</v>
          </cell>
          <cell r="BE3149" t="str">
            <v>Apr</v>
          </cell>
        </row>
        <row r="3150">
          <cell r="C3150" t="str">
            <v>CLP</v>
          </cell>
          <cell r="R3150">
            <v>24000.000000000004</v>
          </cell>
          <cell r="AZ3150">
            <v>-19200.000000000004</v>
          </cell>
          <cell r="BA3150">
            <v>-28692.639516320782</v>
          </cell>
          <cell r="BC3150" t="str">
            <v>GOLD</v>
          </cell>
          <cell r="BE3150" t="str">
            <v>May</v>
          </cell>
        </row>
        <row r="3151">
          <cell r="C3151" t="str">
            <v>CLP</v>
          </cell>
          <cell r="R3151">
            <v>24000.000000000004</v>
          </cell>
          <cell r="AZ3151">
            <v>-19200.000000000004</v>
          </cell>
          <cell r="BA3151">
            <v>-28692.639516320782</v>
          </cell>
          <cell r="BC3151" t="str">
            <v>GOLD</v>
          </cell>
          <cell r="BE3151" t="str">
            <v>Jun</v>
          </cell>
        </row>
        <row r="3152">
          <cell r="C3152" t="str">
            <v>CLP</v>
          </cell>
          <cell r="R3152">
            <v>24000.000000000004</v>
          </cell>
          <cell r="AZ3152">
            <v>-19200.000000000004</v>
          </cell>
          <cell r="BA3152">
            <v>-28692.639516320782</v>
          </cell>
          <cell r="BC3152" t="str">
            <v>GOLD</v>
          </cell>
          <cell r="BE3152" t="str">
            <v>Jul</v>
          </cell>
        </row>
        <row r="3153">
          <cell r="C3153" t="str">
            <v>CLP</v>
          </cell>
          <cell r="R3153">
            <v>24000.000000000004</v>
          </cell>
          <cell r="AZ3153">
            <v>-19200.000000000004</v>
          </cell>
          <cell r="BA3153">
            <v>-28692.639516320782</v>
          </cell>
          <cell r="BC3153" t="str">
            <v>GOLD</v>
          </cell>
          <cell r="BE3153" t="str">
            <v>Aug</v>
          </cell>
        </row>
        <row r="3154">
          <cell r="C3154" t="str">
            <v>CLP</v>
          </cell>
          <cell r="R3154">
            <v>24000.000000000004</v>
          </cell>
          <cell r="AZ3154">
            <v>-19200.000000000004</v>
          </cell>
          <cell r="BA3154">
            <v>-28692.639516320782</v>
          </cell>
          <cell r="BC3154" t="str">
            <v>GOLD</v>
          </cell>
          <cell r="BE3154" t="str">
            <v>Sep</v>
          </cell>
        </row>
        <row r="3155">
          <cell r="C3155" t="str">
            <v>CLP</v>
          </cell>
          <cell r="R3155">
            <v>24000.000000000004</v>
          </cell>
          <cell r="AZ3155">
            <v>-19200.000000000004</v>
          </cell>
          <cell r="BA3155">
            <v>-28692.639516320782</v>
          </cell>
          <cell r="BC3155" t="str">
            <v>GOLD</v>
          </cell>
          <cell r="BE3155" t="str">
            <v>Oct</v>
          </cell>
        </row>
        <row r="3156">
          <cell r="C3156" t="str">
            <v>CLP</v>
          </cell>
          <cell r="R3156">
            <v>24000.000000000004</v>
          </cell>
          <cell r="AZ3156">
            <v>-19200.000000000004</v>
          </cell>
          <cell r="BA3156">
            <v>-28692.639516320782</v>
          </cell>
          <cell r="BC3156" t="str">
            <v>GOLD</v>
          </cell>
          <cell r="BE3156" t="str">
            <v>Nov</v>
          </cell>
        </row>
        <row r="3157">
          <cell r="C3157" t="str">
            <v>CLP</v>
          </cell>
          <cell r="R3157">
            <v>24000.000000000004</v>
          </cell>
          <cell r="AZ3157">
            <v>-19200.000000000004</v>
          </cell>
          <cell r="BA3157">
            <v>-28692.639516320782</v>
          </cell>
          <cell r="BC3157" t="str">
            <v>GOLD</v>
          </cell>
          <cell r="BE3157" t="str">
            <v>Dec</v>
          </cell>
        </row>
        <row r="3158">
          <cell r="C3158" t="str">
            <v>CLP</v>
          </cell>
          <cell r="R3158">
            <v>0</v>
          </cell>
          <cell r="AZ3158">
            <v>0</v>
          </cell>
          <cell r="BA3158">
            <v>0</v>
          </cell>
          <cell r="BC3158" t="str">
            <v>GOLD</v>
          </cell>
          <cell r="BE3158" t="str">
            <v>Jan</v>
          </cell>
        </row>
        <row r="3159">
          <cell r="C3159" t="str">
            <v>CLP</v>
          </cell>
          <cell r="R3159">
            <v>60000</v>
          </cell>
          <cell r="AZ3159">
            <v>-48000</v>
          </cell>
          <cell r="BA3159">
            <v>-76645.905365216764</v>
          </cell>
          <cell r="BC3159" t="str">
            <v>GOLD</v>
          </cell>
          <cell r="BE3159" t="str">
            <v>Feb</v>
          </cell>
        </row>
        <row r="3160">
          <cell r="C3160" t="str">
            <v>CLP</v>
          </cell>
          <cell r="R3160">
            <v>0</v>
          </cell>
          <cell r="AZ3160">
            <v>0</v>
          </cell>
          <cell r="BA3160">
            <v>0</v>
          </cell>
          <cell r="BC3160" t="str">
            <v>GOLD</v>
          </cell>
          <cell r="BE3160" t="str">
            <v>Mar</v>
          </cell>
        </row>
        <row r="3161">
          <cell r="C3161" t="str">
            <v>CLP</v>
          </cell>
          <cell r="R3161">
            <v>0</v>
          </cell>
          <cell r="AZ3161">
            <v>0</v>
          </cell>
          <cell r="BA3161">
            <v>0</v>
          </cell>
          <cell r="BC3161" t="str">
            <v>GOLD</v>
          </cell>
          <cell r="BE3161" t="str">
            <v>Apr</v>
          </cell>
        </row>
        <row r="3162">
          <cell r="C3162" t="str">
            <v>CLP</v>
          </cell>
          <cell r="R3162">
            <v>0</v>
          </cell>
          <cell r="AZ3162">
            <v>0</v>
          </cell>
          <cell r="BA3162">
            <v>0</v>
          </cell>
          <cell r="BC3162" t="str">
            <v>GOLD</v>
          </cell>
          <cell r="BE3162" t="str">
            <v>May</v>
          </cell>
        </row>
        <row r="3163">
          <cell r="C3163" t="str">
            <v>CLP</v>
          </cell>
          <cell r="R3163">
            <v>0</v>
          </cell>
          <cell r="AZ3163">
            <v>0</v>
          </cell>
          <cell r="BA3163">
            <v>0</v>
          </cell>
          <cell r="BC3163" t="str">
            <v>GOLD</v>
          </cell>
          <cell r="BE3163" t="str">
            <v>Jun</v>
          </cell>
        </row>
        <row r="3164">
          <cell r="C3164" t="str">
            <v>CLP</v>
          </cell>
          <cell r="R3164">
            <v>0</v>
          </cell>
          <cell r="AZ3164">
            <v>0</v>
          </cell>
          <cell r="BA3164">
            <v>0</v>
          </cell>
          <cell r="BC3164" t="str">
            <v>GOLD</v>
          </cell>
          <cell r="BE3164" t="str">
            <v>Jul</v>
          </cell>
        </row>
        <row r="3165">
          <cell r="C3165" t="str">
            <v>CLP</v>
          </cell>
          <cell r="R3165">
            <v>0</v>
          </cell>
          <cell r="AZ3165">
            <v>0</v>
          </cell>
          <cell r="BA3165">
            <v>0</v>
          </cell>
          <cell r="BC3165" t="str">
            <v>GOLD</v>
          </cell>
          <cell r="BE3165" t="str">
            <v>Aug</v>
          </cell>
        </row>
        <row r="3166">
          <cell r="C3166" t="str">
            <v>CLP</v>
          </cell>
          <cell r="R3166">
            <v>0</v>
          </cell>
          <cell r="AZ3166">
            <v>0</v>
          </cell>
          <cell r="BA3166">
            <v>0</v>
          </cell>
          <cell r="BC3166" t="str">
            <v>GOLD</v>
          </cell>
          <cell r="BE3166" t="str">
            <v>Sep</v>
          </cell>
        </row>
        <row r="3167">
          <cell r="C3167" t="str">
            <v>CLP</v>
          </cell>
          <cell r="R3167">
            <v>0</v>
          </cell>
          <cell r="AZ3167">
            <v>0</v>
          </cell>
          <cell r="BA3167">
            <v>0</v>
          </cell>
          <cell r="BC3167" t="str">
            <v>GOLD</v>
          </cell>
          <cell r="BE3167" t="str">
            <v>Oct</v>
          </cell>
        </row>
        <row r="3168">
          <cell r="C3168" t="str">
            <v>CLP</v>
          </cell>
          <cell r="R3168">
            <v>0</v>
          </cell>
          <cell r="AZ3168">
            <v>0</v>
          </cell>
          <cell r="BA3168">
            <v>0</v>
          </cell>
          <cell r="BC3168" t="str">
            <v>GOLD</v>
          </cell>
          <cell r="BE3168" t="str">
            <v>Nov</v>
          </cell>
        </row>
        <row r="3169">
          <cell r="C3169" t="str">
            <v>CLP</v>
          </cell>
          <cell r="R3169">
            <v>0</v>
          </cell>
          <cell r="AZ3169">
            <v>0</v>
          </cell>
          <cell r="BA3169">
            <v>0</v>
          </cell>
          <cell r="BC3169" t="str">
            <v>GOLD</v>
          </cell>
          <cell r="BE3169" t="str">
            <v>Dec</v>
          </cell>
        </row>
        <row r="3170">
          <cell r="C3170" t="str">
            <v>CLP</v>
          </cell>
          <cell r="R3170">
            <v>0</v>
          </cell>
          <cell r="AZ3170">
            <v>0</v>
          </cell>
          <cell r="BA3170">
            <v>0</v>
          </cell>
          <cell r="BC3170" t="str">
            <v>GOLD</v>
          </cell>
          <cell r="BE3170" t="str">
            <v>Jan</v>
          </cell>
        </row>
        <row r="3171">
          <cell r="C3171" t="str">
            <v>CLP</v>
          </cell>
          <cell r="R3171">
            <v>20000</v>
          </cell>
          <cell r="AZ3171">
            <v>-16000</v>
          </cell>
          <cell r="BA3171">
            <v>-23828.670905969684</v>
          </cell>
          <cell r="BC3171" t="str">
            <v>GOLD</v>
          </cell>
          <cell r="BE3171" t="str">
            <v>Feb</v>
          </cell>
        </row>
        <row r="3172">
          <cell r="C3172" t="str">
            <v>CLP</v>
          </cell>
          <cell r="R3172">
            <v>0</v>
          </cell>
          <cell r="AZ3172">
            <v>0</v>
          </cell>
          <cell r="BA3172">
            <v>0</v>
          </cell>
          <cell r="BC3172" t="str">
            <v>GOLD</v>
          </cell>
          <cell r="BE3172" t="str">
            <v>Mar</v>
          </cell>
        </row>
        <row r="3173">
          <cell r="C3173" t="str">
            <v>CLP</v>
          </cell>
          <cell r="R3173">
            <v>0</v>
          </cell>
          <cell r="AZ3173">
            <v>0</v>
          </cell>
          <cell r="BA3173">
            <v>0</v>
          </cell>
          <cell r="BC3173" t="str">
            <v>GOLD</v>
          </cell>
          <cell r="BE3173" t="str">
            <v>Apr</v>
          </cell>
        </row>
        <row r="3174">
          <cell r="C3174" t="str">
            <v>CLP</v>
          </cell>
          <cell r="R3174">
            <v>0</v>
          </cell>
          <cell r="AZ3174">
            <v>0</v>
          </cell>
          <cell r="BA3174">
            <v>0</v>
          </cell>
          <cell r="BC3174" t="str">
            <v>GOLD</v>
          </cell>
          <cell r="BE3174" t="str">
            <v>May</v>
          </cell>
        </row>
        <row r="3175">
          <cell r="C3175" t="str">
            <v>CLP</v>
          </cell>
          <cell r="R3175">
            <v>0</v>
          </cell>
          <cell r="AZ3175">
            <v>0</v>
          </cell>
          <cell r="BA3175">
            <v>0</v>
          </cell>
          <cell r="BC3175" t="str">
            <v>GOLD</v>
          </cell>
          <cell r="BE3175" t="str">
            <v>Jun</v>
          </cell>
        </row>
        <row r="3176">
          <cell r="C3176" t="str">
            <v>CLP</v>
          </cell>
          <cell r="R3176">
            <v>0</v>
          </cell>
          <cell r="AZ3176">
            <v>0</v>
          </cell>
          <cell r="BA3176">
            <v>0</v>
          </cell>
          <cell r="BC3176" t="str">
            <v>GOLD</v>
          </cell>
          <cell r="BE3176" t="str">
            <v>Jul</v>
          </cell>
        </row>
        <row r="3177">
          <cell r="C3177" t="str">
            <v>CLP</v>
          </cell>
          <cell r="R3177">
            <v>0</v>
          </cell>
          <cell r="AZ3177">
            <v>0</v>
          </cell>
          <cell r="BA3177">
            <v>0</v>
          </cell>
          <cell r="BC3177" t="str">
            <v>GOLD</v>
          </cell>
          <cell r="BE3177" t="str">
            <v>Aug</v>
          </cell>
        </row>
        <row r="3178">
          <cell r="C3178" t="str">
            <v>CLP</v>
          </cell>
          <cell r="R3178">
            <v>0</v>
          </cell>
          <cell r="AZ3178">
            <v>0</v>
          </cell>
          <cell r="BA3178">
            <v>0</v>
          </cell>
          <cell r="BC3178" t="str">
            <v>GOLD</v>
          </cell>
          <cell r="BE3178" t="str">
            <v>Sep</v>
          </cell>
        </row>
        <row r="3179">
          <cell r="C3179" t="str">
            <v>CLP</v>
          </cell>
          <cell r="R3179">
            <v>0</v>
          </cell>
          <cell r="AZ3179">
            <v>0</v>
          </cell>
          <cell r="BA3179">
            <v>0</v>
          </cell>
          <cell r="BC3179" t="str">
            <v>GOLD</v>
          </cell>
          <cell r="BE3179" t="str">
            <v>Oct</v>
          </cell>
        </row>
        <row r="3180">
          <cell r="C3180" t="str">
            <v>CLP</v>
          </cell>
          <cell r="R3180">
            <v>0</v>
          </cell>
          <cell r="AZ3180">
            <v>0</v>
          </cell>
          <cell r="BA3180">
            <v>0</v>
          </cell>
          <cell r="BC3180" t="str">
            <v>GOLD</v>
          </cell>
          <cell r="BE3180" t="str">
            <v>Nov</v>
          </cell>
        </row>
        <row r="3181">
          <cell r="C3181" t="str">
            <v>CLP</v>
          </cell>
          <cell r="R3181">
            <v>0</v>
          </cell>
          <cell r="AZ3181">
            <v>0</v>
          </cell>
          <cell r="BA3181">
            <v>0</v>
          </cell>
          <cell r="BC3181" t="str">
            <v>GOLD</v>
          </cell>
          <cell r="BE3181" t="str">
            <v>Dec</v>
          </cell>
        </row>
        <row r="3182">
          <cell r="C3182" t="str">
            <v>Huaneng</v>
          </cell>
          <cell r="R3182">
            <v>0</v>
          </cell>
          <cell r="AZ3182">
            <v>0</v>
          </cell>
          <cell r="BA3182">
            <v>0</v>
          </cell>
          <cell r="BC3182" t="str">
            <v>PLATINUM</v>
          </cell>
          <cell r="BE3182" t="str">
            <v>Jan</v>
          </cell>
        </row>
        <row r="3183">
          <cell r="C3183" t="str">
            <v>Huaneng</v>
          </cell>
          <cell r="R3183">
            <v>48000</v>
          </cell>
          <cell r="AZ3183">
            <v>-14400</v>
          </cell>
          <cell r="BA3183">
            <v>0</v>
          </cell>
          <cell r="BC3183" t="str">
            <v>PLATINUM</v>
          </cell>
          <cell r="BE3183" t="str">
            <v>Feb</v>
          </cell>
        </row>
        <row r="3184">
          <cell r="C3184" t="str">
            <v>Huaneng</v>
          </cell>
          <cell r="R3184">
            <v>51000</v>
          </cell>
          <cell r="AZ3184">
            <v>-15300</v>
          </cell>
          <cell r="BA3184">
            <v>0</v>
          </cell>
          <cell r="BC3184" t="str">
            <v>PLATINUM</v>
          </cell>
          <cell r="BE3184" t="str">
            <v>Mar</v>
          </cell>
        </row>
        <row r="3185">
          <cell r="C3185" t="str">
            <v>Huaneng</v>
          </cell>
          <cell r="R3185">
            <v>51000</v>
          </cell>
          <cell r="AZ3185">
            <v>-15300</v>
          </cell>
          <cell r="BA3185">
            <v>0</v>
          </cell>
          <cell r="BC3185" t="str">
            <v>PLATINUM</v>
          </cell>
          <cell r="BE3185" t="str">
            <v>Apr</v>
          </cell>
        </row>
        <row r="3186">
          <cell r="C3186" t="str">
            <v>Huaneng</v>
          </cell>
          <cell r="R3186">
            <v>51000</v>
          </cell>
          <cell r="AZ3186">
            <v>-15300</v>
          </cell>
          <cell r="BA3186">
            <v>0</v>
          </cell>
          <cell r="BC3186" t="str">
            <v>PLATINUM</v>
          </cell>
          <cell r="BE3186" t="str">
            <v>May</v>
          </cell>
        </row>
        <row r="3187">
          <cell r="C3187" t="str">
            <v>Huaneng</v>
          </cell>
          <cell r="R3187">
            <v>51000</v>
          </cell>
          <cell r="AZ3187">
            <v>-15300</v>
          </cell>
          <cell r="BA3187">
            <v>0</v>
          </cell>
          <cell r="BC3187" t="str">
            <v>PLATINUM</v>
          </cell>
          <cell r="BE3187" t="str">
            <v>Jun</v>
          </cell>
        </row>
        <row r="3188">
          <cell r="C3188" t="str">
            <v>Huaneng</v>
          </cell>
          <cell r="R3188">
            <v>0</v>
          </cell>
          <cell r="AZ3188">
            <v>0</v>
          </cell>
          <cell r="BA3188">
            <v>0</v>
          </cell>
          <cell r="BC3188" t="str">
            <v>PLATINUM</v>
          </cell>
          <cell r="BE3188" t="str">
            <v>Jul</v>
          </cell>
        </row>
        <row r="3189">
          <cell r="C3189" t="str">
            <v>Huaneng</v>
          </cell>
          <cell r="R3189">
            <v>0</v>
          </cell>
          <cell r="AZ3189">
            <v>0</v>
          </cell>
          <cell r="BA3189">
            <v>0</v>
          </cell>
          <cell r="BC3189" t="str">
            <v>PLATINUM</v>
          </cell>
          <cell r="BE3189" t="str">
            <v>Aug</v>
          </cell>
        </row>
        <row r="3190">
          <cell r="C3190" t="str">
            <v>Huaneng</v>
          </cell>
          <cell r="R3190">
            <v>0</v>
          </cell>
          <cell r="AZ3190">
            <v>0</v>
          </cell>
          <cell r="BA3190">
            <v>0</v>
          </cell>
          <cell r="BC3190" t="str">
            <v>PLATINUM</v>
          </cell>
          <cell r="BE3190" t="str">
            <v>Sep</v>
          </cell>
        </row>
        <row r="3191">
          <cell r="C3191" t="str">
            <v>Huaneng</v>
          </cell>
          <cell r="R3191">
            <v>0</v>
          </cell>
          <cell r="AZ3191">
            <v>0</v>
          </cell>
          <cell r="BA3191">
            <v>0</v>
          </cell>
          <cell r="BC3191" t="str">
            <v>PLATINUM</v>
          </cell>
          <cell r="BE3191" t="str">
            <v>Oct</v>
          </cell>
        </row>
        <row r="3192">
          <cell r="C3192" t="str">
            <v>Huaneng</v>
          </cell>
          <cell r="R3192">
            <v>0</v>
          </cell>
          <cell r="AZ3192">
            <v>0</v>
          </cell>
          <cell r="BA3192">
            <v>0</v>
          </cell>
          <cell r="BC3192" t="str">
            <v>PLATINUM</v>
          </cell>
          <cell r="BE3192" t="str">
            <v>Nov</v>
          </cell>
        </row>
        <row r="3193">
          <cell r="C3193" t="str">
            <v>Huaneng</v>
          </cell>
          <cell r="R3193">
            <v>0</v>
          </cell>
          <cell r="AZ3193">
            <v>0</v>
          </cell>
          <cell r="BA3193">
            <v>0</v>
          </cell>
          <cell r="BC3193" t="str">
            <v>PLATINUM</v>
          </cell>
          <cell r="BE3193" t="str">
            <v>Dec</v>
          </cell>
        </row>
        <row r="3194">
          <cell r="C3194" t="str">
            <v>Huaneng</v>
          </cell>
          <cell r="R3194">
            <v>0</v>
          </cell>
          <cell r="AZ3194">
            <v>0</v>
          </cell>
          <cell r="BA3194">
            <v>0</v>
          </cell>
          <cell r="BC3194" t="str">
            <v>PLATINUM</v>
          </cell>
          <cell r="BE3194" t="str">
            <v>Jan</v>
          </cell>
        </row>
        <row r="3195">
          <cell r="C3195" t="str">
            <v>Huaneng</v>
          </cell>
          <cell r="R3195">
            <v>32000</v>
          </cell>
          <cell r="AZ3195">
            <v>-9600</v>
          </cell>
          <cell r="BA3195">
            <v>0</v>
          </cell>
          <cell r="BC3195" t="str">
            <v>PLATINUM</v>
          </cell>
          <cell r="BE3195" t="str">
            <v>Feb</v>
          </cell>
        </row>
        <row r="3196">
          <cell r="C3196" t="str">
            <v>Huaneng</v>
          </cell>
          <cell r="R3196">
            <v>34000</v>
          </cell>
          <cell r="AZ3196">
            <v>-10200</v>
          </cell>
          <cell r="BA3196">
            <v>0</v>
          </cell>
          <cell r="BC3196" t="str">
            <v>PLATINUM</v>
          </cell>
          <cell r="BE3196" t="str">
            <v>Mar</v>
          </cell>
        </row>
        <row r="3197">
          <cell r="C3197" t="str">
            <v>Huaneng</v>
          </cell>
          <cell r="R3197">
            <v>34000</v>
          </cell>
          <cell r="AZ3197">
            <v>-10200</v>
          </cell>
          <cell r="BA3197">
            <v>0</v>
          </cell>
          <cell r="BC3197" t="str">
            <v>PLATINUM</v>
          </cell>
          <cell r="BE3197" t="str">
            <v>Apr</v>
          </cell>
        </row>
        <row r="3198">
          <cell r="C3198" t="str">
            <v>Huaneng</v>
          </cell>
          <cell r="R3198">
            <v>34000</v>
          </cell>
          <cell r="AZ3198">
            <v>-10200</v>
          </cell>
          <cell r="BA3198">
            <v>0</v>
          </cell>
          <cell r="BC3198" t="str">
            <v>PLATINUM</v>
          </cell>
          <cell r="BE3198" t="str">
            <v>May</v>
          </cell>
        </row>
        <row r="3199">
          <cell r="C3199" t="str">
            <v>Huaneng</v>
          </cell>
          <cell r="R3199">
            <v>34000</v>
          </cell>
          <cell r="AZ3199">
            <v>-10200</v>
          </cell>
          <cell r="BA3199">
            <v>0</v>
          </cell>
          <cell r="BC3199" t="str">
            <v>PLATINUM</v>
          </cell>
          <cell r="BE3199" t="str">
            <v>Jun</v>
          </cell>
        </row>
        <row r="3200">
          <cell r="C3200" t="str">
            <v>Huaneng</v>
          </cell>
          <cell r="R3200">
            <v>0</v>
          </cell>
          <cell r="AZ3200">
            <v>0</v>
          </cell>
          <cell r="BA3200">
            <v>0</v>
          </cell>
          <cell r="BC3200" t="str">
            <v>PLATINUM</v>
          </cell>
          <cell r="BE3200" t="str">
            <v>Jul</v>
          </cell>
        </row>
        <row r="3201">
          <cell r="C3201" t="str">
            <v>Huaneng</v>
          </cell>
          <cell r="R3201">
            <v>0</v>
          </cell>
          <cell r="AZ3201">
            <v>0</v>
          </cell>
          <cell r="BA3201">
            <v>0</v>
          </cell>
          <cell r="BC3201" t="str">
            <v>PLATINUM</v>
          </cell>
          <cell r="BE3201" t="str">
            <v>Aug</v>
          </cell>
        </row>
        <row r="3202">
          <cell r="C3202" t="str">
            <v>Huaneng</v>
          </cell>
          <cell r="R3202">
            <v>0</v>
          </cell>
          <cell r="AZ3202">
            <v>0</v>
          </cell>
          <cell r="BA3202">
            <v>0</v>
          </cell>
          <cell r="BC3202" t="str">
            <v>PLATINUM</v>
          </cell>
          <cell r="BE3202" t="str">
            <v>Sep</v>
          </cell>
        </row>
        <row r="3203">
          <cell r="C3203" t="str">
            <v>Huaneng</v>
          </cell>
          <cell r="R3203">
            <v>0</v>
          </cell>
          <cell r="AZ3203">
            <v>0</v>
          </cell>
          <cell r="BA3203">
            <v>0</v>
          </cell>
          <cell r="BC3203" t="str">
            <v>PLATINUM</v>
          </cell>
          <cell r="BE3203" t="str">
            <v>Oct</v>
          </cell>
        </row>
        <row r="3204">
          <cell r="C3204" t="str">
            <v>Huaneng</v>
          </cell>
          <cell r="R3204">
            <v>0</v>
          </cell>
          <cell r="AZ3204">
            <v>0</v>
          </cell>
          <cell r="BA3204">
            <v>0</v>
          </cell>
          <cell r="BC3204" t="str">
            <v>PLATINUM</v>
          </cell>
          <cell r="BE3204" t="str">
            <v>Nov</v>
          </cell>
        </row>
        <row r="3205">
          <cell r="C3205" t="str">
            <v>Huaneng</v>
          </cell>
          <cell r="R3205">
            <v>0</v>
          </cell>
          <cell r="AZ3205">
            <v>0</v>
          </cell>
          <cell r="BA3205">
            <v>0</v>
          </cell>
          <cell r="BC3205" t="str">
            <v>PLATINUM</v>
          </cell>
          <cell r="BE3205" t="str">
            <v>Dec</v>
          </cell>
        </row>
        <row r="3206">
          <cell r="C3206" t="str">
            <v>Huaneng</v>
          </cell>
          <cell r="R3206">
            <v>48000</v>
          </cell>
          <cell r="AZ3206">
            <v>-14400</v>
          </cell>
          <cell r="BA3206">
            <v>0</v>
          </cell>
          <cell r="BC3206" t="str">
            <v>PLATINUM</v>
          </cell>
          <cell r="BE3206" t="str">
            <v>Jan</v>
          </cell>
        </row>
        <row r="3207">
          <cell r="C3207" t="str">
            <v>Huaneng</v>
          </cell>
          <cell r="R3207">
            <v>48000</v>
          </cell>
          <cell r="AZ3207">
            <v>-14400</v>
          </cell>
          <cell r="BA3207">
            <v>0</v>
          </cell>
          <cell r="BC3207" t="str">
            <v>PLATINUM</v>
          </cell>
          <cell r="BE3207" t="str">
            <v>Feb</v>
          </cell>
        </row>
        <row r="3208">
          <cell r="C3208" t="str">
            <v>Huaneng</v>
          </cell>
          <cell r="R3208">
            <v>51000</v>
          </cell>
          <cell r="AZ3208">
            <v>-15300</v>
          </cell>
          <cell r="BA3208">
            <v>0</v>
          </cell>
          <cell r="BC3208" t="str">
            <v>PLATINUM</v>
          </cell>
          <cell r="BE3208" t="str">
            <v>Mar</v>
          </cell>
        </row>
        <row r="3209">
          <cell r="C3209" t="str">
            <v>Huaneng</v>
          </cell>
          <cell r="R3209">
            <v>51000</v>
          </cell>
          <cell r="AZ3209">
            <v>-15300</v>
          </cell>
          <cell r="BA3209">
            <v>0</v>
          </cell>
          <cell r="BC3209" t="str">
            <v>PLATINUM</v>
          </cell>
          <cell r="BE3209" t="str">
            <v>Apr</v>
          </cell>
        </row>
        <row r="3210">
          <cell r="C3210" t="str">
            <v>Huaneng</v>
          </cell>
          <cell r="R3210">
            <v>51000</v>
          </cell>
          <cell r="AZ3210">
            <v>-15300</v>
          </cell>
          <cell r="BA3210">
            <v>0</v>
          </cell>
          <cell r="BC3210" t="str">
            <v>PLATINUM</v>
          </cell>
          <cell r="BE3210" t="str">
            <v>May</v>
          </cell>
        </row>
        <row r="3211">
          <cell r="C3211" t="str">
            <v>Huaneng</v>
          </cell>
          <cell r="R3211">
            <v>51000</v>
          </cell>
          <cell r="AZ3211">
            <v>-15300</v>
          </cell>
          <cell r="BA3211">
            <v>0</v>
          </cell>
          <cell r="BC3211" t="str">
            <v>PLATINUM</v>
          </cell>
          <cell r="BE3211" t="str">
            <v>Jun</v>
          </cell>
        </row>
        <row r="3212">
          <cell r="C3212" t="str">
            <v>Huaneng</v>
          </cell>
          <cell r="R3212">
            <v>0</v>
          </cell>
          <cell r="AZ3212">
            <v>0</v>
          </cell>
          <cell r="BA3212">
            <v>0</v>
          </cell>
          <cell r="BC3212" t="str">
            <v>PLATINUM</v>
          </cell>
          <cell r="BE3212" t="str">
            <v>Jul</v>
          </cell>
        </row>
        <row r="3213">
          <cell r="C3213" t="str">
            <v>Huaneng</v>
          </cell>
          <cell r="R3213">
            <v>0</v>
          </cell>
          <cell r="AZ3213">
            <v>0</v>
          </cell>
          <cell r="BA3213">
            <v>0</v>
          </cell>
          <cell r="BC3213" t="str">
            <v>PLATINUM</v>
          </cell>
          <cell r="BE3213" t="str">
            <v>Aug</v>
          </cell>
        </row>
        <row r="3214">
          <cell r="C3214" t="str">
            <v>Huaneng</v>
          </cell>
          <cell r="R3214">
            <v>0</v>
          </cell>
          <cell r="AZ3214">
            <v>0</v>
          </cell>
          <cell r="BA3214">
            <v>0</v>
          </cell>
          <cell r="BC3214" t="str">
            <v>PLATINUM</v>
          </cell>
          <cell r="BE3214" t="str">
            <v>Sep</v>
          </cell>
        </row>
        <row r="3215">
          <cell r="C3215" t="str">
            <v>Huaneng</v>
          </cell>
          <cell r="R3215">
            <v>0</v>
          </cell>
          <cell r="AZ3215">
            <v>0</v>
          </cell>
          <cell r="BA3215">
            <v>0</v>
          </cell>
          <cell r="BC3215" t="str">
            <v>PLATINUM</v>
          </cell>
          <cell r="BE3215" t="str">
            <v>Oct</v>
          </cell>
        </row>
        <row r="3216">
          <cell r="C3216" t="str">
            <v>Huaneng</v>
          </cell>
          <cell r="R3216">
            <v>0</v>
          </cell>
          <cell r="AZ3216">
            <v>0</v>
          </cell>
          <cell r="BA3216">
            <v>0</v>
          </cell>
          <cell r="BC3216" t="str">
            <v>PLATINUM</v>
          </cell>
          <cell r="BE3216" t="str">
            <v>Nov</v>
          </cell>
        </row>
        <row r="3217">
          <cell r="C3217" t="str">
            <v>Huaneng</v>
          </cell>
          <cell r="R3217">
            <v>0</v>
          </cell>
          <cell r="AZ3217">
            <v>0</v>
          </cell>
          <cell r="BA3217">
            <v>0</v>
          </cell>
          <cell r="BC3217" t="str">
            <v>PLATINUM</v>
          </cell>
          <cell r="BE3217" t="str">
            <v>Dec</v>
          </cell>
        </row>
        <row r="3218">
          <cell r="C3218" t="str">
            <v>Huaneng</v>
          </cell>
          <cell r="R3218">
            <v>32000</v>
          </cell>
          <cell r="AZ3218">
            <v>-9600</v>
          </cell>
          <cell r="BA3218">
            <v>0</v>
          </cell>
          <cell r="BC3218" t="str">
            <v>PLATINUM</v>
          </cell>
          <cell r="BE3218" t="str">
            <v>Jan</v>
          </cell>
        </row>
        <row r="3219">
          <cell r="C3219" t="str">
            <v>Huaneng</v>
          </cell>
          <cell r="R3219">
            <v>32000</v>
          </cell>
          <cell r="AZ3219">
            <v>-9600</v>
          </cell>
          <cell r="BA3219">
            <v>0</v>
          </cell>
          <cell r="BC3219" t="str">
            <v>PLATINUM</v>
          </cell>
          <cell r="BE3219" t="str">
            <v>Feb</v>
          </cell>
        </row>
        <row r="3220">
          <cell r="C3220" t="str">
            <v>Huaneng</v>
          </cell>
          <cell r="R3220">
            <v>34000</v>
          </cell>
          <cell r="AZ3220">
            <v>-10200</v>
          </cell>
          <cell r="BA3220">
            <v>0</v>
          </cell>
          <cell r="BC3220" t="str">
            <v>PLATINUM</v>
          </cell>
          <cell r="BE3220" t="str">
            <v>Mar</v>
          </cell>
        </row>
        <row r="3221">
          <cell r="C3221" t="str">
            <v>Huaneng</v>
          </cell>
          <cell r="R3221">
            <v>34000</v>
          </cell>
          <cell r="AZ3221">
            <v>-10200</v>
          </cell>
          <cell r="BA3221">
            <v>0</v>
          </cell>
          <cell r="BC3221" t="str">
            <v>PLATINUM</v>
          </cell>
          <cell r="BE3221" t="str">
            <v>Apr</v>
          </cell>
        </row>
        <row r="3222">
          <cell r="C3222" t="str">
            <v>Huaneng</v>
          </cell>
          <cell r="R3222">
            <v>34000</v>
          </cell>
          <cell r="AZ3222">
            <v>-10200</v>
          </cell>
          <cell r="BA3222">
            <v>0</v>
          </cell>
          <cell r="BC3222" t="str">
            <v>PLATINUM</v>
          </cell>
          <cell r="BE3222" t="str">
            <v>May</v>
          </cell>
        </row>
        <row r="3223">
          <cell r="C3223" t="str">
            <v>Huaneng</v>
          </cell>
          <cell r="R3223">
            <v>34000</v>
          </cell>
          <cell r="AZ3223">
            <v>-10200</v>
          </cell>
          <cell r="BA3223">
            <v>0</v>
          </cell>
          <cell r="BC3223" t="str">
            <v>PLATINUM</v>
          </cell>
          <cell r="BE3223" t="str">
            <v>Jun</v>
          </cell>
        </row>
        <row r="3224">
          <cell r="C3224" t="str">
            <v>Huaneng</v>
          </cell>
          <cell r="R3224">
            <v>0</v>
          </cell>
          <cell r="AZ3224">
            <v>0</v>
          </cell>
          <cell r="BA3224">
            <v>0</v>
          </cell>
          <cell r="BC3224" t="str">
            <v>PLATINUM</v>
          </cell>
          <cell r="BE3224" t="str">
            <v>Jul</v>
          </cell>
        </row>
        <row r="3225">
          <cell r="C3225" t="str">
            <v>Huaneng</v>
          </cell>
          <cell r="R3225">
            <v>0</v>
          </cell>
          <cell r="AZ3225">
            <v>0</v>
          </cell>
          <cell r="BA3225">
            <v>0</v>
          </cell>
          <cell r="BC3225" t="str">
            <v>PLATINUM</v>
          </cell>
          <cell r="BE3225" t="str">
            <v>Aug</v>
          </cell>
        </row>
        <row r="3226">
          <cell r="C3226" t="str">
            <v>Huaneng</v>
          </cell>
          <cell r="R3226">
            <v>0</v>
          </cell>
          <cell r="AZ3226">
            <v>0</v>
          </cell>
          <cell r="BA3226">
            <v>0</v>
          </cell>
          <cell r="BC3226" t="str">
            <v>PLATINUM</v>
          </cell>
          <cell r="BE3226" t="str">
            <v>Sep</v>
          </cell>
        </row>
        <row r="3227">
          <cell r="C3227" t="str">
            <v>Huaneng</v>
          </cell>
          <cell r="R3227">
            <v>0</v>
          </cell>
          <cell r="AZ3227">
            <v>0</v>
          </cell>
          <cell r="BA3227">
            <v>0</v>
          </cell>
          <cell r="BC3227" t="str">
            <v>PLATINUM</v>
          </cell>
          <cell r="BE3227" t="str">
            <v>Oct</v>
          </cell>
        </row>
        <row r="3228">
          <cell r="C3228" t="str">
            <v>Huaneng</v>
          </cell>
          <cell r="R3228">
            <v>0</v>
          </cell>
          <cell r="AZ3228">
            <v>0</v>
          </cell>
          <cell r="BA3228">
            <v>0</v>
          </cell>
          <cell r="BC3228" t="str">
            <v>PLATINUM</v>
          </cell>
          <cell r="BE3228" t="str">
            <v>Nov</v>
          </cell>
        </row>
        <row r="3229">
          <cell r="C3229" t="str">
            <v>Huaneng</v>
          </cell>
          <cell r="R3229">
            <v>0</v>
          </cell>
          <cell r="AZ3229">
            <v>0</v>
          </cell>
          <cell r="BA3229">
            <v>0</v>
          </cell>
          <cell r="BC3229" t="str">
            <v>PLATINUM</v>
          </cell>
          <cell r="BE3229" t="str">
            <v>Dec</v>
          </cell>
        </row>
        <row r="3230">
          <cell r="C3230" t="str">
            <v>Huaneng</v>
          </cell>
          <cell r="R3230">
            <v>48000</v>
          </cell>
          <cell r="AZ3230">
            <v>-14400</v>
          </cell>
          <cell r="BA3230">
            <v>0</v>
          </cell>
          <cell r="BC3230" t="str">
            <v>PLATINUM</v>
          </cell>
          <cell r="BE3230" t="str">
            <v>Jan</v>
          </cell>
        </row>
        <row r="3231">
          <cell r="C3231" t="str">
            <v>Huaneng</v>
          </cell>
          <cell r="R3231">
            <v>48000</v>
          </cell>
          <cell r="AZ3231">
            <v>-14400</v>
          </cell>
          <cell r="BA3231">
            <v>0</v>
          </cell>
          <cell r="BC3231" t="str">
            <v>PLATINUM</v>
          </cell>
          <cell r="BE3231" t="str">
            <v>Feb</v>
          </cell>
        </row>
        <row r="3232">
          <cell r="C3232" t="str">
            <v>Huaneng</v>
          </cell>
          <cell r="R3232">
            <v>51000</v>
          </cell>
          <cell r="AZ3232">
            <v>-15300</v>
          </cell>
          <cell r="BA3232">
            <v>0</v>
          </cell>
          <cell r="BC3232" t="str">
            <v>PLATINUM</v>
          </cell>
          <cell r="BE3232" t="str">
            <v>Mar</v>
          </cell>
        </row>
        <row r="3233">
          <cell r="C3233" t="str">
            <v>Huaneng</v>
          </cell>
          <cell r="R3233">
            <v>51000</v>
          </cell>
          <cell r="AZ3233">
            <v>-15300</v>
          </cell>
          <cell r="BA3233">
            <v>0</v>
          </cell>
          <cell r="BC3233" t="str">
            <v>PLATINUM</v>
          </cell>
          <cell r="BE3233" t="str">
            <v>Apr</v>
          </cell>
        </row>
        <row r="3234">
          <cell r="C3234" t="str">
            <v>Huaneng</v>
          </cell>
          <cell r="R3234">
            <v>51000</v>
          </cell>
          <cell r="AZ3234">
            <v>-15300</v>
          </cell>
          <cell r="BA3234">
            <v>0</v>
          </cell>
          <cell r="BC3234" t="str">
            <v>PLATINUM</v>
          </cell>
          <cell r="BE3234" t="str">
            <v>May</v>
          </cell>
        </row>
        <row r="3235">
          <cell r="C3235" t="str">
            <v>Huaneng</v>
          </cell>
          <cell r="R3235">
            <v>0</v>
          </cell>
          <cell r="AZ3235">
            <v>0</v>
          </cell>
          <cell r="BA3235">
            <v>0</v>
          </cell>
          <cell r="BC3235" t="str">
            <v>PLATINUM</v>
          </cell>
          <cell r="BE3235" t="str">
            <v>Jun</v>
          </cell>
        </row>
        <row r="3236">
          <cell r="C3236" t="str">
            <v>Huaneng</v>
          </cell>
          <cell r="R3236">
            <v>0</v>
          </cell>
          <cell r="AZ3236">
            <v>0</v>
          </cell>
          <cell r="BA3236">
            <v>0</v>
          </cell>
          <cell r="BC3236" t="str">
            <v>PLATINUM</v>
          </cell>
          <cell r="BE3236" t="str">
            <v>Jul</v>
          </cell>
        </row>
        <row r="3237">
          <cell r="C3237" t="str">
            <v>Huaneng</v>
          </cell>
          <cell r="R3237">
            <v>0</v>
          </cell>
          <cell r="AZ3237">
            <v>0</v>
          </cell>
          <cell r="BA3237">
            <v>0</v>
          </cell>
          <cell r="BC3237" t="str">
            <v>PLATINUM</v>
          </cell>
          <cell r="BE3237" t="str">
            <v>Aug</v>
          </cell>
        </row>
        <row r="3238">
          <cell r="C3238" t="str">
            <v>Huaneng</v>
          </cell>
          <cell r="R3238">
            <v>0</v>
          </cell>
          <cell r="AZ3238">
            <v>0</v>
          </cell>
          <cell r="BA3238">
            <v>0</v>
          </cell>
          <cell r="BC3238" t="str">
            <v>PLATINUM</v>
          </cell>
          <cell r="BE3238" t="str">
            <v>Sep</v>
          </cell>
        </row>
        <row r="3239">
          <cell r="C3239" t="str">
            <v>Huaneng</v>
          </cell>
          <cell r="R3239">
            <v>0</v>
          </cell>
          <cell r="AZ3239">
            <v>0</v>
          </cell>
          <cell r="BA3239">
            <v>0</v>
          </cell>
          <cell r="BC3239" t="str">
            <v>PLATINUM</v>
          </cell>
          <cell r="BE3239" t="str">
            <v>Oct</v>
          </cell>
        </row>
        <row r="3240">
          <cell r="C3240" t="str">
            <v>Huaneng</v>
          </cell>
          <cell r="R3240">
            <v>0</v>
          </cell>
          <cell r="AZ3240">
            <v>0</v>
          </cell>
          <cell r="BA3240">
            <v>0</v>
          </cell>
          <cell r="BC3240" t="str">
            <v>PLATINUM</v>
          </cell>
          <cell r="BE3240" t="str">
            <v>Nov</v>
          </cell>
        </row>
        <row r="3241">
          <cell r="C3241" t="str">
            <v>Huaneng</v>
          </cell>
          <cell r="R3241">
            <v>0</v>
          </cell>
          <cell r="AZ3241">
            <v>0</v>
          </cell>
          <cell r="BA3241">
            <v>0</v>
          </cell>
          <cell r="BC3241" t="str">
            <v>PLATINUM</v>
          </cell>
          <cell r="BE3241" t="str">
            <v>Dec</v>
          </cell>
        </row>
        <row r="3242">
          <cell r="C3242" t="str">
            <v>Huaneng</v>
          </cell>
          <cell r="R3242">
            <v>32000</v>
          </cell>
          <cell r="AZ3242">
            <v>-9600</v>
          </cell>
          <cell r="BA3242">
            <v>0</v>
          </cell>
          <cell r="BC3242" t="str">
            <v>PLATINUM</v>
          </cell>
          <cell r="BE3242" t="str">
            <v>Jan</v>
          </cell>
        </row>
        <row r="3243">
          <cell r="C3243" t="str">
            <v>Huaneng</v>
          </cell>
          <cell r="R3243">
            <v>32000</v>
          </cell>
          <cell r="AZ3243">
            <v>-9600</v>
          </cell>
          <cell r="BA3243">
            <v>0</v>
          </cell>
          <cell r="BC3243" t="str">
            <v>PLATINUM</v>
          </cell>
          <cell r="BE3243" t="str">
            <v>Feb</v>
          </cell>
        </row>
        <row r="3244">
          <cell r="C3244" t="str">
            <v>Huaneng</v>
          </cell>
          <cell r="R3244">
            <v>34000</v>
          </cell>
          <cell r="AZ3244">
            <v>-10200</v>
          </cell>
          <cell r="BA3244">
            <v>0</v>
          </cell>
          <cell r="BC3244" t="str">
            <v>PLATINUM</v>
          </cell>
          <cell r="BE3244" t="str">
            <v>Mar</v>
          </cell>
        </row>
        <row r="3245">
          <cell r="C3245" t="str">
            <v>Huaneng</v>
          </cell>
          <cell r="R3245">
            <v>34000</v>
          </cell>
          <cell r="AZ3245">
            <v>-10200</v>
          </cell>
          <cell r="BA3245">
            <v>0</v>
          </cell>
          <cell r="BC3245" t="str">
            <v>PLATINUM</v>
          </cell>
          <cell r="BE3245" t="str">
            <v>Apr</v>
          </cell>
        </row>
        <row r="3246">
          <cell r="C3246" t="str">
            <v>Huaneng</v>
          </cell>
          <cell r="R3246">
            <v>34000</v>
          </cell>
          <cell r="AZ3246">
            <v>-10200</v>
          </cell>
          <cell r="BA3246">
            <v>0</v>
          </cell>
          <cell r="BC3246" t="str">
            <v>PLATINUM</v>
          </cell>
          <cell r="BE3246" t="str">
            <v>May</v>
          </cell>
        </row>
        <row r="3247">
          <cell r="C3247" t="str">
            <v>Huaneng</v>
          </cell>
          <cell r="R3247">
            <v>0</v>
          </cell>
          <cell r="AZ3247">
            <v>0</v>
          </cell>
          <cell r="BA3247">
            <v>0</v>
          </cell>
          <cell r="BC3247" t="str">
            <v>PLATINUM</v>
          </cell>
          <cell r="BE3247" t="str">
            <v>Jun</v>
          </cell>
        </row>
        <row r="3248">
          <cell r="C3248" t="str">
            <v>Huaneng</v>
          </cell>
          <cell r="R3248">
            <v>0</v>
          </cell>
          <cell r="AZ3248">
            <v>0</v>
          </cell>
          <cell r="BA3248">
            <v>0</v>
          </cell>
          <cell r="BC3248" t="str">
            <v>PLATINUM</v>
          </cell>
          <cell r="BE3248" t="str">
            <v>Jul</v>
          </cell>
        </row>
        <row r="3249">
          <cell r="C3249" t="str">
            <v>Huaneng</v>
          </cell>
          <cell r="R3249">
            <v>0</v>
          </cell>
          <cell r="AZ3249">
            <v>0</v>
          </cell>
          <cell r="BA3249">
            <v>0</v>
          </cell>
          <cell r="BC3249" t="str">
            <v>PLATINUM</v>
          </cell>
          <cell r="BE3249" t="str">
            <v>Aug</v>
          </cell>
        </row>
        <row r="3250">
          <cell r="C3250" t="str">
            <v>Huaneng</v>
          </cell>
          <cell r="R3250">
            <v>0</v>
          </cell>
          <cell r="AZ3250">
            <v>0</v>
          </cell>
          <cell r="BA3250">
            <v>0</v>
          </cell>
          <cell r="BC3250" t="str">
            <v>PLATINUM</v>
          </cell>
          <cell r="BE3250" t="str">
            <v>Sep</v>
          </cell>
        </row>
        <row r="3251">
          <cell r="C3251" t="str">
            <v>Huaneng</v>
          </cell>
          <cell r="R3251">
            <v>0</v>
          </cell>
          <cell r="AZ3251">
            <v>0</v>
          </cell>
          <cell r="BA3251">
            <v>0</v>
          </cell>
          <cell r="BC3251" t="str">
            <v>PLATINUM</v>
          </cell>
          <cell r="BE3251" t="str">
            <v>Oct</v>
          </cell>
        </row>
        <row r="3252">
          <cell r="C3252" t="str">
            <v>Huaneng</v>
          </cell>
          <cell r="R3252">
            <v>0</v>
          </cell>
          <cell r="AZ3252">
            <v>0</v>
          </cell>
          <cell r="BA3252">
            <v>0</v>
          </cell>
          <cell r="BC3252" t="str">
            <v>PLATINUM</v>
          </cell>
          <cell r="BE3252" t="str">
            <v>Nov</v>
          </cell>
        </row>
        <row r="3253">
          <cell r="C3253" t="str">
            <v>Huaneng</v>
          </cell>
          <cell r="R3253">
            <v>0</v>
          </cell>
          <cell r="AZ3253">
            <v>0</v>
          </cell>
          <cell r="BA3253">
            <v>0</v>
          </cell>
          <cell r="BC3253" t="str">
            <v>PLATINUM</v>
          </cell>
          <cell r="BE3253" t="str">
            <v>Dec</v>
          </cell>
        </row>
        <row r="3254">
          <cell r="C3254" t="str">
            <v>Minmetals</v>
          </cell>
          <cell r="R3254">
            <v>60000</v>
          </cell>
          <cell r="AZ3254">
            <v>-30000</v>
          </cell>
          <cell r="BA3254">
            <v>-68135.593220338982</v>
          </cell>
          <cell r="BC3254" t="str">
            <v>OTHERS</v>
          </cell>
          <cell r="BE3254" t="str">
            <v>Jan</v>
          </cell>
        </row>
        <row r="3255">
          <cell r="C3255" t="str">
            <v>Minmetals</v>
          </cell>
          <cell r="R3255">
            <v>0</v>
          </cell>
          <cell r="AZ3255">
            <v>0</v>
          </cell>
          <cell r="BA3255">
            <v>0</v>
          </cell>
          <cell r="BC3255" t="str">
            <v>OTHERS</v>
          </cell>
          <cell r="BE3255" t="str">
            <v>Feb</v>
          </cell>
        </row>
        <row r="3256">
          <cell r="C3256" t="str">
            <v>Minmetals</v>
          </cell>
          <cell r="R3256">
            <v>0</v>
          </cell>
          <cell r="AZ3256">
            <v>0</v>
          </cell>
          <cell r="BA3256">
            <v>0</v>
          </cell>
          <cell r="BC3256" t="str">
            <v>OTHERS</v>
          </cell>
          <cell r="BE3256" t="str">
            <v>Mar</v>
          </cell>
        </row>
        <row r="3257">
          <cell r="C3257" t="str">
            <v>Minmetals</v>
          </cell>
          <cell r="R3257">
            <v>0</v>
          </cell>
          <cell r="AZ3257">
            <v>0</v>
          </cell>
          <cell r="BA3257">
            <v>0</v>
          </cell>
          <cell r="BC3257" t="str">
            <v>OTHERS</v>
          </cell>
          <cell r="BE3257" t="str">
            <v>Apr</v>
          </cell>
        </row>
        <row r="3258">
          <cell r="C3258" t="str">
            <v>Minmetals</v>
          </cell>
          <cell r="R3258">
            <v>0</v>
          </cell>
          <cell r="AZ3258">
            <v>0</v>
          </cell>
          <cell r="BA3258">
            <v>0</v>
          </cell>
          <cell r="BC3258" t="str">
            <v>OTHERS</v>
          </cell>
          <cell r="BE3258" t="str">
            <v>May</v>
          </cell>
        </row>
        <row r="3259">
          <cell r="C3259" t="str">
            <v>Minmetals</v>
          </cell>
          <cell r="R3259">
            <v>0</v>
          </cell>
          <cell r="AZ3259">
            <v>0</v>
          </cell>
          <cell r="BA3259">
            <v>0</v>
          </cell>
          <cell r="BC3259" t="str">
            <v>OTHERS</v>
          </cell>
          <cell r="BE3259" t="str">
            <v>Jun</v>
          </cell>
        </row>
        <row r="3260">
          <cell r="C3260" t="str">
            <v>Minmetals</v>
          </cell>
          <cell r="R3260">
            <v>0</v>
          </cell>
          <cell r="AZ3260">
            <v>0</v>
          </cell>
          <cell r="BA3260">
            <v>0</v>
          </cell>
          <cell r="BC3260" t="str">
            <v>OTHERS</v>
          </cell>
          <cell r="BE3260" t="str">
            <v>Jul</v>
          </cell>
        </row>
        <row r="3261">
          <cell r="C3261" t="str">
            <v>Minmetals</v>
          </cell>
          <cell r="R3261">
            <v>0</v>
          </cell>
          <cell r="AZ3261">
            <v>0</v>
          </cell>
          <cell r="BA3261">
            <v>0</v>
          </cell>
          <cell r="BC3261" t="str">
            <v>OTHERS</v>
          </cell>
          <cell r="BE3261" t="str">
            <v>Aug</v>
          </cell>
        </row>
        <row r="3262">
          <cell r="C3262" t="str">
            <v>Minmetals</v>
          </cell>
          <cell r="R3262">
            <v>0</v>
          </cell>
          <cell r="AZ3262">
            <v>0</v>
          </cell>
          <cell r="BA3262">
            <v>0</v>
          </cell>
          <cell r="BC3262" t="str">
            <v>OTHERS</v>
          </cell>
          <cell r="BE3262" t="str">
            <v>Sep</v>
          </cell>
        </row>
        <row r="3263">
          <cell r="C3263" t="str">
            <v>Minmetals</v>
          </cell>
          <cell r="R3263">
            <v>0</v>
          </cell>
          <cell r="AZ3263">
            <v>0</v>
          </cell>
          <cell r="BA3263">
            <v>0</v>
          </cell>
          <cell r="BC3263" t="str">
            <v>OTHERS</v>
          </cell>
          <cell r="BE3263" t="str">
            <v>Oct</v>
          </cell>
        </row>
        <row r="3264">
          <cell r="C3264" t="str">
            <v>Minmetals</v>
          </cell>
          <cell r="R3264">
            <v>0</v>
          </cell>
          <cell r="AZ3264">
            <v>0</v>
          </cell>
          <cell r="BA3264">
            <v>0</v>
          </cell>
          <cell r="BC3264" t="str">
            <v>OTHERS</v>
          </cell>
          <cell r="BE3264" t="str">
            <v>Nov</v>
          </cell>
        </row>
        <row r="3265">
          <cell r="C3265" t="str">
            <v>Minmetals</v>
          </cell>
          <cell r="R3265">
            <v>0</v>
          </cell>
          <cell r="AZ3265">
            <v>0</v>
          </cell>
          <cell r="BA3265">
            <v>0</v>
          </cell>
          <cell r="BC3265" t="str">
            <v>OTHERS</v>
          </cell>
          <cell r="BE3265" t="str">
            <v>Dec</v>
          </cell>
        </row>
        <row r="3266">
          <cell r="C3266" t="str">
            <v>Shenhua</v>
          </cell>
          <cell r="R3266">
            <v>0</v>
          </cell>
          <cell r="AZ3266">
            <v>0</v>
          </cell>
          <cell r="BA3266">
            <v>0</v>
          </cell>
          <cell r="BC3266" t="str">
            <v>OTHERS</v>
          </cell>
          <cell r="BE3266" t="str">
            <v>Jan</v>
          </cell>
        </row>
        <row r="3267">
          <cell r="C3267" t="str">
            <v>Shenhua</v>
          </cell>
          <cell r="R3267">
            <v>52000</v>
          </cell>
          <cell r="AZ3267">
            <v>-26000</v>
          </cell>
          <cell r="BA3267">
            <v>-60940.200798354897</v>
          </cell>
          <cell r="BC3267" t="str">
            <v>OTHERS</v>
          </cell>
          <cell r="BE3267" t="str">
            <v>Feb</v>
          </cell>
        </row>
        <row r="3268">
          <cell r="C3268" t="str">
            <v>Shenhua</v>
          </cell>
          <cell r="R3268">
            <v>52000</v>
          </cell>
          <cell r="AZ3268">
            <v>-26000</v>
          </cell>
          <cell r="BA3268">
            <v>-60940.200798354897</v>
          </cell>
          <cell r="BC3268" t="str">
            <v>OTHERS</v>
          </cell>
          <cell r="BE3268" t="str">
            <v>Mar</v>
          </cell>
        </row>
        <row r="3269">
          <cell r="C3269" t="str">
            <v>Shenhua</v>
          </cell>
          <cell r="R3269">
            <v>0</v>
          </cell>
          <cell r="AZ3269">
            <v>0</v>
          </cell>
          <cell r="BA3269">
            <v>0</v>
          </cell>
          <cell r="BC3269" t="str">
            <v>OTHERS</v>
          </cell>
          <cell r="BE3269" t="str">
            <v>Apr</v>
          </cell>
        </row>
        <row r="3270">
          <cell r="C3270" t="str">
            <v>Shenhua</v>
          </cell>
          <cell r="R3270">
            <v>0</v>
          </cell>
          <cell r="AZ3270">
            <v>0</v>
          </cell>
          <cell r="BA3270">
            <v>0</v>
          </cell>
          <cell r="BC3270" t="str">
            <v>OTHERS</v>
          </cell>
          <cell r="BE3270" t="str">
            <v>May</v>
          </cell>
        </row>
        <row r="3271">
          <cell r="C3271" t="str">
            <v>Shenhua</v>
          </cell>
          <cell r="R3271">
            <v>0</v>
          </cell>
          <cell r="AZ3271">
            <v>0</v>
          </cell>
          <cell r="BA3271">
            <v>0</v>
          </cell>
          <cell r="BC3271" t="str">
            <v>OTHERS</v>
          </cell>
          <cell r="BE3271" t="str">
            <v>Jun</v>
          </cell>
        </row>
        <row r="3272">
          <cell r="C3272" t="str">
            <v>Shenhua</v>
          </cell>
          <cell r="R3272">
            <v>0</v>
          </cell>
          <cell r="AZ3272">
            <v>0</v>
          </cell>
          <cell r="BA3272">
            <v>0</v>
          </cell>
          <cell r="BC3272" t="str">
            <v>OTHERS</v>
          </cell>
          <cell r="BE3272" t="str">
            <v>Jul</v>
          </cell>
        </row>
        <row r="3273">
          <cell r="C3273" t="str">
            <v>Shenhua</v>
          </cell>
          <cell r="R3273">
            <v>0</v>
          </cell>
          <cell r="AZ3273">
            <v>0</v>
          </cell>
          <cell r="BA3273">
            <v>0</v>
          </cell>
          <cell r="BC3273" t="str">
            <v>OTHERS</v>
          </cell>
          <cell r="BE3273" t="str">
            <v>Aug</v>
          </cell>
        </row>
        <row r="3274">
          <cell r="C3274" t="str">
            <v>Shenhua</v>
          </cell>
          <cell r="R3274">
            <v>0</v>
          </cell>
          <cell r="AZ3274">
            <v>0</v>
          </cell>
          <cell r="BA3274">
            <v>0</v>
          </cell>
          <cell r="BC3274" t="str">
            <v>OTHERS</v>
          </cell>
          <cell r="BE3274" t="str">
            <v>Sep</v>
          </cell>
        </row>
        <row r="3275">
          <cell r="C3275" t="str">
            <v>Shenhua</v>
          </cell>
          <cell r="R3275">
            <v>0</v>
          </cell>
          <cell r="AZ3275">
            <v>0</v>
          </cell>
          <cell r="BA3275">
            <v>0</v>
          </cell>
          <cell r="BC3275" t="str">
            <v>OTHERS</v>
          </cell>
          <cell r="BE3275" t="str">
            <v>Oct</v>
          </cell>
        </row>
        <row r="3276">
          <cell r="C3276" t="str">
            <v>Shenhua</v>
          </cell>
          <cell r="R3276">
            <v>0</v>
          </cell>
          <cell r="AZ3276">
            <v>0</v>
          </cell>
          <cell r="BA3276">
            <v>0</v>
          </cell>
          <cell r="BC3276" t="str">
            <v>OTHERS</v>
          </cell>
          <cell r="BE3276" t="str">
            <v>Nov</v>
          </cell>
        </row>
        <row r="3277">
          <cell r="C3277" t="str">
            <v>Shenhua</v>
          </cell>
          <cell r="R3277">
            <v>0</v>
          </cell>
          <cell r="AZ3277">
            <v>0</v>
          </cell>
          <cell r="BA3277">
            <v>0</v>
          </cell>
          <cell r="BC3277" t="str">
            <v>OTHERS</v>
          </cell>
          <cell r="BE3277" t="str">
            <v>Dec</v>
          </cell>
        </row>
        <row r="3278">
          <cell r="C3278" t="str">
            <v>Shenhua</v>
          </cell>
          <cell r="R3278">
            <v>0</v>
          </cell>
          <cell r="AZ3278">
            <v>0</v>
          </cell>
          <cell r="BA3278">
            <v>0</v>
          </cell>
          <cell r="BC3278" t="str">
            <v>OTHERS</v>
          </cell>
          <cell r="BE3278" t="str">
            <v>Jan</v>
          </cell>
        </row>
        <row r="3279">
          <cell r="C3279" t="str">
            <v>Shenhua</v>
          </cell>
          <cell r="R3279">
            <v>12999.999999999996</v>
          </cell>
          <cell r="AZ3279">
            <v>-6499.9999999999982</v>
          </cell>
          <cell r="BA3279">
            <v>-13939.799201645092</v>
          </cell>
          <cell r="BC3279" t="str">
            <v>OTHERS</v>
          </cell>
          <cell r="BE3279" t="str">
            <v>Feb</v>
          </cell>
        </row>
        <row r="3280">
          <cell r="C3280" t="str">
            <v>Shenhua</v>
          </cell>
          <cell r="R3280">
            <v>12999.999999999996</v>
          </cell>
          <cell r="AZ3280">
            <v>-6499.9999999999982</v>
          </cell>
          <cell r="BA3280">
            <v>-13939.799201645092</v>
          </cell>
          <cell r="BC3280" t="str">
            <v>OTHERS</v>
          </cell>
          <cell r="BE3280" t="str">
            <v>Mar</v>
          </cell>
        </row>
        <row r="3281">
          <cell r="C3281" t="str">
            <v>Shenhua</v>
          </cell>
          <cell r="R3281">
            <v>0</v>
          </cell>
          <cell r="AZ3281">
            <v>0</v>
          </cell>
          <cell r="BA3281">
            <v>0</v>
          </cell>
          <cell r="BC3281" t="str">
            <v>OTHERS</v>
          </cell>
          <cell r="BE3281" t="str">
            <v>Apr</v>
          </cell>
        </row>
        <row r="3282">
          <cell r="C3282" t="str">
            <v>Shenhua</v>
          </cell>
          <cell r="R3282">
            <v>0</v>
          </cell>
          <cell r="AZ3282">
            <v>0</v>
          </cell>
          <cell r="BA3282">
            <v>0</v>
          </cell>
          <cell r="BC3282" t="str">
            <v>OTHERS</v>
          </cell>
          <cell r="BE3282" t="str">
            <v>May</v>
          </cell>
        </row>
        <row r="3283">
          <cell r="C3283" t="str">
            <v>Shenhua</v>
          </cell>
          <cell r="R3283">
            <v>0</v>
          </cell>
          <cell r="AZ3283">
            <v>0</v>
          </cell>
          <cell r="BA3283">
            <v>0</v>
          </cell>
          <cell r="BC3283" t="str">
            <v>OTHERS</v>
          </cell>
          <cell r="BE3283" t="str">
            <v>Jun</v>
          </cell>
        </row>
        <row r="3284">
          <cell r="C3284" t="str">
            <v>Shenhua</v>
          </cell>
          <cell r="R3284">
            <v>0</v>
          </cell>
          <cell r="AZ3284">
            <v>0</v>
          </cell>
          <cell r="BA3284">
            <v>0</v>
          </cell>
          <cell r="BC3284" t="str">
            <v>OTHERS</v>
          </cell>
          <cell r="BE3284" t="str">
            <v>Jul</v>
          </cell>
        </row>
        <row r="3285">
          <cell r="C3285" t="str">
            <v>Shenhua</v>
          </cell>
          <cell r="R3285">
            <v>0</v>
          </cell>
          <cell r="AZ3285">
            <v>0</v>
          </cell>
          <cell r="BA3285">
            <v>0</v>
          </cell>
          <cell r="BC3285" t="str">
            <v>OTHERS</v>
          </cell>
          <cell r="BE3285" t="str">
            <v>Aug</v>
          </cell>
        </row>
        <row r="3286">
          <cell r="C3286" t="str">
            <v>Shenhua</v>
          </cell>
          <cell r="R3286">
            <v>0</v>
          </cell>
          <cell r="AZ3286">
            <v>0</v>
          </cell>
          <cell r="BA3286">
            <v>0</v>
          </cell>
          <cell r="BC3286" t="str">
            <v>OTHERS</v>
          </cell>
          <cell r="BE3286" t="str">
            <v>Sep</v>
          </cell>
        </row>
        <row r="3287">
          <cell r="C3287" t="str">
            <v>Shenhua</v>
          </cell>
          <cell r="R3287">
            <v>0</v>
          </cell>
          <cell r="AZ3287">
            <v>0</v>
          </cell>
          <cell r="BA3287">
            <v>0</v>
          </cell>
          <cell r="BC3287" t="str">
            <v>OTHERS</v>
          </cell>
          <cell r="BE3287" t="str">
            <v>Oct</v>
          </cell>
        </row>
        <row r="3288">
          <cell r="C3288" t="str">
            <v>Shenhua</v>
          </cell>
          <cell r="R3288">
            <v>0</v>
          </cell>
          <cell r="AZ3288">
            <v>0</v>
          </cell>
          <cell r="BA3288">
            <v>0</v>
          </cell>
          <cell r="BC3288" t="str">
            <v>OTHERS</v>
          </cell>
          <cell r="BE3288" t="str">
            <v>Nov</v>
          </cell>
        </row>
        <row r="3289">
          <cell r="C3289" t="str">
            <v>Shenhua</v>
          </cell>
          <cell r="R3289">
            <v>0</v>
          </cell>
          <cell r="AZ3289">
            <v>0</v>
          </cell>
          <cell r="BA3289">
            <v>0</v>
          </cell>
          <cell r="BC3289" t="str">
            <v>OTHERS</v>
          </cell>
          <cell r="BE3289" t="str">
            <v>Dec</v>
          </cell>
        </row>
        <row r="3290">
          <cell r="C3290" t="str">
            <v>Shenhua</v>
          </cell>
          <cell r="R3290">
            <v>52000</v>
          </cell>
          <cell r="AZ3290">
            <v>-26000</v>
          </cell>
          <cell r="BA3290">
            <v>-61574.994556671089</v>
          </cell>
          <cell r="BC3290" t="str">
            <v>OTHERS</v>
          </cell>
          <cell r="BE3290" t="str">
            <v>Jan</v>
          </cell>
        </row>
        <row r="3291">
          <cell r="C3291" t="str">
            <v>Shenhua</v>
          </cell>
          <cell r="R3291">
            <v>52000</v>
          </cell>
          <cell r="AZ3291">
            <v>-26000</v>
          </cell>
          <cell r="BA3291">
            <v>-61574.994556671089</v>
          </cell>
          <cell r="BC3291" t="str">
            <v>OTHERS</v>
          </cell>
          <cell r="BE3291" t="str">
            <v>Feb</v>
          </cell>
        </row>
        <row r="3292">
          <cell r="C3292" t="str">
            <v>Shenhua</v>
          </cell>
          <cell r="R3292">
            <v>0</v>
          </cell>
          <cell r="AZ3292">
            <v>0</v>
          </cell>
          <cell r="BA3292">
            <v>0</v>
          </cell>
          <cell r="BC3292" t="str">
            <v>OTHERS</v>
          </cell>
          <cell r="BE3292" t="str">
            <v>Mar</v>
          </cell>
        </row>
        <row r="3293">
          <cell r="C3293" t="str">
            <v>Shenhua</v>
          </cell>
          <cell r="R3293">
            <v>0</v>
          </cell>
          <cell r="AZ3293">
            <v>0</v>
          </cell>
          <cell r="BA3293">
            <v>0</v>
          </cell>
          <cell r="BC3293" t="str">
            <v>OTHERS</v>
          </cell>
          <cell r="BE3293" t="str">
            <v>Apr</v>
          </cell>
        </row>
        <row r="3294">
          <cell r="C3294" t="str">
            <v>Shenhua</v>
          </cell>
          <cell r="R3294">
            <v>0</v>
          </cell>
          <cell r="AZ3294">
            <v>0</v>
          </cell>
          <cell r="BA3294">
            <v>0</v>
          </cell>
          <cell r="BC3294" t="str">
            <v>OTHERS</v>
          </cell>
          <cell r="BE3294" t="str">
            <v>May</v>
          </cell>
        </row>
        <row r="3295">
          <cell r="C3295" t="str">
            <v>Shenhua</v>
          </cell>
          <cell r="R3295">
            <v>0</v>
          </cell>
          <cell r="AZ3295">
            <v>0</v>
          </cell>
          <cell r="BA3295">
            <v>0</v>
          </cell>
          <cell r="BC3295" t="str">
            <v>OTHERS</v>
          </cell>
          <cell r="BE3295" t="str">
            <v>Jun</v>
          </cell>
        </row>
        <row r="3296">
          <cell r="C3296" t="str">
            <v>Shenhua</v>
          </cell>
          <cell r="R3296">
            <v>0</v>
          </cell>
          <cell r="AZ3296">
            <v>0</v>
          </cell>
          <cell r="BA3296">
            <v>0</v>
          </cell>
          <cell r="BC3296" t="str">
            <v>OTHERS</v>
          </cell>
          <cell r="BE3296" t="str">
            <v>Jul</v>
          </cell>
        </row>
        <row r="3297">
          <cell r="C3297" t="str">
            <v>Shenhua</v>
          </cell>
          <cell r="R3297">
            <v>0</v>
          </cell>
          <cell r="AZ3297">
            <v>0</v>
          </cell>
          <cell r="BA3297">
            <v>0</v>
          </cell>
          <cell r="BC3297" t="str">
            <v>OTHERS</v>
          </cell>
          <cell r="BE3297" t="str">
            <v>Aug</v>
          </cell>
        </row>
        <row r="3298">
          <cell r="C3298" t="str">
            <v>Shenhua</v>
          </cell>
          <cell r="R3298">
            <v>0</v>
          </cell>
          <cell r="AZ3298">
            <v>0</v>
          </cell>
          <cell r="BA3298">
            <v>0</v>
          </cell>
          <cell r="BC3298" t="str">
            <v>OTHERS</v>
          </cell>
          <cell r="BE3298" t="str">
            <v>Sep</v>
          </cell>
        </row>
        <row r="3299">
          <cell r="C3299" t="str">
            <v>Shenhua</v>
          </cell>
          <cell r="R3299">
            <v>0</v>
          </cell>
          <cell r="AZ3299">
            <v>0</v>
          </cell>
          <cell r="BA3299">
            <v>0</v>
          </cell>
          <cell r="BC3299" t="str">
            <v>OTHERS</v>
          </cell>
          <cell r="BE3299" t="str">
            <v>Oct</v>
          </cell>
        </row>
        <row r="3300">
          <cell r="C3300" t="str">
            <v>Shenhua</v>
          </cell>
          <cell r="R3300">
            <v>0</v>
          </cell>
          <cell r="AZ3300">
            <v>0</v>
          </cell>
          <cell r="BA3300">
            <v>0</v>
          </cell>
          <cell r="BC3300" t="str">
            <v>OTHERS</v>
          </cell>
          <cell r="BE3300" t="str">
            <v>Nov</v>
          </cell>
        </row>
        <row r="3301">
          <cell r="C3301" t="str">
            <v>Shenhua</v>
          </cell>
          <cell r="R3301">
            <v>0</v>
          </cell>
          <cell r="AZ3301">
            <v>0</v>
          </cell>
          <cell r="BA3301">
            <v>0</v>
          </cell>
          <cell r="BC3301" t="str">
            <v>OTHERS</v>
          </cell>
          <cell r="BE3301" t="str">
            <v>Dec</v>
          </cell>
        </row>
        <row r="3302">
          <cell r="C3302" t="str">
            <v>Shenhua</v>
          </cell>
          <cell r="R3302">
            <v>12999.999999999996</v>
          </cell>
          <cell r="AZ3302">
            <v>-6499.9999999999982</v>
          </cell>
          <cell r="BA3302">
            <v>-14085.005443328895</v>
          </cell>
          <cell r="BC3302" t="str">
            <v>OTHERS</v>
          </cell>
          <cell r="BE3302" t="str">
            <v>Jan</v>
          </cell>
        </row>
        <row r="3303">
          <cell r="C3303" t="str">
            <v>Shenhua</v>
          </cell>
          <cell r="R3303">
            <v>12999.999999999996</v>
          </cell>
          <cell r="AZ3303">
            <v>-6499.9999999999982</v>
          </cell>
          <cell r="BA3303">
            <v>-14085.005443328895</v>
          </cell>
          <cell r="BC3303" t="str">
            <v>OTHERS</v>
          </cell>
          <cell r="BE3303" t="str">
            <v>Feb</v>
          </cell>
        </row>
        <row r="3304">
          <cell r="C3304" t="str">
            <v>Shenhua</v>
          </cell>
          <cell r="R3304">
            <v>0</v>
          </cell>
          <cell r="AZ3304">
            <v>0</v>
          </cell>
          <cell r="BA3304">
            <v>0</v>
          </cell>
          <cell r="BC3304" t="str">
            <v>OTHERS</v>
          </cell>
          <cell r="BE3304" t="str">
            <v>Mar</v>
          </cell>
        </row>
        <row r="3305">
          <cell r="C3305" t="str">
            <v>Shenhua</v>
          </cell>
          <cell r="R3305">
            <v>0</v>
          </cell>
          <cell r="AZ3305">
            <v>0</v>
          </cell>
          <cell r="BA3305">
            <v>0</v>
          </cell>
          <cell r="BC3305" t="str">
            <v>OTHERS</v>
          </cell>
          <cell r="BE3305" t="str">
            <v>Apr</v>
          </cell>
        </row>
        <row r="3306">
          <cell r="C3306" t="str">
            <v>Shenhua</v>
          </cell>
          <cell r="R3306">
            <v>0</v>
          </cell>
          <cell r="AZ3306">
            <v>0</v>
          </cell>
          <cell r="BA3306">
            <v>0</v>
          </cell>
          <cell r="BC3306" t="str">
            <v>OTHERS</v>
          </cell>
          <cell r="BE3306" t="str">
            <v>May</v>
          </cell>
        </row>
        <row r="3307">
          <cell r="C3307" t="str">
            <v>Shenhua</v>
          </cell>
          <cell r="R3307">
            <v>0</v>
          </cell>
          <cell r="AZ3307">
            <v>0</v>
          </cell>
          <cell r="BA3307">
            <v>0</v>
          </cell>
          <cell r="BC3307" t="str">
            <v>OTHERS</v>
          </cell>
          <cell r="BE3307" t="str">
            <v>Jun</v>
          </cell>
        </row>
        <row r="3308">
          <cell r="C3308" t="str">
            <v>Shenhua</v>
          </cell>
          <cell r="R3308">
            <v>0</v>
          </cell>
          <cell r="AZ3308">
            <v>0</v>
          </cell>
          <cell r="BA3308">
            <v>0</v>
          </cell>
          <cell r="BC3308" t="str">
            <v>OTHERS</v>
          </cell>
          <cell r="BE3308" t="str">
            <v>Jul</v>
          </cell>
        </row>
        <row r="3309">
          <cell r="C3309" t="str">
            <v>Shenhua</v>
          </cell>
          <cell r="R3309">
            <v>0</v>
          </cell>
          <cell r="AZ3309">
            <v>0</v>
          </cell>
          <cell r="BA3309">
            <v>0</v>
          </cell>
          <cell r="BC3309" t="str">
            <v>OTHERS</v>
          </cell>
          <cell r="BE3309" t="str">
            <v>Aug</v>
          </cell>
        </row>
        <row r="3310">
          <cell r="C3310" t="str">
            <v>Shenhua</v>
          </cell>
          <cell r="R3310">
            <v>0</v>
          </cell>
          <cell r="AZ3310">
            <v>0</v>
          </cell>
          <cell r="BA3310">
            <v>0</v>
          </cell>
          <cell r="BC3310" t="str">
            <v>OTHERS</v>
          </cell>
          <cell r="BE3310" t="str">
            <v>Sep</v>
          </cell>
        </row>
        <row r="3311">
          <cell r="C3311" t="str">
            <v>Shenhua</v>
          </cell>
          <cell r="R3311">
            <v>0</v>
          </cell>
          <cell r="AZ3311">
            <v>0</v>
          </cell>
          <cell r="BA3311">
            <v>0</v>
          </cell>
          <cell r="BC3311" t="str">
            <v>OTHERS</v>
          </cell>
          <cell r="BE3311" t="str">
            <v>Oct</v>
          </cell>
        </row>
        <row r="3312">
          <cell r="C3312" t="str">
            <v>Shenhua</v>
          </cell>
          <cell r="R3312">
            <v>0</v>
          </cell>
          <cell r="AZ3312">
            <v>0</v>
          </cell>
          <cell r="BA3312">
            <v>0</v>
          </cell>
          <cell r="BC3312" t="str">
            <v>OTHERS</v>
          </cell>
          <cell r="BE3312" t="str">
            <v>Nov</v>
          </cell>
        </row>
        <row r="3313">
          <cell r="C3313" t="str">
            <v>Shenhua</v>
          </cell>
          <cell r="R3313">
            <v>0</v>
          </cell>
          <cell r="AZ3313">
            <v>0</v>
          </cell>
          <cell r="BA3313">
            <v>0</v>
          </cell>
          <cell r="BC3313" t="str">
            <v>OTHERS</v>
          </cell>
          <cell r="BE3313" t="str">
            <v>Dec</v>
          </cell>
        </row>
        <row r="3314">
          <cell r="C3314" t="str">
            <v>Qinfa</v>
          </cell>
          <cell r="R3314">
            <v>36000</v>
          </cell>
          <cell r="AZ3314">
            <v>-18000</v>
          </cell>
          <cell r="BA3314">
            <v>-43266.80379731374</v>
          </cell>
          <cell r="BC3314" t="str">
            <v>OTHERS</v>
          </cell>
          <cell r="BE3314" t="str">
            <v>Jan</v>
          </cell>
        </row>
        <row r="3315">
          <cell r="C3315" t="str">
            <v>Qinfa</v>
          </cell>
          <cell r="R3315">
            <v>0</v>
          </cell>
          <cell r="AZ3315">
            <v>0</v>
          </cell>
          <cell r="BA3315">
            <v>0</v>
          </cell>
          <cell r="BC3315" t="str">
            <v>OTHERS</v>
          </cell>
          <cell r="BE3315" t="str">
            <v>Feb</v>
          </cell>
        </row>
        <row r="3316">
          <cell r="C3316" t="str">
            <v>Qinfa</v>
          </cell>
          <cell r="R3316">
            <v>0</v>
          </cell>
          <cell r="AZ3316">
            <v>0</v>
          </cell>
          <cell r="BA3316">
            <v>0</v>
          </cell>
          <cell r="BC3316" t="str">
            <v>OTHERS</v>
          </cell>
          <cell r="BE3316" t="str">
            <v>Mar</v>
          </cell>
        </row>
        <row r="3317">
          <cell r="C3317" t="str">
            <v>Qinfa</v>
          </cell>
          <cell r="R3317">
            <v>0</v>
          </cell>
          <cell r="AZ3317">
            <v>0</v>
          </cell>
          <cell r="BA3317">
            <v>0</v>
          </cell>
          <cell r="BC3317" t="str">
            <v>OTHERS</v>
          </cell>
          <cell r="BE3317" t="str">
            <v>Apr</v>
          </cell>
        </row>
        <row r="3318">
          <cell r="C3318" t="str">
            <v>Qinfa</v>
          </cell>
          <cell r="R3318">
            <v>0</v>
          </cell>
          <cell r="AZ3318">
            <v>0</v>
          </cell>
          <cell r="BA3318">
            <v>0</v>
          </cell>
          <cell r="BC3318" t="str">
            <v>OTHERS</v>
          </cell>
          <cell r="BE3318" t="str">
            <v>May</v>
          </cell>
        </row>
        <row r="3319">
          <cell r="C3319" t="str">
            <v>Qinfa</v>
          </cell>
          <cell r="R3319">
            <v>0</v>
          </cell>
          <cell r="AZ3319">
            <v>0</v>
          </cell>
          <cell r="BA3319">
            <v>0</v>
          </cell>
          <cell r="BC3319" t="str">
            <v>OTHERS</v>
          </cell>
          <cell r="BE3319" t="str">
            <v>Jun</v>
          </cell>
        </row>
        <row r="3320">
          <cell r="C3320" t="str">
            <v>Qinfa</v>
          </cell>
          <cell r="R3320">
            <v>0</v>
          </cell>
          <cell r="AZ3320">
            <v>0</v>
          </cell>
          <cell r="BA3320">
            <v>0</v>
          </cell>
          <cell r="BC3320" t="str">
            <v>OTHERS</v>
          </cell>
          <cell r="BE3320" t="str">
            <v>Jul</v>
          </cell>
        </row>
        <row r="3321">
          <cell r="C3321" t="str">
            <v>Qinfa</v>
          </cell>
          <cell r="R3321">
            <v>0</v>
          </cell>
          <cell r="AZ3321">
            <v>0</v>
          </cell>
          <cell r="BA3321">
            <v>0</v>
          </cell>
          <cell r="BC3321" t="str">
            <v>OTHERS</v>
          </cell>
          <cell r="BE3321" t="str">
            <v>Aug</v>
          </cell>
        </row>
        <row r="3322">
          <cell r="C3322" t="str">
            <v>Qinfa</v>
          </cell>
          <cell r="R3322">
            <v>0</v>
          </cell>
          <cell r="AZ3322">
            <v>0</v>
          </cell>
          <cell r="BA3322">
            <v>0</v>
          </cell>
          <cell r="BC3322" t="str">
            <v>OTHERS</v>
          </cell>
          <cell r="BE3322" t="str">
            <v>Sep</v>
          </cell>
        </row>
        <row r="3323">
          <cell r="C3323" t="str">
            <v>Qinfa</v>
          </cell>
          <cell r="R3323">
            <v>0</v>
          </cell>
          <cell r="AZ3323">
            <v>0</v>
          </cell>
          <cell r="BA3323">
            <v>0</v>
          </cell>
          <cell r="BC3323" t="str">
            <v>OTHERS</v>
          </cell>
          <cell r="BE3323" t="str">
            <v>Oct</v>
          </cell>
        </row>
        <row r="3324">
          <cell r="C3324" t="str">
            <v>Qinfa</v>
          </cell>
          <cell r="R3324">
            <v>0</v>
          </cell>
          <cell r="AZ3324">
            <v>0</v>
          </cell>
          <cell r="BA3324">
            <v>0</v>
          </cell>
          <cell r="BC3324" t="str">
            <v>OTHERS</v>
          </cell>
          <cell r="BE3324" t="str">
            <v>Nov</v>
          </cell>
        </row>
        <row r="3325">
          <cell r="C3325" t="str">
            <v>Qinfa</v>
          </cell>
          <cell r="R3325">
            <v>0</v>
          </cell>
          <cell r="AZ3325">
            <v>0</v>
          </cell>
          <cell r="BA3325">
            <v>0</v>
          </cell>
          <cell r="BC3325" t="str">
            <v>OTHERS</v>
          </cell>
          <cell r="BE3325" t="str">
            <v>Dec</v>
          </cell>
        </row>
        <row r="3326">
          <cell r="C3326" t="str">
            <v>Qinfa</v>
          </cell>
          <cell r="R3326">
            <v>24000</v>
          </cell>
          <cell r="AZ3326">
            <v>-12000</v>
          </cell>
          <cell r="BA3326">
            <v>-26902.687728109991</v>
          </cell>
          <cell r="BC3326" t="str">
            <v>OTHERS</v>
          </cell>
          <cell r="BE3326" t="str">
            <v>Jan</v>
          </cell>
        </row>
        <row r="3327">
          <cell r="C3327" t="str">
            <v>Qinfa</v>
          </cell>
          <cell r="R3327">
            <v>0</v>
          </cell>
          <cell r="AZ3327">
            <v>0</v>
          </cell>
          <cell r="BA3327">
            <v>0</v>
          </cell>
          <cell r="BC3327" t="str">
            <v>OTHERS</v>
          </cell>
          <cell r="BE3327" t="str">
            <v>Feb</v>
          </cell>
        </row>
        <row r="3328">
          <cell r="C3328" t="str">
            <v>Qinfa</v>
          </cell>
          <cell r="R3328">
            <v>0</v>
          </cell>
          <cell r="AZ3328">
            <v>0</v>
          </cell>
          <cell r="BA3328">
            <v>0</v>
          </cell>
          <cell r="BC3328" t="str">
            <v>OTHERS</v>
          </cell>
          <cell r="BE3328" t="str">
            <v>Mar</v>
          </cell>
        </row>
        <row r="3329">
          <cell r="C3329" t="str">
            <v>Qinfa</v>
          </cell>
          <cell r="R3329">
            <v>0</v>
          </cell>
          <cell r="AZ3329">
            <v>0</v>
          </cell>
          <cell r="BA3329">
            <v>0</v>
          </cell>
          <cell r="BC3329" t="str">
            <v>OTHERS</v>
          </cell>
          <cell r="BE3329" t="str">
            <v>Apr</v>
          </cell>
        </row>
        <row r="3330">
          <cell r="C3330" t="str">
            <v>Qinfa</v>
          </cell>
          <cell r="R3330">
            <v>0</v>
          </cell>
          <cell r="AZ3330">
            <v>0</v>
          </cell>
          <cell r="BA3330">
            <v>0</v>
          </cell>
          <cell r="BC3330" t="str">
            <v>OTHERS</v>
          </cell>
          <cell r="BE3330" t="str">
            <v>May</v>
          </cell>
        </row>
        <row r="3331">
          <cell r="C3331" t="str">
            <v>Qinfa</v>
          </cell>
          <cell r="R3331">
            <v>0</v>
          </cell>
          <cell r="AZ3331">
            <v>0</v>
          </cell>
          <cell r="BA3331">
            <v>0</v>
          </cell>
          <cell r="BC3331" t="str">
            <v>OTHERS</v>
          </cell>
          <cell r="BE3331" t="str">
            <v>Jun</v>
          </cell>
        </row>
        <row r="3332">
          <cell r="C3332" t="str">
            <v>Qinfa</v>
          </cell>
          <cell r="R3332">
            <v>0</v>
          </cell>
          <cell r="AZ3332">
            <v>0</v>
          </cell>
          <cell r="BA3332">
            <v>0</v>
          </cell>
          <cell r="BC3332" t="str">
            <v>OTHERS</v>
          </cell>
          <cell r="BE3332" t="str">
            <v>Jul</v>
          </cell>
        </row>
        <row r="3333">
          <cell r="C3333" t="str">
            <v>Qinfa</v>
          </cell>
          <cell r="R3333">
            <v>0</v>
          </cell>
          <cell r="AZ3333">
            <v>0</v>
          </cell>
          <cell r="BA3333">
            <v>0</v>
          </cell>
          <cell r="BC3333" t="str">
            <v>OTHERS</v>
          </cell>
          <cell r="BE3333" t="str">
            <v>Aug</v>
          </cell>
        </row>
        <row r="3334">
          <cell r="C3334" t="str">
            <v>Qinfa</v>
          </cell>
          <cell r="R3334">
            <v>0</v>
          </cell>
          <cell r="AZ3334">
            <v>0</v>
          </cell>
          <cell r="BA3334">
            <v>0</v>
          </cell>
          <cell r="BC3334" t="str">
            <v>OTHERS</v>
          </cell>
          <cell r="BE3334" t="str">
            <v>Sep</v>
          </cell>
        </row>
        <row r="3335">
          <cell r="C3335" t="str">
            <v>Qinfa</v>
          </cell>
          <cell r="R3335">
            <v>0</v>
          </cell>
          <cell r="AZ3335">
            <v>0</v>
          </cell>
          <cell r="BA3335">
            <v>0</v>
          </cell>
          <cell r="BC3335" t="str">
            <v>OTHERS</v>
          </cell>
          <cell r="BE3335" t="str">
            <v>Oct</v>
          </cell>
        </row>
        <row r="3336">
          <cell r="C3336" t="str">
            <v>Qinfa</v>
          </cell>
          <cell r="R3336">
            <v>0</v>
          </cell>
          <cell r="AZ3336">
            <v>0</v>
          </cell>
          <cell r="BA3336">
            <v>0</v>
          </cell>
          <cell r="BC3336" t="str">
            <v>OTHERS</v>
          </cell>
          <cell r="BE3336" t="str">
            <v>Nov</v>
          </cell>
        </row>
        <row r="3337">
          <cell r="C3337" t="str">
            <v>Qinfa</v>
          </cell>
          <cell r="R3337">
            <v>0</v>
          </cell>
          <cell r="AZ3337">
            <v>0</v>
          </cell>
          <cell r="BA3337">
            <v>0</v>
          </cell>
          <cell r="BC3337" t="str">
            <v>OTHERS</v>
          </cell>
          <cell r="BE3337" t="str">
            <v>Dec</v>
          </cell>
        </row>
        <row r="3338">
          <cell r="C3338" t="str">
            <v>Yudean</v>
          </cell>
          <cell r="R3338">
            <v>42000</v>
          </cell>
          <cell r="AZ3338">
            <v>-21000</v>
          </cell>
          <cell r="BA3338">
            <v>0</v>
          </cell>
          <cell r="BC3338" t="str">
            <v>OTHERS</v>
          </cell>
          <cell r="BE3338" t="str">
            <v>Jan</v>
          </cell>
        </row>
        <row r="3339">
          <cell r="C3339" t="str">
            <v>Yudean</v>
          </cell>
          <cell r="R3339">
            <v>0</v>
          </cell>
          <cell r="AZ3339">
            <v>0</v>
          </cell>
          <cell r="BA3339">
            <v>0</v>
          </cell>
          <cell r="BC3339" t="str">
            <v>OTHERS</v>
          </cell>
          <cell r="BE3339" t="str">
            <v>Feb</v>
          </cell>
        </row>
        <row r="3340">
          <cell r="C3340" t="str">
            <v>Yudean</v>
          </cell>
          <cell r="R3340">
            <v>0</v>
          </cell>
          <cell r="AZ3340">
            <v>0</v>
          </cell>
          <cell r="BA3340">
            <v>0</v>
          </cell>
          <cell r="BC3340" t="str">
            <v>OTHERS</v>
          </cell>
          <cell r="BE3340" t="str">
            <v>Mar</v>
          </cell>
        </row>
        <row r="3341">
          <cell r="C3341" t="str">
            <v>Yudean</v>
          </cell>
          <cell r="R3341">
            <v>0</v>
          </cell>
          <cell r="AZ3341">
            <v>0</v>
          </cell>
          <cell r="BA3341">
            <v>0</v>
          </cell>
          <cell r="BC3341" t="str">
            <v>OTHERS</v>
          </cell>
          <cell r="BE3341" t="str">
            <v>Apr</v>
          </cell>
        </row>
        <row r="3342">
          <cell r="C3342" t="str">
            <v>Yudean</v>
          </cell>
          <cell r="R3342">
            <v>0</v>
          </cell>
          <cell r="AZ3342">
            <v>0</v>
          </cell>
          <cell r="BA3342">
            <v>0</v>
          </cell>
          <cell r="BC3342" t="str">
            <v>OTHERS</v>
          </cell>
          <cell r="BE3342" t="str">
            <v>May</v>
          </cell>
        </row>
        <row r="3343">
          <cell r="C3343" t="str">
            <v>Yudean</v>
          </cell>
          <cell r="R3343">
            <v>0</v>
          </cell>
          <cell r="AZ3343">
            <v>0</v>
          </cell>
          <cell r="BA3343">
            <v>0</v>
          </cell>
          <cell r="BC3343" t="str">
            <v>OTHERS</v>
          </cell>
          <cell r="BE3343" t="str">
            <v>Jun</v>
          </cell>
        </row>
        <row r="3344">
          <cell r="C3344" t="str">
            <v>Yudean</v>
          </cell>
          <cell r="R3344">
            <v>0</v>
          </cell>
          <cell r="AZ3344">
            <v>0</v>
          </cell>
          <cell r="BA3344">
            <v>0</v>
          </cell>
          <cell r="BC3344" t="str">
            <v>OTHERS</v>
          </cell>
          <cell r="BE3344" t="str">
            <v>Jul</v>
          </cell>
        </row>
        <row r="3345">
          <cell r="C3345" t="str">
            <v>Yudean</v>
          </cell>
          <cell r="R3345">
            <v>0</v>
          </cell>
          <cell r="AZ3345">
            <v>0</v>
          </cell>
          <cell r="BA3345">
            <v>0</v>
          </cell>
          <cell r="BC3345" t="str">
            <v>OTHERS</v>
          </cell>
          <cell r="BE3345" t="str">
            <v>Aug</v>
          </cell>
        </row>
        <row r="3346">
          <cell r="C3346" t="str">
            <v>Yudean</v>
          </cell>
          <cell r="R3346">
            <v>0</v>
          </cell>
          <cell r="AZ3346">
            <v>0</v>
          </cell>
          <cell r="BA3346">
            <v>0</v>
          </cell>
          <cell r="BC3346" t="str">
            <v>OTHERS</v>
          </cell>
          <cell r="BE3346" t="str">
            <v>Sep</v>
          </cell>
        </row>
        <row r="3347">
          <cell r="C3347" t="str">
            <v>Yudean</v>
          </cell>
          <cell r="R3347">
            <v>0</v>
          </cell>
          <cell r="AZ3347">
            <v>0</v>
          </cell>
          <cell r="BA3347">
            <v>0</v>
          </cell>
          <cell r="BC3347" t="str">
            <v>OTHERS</v>
          </cell>
          <cell r="BE3347" t="str">
            <v>Oct</v>
          </cell>
        </row>
        <row r="3348">
          <cell r="C3348" t="str">
            <v>Yudean</v>
          </cell>
          <cell r="R3348">
            <v>0</v>
          </cell>
          <cell r="AZ3348">
            <v>0</v>
          </cell>
          <cell r="BA3348">
            <v>0</v>
          </cell>
          <cell r="BC3348" t="str">
            <v>OTHERS</v>
          </cell>
          <cell r="BE3348" t="str">
            <v>Nov</v>
          </cell>
        </row>
        <row r="3349">
          <cell r="C3349" t="str">
            <v>Yudean</v>
          </cell>
          <cell r="R3349">
            <v>0</v>
          </cell>
          <cell r="AZ3349">
            <v>0</v>
          </cell>
          <cell r="BA3349">
            <v>0</v>
          </cell>
          <cell r="BC3349" t="str">
            <v>OTHERS</v>
          </cell>
          <cell r="BE3349" t="str">
            <v>Dec</v>
          </cell>
        </row>
        <row r="3350">
          <cell r="C3350" t="str">
            <v>Yudean</v>
          </cell>
          <cell r="R3350">
            <v>28000</v>
          </cell>
          <cell r="AZ3350">
            <v>-14000</v>
          </cell>
          <cell r="BA3350">
            <v>0</v>
          </cell>
          <cell r="BC3350" t="str">
            <v>OTHERS</v>
          </cell>
          <cell r="BE3350" t="str">
            <v>Jan</v>
          </cell>
        </row>
        <row r="3351">
          <cell r="C3351" t="str">
            <v>Yudean</v>
          </cell>
          <cell r="R3351">
            <v>0</v>
          </cell>
          <cell r="AZ3351">
            <v>0</v>
          </cell>
          <cell r="BA3351">
            <v>0</v>
          </cell>
          <cell r="BC3351" t="str">
            <v>OTHERS</v>
          </cell>
          <cell r="BE3351" t="str">
            <v>Feb</v>
          </cell>
        </row>
        <row r="3352">
          <cell r="C3352" t="str">
            <v>Yudean</v>
          </cell>
          <cell r="R3352">
            <v>0</v>
          </cell>
          <cell r="AZ3352">
            <v>0</v>
          </cell>
          <cell r="BA3352">
            <v>0</v>
          </cell>
          <cell r="BC3352" t="str">
            <v>OTHERS</v>
          </cell>
          <cell r="BE3352" t="str">
            <v>Mar</v>
          </cell>
        </row>
        <row r="3353">
          <cell r="C3353" t="str">
            <v>Yudean</v>
          </cell>
          <cell r="R3353">
            <v>0</v>
          </cell>
          <cell r="AZ3353">
            <v>0</v>
          </cell>
          <cell r="BA3353">
            <v>0</v>
          </cell>
          <cell r="BC3353" t="str">
            <v>OTHERS</v>
          </cell>
          <cell r="BE3353" t="str">
            <v>Apr</v>
          </cell>
        </row>
        <row r="3354">
          <cell r="C3354" t="str">
            <v>Yudean</v>
          </cell>
          <cell r="R3354">
            <v>0</v>
          </cell>
          <cell r="AZ3354">
            <v>0</v>
          </cell>
          <cell r="BA3354">
            <v>0</v>
          </cell>
          <cell r="BC3354" t="str">
            <v>OTHERS</v>
          </cell>
          <cell r="BE3354" t="str">
            <v>May</v>
          </cell>
        </row>
        <row r="3355">
          <cell r="C3355" t="str">
            <v>Yudean</v>
          </cell>
          <cell r="R3355">
            <v>0</v>
          </cell>
          <cell r="AZ3355">
            <v>0</v>
          </cell>
          <cell r="BA3355">
            <v>0</v>
          </cell>
          <cell r="BC3355" t="str">
            <v>OTHERS</v>
          </cell>
          <cell r="BE3355" t="str">
            <v>Jun</v>
          </cell>
        </row>
        <row r="3356">
          <cell r="C3356" t="str">
            <v>Yudean</v>
          </cell>
          <cell r="R3356">
            <v>0</v>
          </cell>
          <cell r="AZ3356">
            <v>0</v>
          </cell>
          <cell r="BA3356">
            <v>0</v>
          </cell>
          <cell r="BC3356" t="str">
            <v>OTHERS</v>
          </cell>
          <cell r="BE3356" t="str">
            <v>Jul</v>
          </cell>
        </row>
        <row r="3357">
          <cell r="C3357" t="str">
            <v>Yudean</v>
          </cell>
          <cell r="R3357">
            <v>0</v>
          </cell>
          <cell r="AZ3357">
            <v>0</v>
          </cell>
          <cell r="BA3357">
            <v>0</v>
          </cell>
          <cell r="BC3357" t="str">
            <v>OTHERS</v>
          </cell>
          <cell r="BE3357" t="str">
            <v>Aug</v>
          </cell>
        </row>
        <row r="3358">
          <cell r="C3358" t="str">
            <v>Yudean</v>
          </cell>
          <cell r="R3358">
            <v>0</v>
          </cell>
          <cell r="AZ3358">
            <v>0</v>
          </cell>
          <cell r="BA3358">
            <v>0</v>
          </cell>
          <cell r="BC3358" t="str">
            <v>OTHERS</v>
          </cell>
          <cell r="BE3358" t="str">
            <v>Sep</v>
          </cell>
        </row>
        <row r="3359">
          <cell r="C3359" t="str">
            <v>Yudean</v>
          </cell>
          <cell r="R3359">
            <v>0</v>
          </cell>
          <cell r="AZ3359">
            <v>0</v>
          </cell>
          <cell r="BA3359">
            <v>0</v>
          </cell>
          <cell r="BC3359" t="str">
            <v>OTHERS</v>
          </cell>
          <cell r="BE3359" t="str">
            <v>Oct</v>
          </cell>
        </row>
        <row r="3360">
          <cell r="C3360" t="str">
            <v>Yudean</v>
          </cell>
          <cell r="R3360">
            <v>0</v>
          </cell>
          <cell r="AZ3360">
            <v>0</v>
          </cell>
          <cell r="BA3360">
            <v>0</v>
          </cell>
          <cell r="BC3360" t="str">
            <v>OTHERS</v>
          </cell>
          <cell r="BE3360" t="str">
            <v>Nov</v>
          </cell>
        </row>
        <row r="3361">
          <cell r="C3361" t="str">
            <v>Yudean</v>
          </cell>
          <cell r="R3361">
            <v>0</v>
          </cell>
          <cell r="AZ3361">
            <v>0</v>
          </cell>
          <cell r="BA3361">
            <v>0</v>
          </cell>
          <cell r="BC3361" t="str">
            <v>OTHERS</v>
          </cell>
          <cell r="BE3361" t="str">
            <v>Dec</v>
          </cell>
        </row>
        <row r="3362">
          <cell r="C3362" t="str">
            <v>Other</v>
          </cell>
          <cell r="R3362">
            <v>0</v>
          </cell>
          <cell r="AZ3362">
            <v>0</v>
          </cell>
          <cell r="BA3362">
            <v>0</v>
          </cell>
          <cell r="BC3362" t="str">
            <v>OTHERS</v>
          </cell>
          <cell r="BE3362" t="str">
            <v>Jan</v>
          </cell>
        </row>
        <row r="3363">
          <cell r="C3363" t="str">
            <v>Other</v>
          </cell>
          <cell r="R3363">
            <v>0</v>
          </cell>
          <cell r="AZ3363">
            <v>0</v>
          </cell>
          <cell r="BA3363">
            <v>0</v>
          </cell>
          <cell r="BC3363" t="str">
            <v>OTHERS</v>
          </cell>
          <cell r="BE3363" t="str">
            <v>Feb</v>
          </cell>
        </row>
        <row r="3364">
          <cell r="C3364" t="str">
            <v>Other</v>
          </cell>
          <cell r="R3364">
            <v>0</v>
          </cell>
          <cell r="AZ3364">
            <v>0</v>
          </cell>
          <cell r="BA3364">
            <v>0</v>
          </cell>
          <cell r="BC3364" t="str">
            <v>OTHERS</v>
          </cell>
          <cell r="BE3364" t="str">
            <v>Mar</v>
          </cell>
        </row>
        <row r="3365">
          <cell r="C3365" t="str">
            <v>Other</v>
          </cell>
          <cell r="R3365">
            <v>0</v>
          </cell>
          <cell r="AZ3365">
            <v>0</v>
          </cell>
          <cell r="BA3365">
            <v>0</v>
          </cell>
          <cell r="BC3365" t="str">
            <v>OTHERS</v>
          </cell>
          <cell r="BE3365" t="str">
            <v>Apr</v>
          </cell>
        </row>
        <row r="3366">
          <cell r="C3366" t="str">
            <v>Other</v>
          </cell>
          <cell r="R3366">
            <v>0</v>
          </cell>
          <cell r="AZ3366">
            <v>0</v>
          </cell>
          <cell r="BA3366">
            <v>0</v>
          </cell>
          <cell r="BC3366" t="str">
            <v>OTHERS</v>
          </cell>
          <cell r="BE3366" t="str">
            <v>May</v>
          </cell>
        </row>
        <row r="3367">
          <cell r="C3367" t="str">
            <v>Other</v>
          </cell>
          <cell r="R3367">
            <v>0</v>
          </cell>
          <cell r="AZ3367">
            <v>0</v>
          </cell>
          <cell r="BA3367">
            <v>0</v>
          </cell>
          <cell r="BC3367" t="str">
            <v>OTHERS</v>
          </cell>
          <cell r="BE3367" t="str">
            <v>Jun</v>
          </cell>
        </row>
        <row r="3368">
          <cell r="C3368" t="str">
            <v>Other</v>
          </cell>
          <cell r="R3368">
            <v>0</v>
          </cell>
          <cell r="AZ3368">
            <v>0</v>
          </cell>
          <cell r="BA3368">
            <v>0</v>
          </cell>
          <cell r="BC3368" t="str">
            <v>OTHERS</v>
          </cell>
          <cell r="BE3368" t="str">
            <v>Jul</v>
          </cell>
        </row>
        <row r="3369">
          <cell r="C3369" t="str">
            <v>Other</v>
          </cell>
          <cell r="R3369">
            <v>0</v>
          </cell>
          <cell r="AZ3369">
            <v>0</v>
          </cell>
          <cell r="BA3369">
            <v>0</v>
          </cell>
          <cell r="BC3369" t="str">
            <v>OTHERS</v>
          </cell>
          <cell r="BE3369" t="str">
            <v>Aug</v>
          </cell>
        </row>
        <row r="3370">
          <cell r="C3370" t="str">
            <v>Other</v>
          </cell>
          <cell r="R3370">
            <v>0</v>
          </cell>
          <cell r="AZ3370">
            <v>0</v>
          </cell>
          <cell r="BA3370">
            <v>0</v>
          </cell>
          <cell r="BC3370" t="str">
            <v>OTHERS</v>
          </cell>
          <cell r="BE3370" t="str">
            <v>Sep</v>
          </cell>
        </row>
        <row r="3371">
          <cell r="C3371" t="str">
            <v>Other</v>
          </cell>
          <cell r="R3371">
            <v>0</v>
          </cell>
          <cell r="AZ3371">
            <v>0</v>
          </cell>
          <cell r="BA3371">
            <v>0</v>
          </cell>
          <cell r="BC3371" t="str">
            <v>OTHERS</v>
          </cell>
          <cell r="BE3371" t="str">
            <v>Oct</v>
          </cell>
        </row>
        <row r="3372">
          <cell r="C3372" t="str">
            <v>Other</v>
          </cell>
          <cell r="R3372">
            <v>0</v>
          </cell>
          <cell r="AZ3372">
            <v>0</v>
          </cell>
          <cell r="BA3372">
            <v>0</v>
          </cell>
          <cell r="BC3372" t="str">
            <v>OTHERS</v>
          </cell>
          <cell r="BE3372" t="str">
            <v>Nov</v>
          </cell>
        </row>
        <row r="3373">
          <cell r="C3373" t="str">
            <v>Other</v>
          </cell>
          <cell r="R3373">
            <v>0</v>
          </cell>
          <cell r="AZ3373">
            <v>0</v>
          </cell>
          <cell r="BA3373">
            <v>0</v>
          </cell>
          <cell r="BC3373" t="str">
            <v>OTHERS</v>
          </cell>
          <cell r="BE3373" t="str">
            <v>Dec</v>
          </cell>
        </row>
        <row r="3374">
          <cell r="C3374" t="str">
            <v>Other</v>
          </cell>
          <cell r="R3374">
            <v>0</v>
          </cell>
          <cell r="AZ3374">
            <v>0</v>
          </cell>
          <cell r="BA3374">
            <v>0</v>
          </cell>
          <cell r="BC3374" t="str">
            <v>OTHERS</v>
          </cell>
          <cell r="BE3374" t="str">
            <v>Jan</v>
          </cell>
        </row>
        <row r="3375">
          <cell r="C3375" t="str">
            <v>Other</v>
          </cell>
          <cell r="R3375">
            <v>0</v>
          </cell>
          <cell r="AZ3375">
            <v>0</v>
          </cell>
          <cell r="BA3375">
            <v>0</v>
          </cell>
          <cell r="BC3375" t="str">
            <v>OTHERS</v>
          </cell>
          <cell r="BE3375" t="str">
            <v>Feb</v>
          </cell>
        </row>
        <row r="3376">
          <cell r="C3376" t="str">
            <v>Other</v>
          </cell>
          <cell r="R3376">
            <v>0</v>
          </cell>
          <cell r="AZ3376">
            <v>0</v>
          </cell>
          <cell r="BA3376">
            <v>0</v>
          </cell>
          <cell r="BC3376" t="str">
            <v>OTHERS</v>
          </cell>
          <cell r="BE3376" t="str">
            <v>Mar</v>
          </cell>
        </row>
        <row r="3377">
          <cell r="C3377" t="str">
            <v>Other</v>
          </cell>
          <cell r="R3377">
            <v>0</v>
          </cell>
          <cell r="AZ3377">
            <v>0</v>
          </cell>
          <cell r="BA3377">
            <v>0</v>
          </cell>
          <cell r="BC3377" t="str">
            <v>OTHERS</v>
          </cell>
          <cell r="BE3377" t="str">
            <v>Apr</v>
          </cell>
        </row>
        <row r="3378">
          <cell r="C3378" t="str">
            <v>Other</v>
          </cell>
          <cell r="R3378">
            <v>0</v>
          </cell>
          <cell r="AZ3378">
            <v>0</v>
          </cell>
          <cell r="BA3378">
            <v>0</v>
          </cell>
          <cell r="BC3378" t="str">
            <v>OTHERS</v>
          </cell>
          <cell r="BE3378" t="str">
            <v>May</v>
          </cell>
        </row>
        <row r="3379">
          <cell r="C3379" t="str">
            <v>Other</v>
          </cell>
          <cell r="R3379">
            <v>0</v>
          </cell>
          <cell r="AZ3379">
            <v>0</v>
          </cell>
          <cell r="BA3379">
            <v>0</v>
          </cell>
          <cell r="BC3379" t="str">
            <v>OTHERS</v>
          </cell>
          <cell r="BE3379" t="str">
            <v>Jun</v>
          </cell>
        </row>
        <row r="3380">
          <cell r="C3380" t="str">
            <v>Other</v>
          </cell>
          <cell r="R3380">
            <v>0</v>
          </cell>
          <cell r="AZ3380">
            <v>0</v>
          </cell>
          <cell r="BA3380">
            <v>0</v>
          </cell>
          <cell r="BC3380" t="str">
            <v>OTHERS</v>
          </cell>
          <cell r="BE3380" t="str">
            <v>Jul</v>
          </cell>
        </row>
        <row r="3381">
          <cell r="C3381" t="str">
            <v>Other</v>
          </cell>
          <cell r="R3381">
            <v>0</v>
          </cell>
          <cell r="AZ3381">
            <v>0</v>
          </cell>
          <cell r="BA3381">
            <v>0</v>
          </cell>
          <cell r="BC3381" t="str">
            <v>OTHERS</v>
          </cell>
          <cell r="BE3381" t="str">
            <v>Aug</v>
          </cell>
        </row>
        <row r="3382">
          <cell r="C3382" t="str">
            <v>Other</v>
          </cell>
          <cell r="R3382">
            <v>0</v>
          </cell>
          <cell r="AZ3382">
            <v>0</v>
          </cell>
          <cell r="BA3382">
            <v>0</v>
          </cell>
          <cell r="BC3382" t="str">
            <v>OTHERS</v>
          </cell>
          <cell r="BE3382" t="str">
            <v>Sep</v>
          </cell>
        </row>
        <row r="3383">
          <cell r="C3383" t="str">
            <v>Other</v>
          </cell>
          <cell r="R3383">
            <v>0</v>
          </cell>
          <cell r="AZ3383">
            <v>0</v>
          </cell>
          <cell r="BA3383">
            <v>0</v>
          </cell>
          <cell r="BC3383" t="str">
            <v>OTHERS</v>
          </cell>
          <cell r="BE3383" t="str">
            <v>Oct</v>
          </cell>
        </row>
        <row r="3384">
          <cell r="C3384" t="str">
            <v>Other</v>
          </cell>
          <cell r="R3384">
            <v>0</v>
          </cell>
          <cell r="AZ3384">
            <v>0</v>
          </cell>
          <cell r="BA3384">
            <v>0</v>
          </cell>
          <cell r="BC3384" t="str">
            <v>OTHERS</v>
          </cell>
          <cell r="BE3384" t="str">
            <v>Nov</v>
          </cell>
        </row>
        <row r="3385">
          <cell r="C3385" t="str">
            <v>Other</v>
          </cell>
          <cell r="R3385">
            <v>0</v>
          </cell>
          <cell r="AZ3385">
            <v>0</v>
          </cell>
          <cell r="BA3385">
            <v>0</v>
          </cell>
          <cell r="BC3385" t="str">
            <v>OTHERS</v>
          </cell>
          <cell r="BE3385" t="str">
            <v>Dec</v>
          </cell>
        </row>
        <row r="3386">
          <cell r="C3386" t="str">
            <v>Hongkong Electric</v>
          </cell>
          <cell r="R3386">
            <v>0</v>
          </cell>
          <cell r="AZ3386">
            <v>0</v>
          </cell>
          <cell r="BA3386">
            <v>0</v>
          </cell>
          <cell r="BC3386" t="str">
            <v>GOLD</v>
          </cell>
          <cell r="BE3386" t="str">
            <v>Jan</v>
          </cell>
        </row>
        <row r="3387">
          <cell r="C3387" t="str">
            <v>Hongkong Electric</v>
          </cell>
          <cell r="R3387">
            <v>0</v>
          </cell>
          <cell r="AZ3387">
            <v>0</v>
          </cell>
          <cell r="BA3387">
            <v>0</v>
          </cell>
          <cell r="BC3387" t="str">
            <v>GOLD</v>
          </cell>
          <cell r="BE3387" t="str">
            <v>Feb</v>
          </cell>
        </row>
        <row r="3388">
          <cell r="C3388" t="str">
            <v>Hongkong Electric</v>
          </cell>
          <cell r="R3388">
            <v>0</v>
          </cell>
          <cell r="AZ3388">
            <v>0</v>
          </cell>
          <cell r="BA3388">
            <v>0</v>
          </cell>
          <cell r="BC3388" t="str">
            <v>GOLD</v>
          </cell>
          <cell r="BE3388" t="str">
            <v>Mar</v>
          </cell>
        </row>
        <row r="3389">
          <cell r="C3389" t="str">
            <v>Hongkong Electric</v>
          </cell>
          <cell r="R3389">
            <v>0</v>
          </cell>
          <cell r="AZ3389">
            <v>0</v>
          </cell>
          <cell r="BA3389">
            <v>0</v>
          </cell>
          <cell r="BC3389" t="str">
            <v>GOLD</v>
          </cell>
          <cell r="BE3389" t="str">
            <v>Apr</v>
          </cell>
        </row>
        <row r="3390">
          <cell r="C3390" t="str">
            <v>Hongkong Electric</v>
          </cell>
          <cell r="R3390">
            <v>0</v>
          </cell>
          <cell r="AZ3390">
            <v>0</v>
          </cell>
          <cell r="BA3390">
            <v>0</v>
          </cell>
          <cell r="BC3390" t="str">
            <v>GOLD</v>
          </cell>
          <cell r="BE3390" t="str">
            <v>May</v>
          </cell>
        </row>
        <row r="3391">
          <cell r="C3391" t="str">
            <v>Hongkong Electric</v>
          </cell>
          <cell r="R3391">
            <v>0</v>
          </cell>
          <cell r="AZ3391">
            <v>0</v>
          </cell>
          <cell r="BA3391">
            <v>0</v>
          </cell>
          <cell r="BC3391" t="str">
            <v>GOLD</v>
          </cell>
          <cell r="BE3391" t="str">
            <v>Jun</v>
          </cell>
        </row>
        <row r="3392">
          <cell r="C3392" t="str">
            <v>Hongkong Electric</v>
          </cell>
          <cell r="R3392">
            <v>0</v>
          </cell>
          <cell r="AZ3392">
            <v>0</v>
          </cell>
          <cell r="BA3392">
            <v>0</v>
          </cell>
          <cell r="BC3392" t="str">
            <v>GOLD</v>
          </cell>
          <cell r="BE3392" t="str">
            <v>Jul</v>
          </cell>
        </row>
        <row r="3393">
          <cell r="C3393" t="str">
            <v>Hongkong Electric</v>
          </cell>
          <cell r="R3393">
            <v>0</v>
          </cell>
          <cell r="AZ3393">
            <v>0</v>
          </cell>
          <cell r="BA3393">
            <v>0</v>
          </cell>
          <cell r="BC3393" t="str">
            <v>GOLD</v>
          </cell>
          <cell r="BE3393" t="str">
            <v>Aug</v>
          </cell>
        </row>
        <row r="3394">
          <cell r="C3394" t="str">
            <v>Hongkong Electric</v>
          </cell>
          <cell r="R3394">
            <v>0</v>
          </cell>
          <cell r="AZ3394">
            <v>0</v>
          </cell>
          <cell r="BA3394">
            <v>0</v>
          </cell>
          <cell r="BC3394" t="str">
            <v>GOLD</v>
          </cell>
          <cell r="BE3394" t="str">
            <v>Sep</v>
          </cell>
        </row>
        <row r="3395">
          <cell r="C3395" t="str">
            <v>Hongkong Electric</v>
          </cell>
          <cell r="R3395">
            <v>0</v>
          </cell>
          <cell r="AZ3395">
            <v>0</v>
          </cell>
          <cell r="BA3395">
            <v>0</v>
          </cell>
          <cell r="BC3395" t="str">
            <v>GOLD</v>
          </cell>
          <cell r="BE3395" t="str">
            <v>Oct</v>
          </cell>
        </row>
        <row r="3396">
          <cell r="C3396" t="str">
            <v>Hongkong Electric</v>
          </cell>
          <cell r="R3396">
            <v>0</v>
          </cell>
          <cell r="AZ3396">
            <v>0</v>
          </cell>
          <cell r="BA3396">
            <v>0</v>
          </cell>
          <cell r="BC3396" t="str">
            <v>GOLD</v>
          </cell>
          <cell r="BE3396" t="str">
            <v>Nov</v>
          </cell>
        </row>
        <row r="3397">
          <cell r="C3397" t="str">
            <v>Hongkong Electric</v>
          </cell>
          <cell r="R3397">
            <v>0</v>
          </cell>
          <cell r="AZ3397">
            <v>0</v>
          </cell>
          <cell r="BA3397">
            <v>0</v>
          </cell>
          <cell r="BC3397" t="str">
            <v>GOLD</v>
          </cell>
          <cell r="BE3397" t="str">
            <v>Dec</v>
          </cell>
        </row>
        <row r="3398">
          <cell r="C3398" t="str">
            <v>Hongkong Electric</v>
          </cell>
          <cell r="R3398">
            <v>0</v>
          </cell>
          <cell r="AZ3398">
            <v>0</v>
          </cell>
          <cell r="BA3398">
            <v>0</v>
          </cell>
          <cell r="BC3398" t="str">
            <v>GOLD</v>
          </cell>
          <cell r="BE3398" t="str">
            <v>Jan</v>
          </cell>
        </row>
        <row r="3399">
          <cell r="C3399" t="str">
            <v>Hongkong Electric</v>
          </cell>
          <cell r="R3399">
            <v>0</v>
          </cell>
          <cell r="AZ3399">
            <v>0</v>
          </cell>
          <cell r="BA3399">
            <v>0</v>
          </cell>
          <cell r="BC3399" t="str">
            <v>GOLD</v>
          </cell>
          <cell r="BE3399" t="str">
            <v>Feb</v>
          </cell>
        </row>
        <row r="3400">
          <cell r="C3400" t="str">
            <v>Hongkong Electric</v>
          </cell>
          <cell r="R3400">
            <v>0</v>
          </cell>
          <cell r="AZ3400">
            <v>0</v>
          </cell>
          <cell r="BA3400">
            <v>0</v>
          </cell>
          <cell r="BC3400" t="str">
            <v>GOLD</v>
          </cell>
          <cell r="BE3400" t="str">
            <v>Mar</v>
          </cell>
        </row>
        <row r="3401">
          <cell r="C3401" t="str">
            <v>Hongkong Electric</v>
          </cell>
          <cell r="R3401">
            <v>0</v>
          </cell>
          <cell r="AZ3401">
            <v>0</v>
          </cell>
          <cell r="BA3401">
            <v>0</v>
          </cell>
          <cell r="BC3401" t="str">
            <v>GOLD</v>
          </cell>
          <cell r="BE3401" t="str">
            <v>Apr</v>
          </cell>
        </row>
        <row r="3402">
          <cell r="C3402" t="str">
            <v>Hongkong Electric</v>
          </cell>
          <cell r="R3402">
            <v>0</v>
          </cell>
          <cell r="AZ3402">
            <v>0</v>
          </cell>
          <cell r="BA3402">
            <v>0</v>
          </cell>
          <cell r="BC3402" t="str">
            <v>GOLD</v>
          </cell>
          <cell r="BE3402" t="str">
            <v>May</v>
          </cell>
        </row>
        <row r="3403">
          <cell r="C3403" t="str">
            <v>Hongkong Electric</v>
          </cell>
          <cell r="R3403">
            <v>0</v>
          </cell>
          <cell r="AZ3403">
            <v>0</v>
          </cell>
          <cell r="BA3403">
            <v>0</v>
          </cell>
          <cell r="BC3403" t="str">
            <v>GOLD</v>
          </cell>
          <cell r="BE3403" t="str">
            <v>Jun</v>
          </cell>
        </row>
        <row r="3404">
          <cell r="C3404" t="str">
            <v>Hongkong Electric</v>
          </cell>
          <cell r="R3404">
            <v>0</v>
          </cell>
          <cell r="AZ3404">
            <v>0</v>
          </cell>
          <cell r="BA3404">
            <v>0</v>
          </cell>
          <cell r="BC3404" t="str">
            <v>GOLD</v>
          </cell>
          <cell r="BE3404" t="str">
            <v>Jul</v>
          </cell>
        </row>
        <row r="3405">
          <cell r="C3405" t="str">
            <v>Hongkong Electric</v>
          </cell>
          <cell r="R3405">
            <v>0</v>
          </cell>
          <cell r="AZ3405">
            <v>0</v>
          </cell>
          <cell r="BA3405">
            <v>0</v>
          </cell>
          <cell r="BC3405" t="str">
            <v>GOLD</v>
          </cell>
          <cell r="BE3405" t="str">
            <v>Aug</v>
          </cell>
        </row>
        <row r="3406">
          <cell r="C3406" t="str">
            <v>Hongkong Electric</v>
          </cell>
          <cell r="R3406">
            <v>0</v>
          </cell>
          <cell r="AZ3406">
            <v>0</v>
          </cell>
          <cell r="BA3406">
            <v>0</v>
          </cell>
          <cell r="BC3406" t="str">
            <v>GOLD</v>
          </cell>
          <cell r="BE3406" t="str">
            <v>Sep</v>
          </cell>
        </row>
        <row r="3407">
          <cell r="C3407" t="str">
            <v>Hongkong Electric</v>
          </cell>
          <cell r="R3407">
            <v>0</v>
          </cell>
          <cell r="AZ3407">
            <v>0</v>
          </cell>
          <cell r="BA3407">
            <v>0</v>
          </cell>
          <cell r="BC3407" t="str">
            <v>GOLD</v>
          </cell>
          <cell r="BE3407" t="str">
            <v>Oct</v>
          </cell>
        </row>
        <row r="3408">
          <cell r="C3408" t="str">
            <v>Hongkong Electric</v>
          </cell>
          <cell r="R3408">
            <v>0</v>
          </cell>
          <cell r="AZ3408">
            <v>0</v>
          </cell>
          <cell r="BA3408">
            <v>0</v>
          </cell>
          <cell r="BC3408" t="str">
            <v>GOLD</v>
          </cell>
          <cell r="BE3408" t="str">
            <v>Nov</v>
          </cell>
        </row>
        <row r="3409">
          <cell r="C3409" t="str">
            <v>Hongkong Electric</v>
          </cell>
          <cell r="R3409">
            <v>0</v>
          </cell>
          <cell r="AZ3409">
            <v>0</v>
          </cell>
          <cell r="BA3409">
            <v>0</v>
          </cell>
          <cell r="BC3409" t="str">
            <v>GOLD</v>
          </cell>
          <cell r="BE3409" t="str">
            <v>Dec</v>
          </cell>
        </row>
        <row r="3410">
          <cell r="C3410" t="str">
            <v>Hongkong Electric</v>
          </cell>
          <cell r="R3410">
            <v>0</v>
          </cell>
          <cell r="AZ3410">
            <v>0</v>
          </cell>
          <cell r="BA3410">
            <v>0</v>
          </cell>
          <cell r="BC3410" t="str">
            <v>GOLD</v>
          </cell>
          <cell r="BE3410" t="str">
            <v>Jan</v>
          </cell>
        </row>
        <row r="3411">
          <cell r="C3411" t="str">
            <v>Hongkong Electric</v>
          </cell>
          <cell r="R3411">
            <v>0</v>
          </cell>
          <cell r="AZ3411">
            <v>0</v>
          </cell>
          <cell r="BA3411">
            <v>0</v>
          </cell>
          <cell r="BC3411" t="str">
            <v>GOLD</v>
          </cell>
          <cell r="BE3411" t="str">
            <v>Feb</v>
          </cell>
        </row>
        <row r="3412">
          <cell r="C3412" t="str">
            <v>Hongkong Electric</v>
          </cell>
          <cell r="R3412">
            <v>0</v>
          </cell>
          <cell r="AZ3412">
            <v>0</v>
          </cell>
          <cell r="BA3412">
            <v>0</v>
          </cell>
          <cell r="BC3412" t="str">
            <v>GOLD</v>
          </cell>
          <cell r="BE3412" t="str">
            <v>Mar</v>
          </cell>
        </row>
        <row r="3413">
          <cell r="C3413" t="str">
            <v>Hongkong Electric</v>
          </cell>
          <cell r="R3413">
            <v>0</v>
          </cell>
          <cell r="AZ3413">
            <v>0</v>
          </cell>
          <cell r="BA3413">
            <v>0</v>
          </cell>
          <cell r="BC3413" t="str">
            <v>GOLD</v>
          </cell>
          <cell r="BE3413" t="str">
            <v>Apr</v>
          </cell>
        </row>
        <row r="3414">
          <cell r="C3414" t="str">
            <v>Hongkong Electric</v>
          </cell>
          <cell r="R3414">
            <v>0</v>
          </cell>
          <cell r="AZ3414">
            <v>0</v>
          </cell>
          <cell r="BA3414">
            <v>0</v>
          </cell>
          <cell r="BC3414" t="str">
            <v>GOLD</v>
          </cell>
          <cell r="BE3414" t="str">
            <v>May</v>
          </cell>
        </row>
        <row r="3415">
          <cell r="C3415" t="str">
            <v>Hongkong Electric</v>
          </cell>
          <cell r="R3415">
            <v>0</v>
          </cell>
          <cell r="AZ3415">
            <v>0</v>
          </cell>
          <cell r="BA3415">
            <v>0</v>
          </cell>
          <cell r="BC3415" t="str">
            <v>GOLD</v>
          </cell>
          <cell r="BE3415" t="str">
            <v>Jun</v>
          </cell>
        </row>
        <row r="3416">
          <cell r="C3416" t="str">
            <v>Hongkong Electric</v>
          </cell>
          <cell r="R3416">
            <v>0</v>
          </cell>
          <cell r="AZ3416">
            <v>0</v>
          </cell>
          <cell r="BA3416">
            <v>0</v>
          </cell>
          <cell r="BC3416" t="str">
            <v>GOLD</v>
          </cell>
          <cell r="BE3416" t="str">
            <v>Jul</v>
          </cell>
        </row>
        <row r="3417">
          <cell r="C3417" t="str">
            <v>Hongkong Electric</v>
          </cell>
          <cell r="R3417">
            <v>0</v>
          </cell>
          <cell r="AZ3417">
            <v>0</v>
          </cell>
          <cell r="BA3417">
            <v>0</v>
          </cell>
          <cell r="BC3417" t="str">
            <v>GOLD</v>
          </cell>
          <cell r="BE3417" t="str">
            <v>Aug</v>
          </cell>
        </row>
        <row r="3418">
          <cell r="C3418" t="str">
            <v>Hongkong Electric</v>
          </cell>
          <cell r="R3418">
            <v>0</v>
          </cell>
          <cell r="AZ3418">
            <v>0</v>
          </cell>
          <cell r="BA3418">
            <v>0</v>
          </cell>
          <cell r="BC3418" t="str">
            <v>GOLD</v>
          </cell>
          <cell r="BE3418" t="str">
            <v>Sep</v>
          </cell>
        </row>
        <row r="3419">
          <cell r="C3419" t="str">
            <v>Hongkong Electric</v>
          </cell>
          <cell r="R3419">
            <v>0</v>
          </cell>
          <cell r="AZ3419">
            <v>0</v>
          </cell>
          <cell r="BA3419">
            <v>0</v>
          </cell>
          <cell r="BC3419" t="str">
            <v>GOLD</v>
          </cell>
          <cell r="BE3419" t="str">
            <v>Oct</v>
          </cell>
        </row>
        <row r="3420">
          <cell r="C3420" t="str">
            <v>Hongkong Electric</v>
          </cell>
          <cell r="R3420">
            <v>0</v>
          </cell>
          <cell r="AZ3420">
            <v>0</v>
          </cell>
          <cell r="BA3420">
            <v>0</v>
          </cell>
          <cell r="BC3420" t="str">
            <v>GOLD</v>
          </cell>
          <cell r="BE3420" t="str">
            <v>Nov</v>
          </cell>
        </row>
        <row r="3421">
          <cell r="C3421" t="str">
            <v>Hongkong Electric</v>
          </cell>
          <cell r="R3421">
            <v>0</v>
          </cell>
          <cell r="AZ3421">
            <v>0</v>
          </cell>
          <cell r="BA3421">
            <v>0</v>
          </cell>
          <cell r="BC3421" t="str">
            <v>GOLD</v>
          </cell>
          <cell r="BE3421" t="str">
            <v>Dec</v>
          </cell>
        </row>
        <row r="3422">
          <cell r="C3422" t="str">
            <v>Hongkong Electric</v>
          </cell>
          <cell r="R3422">
            <v>60000</v>
          </cell>
          <cell r="AZ3422">
            <v>-279000</v>
          </cell>
          <cell r="BA3422">
            <v>-54497.083201518515</v>
          </cell>
          <cell r="BC3422" t="str">
            <v>GOLD</v>
          </cell>
          <cell r="BE3422" t="str">
            <v>Jan</v>
          </cell>
        </row>
        <row r="3423">
          <cell r="C3423" t="str">
            <v>Hongkong Electric</v>
          </cell>
          <cell r="R3423">
            <v>0</v>
          </cell>
          <cell r="AZ3423">
            <v>0</v>
          </cell>
          <cell r="BA3423">
            <v>0</v>
          </cell>
          <cell r="BC3423" t="str">
            <v>GOLD</v>
          </cell>
          <cell r="BE3423" t="str">
            <v>Feb</v>
          </cell>
        </row>
        <row r="3424">
          <cell r="C3424" t="str">
            <v>Hongkong Electric</v>
          </cell>
          <cell r="R3424">
            <v>0</v>
          </cell>
          <cell r="AZ3424">
            <v>0</v>
          </cell>
          <cell r="BA3424">
            <v>0</v>
          </cell>
          <cell r="BC3424" t="str">
            <v>GOLD</v>
          </cell>
          <cell r="BE3424" t="str">
            <v>Mar</v>
          </cell>
        </row>
        <row r="3425">
          <cell r="C3425" t="str">
            <v>Hongkong Electric</v>
          </cell>
          <cell r="R3425">
            <v>0</v>
          </cell>
          <cell r="AZ3425">
            <v>0</v>
          </cell>
          <cell r="BA3425">
            <v>0</v>
          </cell>
          <cell r="BC3425" t="str">
            <v>GOLD</v>
          </cell>
          <cell r="BE3425" t="str">
            <v>Apr</v>
          </cell>
        </row>
        <row r="3426">
          <cell r="C3426" t="str">
            <v>Hongkong Electric</v>
          </cell>
          <cell r="R3426">
            <v>0</v>
          </cell>
          <cell r="AZ3426">
            <v>0</v>
          </cell>
          <cell r="BA3426">
            <v>0</v>
          </cell>
          <cell r="BC3426" t="str">
            <v>GOLD</v>
          </cell>
          <cell r="BE3426" t="str">
            <v>May</v>
          </cell>
        </row>
        <row r="3427">
          <cell r="C3427" t="str">
            <v>Hongkong Electric</v>
          </cell>
          <cell r="R3427">
            <v>0</v>
          </cell>
          <cell r="AZ3427">
            <v>0</v>
          </cell>
          <cell r="BA3427">
            <v>0</v>
          </cell>
          <cell r="BC3427" t="str">
            <v>GOLD</v>
          </cell>
          <cell r="BE3427" t="str">
            <v>Jun</v>
          </cell>
        </row>
        <row r="3428">
          <cell r="C3428" t="str">
            <v>Hongkong Electric</v>
          </cell>
          <cell r="R3428">
            <v>0</v>
          </cell>
          <cell r="AZ3428">
            <v>0</v>
          </cell>
          <cell r="BA3428">
            <v>0</v>
          </cell>
          <cell r="BC3428" t="str">
            <v>GOLD</v>
          </cell>
          <cell r="BE3428" t="str">
            <v>Jul</v>
          </cell>
        </row>
        <row r="3429">
          <cell r="C3429" t="str">
            <v>Hongkong Electric</v>
          </cell>
          <cell r="R3429">
            <v>0</v>
          </cell>
          <cell r="AZ3429">
            <v>0</v>
          </cell>
          <cell r="BA3429">
            <v>0</v>
          </cell>
          <cell r="BC3429" t="str">
            <v>GOLD</v>
          </cell>
          <cell r="BE3429" t="str">
            <v>Aug</v>
          </cell>
        </row>
        <row r="3430">
          <cell r="C3430" t="str">
            <v>Hongkong Electric</v>
          </cell>
          <cell r="R3430">
            <v>0</v>
          </cell>
          <cell r="AZ3430">
            <v>0</v>
          </cell>
          <cell r="BA3430">
            <v>0</v>
          </cell>
          <cell r="BC3430" t="str">
            <v>GOLD</v>
          </cell>
          <cell r="BE3430" t="str">
            <v>Sep</v>
          </cell>
        </row>
        <row r="3431">
          <cell r="C3431" t="str">
            <v>Hongkong Electric</v>
          </cell>
          <cell r="R3431">
            <v>0</v>
          </cell>
          <cell r="AZ3431">
            <v>0</v>
          </cell>
          <cell r="BA3431">
            <v>0</v>
          </cell>
          <cell r="BC3431" t="str">
            <v>GOLD</v>
          </cell>
          <cell r="BE3431" t="str">
            <v>Oct</v>
          </cell>
        </row>
        <row r="3432">
          <cell r="C3432" t="str">
            <v>Hongkong Electric</v>
          </cell>
          <cell r="R3432">
            <v>0</v>
          </cell>
          <cell r="AZ3432">
            <v>0</v>
          </cell>
          <cell r="BA3432">
            <v>0</v>
          </cell>
          <cell r="BC3432" t="str">
            <v>GOLD</v>
          </cell>
          <cell r="BE3432" t="str">
            <v>Nov</v>
          </cell>
        </row>
        <row r="3433">
          <cell r="C3433" t="str">
            <v>Hongkong Electric</v>
          </cell>
          <cell r="R3433">
            <v>0</v>
          </cell>
          <cell r="AZ3433">
            <v>0</v>
          </cell>
          <cell r="BA3433">
            <v>0</v>
          </cell>
          <cell r="BC3433" t="str">
            <v>GOLD</v>
          </cell>
          <cell r="BE3433" t="str">
            <v>Dec</v>
          </cell>
        </row>
        <row r="3434">
          <cell r="C3434" t="str">
            <v>Hongkong Electric</v>
          </cell>
          <cell r="R3434">
            <v>0</v>
          </cell>
          <cell r="AZ3434">
            <v>0</v>
          </cell>
          <cell r="BA3434">
            <v>0</v>
          </cell>
          <cell r="BC3434" t="str">
            <v>GOLD</v>
          </cell>
          <cell r="BE3434" t="str">
            <v>Jan</v>
          </cell>
        </row>
        <row r="3435">
          <cell r="C3435" t="str">
            <v>Hongkong Electric</v>
          </cell>
          <cell r="R3435">
            <v>0</v>
          </cell>
          <cell r="AZ3435">
            <v>0</v>
          </cell>
          <cell r="BA3435">
            <v>0</v>
          </cell>
          <cell r="BC3435" t="str">
            <v>GOLD</v>
          </cell>
          <cell r="BE3435" t="str">
            <v>Feb</v>
          </cell>
        </row>
        <row r="3436">
          <cell r="C3436" t="str">
            <v>Hongkong Electric</v>
          </cell>
          <cell r="R3436">
            <v>0</v>
          </cell>
          <cell r="AZ3436">
            <v>0</v>
          </cell>
          <cell r="BA3436">
            <v>0</v>
          </cell>
          <cell r="BC3436" t="str">
            <v>GOLD</v>
          </cell>
          <cell r="BE3436" t="str">
            <v>Mar</v>
          </cell>
        </row>
        <row r="3437">
          <cell r="C3437" t="str">
            <v>Hongkong Electric</v>
          </cell>
          <cell r="R3437">
            <v>56000</v>
          </cell>
          <cell r="AZ3437">
            <v>-260400.00000000003</v>
          </cell>
          <cell r="BA3437">
            <v>-59645.118551173589</v>
          </cell>
          <cell r="BC3437" t="str">
            <v>GOLD</v>
          </cell>
          <cell r="BE3437" t="str">
            <v>Apr</v>
          </cell>
        </row>
        <row r="3438">
          <cell r="C3438" t="str">
            <v>Hongkong Electric</v>
          </cell>
          <cell r="R3438">
            <v>0</v>
          </cell>
          <cell r="AZ3438">
            <v>0</v>
          </cell>
          <cell r="BA3438">
            <v>0</v>
          </cell>
          <cell r="BC3438" t="str">
            <v>GOLD</v>
          </cell>
          <cell r="BE3438" t="str">
            <v>May</v>
          </cell>
        </row>
        <row r="3439">
          <cell r="C3439" t="str">
            <v>Hongkong Electric</v>
          </cell>
          <cell r="R3439">
            <v>0</v>
          </cell>
          <cell r="AZ3439">
            <v>0</v>
          </cell>
          <cell r="BA3439">
            <v>0</v>
          </cell>
          <cell r="BC3439" t="str">
            <v>GOLD</v>
          </cell>
          <cell r="BE3439" t="str">
            <v>Jun</v>
          </cell>
        </row>
        <row r="3440">
          <cell r="C3440" t="str">
            <v>Hongkong Electric</v>
          </cell>
          <cell r="R3440">
            <v>0</v>
          </cell>
          <cell r="AZ3440">
            <v>0</v>
          </cell>
          <cell r="BA3440">
            <v>0</v>
          </cell>
          <cell r="BC3440" t="str">
            <v>GOLD</v>
          </cell>
          <cell r="BE3440" t="str">
            <v>Jul</v>
          </cell>
        </row>
        <row r="3441">
          <cell r="C3441" t="str">
            <v>Hongkong Electric</v>
          </cell>
          <cell r="R3441">
            <v>0</v>
          </cell>
          <cell r="AZ3441">
            <v>0</v>
          </cell>
          <cell r="BA3441">
            <v>0</v>
          </cell>
          <cell r="BC3441" t="str">
            <v>GOLD</v>
          </cell>
          <cell r="BE3441" t="str">
            <v>Aug</v>
          </cell>
        </row>
        <row r="3442">
          <cell r="C3442" t="str">
            <v>Hongkong Electric</v>
          </cell>
          <cell r="R3442">
            <v>0</v>
          </cell>
          <cell r="AZ3442">
            <v>0</v>
          </cell>
          <cell r="BA3442">
            <v>0</v>
          </cell>
          <cell r="BC3442" t="str">
            <v>GOLD</v>
          </cell>
          <cell r="BE3442" t="str">
            <v>Sep</v>
          </cell>
        </row>
        <row r="3443">
          <cell r="C3443" t="str">
            <v>Hongkong Electric</v>
          </cell>
          <cell r="R3443">
            <v>0</v>
          </cell>
          <cell r="AZ3443">
            <v>0</v>
          </cell>
          <cell r="BA3443">
            <v>0</v>
          </cell>
          <cell r="BC3443" t="str">
            <v>GOLD</v>
          </cell>
          <cell r="BE3443" t="str">
            <v>Oct</v>
          </cell>
        </row>
        <row r="3444">
          <cell r="C3444" t="str">
            <v>Hongkong Electric</v>
          </cell>
          <cell r="R3444">
            <v>0</v>
          </cell>
          <cell r="AZ3444">
            <v>0</v>
          </cell>
          <cell r="BA3444">
            <v>0</v>
          </cell>
          <cell r="BC3444" t="str">
            <v>GOLD</v>
          </cell>
          <cell r="BE3444" t="str">
            <v>Nov</v>
          </cell>
        </row>
        <row r="3445">
          <cell r="C3445" t="str">
            <v>Hongkong Electric</v>
          </cell>
          <cell r="R3445">
            <v>0</v>
          </cell>
          <cell r="AZ3445">
            <v>0</v>
          </cell>
          <cell r="BA3445">
            <v>0</v>
          </cell>
          <cell r="BC3445" t="str">
            <v>GOLD</v>
          </cell>
          <cell r="BE3445" t="str">
            <v>Dec</v>
          </cell>
        </row>
        <row r="3446">
          <cell r="C3446" t="str">
            <v>Hongkong Electric</v>
          </cell>
          <cell r="R3446">
            <v>0</v>
          </cell>
          <cell r="AZ3446">
            <v>0</v>
          </cell>
          <cell r="BA3446">
            <v>0</v>
          </cell>
          <cell r="BC3446" t="str">
            <v>GOLD</v>
          </cell>
          <cell r="BE3446" t="str">
            <v>Jan</v>
          </cell>
        </row>
        <row r="3447">
          <cell r="C3447" t="str">
            <v>Hongkong Electric</v>
          </cell>
          <cell r="R3447">
            <v>0</v>
          </cell>
          <cell r="AZ3447">
            <v>0</v>
          </cell>
          <cell r="BA3447">
            <v>0</v>
          </cell>
          <cell r="BC3447" t="str">
            <v>GOLD</v>
          </cell>
          <cell r="BE3447" t="str">
            <v>Feb</v>
          </cell>
        </row>
        <row r="3448">
          <cell r="C3448" t="str">
            <v>Hongkong Electric</v>
          </cell>
          <cell r="R3448">
            <v>0</v>
          </cell>
          <cell r="AZ3448">
            <v>0</v>
          </cell>
          <cell r="BA3448">
            <v>0</v>
          </cell>
          <cell r="BC3448" t="str">
            <v>GOLD</v>
          </cell>
          <cell r="BE3448" t="str">
            <v>Mar</v>
          </cell>
        </row>
        <row r="3449">
          <cell r="C3449" t="str">
            <v>Hongkong Electric</v>
          </cell>
          <cell r="R3449">
            <v>13999.999999999996</v>
          </cell>
          <cell r="AZ3449">
            <v>-65099.999999999985</v>
          </cell>
          <cell r="BA3449">
            <v>-16808.434122031082</v>
          </cell>
          <cell r="BC3449" t="str">
            <v>GOLD</v>
          </cell>
          <cell r="BE3449" t="str">
            <v>Apr</v>
          </cell>
        </row>
        <row r="3450">
          <cell r="C3450" t="str">
            <v>Hongkong Electric</v>
          </cell>
          <cell r="R3450">
            <v>0</v>
          </cell>
          <cell r="AZ3450">
            <v>0</v>
          </cell>
          <cell r="BA3450">
            <v>0</v>
          </cell>
          <cell r="BC3450" t="str">
            <v>GOLD</v>
          </cell>
          <cell r="BE3450" t="str">
            <v>May</v>
          </cell>
        </row>
        <row r="3451">
          <cell r="C3451" t="str">
            <v>Hongkong Electric</v>
          </cell>
          <cell r="R3451">
            <v>0</v>
          </cell>
          <cell r="AZ3451">
            <v>0</v>
          </cell>
          <cell r="BA3451">
            <v>0</v>
          </cell>
          <cell r="BC3451" t="str">
            <v>GOLD</v>
          </cell>
          <cell r="BE3451" t="str">
            <v>Jun</v>
          </cell>
        </row>
        <row r="3452">
          <cell r="C3452" t="str">
            <v>Hongkong Electric</v>
          </cell>
          <cell r="R3452">
            <v>0</v>
          </cell>
          <cell r="AZ3452">
            <v>0</v>
          </cell>
          <cell r="BA3452">
            <v>0</v>
          </cell>
          <cell r="BC3452" t="str">
            <v>GOLD</v>
          </cell>
          <cell r="BE3452" t="str">
            <v>Jul</v>
          </cell>
        </row>
        <row r="3453">
          <cell r="C3453" t="str">
            <v>Hongkong Electric</v>
          </cell>
          <cell r="R3453">
            <v>0</v>
          </cell>
          <cell r="AZ3453">
            <v>0</v>
          </cell>
          <cell r="BA3453">
            <v>0</v>
          </cell>
          <cell r="BC3453" t="str">
            <v>GOLD</v>
          </cell>
          <cell r="BE3453" t="str">
            <v>Aug</v>
          </cell>
        </row>
        <row r="3454">
          <cell r="C3454" t="str">
            <v>Hongkong Electric</v>
          </cell>
          <cell r="R3454">
            <v>0</v>
          </cell>
          <cell r="AZ3454">
            <v>0</v>
          </cell>
          <cell r="BA3454">
            <v>0</v>
          </cell>
          <cell r="BC3454" t="str">
            <v>GOLD</v>
          </cell>
          <cell r="BE3454" t="str">
            <v>Sep</v>
          </cell>
        </row>
        <row r="3455">
          <cell r="C3455" t="str">
            <v>Hongkong Electric</v>
          </cell>
          <cell r="R3455">
            <v>0</v>
          </cell>
          <cell r="AZ3455">
            <v>0</v>
          </cell>
          <cell r="BA3455">
            <v>0</v>
          </cell>
          <cell r="BC3455" t="str">
            <v>GOLD</v>
          </cell>
          <cell r="BE3455" t="str">
            <v>Oct</v>
          </cell>
        </row>
        <row r="3456">
          <cell r="C3456" t="str">
            <v>Hongkong Electric</v>
          </cell>
          <cell r="R3456">
            <v>0</v>
          </cell>
          <cell r="AZ3456">
            <v>0</v>
          </cell>
          <cell r="BA3456">
            <v>0</v>
          </cell>
          <cell r="BC3456" t="str">
            <v>GOLD</v>
          </cell>
          <cell r="BE3456" t="str">
            <v>Nov</v>
          </cell>
        </row>
        <row r="3457">
          <cell r="C3457" t="str">
            <v>Hongkong Electric</v>
          </cell>
          <cell r="R3457">
            <v>0</v>
          </cell>
          <cell r="AZ3457">
            <v>0</v>
          </cell>
          <cell r="BA3457">
            <v>0</v>
          </cell>
          <cell r="BC3457" t="str">
            <v>GOLD</v>
          </cell>
          <cell r="BE3457" t="str">
            <v>Dec</v>
          </cell>
        </row>
        <row r="3458">
          <cell r="C3458" t="str">
            <v>Hongkong Electric</v>
          </cell>
          <cell r="R3458">
            <v>0</v>
          </cell>
          <cell r="AZ3458">
            <v>0</v>
          </cell>
          <cell r="BA3458">
            <v>0</v>
          </cell>
          <cell r="BC3458" t="str">
            <v>GOLD</v>
          </cell>
          <cell r="BE3458" t="str">
            <v>Jan</v>
          </cell>
        </row>
        <row r="3459">
          <cell r="C3459" t="str">
            <v>Hongkong Electric</v>
          </cell>
          <cell r="R3459">
            <v>70000</v>
          </cell>
          <cell r="AZ3459">
            <v>-325500</v>
          </cell>
          <cell r="BA3459">
            <v>-50969.035115469786</v>
          </cell>
          <cell r="BC3459" t="str">
            <v>GOLD</v>
          </cell>
          <cell r="BE3459" t="str">
            <v>Feb</v>
          </cell>
        </row>
        <row r="3460">
          <cell r="C3460" t="str">
            <v>Hongkong Electric</v>
          </cell>
          <cell r="R3460">
            <v>0</v>
          </cell>
          <cell r="AZ3460">
            <v>0</v>
          </cell>
          <cell r="BA3460">
            <v>0</v>
          </cell>
          <cell r="BC3460" t="str">
            <v>GOLD</v>
          </cell>
          <cell r="BE3460" t="str">
            <v>Mar</v>
          </cell>
        </row>
        <row r="3461">
          <cell r="C3461" t="str">
            <v>Hongkong Electric</v>
          </cell>
          <cell r="R3461">
            <v>0</v>
          </cell>
          <cell r="AZ3461">
            <v>0</v>
          </cell>
          <cell r="BA3461">
            <v>0</v>
          </cell>
          <cell r="BC3461" t="str">
            <v>GOLD</v>
          </cell>
          <cell r="BE3461" t="str">
            <v>Apr</v>
          </cell>
        </row>
        <row r="3462">
          <cell r="C3462" t="str">
            <v>Hongkong Electric</v>
          </cell>
          <cell r="R3462">
            <v>0</v>
          </cell>
          <cell r="AZ3462">
            <v>0</v>
          </cell>
          <cell r="BA3462">
            <v>0</v>
          </cell>
          <cell r="BC3462" t="str">
            <v>GOLD</v>
          </cell>
          <cell r="BE3462" t="str">
            <v>May</v>
          </cell>
        </row>
        <row r="3463">
          <cell r="C3463" t="str">
            <v>Hongkong Electric</v>
          </cell>
          <cell r="R3463">
            <v>0</v>
          </cell>
          <cell r="AZ3463">
            <v>0</v>
          </cell>
          <cell r="BA3463">
            <v>0</v>
          </cell>
          <cell r="BC3463" t="str">
            <v>GOLD</v>
          </cell>
          <cell r="BE3463" t="str">
            <v>Jun</v>
          </cell>
        </row>
        <row r="3464">
          <cell r="C3464" t="str">
            <v>Hongkong Electric</v>
          </cell>
          <cell r="R3464">
            <v>0</v>
          </cell>
          <cell r="AZ3464">
            <v>0</v>
          </cell>
          <cell r="BA3464">
            <v>0</v>
          </cell>
          <cell r="BC3464" t="str">
            <v>GOLD</v>
          </cell>
          <cell r="BE3464" t="str">
            <v>Jul</v>
          </cell>
        </row>
        <row r="3465">
          <cell r="C3465" t="str">
            <v>Hongkong Electric</v>
          </cell>
          <cell r="R3465">
            <v>0</v>
          </cell>
          <cell r="AZ3465">
            <v>0</v>
          </cell>
          <cell r="BA3465">
            <v>0</v>
          </cell>
          <cell r="BC3465" t="str">
            <v>GOLD</v>
          </cell>
          <cell r="BE3465" t="str">
            <v>Aug</v>
          </cell>
        </row>
        <row r="3466">
          <cell r="C3466" t="str">
            <v>Hongkong Electric</v>
          </cell>
          <cell r="R3466">
            <v>0</v>
          </cell>
          <cell r="AZ3466">
            <v>0</v>
          </cell>
          <cell r="BA3466">
            <v>0</v>
          </cell>
          <cell r="BC3466" t="str">
            <v>GOLD</v>
          </cell>
          <cell r="BE3466" t="str">
            <v>Sep</v>
          </cell>
        </row>
        <row r="3467">
          <cell r="C3467" t="str">
            <v>Hongkong Electric</v>
          </cell>
          <cell r="R3467">
            <v>0</v>
          </cell>
          <cell r="AZ3467">
            <v>0</v>
          </cell>
          <cell r="BA3467">
            <v>0</v>
          </cell>
          <cell r="BC3467" t="str">
            <v>GOLD</v>
          </cell>
          <cell r="BE3467" t="str">
            <v>Oct</v>
          </cell>
        </row>
        <row r="3468">
          <cell r="C3468" t="str">
            <v>Hongkong Electric</v>
          </cell>
          <cell r="R3468">
            <v>0</v>
          </cell>
          <cell r="AZ3468">
            <v>0</v>
          </cell>
          <cell r="BA3468">
            <v>0</v>
          </cell>
          <cell r="BC3468" t="str">
            <v>GOLD</v>
          </cell>
          <cell r="BE3468" t="str">
            <v>Nov</v>
          </cell>
        </row>
        <row r="3469">
          <cell r="C3469" t="str">
            <v>Hongkong Electric</v>
          </cell>
          <cell r="R3469">
            <v>0</v>
          </cell>
          <cell r="AZ3469">
            <v>0</v>
          </cell>
          <cell r="BA3469">
            <v>0</v>
          </cell>
          <cell r="BC3469" t="str">
            <v>GOLD</v>
          </cell>
          <cell r="BE3469" t="str">
            <v>Dec</v>
          </cell>
        </row>
        <row r="3470">
          <cell r="C3470" t="str">
            <v>Hongkong Electric</v>
          </cell>
          <cell r="R3470">
            <v>0</v>
          </cell>
          <cell r="AZ3470">
            <v>0</v>
          </cell>
          <cell r="BA3470">
            <v>0</v>
          </cell>
          <cell r="BC3470" t="str">
            <v>GOLD</v>
          </cell>
          <cell r="BE3470" t="str">
            <v>Jan</v>
          </cell>
        </row>
        <row r="3471">
          <cell r="C3471" t="str">
            <v>Hongkong Electric</v>
          </cell>
          <cell r="R3471">
            <v>0</v>
          </cell>
          <cell r="AZ3471">
            <v>0</v>
          </cell>
          <cell r="BA3471">
            <v>0</v>
          </cell>
          <cell r="BC3471" t="str">
            <v>GOLD</v>
          </cell>
          <cell r="BE3471" t="str">
            <v>Feb</v>
          </cell>
        </row>
        <row r="3472">
          <cell r="C3472" t="str">
            <v>Hongkong Electric</v>
          </cell>
          <cell r="R3472">
            <v>0</v>
          </cell>
          <cell r="AZ3472">
            <v>0</v>
          </cell>
          <cell r="BA3472">
            <v>0</v>
          </cell>
          <cell r="BC3472" t="str">
            <v>GOLD</v>
          </cell>
          <cell r="BE3472" t="str">
            <v>Mar</v>
          </cell>
        </row>
        <row r="3473">
          <cell r="C3473" t="str">
            <v>Hongkong Electric</v>
          </cell>
          <cell r="R3473">
            <v>0</v>
          </cell>
          <cell r="AZ3473">
            <v>0</v>
          </cell>
          <cell r="BA3473">
            <v>0</v>
          </cell>
          <cell r="BC3473" t="str">
            <v>GOLD</v>
          </cell>
          <cell r="BE3473" t="str">
            <v>Apr</v>
          </cell>
        </row>
        <row r="3474">
          <cell r="C3474" t="str">
            <v>Hongkong Electric</v>
          </cell>
          <cell r="R3474">
            <v>0</v>
          </cell>
          <cell r="AZ3474">
            <v>0</v>
          </cell>
          <cell r="BA3474">
            <v>0</v>
          </cell>
          <cell r="BC3474" t="str">
            <v>GOLD</v>
          </cell>
          <cell r="BE3474" t="str">
            <v>May</v>
          </cell>
        </row>
        <row r="3475">
          <cell r="C3475" t="str">
            <v>Hongkong Electric</v>
          </cell>
          <cell r="R3475">
            <v>0</v>
          </cell>
          <cell r="AZ3475">
            <v>0</v>
          </cell>
          <cell r="BA3475">
            <v>0</v>
          </cell>
          <cell r="BC3475" t="str">
            <v>GOLD</v>
          </cell>
          <cell r="BE3475" t="str">
            <v>Jun</v>
          </cell>
        </row>
        <row r="3476">
          <cell r="C3476" t="str">
            <v>Hongkong Electric</v>
          </cell>
          <cell r="R3476">
            <v>0</v>
          </cell>
          <cell r="AZ3476">
            <v>0</v>
          </cell>
          <cell r="BA3476">
            <v>0</v>
          </cell>
          <cell r="BC3476" t="str">
            <v>GOLD</v>
          </cell>
          <cell r="BE3476" t="str">
            <v>Jul</v>
          </cell>
        </row>
        <row r="3477">
          <cell r="C3477" t="str">
            <v>Hongkong Electric</v>
          </cell>
          <cell r="R3477">
            <v>0</v>
          </cell>
          <cell r="AZ3477">
            <v>0</v>
          </cell>
          <cell r="BA3477">
            <v>0</v>
          </cell>
          <cell r="BC3477" t="str">
            <v>GOLD</v>
          </cell>
          <cell r="BE3477" t="str">
            <v>Aug</v>
          </cell>
        </row>
        <row r="3478">
          <cell r="C3478" t="str">
            <v>Hongkong Electric</v>
          </cell>
          <cell r="R3478">
            <v>0</v>
          </cell>
          <cell r="AZ3478">
            <v>0</v>
          </cell>
          <cell r="BA3478">
            <v>0</v>
          </cell>
          <cell r="BC3478" t="str">
            <v>GOLD</v>
          </cell>
          <cell r="BE3478" t="str">
            <v>Sep</v>
          </cell>
        </row>
        <row r="3479">
          <cell r="C3479" t="str">
            <v>Hongkong Electric</v>
          </cell>
          <cell r="R3479">
            <v>0</v>
          </cell>
          <cell r="AZ3479">
            <v>0</v>
          </cell>
          <cell r="BA3479">
            <v>0</v>
          </cell>
          <cell r="BC3479" t="str">
            <v>GOLD</v>
          </cell>
          <cell r="BE3479" t="str">
            <v>Oct</v>
          </cell>
        </row>
        <row r="3480">
          <cell r="C3480" t="str">
            <v>Hongkong Electric</v>
          </cell>
          <cell r="R3480">
            <v>0</v>
          </cell>
          <cell r="AZ3480">
            <v>0</v>
          </cell>
          <cell r="BA3480">
            <v>0</v>
          </cell>
          <cell r="BC3480" t="str">
            <v>GOLD</v>
          </cell>
          <cell r="BE3480" t="str">
            <v>Nov</v>
          </cell>
        </row>
        <row r="3481">
          <cell r="C3481" t="str">
            <v>Hongkong Electric</v>
          </cell>
          <cell r="R3481">
            <v>0</v>
          </cell>
          <cell r="AZ3481">
            <v>0</v>
          </cell>
          <cell r="BA3481">
            <v>0</v>
          </cell>
          <cell r="BC3481" t="str">
            <v>GOLD</v>
          </cell>
          <cell r="BE3481" t="str">
            <v>Dec</v>
          </cell>
        </row>
        <row r="3482">
          <cell r="C3482" t="str">
            <v>Other</v>
          </cell>
          <cell r="R3482">
            <v>0</v>
          </cell>
          <cell r="AZ3482">
            <v>0</v>
          </cell>
          <cell r="BA3482">
            <v>0</v>
          </cell>
          <cell r="BC3482" t="str">
            <v>OTHERS</v>
          </cell>
          <cell r="BE3482" t="str">
            <v>Jan</v>
          </cell>
        </row>
        <row r="3483">
          <cell r="C3483" t="str">
            <v>Other</v>
          </cell>
          <cell r="R3483">
            <v>0</v>
          </cell>
          <cell r="AZ3483">
            <v>0</v>
          </cell>
          <cell r="BA3483">
            <v>0</v>
          </cell>
          <cell r="BC3483" t="str">
            <v>OTHERS</v>
          </cell>
          <cell r="BE3483" t="str">
            <v>Feb</v>
          </cell>
        </row>
        <row r="3484">
          <cell r="C3484" t="str">
            <v>Other</v>
          </cell>
          <cell r="R3484">
            <v>0</v>
          </cell>
          <cell r="AZ3484">
            <v>0</v>
          </cell>
          <cell r="BA3484">
            <v>0</v>
          </cell>
          <cell r="BC3484" t="str">
            <v>OTHERS</v>
          </cell>
          <cell r="BE3484" t="str">
            <v>Mar</v>
          </cell>
        </row>
        <row r="3485">
          <cell r="C3485" t="str">
            <v>Other</v>
          </cell>
          <cell r="R3485">
            <v>0</v>
          </cell>
          <cell r="AZ3485">
            <v>0</v>
          </cell>
          <cell r="BA3485">
            <v>0</v>
          </cell>
          <cell r="BC3485" t="str">
            <v>OTHERS</v>
          </cell>
          <cell r="BE3485" t="str">
            <v>Apr</v>
          </cell>
        </row>
        <row r="3486">
          <cell r="C3486" t="str">
            <v>Other</v>
          </cell>
          <cell r="R3486">
            <v>0</v>
          </cell>
          <cell r="AZ3486">
            <v>0</v>
          </cell>
          <cell r="BA3486">
            <v>0</v>
          </cell>
          <cell r="BC3486" t="str">
            <v>OTHERS</v>
          </cell>
          <cell r="BE3486" t="str">
            <v>May</v>
          </cell>
        </row>
        <row r="3487">
          <cell r="C3487" t="str">
            <v>Other</v>
          </cell>
          <cell r="R3487">
            <v>0</v>
          </cell>
          <cell r="AZ3487">
            <v>0</v>
          </cell>
          <cell r="BA3487">
            <v>0</v>
          </cell>
          <cell r="BC3487" t="str">
            <v>OTHERS</v>
          </cell>
          <cell r="BE3487" t="str">
            <v>Jun</v>
          </cell>
        </row>
        <row r="3488">
          <cell r="C3488" t="str">
            <v>Other</v>
          </cell>
          <cell r="R3488">
            <v>0</v>
          </cell>
          <cell r="AZ3488">
            <v>0</v>
          </cell>
          <cell r="BA3488">
            <v>0</v>
          </cell>
          <cell r="BC3488" t="str">
            <v>OTHERS</v>
          </cell>
          <cell r="BE3488" t="str">
            <v>Jul</v>
          </cell>
        </row>
        <row r="3489">
          <cell r="C3489" t="str">
            <v>Other</v>
          </cell>
          <cell r="R3489">
            <v>0</v>
          </cell>
          <cell r="AZ3489">
            <v>0</v>
          </cell>
          <cell r="BA3489">
            <v>0</v>
          </cell>
          <cell r="BC3489" t="str">
            <v>OTHERS</v>
          </cell>
          <cell r="BE3489" t="str">
            <v>Aug</v>
          </cell>
        </row>
        <row r="3490">
          <cell r="C3490" t="str">
            <v>Other</v>
          </cell>
          <cell r="R3490">
            <v>0</v>
          </cell>
          <cell r="AZ3490">
            <v>0</v>
          </cell>
          <cell r="BA3490">
            <v>0</v>
          </cell>
          <cell r="BC3490" t="str">
            <v>OTHERS</v>
          </cell>
          <cell r="BE3490" t="str">
            <v>Sep</v>
          </cell>
        </row>
        <row r="3491">
          <cell r="C3491" t="str">
            <v>Other</v>
          </cell>
          <cell r="R3491">
            <v>0</v>
          </cell>
          <cell r="AZ3491">
            <v>0</v>
          </cell>
          <cell r="BA3491">
            <v>0</v>
          </cell>
          <cell r="BC3491" t="str">
            <v>OTHERS</v>
          </cell>
          <cell r="BE3491" t="str">
            <v>Oct</v>
          </cell>
        </row>
        <row r="3492">
          <cell r="C3492" t="str">
            <v>Other</v>
          </cell>
          <cell r="R3492">
            <v>0</v>
          </cell>
          <cell r="AZ3492">
            <v>0</v>
          </cell>
          <cell r="BA3492">
            <v>0</v>
          </cell>
          <cell r="BC3492" t="str">
            <v>OTHERS</v>
          </cell>
          <cell r="BE3492" t="str">
            <v>Nov</v>
          </cell>
        </row>
        <row r="3493">
          <cell r="C3493" t="str">
            <v>Other</v>
          </cell>
          <cell r="R3493">
            <v>0</v>
          </cell>
          <cell r="AZ3493">
            <v>0</v>
          </cell>
          <cell r="BA3493">
            <v>0</v>
          </cell>
          <cell r="BC3493" t="str">
            <v>OTHERS</v>
          </cell>
          <cell r="BE3493" t="str">
            <v>Dec</v>
          </cell>
        </row>
        <row r="3494">
          <cell r="C3494" t="str">
            <v>Other</v>
          </cell>
          <cell r="R3494">
            <v>0</v>
          </cell>
          <cell r="AZ3494">
            <v>0</v>
          </cell>
          <cell r="BA3494">
            <v>0</v>
          </cell>
          <cell r="BC3494" t="str">
            <v>OTHERS</v>
          </cell>
          <cell r="BE3494" t="str">
            <v>Jan</v>
          </cell>
        </row>
        <row r="3495">
          <cell r="C3495" t="str">
            <v>Other</v>
          </cell>
          <cell r="R3495">
            <v>0</v>
          </cell>
          <cell r="AZ3495">
            <v>0</v>
          </cell>
          <cell r="BA3495">
            <v>0</v>
          </cell>
          <cell r="BC3495" t="str">
            <v>OTHERS</v>
          </cell>
          <cell r="BE3495" t="str">
            <v>Feb</v>
          </cell>
        </row>
        <row r="3496">
          <cell r="C3496" t="str">
            <v>Other</v>
          </cell>
          <cell r="R3496">
            <v>0</v>
          </cell>
          <cell r="AZ3496">
            <v>0</v>
          </cell>
          <cell r="BA3496">
            <v>0</v>
          </cell>
          <cell r="BC3496" t="str">
            <v>OTHERS</v>
          </cell>
          <cell r="BE3496" t="str">
            <v>Mar</v>
          </cell>
        </row>
        <row r="3497">
          <cell r="C3497" t="str">
            <v>Other</v>
          </cell>
          <cell r="R3497">
            <v>0</v>
          </cell>
          <cell r="AZ3497">
            <v>0</v>
          </cell>
          <cell r="BA3497">
            <v>0</v>
          </cell>
          <cell r="BC3497" t="str">
            <v>OTHERS</v>
          </cell>
          <cell r="BE3497" t="str">
            <v>Apr</v>
          </cell>
        </row>
        <row r="3498">
          <cell r="C3498" t="str">
            <v>Other</v>
          </cell>
          <cell r="R3498">
            <v>0</v>
          </cell>
          <cell r="AZ3498">
            <v>0</v>
          </cell>
          <cell r="BA3498">
            <v>0</v>
          </cell>
          <cell r="BC3498" t="str">
            <v>OTHERS</v>
          </cell>
          <cell r="BE3498" t="str">
            <v>May</v>
          </cell>
        </row>
        <row r="3499">
          <cell r="C3499" t="str">
            <v>Other</v>
          </cell>
          <cell r="R3499">
            <v>0</v>
          </cell>
          <cell r="AZ3499">
            <v>0</v>
          </cell>
          <cell r="BA3499">
            <v>0</v>
          </cell>
          <cell r="BC3499" t="str">
            <v>OTHERS</v>
          </cell>
          <cell r="BE3499" t="str">
            <v>Jun</v>
          </cell>
        </row>
        <row r="3500">
          <cell r="C3500" t="str">
            <v>Other</v>
          </cell>
          <cell r="R3500">
            <v>0</v>
          </cell>
          <cell r="AZ3500">
            <v>0</v>
          </cell>
          <cell r="BA3500">
            <v>0</v>
          </cell>
          <cell r="BC3500" t="str">
            <v>OTHERS</v>
          </cell>
          <cell r="BE3500" t="str">
            <v>Jul</v>
          </cell>
        </row>
        <row r="3501">
          <cell r="C3501" t="str">
            <v>Other</v>
          </cell>
          <cell r="R3501">
            <v>0</v>
          </cell>
          <cell r="AZ3501">
            <v>0</v>
          </cell>
          <cell r="BA3501">
            <v>0</v>
          </cell>
          <cell r="BC3501" t="str">
            <v>OTHERS</v>
          </cell>
          <cell r="BE3501" t="str">
            <v>Aug</v>
          </cell>
        </row>
        <row r="3502">
          <cell r="C3502" t="str">
            <v>Other</v>
          </cell>
          <cell r="R3502">
            <v>0</v>
          </cell>
          <cell r="AZ3502">
            <v>0</v>
          </cell>
          <cell r="BA3502">
            <v>0</v>
          </cell>
          <cell r="BC3502" t="str">
            <v>OTHERS</v>
          </cell>
          <cell r="BE3502" t="str">
            <v>Sep</v>
          </cell>
        </row>
        <row r="3503">
          <cell r="C3503" t="str">
            <v>Other</v>
          </cell>
          <cell r="R3503">
            <v>0</v>
          </cell>
          <cell r="AZ3503">
            <v>0</v>
          </cell>
          <cell r="BA3503">
            <v>0</v>
          </cell>
          <cell r="BC3503" t="str">
            <v>OTHERS</v>
          </cell>
          <cell r="BE3503" t="str">
            <v>Oct</v>
          </cell>
        </row>
        <row r="3504">
          <cell r="C3504" t="str">
            <v>Other</v>
          </cell>
          <cell r="R3504">
            <v>0</v>
          </cell>
          <cell r="AZ3504">
            <v>0</v>
          </cell>
          <cell r="BA3504">
            <v>0</v>
          </cell>
          <cell r="BC3504" t="str">
            <v>OTHERS</v>
          </cell>
          <cell r="BE3504" t="str">
            <v>Nov</v>
          </cell>
        </row>
        <row r="3505">
          <cell r="C3505" t="str">
            <v>Other</v>
          </cell>
          <cell r="R3505">
            <v>0</v>
          </cell>
          <cell r="AZ3505">
            <v>0</v>
          </cell>
          <cell r="BA3505">
            <v>0</v>
          </cell>
          <cell r="BC3505" t="str">
            <v>OTHERS</v>
          </cell>
          <cell r="BE3505" t="str">
            <v>Dec</v>
          </cell>
        </row>
        <row r="3506">
          <cell r="C3506" t="str">
            <v>Other</v>
          </cell>
          <cell r="R3506">
            <v>0</v>
          </cell>
          <cell r="AZ3506">
            <v>0</v>
          </cell>
          <cell r="BA3506">
            <v>0</v>
          </cell>
          <cell r="BC3506" t="str">
            <v>OTHERS</v>
          </cell>
          <cell r="BE3506" t="str">
            <v>Jan</v>
          </cell>
        </row>
        <row r="3507">
          <cell r="C3507" t="str">
            <v>Other</v>
          </cell>
          <cell r="R3507">
            <v>0</v>
          </cell>
          <cell r="AZ3507">
            <v>0</v>
          </cell>
          <cell r="BA3507">
            <v>0</v>
          </cell>
          <cell r="BC3507" t="str">
            <v>OTHERS</v>
          </cell>
          <cell r="BE3507" t="str">
            <v>Feb</v>
          </cell>
        </row>
        <row r="3508">
          <cell r="C3508" t="str">
            <v>Other</v>
          </cell>
          <cell r="R3508">
            <v>80000</v>
          </cell>
          <cell r="AZ3508">
            <v>-24000</v>
          </cell>
          <cell r="BA3508">
            <v>-90169.491525423728</v>
          </cell>
          <cell r="BC3508" t="str">
            <v>OTHERS</v>
          </cell>
          <cell r="BE3508" t="str">
            <v>Mar</v>
          </cell>
        </row>
        <row r="3509">
          <cell r="C3509" t="str">
            <v>Other</v>
          </cell>
          <cell r="R3509">
            <v>50000</v>
          </cell>
          <cell r="AZ3509">
            <v>-15000</v>
          </cell>
          <cell r="BA3509">
            <v>-56355.932203389828</v>
          </cell>
          <cell r="BC3509" t="str">
            <v>OTHERS</v>
          </cell>
          <cell r="BE3509" t="str">
            <v>Apr</v>
          </cell>
        </row>
        <row r="3510">
          <cell r="C3510" t="str">
            <v>Other</v>
          </cell>
          <cell r="R3510">
            <v>60000</v>
          </cell>
          <cell r="AZ3510">
            <v>-18000</v>
          </cell>
          <cell r="BA3510">
            <v>-67627.118644067799</v>
          </cell>
          <cell r="BC3510" t="str">
            <v>OTHERS</v>
          </cell>
          <cell r="BE3510" t="str">
            <v>May</v>
          </cell>
        </row>
        <row r="3511">
          <cell r="C3511" t="str">
            <v>Other</v>
          </cell>
          <cell r="R3511">
            <v>60000</v>
          </cell>
          <cell r="AZ3511">
            <v>-18000</v>
          </cell>
          <cell r="BA3511">
            <v>-67627.118644067799</v>
          </cell>
          <cell r="BC3511" t="str">
            <v>OTHERS</v>
          </cell>
          <cell r="BE3511" t="str">
            <v>Jun</v>
          </cell>
        </row>
        <row r="3512">
          <cell r="C3512" t="str">
            <v>Other</v>
          </cell>
          <cell r="R3512">
            <v>70000</v>
          </cell>
          <cell r="AZ3512">
            <v>-21000</v>
          </cell>
          <cell r="BA3512">
            <v>-78898.305084745763</v>
          </cell>
          <cell r="BC3512" t="str">
            <v>OTHERS</v>
          </cell>
          <cell r="BE3512" t="str">
            <v>Jul</v>
          </cell>
        </row>
        <row r="3513">
          <cell r="C3513" t="str">
            <v>Other</v>
          </cell>
          <cell r="R3513">
            <v>20000</v>
          </cell>
          <cell r="AZ3513">
            <v>-6000</v>
          </cell>
          <cell r="BA3513">
            <v>-22542.372881355932</v>
          </cell>
          <cell r="BC3513" t="str">
            <v>OTHERS</v>
          </cell>
          <cell r="BE3513" t="str">
            <v>Aug</v>
          </cell>
        </row>
        <row r="3514">
          <cell r="C3514" t="str">
            <v>Other</v>
          </cell>
          <cell r="R3514">
            <v>60000</v>
          </cell>
          <cell r="AZ3514">
            <v>-18000</v>
          </cell>
          <cell r="BA3514">
            <v>-67627.118644067799</v>
          </cell>
          <cell r="BC3514" t="str">
            <v>OTHERS</v>
          </cell>
          <cell r="BE3514" t="str">
            <v>Sep</v>
          </cell>
        </row>
        <row r="3515">
          <cell r="C3515" t="str">
            <v>Other</v>
          </cell>
          <cell r="R3515">
            <v>80000</v>
          </cell>
          <cell r="AZ3515">
            <v>-24000</v>
          </cell>
          <cell r="BA3515">
            <v>-90169.491525423728</v>
          </cell>
          <cell r="BC3515" t="str">
            <v>OTHERS</v>
          </cell>
          <cell r="BE3515" t="str">
            <v>Oct</v>
          </cell>
        </row>
        <row r="3516">
          <cell r="C3516" t="str">
            <v>Other</v>
          </cell>
          <cell r="R3516">
            <v>25000</v>
          </cell>
          <cell r="AZ3516">
            <v>-7500</v>
          </cell>
          <cell r="BA3516">
            <v>-28177.966101694914</v>
          </cell>
          <cell r="BC3516" t="str">
            <v>OTHERS</v>
          </cell>
          <cell r="BE3516" t="str">
            <v>Nov</v>
          </cell>
        </row>
        <row r="3517">
          <cell r="C3517" t="str">
            <v>Other</v>
          </cell>
          <cell r="R3517">
            <v>80000</v>
          </cell>
          <cell r="AZ3517">
            <v>-24000</v>
          </cell>
          <cell r="BA3517">
            <v>-90169.491525423728</v>
          </cell>
          <cell r="BC3517" t="str">
            <v>OTHERS</v>
          </cell>
          <cell r="BE3517" t="str">
            <v>Dec</v>
          </cell>
        </row>
        <row r="3518">
          <cell r="C3518" t="str">
            <v>Other</v>
          </cell>
          <cell r="R3518">
            <v>0</v>
          </cell>
          <cell r="AZ3518">
            <v>0</v>
          </cell>
          <cell r="BA3518">
            <v>0</v>
          </cell>
          <cell r="BC3518" t="str">
            <v>OTHERS</v>
          </cell>
          <cell r="BE3518" t="str">
            <v>Jan</v>
          </cell>
        </row>
        <row r="3519">
          <cell r="C3519" t="str">
            <v>Other</v>
          </cell>
          <cell r="R3519">
            <v>0</v>
          </cell>
          <cell r="AZ3519">
            <v>0</v>
          </cell>
          <cell r="BA3519">
            <v>0</v>
          </cell>
          <cell r="BC3519" t="str">
            <v>OTHERS</v>
          </cell>
          <cell r="BE3519" t="str">
            <v>Feb</v>
          </cell>
        </row>
        <row r="3520">
          <cell r="C3520" t="str">
            <v>Other</v>
          </cell>
          <cell r="R3520">
            <v>0</v>
          </cell>
          <cell r="AZ3520">
            <v>0</v>
          </cell>
          <cell r="BA3520">
            <v>0</v>
          </cell>
          <cell r="BC3520" t="str">
            <v>OTHERS</v>
          </cell>
          <cell r="BE3520" t="str">
            <v>Mar</v>
          </cell>
        </row>
        <row r="3521">
          <cell r="C3521" t="str">
            <v>Other</v>
          </cell>
          <cell r="R3521">
            <v>50000</v>
          </cell>
          <cell r="AZ3521">
            <v>-15000</v>
          </cell>
          <cell r="BA3521">
            <v>-56355.932203389828</v>
          </cell>
          <cell r="BC3521" t="str">
            <v>OTHERS</v>
          </cell>
          <cell r="BE3521" t="str">
            <v>Apr</v>
          </cell>
        </row>
        <row r="3522">
          <cell r="C3522" t="str">
            <v>Other</v>
          </cell>
          <cell r="R3522">
            <v>60000</v>
          </cell>
          <cell r="AZ3522">
            <v>-18000</v>
          </cell>
          <cell r="BA3522">
            <v>-67627.118644067799</v>
          </cell>
          <cell r="BC3522" t="str">
            <v>OTHERS</v>
          </cell>
          <cell r="BE3522" t="str">
            <v>May</v>
          </cell>
        </row>
        <row r="3523">
          <cell r="C3523" t="str">
            <v>Other</v>
          </cell>
          <cell r="R3523">
            <v>90000</v>
          </cell>
          <cell r="AZ3523">
            <v>-27000</v>
          </cell>
          <cell r="BA3523">
            <v>-101440.67796610169</v>
          </cell>
          <cell r="BC3523" t="str">
            <v>OTHERS</v>
          </cell>
          <cell r="BE3523" t="str">
            <v>Jun</v>
          </cell>
        </row>
        <row r="3524">
          <cell r="C3524" t="str">
            <v>Other</v>
          </cell>
          <cell r="R3524">
            <v>80000</v>
          </cell>
          <cell r="AZ3524">
            <v>-24000</v>
          </cell>
          <cell r="BA3524">
            <v>-90169.491525423728</v>
          </cell>
          <cell r="BC3524" t="str">
            <v>OTHERS</v>
          </cell>
          <cell r="BE3524" t="str">
            <v>Jul</v>
          </cell>
        </row>
        <row r="3525">
          <cell r="C3525" t="str">
            <v>Other</v>
          </cell>
          <cell r="R3525">
            <v>80000</v>
          </cell>
          <cell r="AZ3525">
            <v>-24000</v>
          </cell>
          <cell r="BA3525">
            <v>-90169.491525423728</v>
          </cell>
          <cell r="BC3525" t="str">
            <v>OTHERS</v>
          </cell>
          <cell r="BE3525" t="str">
            <v>Aug</v>
          </cell>
        </row>
        <row r="3526">
          <cell r="C3526" t="str">
            <v>Other</v>
          </cell>
          <cell r="R3526">
            <v>60000</v>
          </cell>
          <cell r="AZ3526">
            <v>-18000</v>
          </cell>
          <cell r="BA3526">
            <v>-67627.118644067799</v>
          </cell>
          <cell r="BC3526" t="str">
            <v>OTHERS</v>
          </cell>
          <cell r="BE3526" t="str">
            <v>Sep</v>
          </cell>
        </row>
        <row r="3527">
          <cell r="C3527" t="str">
            <v>Other</v>
          </cell>
          <cell r="R3527">
            <v>80000</v>
          </cell>
          <cell r="AZ3527">
            <v>-24000</v>
          </cell>
          <cell r="BA3527">
            <v>-90169.491525423728</v>
          </cell>
          <cell r="BC3527" t="str">
            <v>OTHERS</v>
          </cell>
          <cell r="BE3527" t="str">
            <v>Oct</v>
          </cell>
        </row>
        <row r="3528">
          <cell r="C3528" t="str">
            <v>Other</v>
          </cell>
          <cell r="R3528">
            <v>80000</v>
          </cell>
          <cell r="AZ3528">
            <v>-24000</v>
          </cell>
          <cell r="BA3528">
            <v>-90169.491525423728</v>
          </cell>
          <cell r="BC3528" t="str">
            <v>OTHERS</v>
          </cell>
          <cell r="BE3528" t="str">
            <v>Nov</v>
          </cell>
        </row>
        <row r="3529">
          <cell r="C3529" t="str">
            <v>Other</v>
          </cell>
          <cell r="R3529">
            <v>80000</v>
          </cell>
          <cell r="AZ3529">
            <v>-24000</v>
          </cell>
          <cell r="BA3529">
            <v>-90169.491525423728</v>
          </cell>
          <cell r="BC3529" t="str">
            <v>OTHERS</v>
          </cell>
          <cell r="BE3529" t="str">
            <v>Dec</v>
          </cell>
        </row>
        <row r="3530">
          <cell r="C3530" t="str">
            <v>Other</v>
          </cell>
          <cell r="R3530">
            <v>0</v>
          </cell>
          <cell r="AZ3530">
            <v>0</v>
          </cell>
          <cell r="BA3530">
            <v>0</v>
          </cell>
          <cell r="BC3530" t="str">
            <v>OTHERS</v>
          </cell>
          <cell r="BE3530" t="str">
            <v>Jan</v>
          </cell>
        </row>
        <row r="3531">
          <cell r="C3531" t="str">
            <v>Other</v>
          </cell>
          <cell r="R3531">
            <v>0</v>
          </cell>
          <cell r="AZ3531">
            <v>0</v>
          </cell>
          <cell r="BA3531">
            <v>0</v>
          </cell>
          <cell r="BC3531" t="str">
            <v>OTHERS</v>
          </cell>
          <cell r="BE3531" t="str">
            <v>Feb</v>
          </cell>
        </row>
        <row r="3532">
          <cell r="C3532" t="str">
            <v>Other</v>
          </cell>
          <cell r="R3532">
            <v>0</v>
          </cell>
          <cell r="AZ3532">
            <v>0</v>
          </cell>
          <cell r="BA3532">
            <v>0</v>
          </cell>
          <cell r="BC3532" t="str">
            <v>OTHERS</v>
          </cell>
          <cell r="BE3532" t="str">
            <v>Mar</v>
          </cell>
        </row>
        <row r="3533">
          <cell r="C3533" t="str">
            <v>Other</v>
          </cell>
          <cell r="R3533">
            <v>0</v>
          </cell>
          <cell r="AZ3533">
            <v>0</v>
          </cell>
          <cell r="BA3533">
            <v>0</v>
          </cell>
          <cell r="BC3533" t="str">
            <v>OTHERS</v>
          </cell>
          <cell r="BE3533" t="str">
            <v>Apr</v>
          </cell>
        </row>
        <row r="3534">
          <cell r="C3534" t="str">
            <v>Other</v>
          </cell>
          <cell r="R3534">
            <v>0</v>
          </cell>
          <cell r="AZ3534">
            <v>0</v>
          </cell>
          <cell r="BA3534">
            <v>0</v>
          </cell>
          <cell r="BC3534" t="str">
            <v>OTHERS</v>
          </cell>
          <cell r="BE3534" t="str">
            <v>May</v>
          </cell>
        </row>
        <row r="3535">
          <cell r="C3535" t="str">
            <v>Other</v>
          </cell>
          <cell r="R3535">
            <v>0</v>
          </cell>
          <cell r="AZ3535">
            <v>0</v>
          </cell>
          <cell r="BA3535">
            <v>0</v>
          </cell>
          <cell r="BC3535" t="str">
            <v>OTHERS</v>
          </cell>
          <cell r="BE3535" t="str">
            <v>Jun</v>
          </cell>
        </row>
        <row r="3536">
          <cell r="C3536" t="str">
            <v>Other</v>
          </cell>
          <cell r="R3536">
            <v>80000</v>
          </cell>
          <cell r="AZ3536">
            <v>-24000</v>
          </cell>
          <cell r="BA3536">
            <v>-90169.491525423728</v>
          </cell>
          <cell r="BC3536" t="str">
            <v>OTHERS</v>
          </cell>
          <cell r="BE3536" t="str">
            <v>Jul</v>
          </cell>
        </row>
        <row r="3537">
          <cell r="C3537" t="str">
            <v>Other</v>
          </cell>
          <cell r="R3537">
            <v>80000</v>
          </cell>
          <cell r="AZ3537">
            <v>-24000</v>
          </cell>
          <cell r="BA3537">
            <v>-90169.491525423728</v>
          </cell>
          <cell r="BC3537" t="str">
            <v>OTHERS</v>
          </cell>
          <cell r="BE3537" t="str">
            <v>Aug</v>
          </cell>
        </row>
        <row r="3538">
          <cell r="C3538" t="str">
            <v>Other</v>
          </cell>
          <cell r="R3538">
            <v>80000</v>
          </cell>
          <cell r="AZ3538">
            <v>-24000</v>
          </cell>
          <cell r="BA3538">
            <v>-90169.491525423728</v>
          </cell>
          <cell r="BC3538" t="str">
            <v>OTHERS</v>
          </cell>
          <cell r="BE3538" t="str">
            <v>Sep</v>
          </cell>
        </row>
        <row r="3539">
          <cell r="C3539" t="str">
            <v>Other</v>
          </cell>
          <cell r="R3539">
            <v>30000</v>
          </cell>
          <cell r="AZ3539">
            <v>-9000</v>
          </cell>
          <cell r="BA3539">
            <v>-33813.5593220339</v>
          </cell>
          <cell r="BC3539" t="str">
            <v>OTHERS</v>
          </cell>
          <cell r="BE3539" t="str">
            <v>Oct</v>
          </cell>
        </row>
        <row r="3540">
          <cell r="C3540" t="str">
            <v>Other</v>
          </cell>
          <cell r="R3540">
            <v>70000</v>
          </cell>
          <cell r="AZ3540">
            <v>-21000</v>
          </cell>
          <cell r="BA3540">
            <v>-78898.305084745763</v>
          </cell>
          <cell r="BC3540" t="str">
            <v>OTHERS</v>
          </cell>
          <cell r="BE3540" t="str">
            <v>Nov</v>
          </cell>
        </row>
        <row r="3541">
          <cell r="C3541" t="str">
            <v>Other</v>
          </cell>
          <cell r="R3541">
            <v>69000</v>
          </cell>
          <cell r="AZ3541">
            <v>-20700</v>
          </cell>
          <cell r="BA3541">
            <v>-77771.186440677964</v>
          </cell>
          <cell r="BC3541" t="str">
            <v>OTHERS</v>
          </cell>
          <cell r="BE3541" t="str">
            <v>Dec</v>
          </cell>
        </row>
        <row r="3542">
          <cell r="C3542" t="str">
            <v>Other</v>
          </cell>
          <cell r="R3542">
            <v>0</v>
          </cell>
          <cell r="AZ3542">
            <v>0</v>
          </cell>
          <cell r="BA3542">
            <v>0</v>
          </cell>
          <cell r="BC3542" t="str">
            <v>OTHERS</v>
          </cell>
          <cell r="BE3542" t="str">
            <v>Jan</v>
          </cell>
        </row>
        <row r="3543">
          <cell r="C3543" t="str">
            <v>Other</v>
          </cell>
          <cell r="R3543">
            <v>0</v>
          </cell>
          <cell r="AZ3543">
            <v>0</v>
          </cell>
          <cell r="BA3543">
            <v>0</v>
          </cell>
          <cell r="BC3543" t="str">
            <v>OTHERS</v>
          </cell>
          <cell r="BE3543" t="str">
            <v>Feb</v>
          </cell>
        </row>
        <row r="3544">
          <cell r="C3544" t="str">
            <v>Other</v>
          </cell>
          <cell r="R3544">
            <v>0</v>
          </cell>
          <cell r="AZ3544">
            <v>0</v>
          </cell>
          <cell r="BA3544">
            <v>0</v>
          </cell>
          <cell r="BC3544" t="str">
            <v>OTHERS</v>
          </cell>
          <cell r="BE3544" t="str">
            <v>Mar</v>
          </cell>
        </row>
        <row r="3545">
          <cell r="C3545" t="str">
            <v>Other</v>
          </cell>
          <cell r="R3545">
            <v>0</v>
          </cell>
          <cell r="AZ3545">
            <v>0</v>
          </cell>
          <cell r="BA3545">
            <v>0</v>
          </cell>
          <cell r="BC3545" t="str">
            <v>OTHERS</v>
          </cell>
          <cell r="BE3545" t="str">
            <v>Apr</v>
          </cell>
        </row>
        <row r="3546">
          <cell r="C3546" t="str">
            <v>Other</v>
          </cell>
          <cell r="R3546">
            <v>0</v>
          </cell>
          <cell r="AZ3546">
            <v>0</v>
          </cell>
          <cell r="BA3546">
            <v>0</v>
          </cell>
          <cell r="BC3546" t="str">
            <v>OTHERS</v>
          </cell>
          <cell r="BE3546" t="str">
            <v>May</v>
          </cell>
        </row>
        <row r="3547">
          <cell r="C3547" t="str">
            <v>Other</v>
          </cell>
          <cell r="R3547">
            <v>0</v>
          </cell>
          <cell r="AZ3547">
            <v>0</v>
          </cell>
          <cell r="BA3547">
            <v>0</v>
          </cell>
          <cell r="BC3547" t="str">
            <v>OTHERS</v>
          </cell>
          <cell r="BE3547" t="str">
            <v>Jun</v>
          </cell>
        </row>
        <row r="3548">
          <cell r="C3548" t="str">
            <v>Other</v>
          </cell>
          <cell r="R3548">
            <v>0</v>
          </cell>
          <cell r="AZ3548">
            <v>0</v>
          </cell>
          <cell r="BA3548">
            <v>0</v>
          </cell>
          <cell r="BC3548" t="str">
            <v>OTHERS</v>
          </cell>
          <cell r="BE3548" t="str">
            <v>Jul</v>
          </cell>
        </row>
        <row r="3549">
          <cell r="C3549" t="str">
            <v>Other</v>
          </cell>
          <cell r="R3549">
            <v>0</v>
          </cell>
          <cell r="AZ3549">
            <v>0</v>
          </cell>
          <cell r="BA3549">
            <v>0</v>
          </cell>
          <cell r="BC3549" t="str">
            <v>OTHERS</v>
          </cell>
          <cell r="BE3549" t="str">
            <v>Aug</v>
          </cell>
        </row>
        <row r="3550">
          <cell r="C3550" t="str">
            <v>Other</v>
          </cell>
          <cell r="R3550">
            <v>0</v>
          </cell>
          <cell r="AZ3550">
            <v>0</v>
          </cell>
          <cell r="BA3550">
            <v>0</v>
          </cell>
          <cell r="BC3550" t="str">
            <v>OTHERS</v>
          </cell>
          <cell r="BE3550" t="str">
            <v>Sep</v>
          </cell>
        </row>
        <row r="3551">
          <cell r="C3551" t="str">
            <v>Other</v>
          </cell>
          <cell r="R3551">
            <v>60000</v>
          </cell>
          <cell r="AZ3551">
            <v>-18000</v>
          </cell>
          <cell r="BA3551">
            <v>-67627.118644067799</v>
          </cell>
          <cell r="BC3551" t="str">
            <v>OTHERS</v>
          </cell>
          <cell r="BE3551" t="str">
            <v>Oct</v>
          </cell>
        </row>
        <row r="3552">
          <cell r="C3552" t="str">
            <v>Other</v>
          </cell>
          <cell r="R3552">
            <v>60000</v>
          </cell>
          <cell r="AZ3552">
            <v>-18000</v>
          </cell>
          <cell r="BA3552">
            <v>-67627.118644067799</v>
          </cell>
          <cell r="BC3552" t="str">
            <v>OTHERS</v>
          </cell>
          <cell r="BE3552" t="str">
            <v>Nov</v>
          </cell>
        </row>
        <row r="3553">
          <cell r="C3553" t="str">
            <v>Other</v>
          </cell>
          <cell r="R3553">
            <v>0</v>
          </cell>
          <cell r="AZ3553">
            <v>0</v>
          </cell>
          <cell r="BA3553">
            <v>0</v>
          </cell>
          <cell r="BC3553" t="str">
            <v>OTHERS</v>
          </cell>
          <cell r="BE3553" t="str">
            <v>Dec</v>
          </cell>
        </row>
        <row r="3554">
          <cell r="C3554" t="str">
            <v>Other</v>
          </cell>
          <cell r="R3554">
            <v>0</v>
          </cell>
          <cell r="AZ3554">
            <v>0</v>
          </cell>
          <cell r="BA3554">
            <v>0</v>
          </cell>
          <cell r="BC3554" t="str">
            <v>OTHERS</v>
          </cell>
          <cell r="BE3554" t="str">
            <v>Jan</v>
          </cell>
        </row>
        <row r="3555">
          <cell r="C3555" t="str">
            <v>Other</v>
          </cell>
          <cell r="R3555">
            <v>0</v>
          </cell>
          <cell r="AZ3555">
            <v>0</v>
          </cell>
          <cell r="BA3555">
            <v>0</v>
          </cell>
          <cell r="BC3555" t="str">
            <v>OTHERS</v>
          </cell>
          <cell r="BE3555" t="str">
            <v>Feb</v>
          </cell>
        </row>
        <row r="3556">
          <cell r="C3556" t="str">
            <v>Other</v>
          </cell>
          <cell r="R3556">
            <v>0</v>
          </cell>
          <cell r="AZ3556">
            <v>0</v>
          </cell>
          <cell r="BA3556">
            <v>0</v>
          </cell>
          <cell r="BC3556" t="str">
            <v>OTHERS</v>
          </cell>
          <cell r="BE3556" t="str">
            <v>Mar</v>
          </cell>
        </row>
        <row r="3557">
          <cell r="C3557" t="str">
            <v>Other</v>
          </cell>
          <cell r="R3557">
            <v>0</v>
          </cell>
          <cell r="AZ3557">
            <v>0</v>
          </cell>
          <cell r="BA3557">
            <v>0</v>
          </cell>
          <cell r="BC3557" t="str">
            <v>OTHERS</v>
          </cell>
          <cell r="BE3557" t="str">
            <v>Apr</v>
          </cell>
        </row>
        <row r="3558">
          <cell r="C3558" t="str">
            <v>Other</v>
          </cell>
          <cell r="R3558">
            <v>0</v>
          </cell>
          <cell r="AZ3558">
            <v>0</v>
          </cell>
          <cell r="BA3558">
            <v>0</v>
          </cell>
          <cell r="BC3558" t="str">
            <v>OTHERS</v>
          </cell>
          <cell r="BE3558" t="str">
            <v>May</v>
          </cell>
        </row>
        <row r="3559">
          <cell r="C3559" t="str">
            <v>Other</v>
          </cell>
          <cell r="R3559">
            <v>0</v>
          </cell>
          <cell r="AZ3559">
            <v>0</v>
          </cell>
          <cell r="BA3559">
            <v>0</v>
          </cell>
          <cell r="BC3559" t="str">
            <v>OTHERS</v>
          </cell>
          <cell r="BE3559" t="str">
            <v>Jun</v>
          </cell>
        </row>
        <row r="3560">
          <cell r="C3560" t="str">
            <v>Other</v>
          </cell>
          <cell r="R3560">
            <v>0</v>
          </cell>
          <cell r="AZ3560">
            <v>0</v>
          </cell>
          <cell r="BA3560">
            <v>0</v>
          </cell>
          <cell r="BC3560" t="str">
            <v>OTHERS</v>
          </cell>
          <cell r="BE3560" t="str">
            <v>Jul</v>
          </cell>
        </row>
        <row r="3561">
          <cell r="C3561" t="str">
            <v>Other</v>
          </cell>
          <cell r="R3561">
            <v>0</v>
          </cell>
          <cell r="AZ3561">
            <v>0</v>
          </cell>
          <cell r="BA3561">
            <v>0</v>
          </cell>
          <cell r="BC3561" t="str">
            <v>OTHERS</v>
          </cell>
          <cell r="BE3561" t="str">
            <v>Aug</v>
          </cell>
        </row>
        <row r="3562">
          <cell r="C3562" t="str">
            <v>Other</v>
          </cell>
          <cell r="R3562">
            <v>0</v>
          </cell>
          <cell r="AZ3562">
            <v>0</v>
          </cell>
          <cell r="BA3562">
            <v>0</v>
          </cell>
          <cell r="BC3562" t="str">
            <v>OTHERS</v>
          </cell>
          <cell r="BE3562" t="str">
            <v>Sep</v>
          </cell>
        </row>
        <row r="3563">
          <cell r="C3563" t="str">
            <v>Other</v>
          </cell>
          <cell r="R3563">
            <v>60000</v>
          </cell>
          <cell r="AZ3563">
            <v>-18000</v>
          </cell>
          <cell r="BA3563">
            <v>-67627.118644067799</v>
          </cell>
          <cell r="BC3563" t="str">
            <v>OTHERS</v>
          </cell>
          <cell r="BE3563" t="str">
            <v>Oct</v>
          </cell>
        </row>
        <row r="3564">
          <cell r="C3564" t="str">
            <v>Other</v>
          </cell>
          <cell r="R3564">
            <v>0</v>
          </cell>
          <cell r="AZ3564">
            <v>0</v>
          </cell>
          <cell r="BA3564">
            <v>0</v>
          </cell>
          <cell r="BC3564" t="str">
            <v>OTHERS</v>
          </cell>
          <cell r="BE3564" t="str">
            <v>Nov</v>
          </cell>
        </row>
        <row r="3565">
          <cell r="C3565" t="str">
            <v>Other</v>
          </cell>
          <cell r="R3565">
            <v>0</v>
          </cell>
          <cell r="AZ3565">
            <v>0</v>
          </cell>
          <cell r="BA3565">
            <v>0</v>
          </cell>
          <cell r="BC3565" t="str">
            <v>OTHERS</v>
          </cell>
          <cell r="BE3565" t="str">
            <v>Dec</v>
          </cell>
        </row>
        <row r="3566">
          <cell r="C3566" t="str">
            <v>Other</v>
          </cell>
          <cell r="R3566">
            <v>0</v>
          </cell>
          <cell r="AZ3566">
            <v>0</v>
          </cell>
          <cell r="BA3566">
            <v>0</v>
          </cell>
          <cell r="BC3566" t="str">
            <v>OTHERS</v>
          </cell>
          <cell r="BE3566" t="str">
            <v>Jan</v>
          </cell>
        </row>
        <row r="3567">
          <cell r="C3567" t="str">
            <v>Other</v>
          </cell>
          <cell r="R3567">
            <v>0</v>
          </cell>
          <cell r="AZ3567">
            <v>0</v>
          </cell>
          <cell r="BA3567">
            <v>0</v>
          </cell>
          <cell r="BC3567" t="str">
            <v>OTHERS</v>
          </cell>
          <cell r="BE3567" t="str">
            <v>Feb</v>
          </cell>
        </row>
        <row r="3568">
          <cell r="C3568" t="str">
            <v>Other</v>
          </cell>
          <cell r="R3568">
            <v>0</v>
          </cell>
          <cell r="AZ3568">
            <v>0</v>
          </cell>
          <cell r="BA3568">
            <v>0</v>
          </cell>
          <cell r="BC3568" t="str">
            <v>OTHERS</v>
          </cell>
          <cell r="BE3568" t="str">
            <v>Mar</v>
          </cell>
        </row>
        <row r="3569">
          <cell r="C3569" t="str">
            <v>Other</v>
          </cell>
          <cell r="R3569">
            <v>0</v>
          </cell>
          <cell r="AZ3569">
            <v>0</v>
          </cell>
          <cell r="BA3569">
            <v>0</v>
          </cell>
          <cell r="BC3569" t="str">
            <v>OTHERS</v>
          </cell>
          <cell r="BE3569" t="str">
            <v>Apr</v>
          </cell>
        </row>
        <row r="3570">
          <cell r="C3570" t="str">
            <v>Other</v>
          </cell>
          <cell r="R3570">
            <v>0</v>
          </cell>
          <cell r="AZ3570">
            <v>0</v>
          </cell>
          <cell r="BA3570">
            <v>0</v>
          </cell>
          <cell r="BC3570" t="str">
            <v>OTHERS</v>
          </cell>
          <cell r="BE3570" t="str">
            <v>May</v>
          </cell>
        </row>
        <row r="3571">
          <cell r="C3571" t="str">
            <v>Other</v>
          </cell>
          <cell r="R3571">
            <v>100000</v>
          </cell>
          <cell r="AZ3571">
            <v>-30000</v>
          </cell>
          <cell r="BA3571">
            <v>-120847.45762711864</v>
          </cell>
          <cell r="BC3571" t="str">
            <v>OTHERS</v>
          </cell>
          <cell r="BE3571" t="str">
            <v>Jun</v>
          </cell>
        </row>
        <row r="3572">
          <cell r="C3572" t="str">
            <v>Other</v>
          </cell>
          <cell r="R3572">
            <v>80000</v>
          </cell>
          <cell r="AZ3572">
            <v>-24000</v>
          </cell>
          <cell r="BA3572">
            <v>-96677.96610169491</v>
          </cell>
          <cell r="BC3572" t="str">
            <v>OTHERS</v>
          </cell>
          <cell r="BE3572" t="str">
            <v>Jul</v>
          </cell>
        </row>
        <row r="3573">
          <cell r="C3573" t="str">
            <v>Other</v>
          </cell>
          <cell r="R3573">
            <v>80000</v>
          </cell>
          <cell r="AZ3573">
            <v>-24000</v>
          </cell>
          <cell r="BA3573">
            <v>-96677.96610169491</v>
          </cell>
          <cell r="BC3573" t="str">
            <v>OTHERS</v>
          </cell>
          <cell r="BE3573" t="str">
            <v>Aug</v>
          </cell>
        </row>
        <row r="3574">
          <cell r="C3574" t="str">
            <v>Other</v>
          </cell>
          <cell r="R3574">
            <v>80000</v>
          </cell>
          <cell r="AZ3574">
            <v>-24000</v>
          </cell>
          <cell r="BA3574">
            <v>-96677.96610169491</v>
          </cell>
          <cell r="BC3574" t="str">
            <v>OTHERS</v>
          </cell>
          <cell r="BE3574" t="str">
            <v>Sep</v>
          </cell>
        </row>
        <row r="3575">
          <cell r="C3575" t="str">
            <v>Other</v>
          </cell>
          <cell r="R3575">
            <v>80000</v>
          </cell>
          <cell r="AZ3575">
            <v>-24000</v>
          </cell>
          <cell r="BA3575">
            <v>-96677.96610169491</v>
          </cell>
          <cell r="BC3575" t="str">
            <v>OTHERS</v>
          </cell>
          <cell r="BE3575" t="str">
            <v>Oct</v>
          </cell>
        </row>
        <row r="3576">
          <cell r="C3576" t="str">
            <v>Other</v>
          </cell>
          <cell r="R3576">
            <v>100000</v>
          </cell>
          <cell r="AZ3576">
            <v>-30000</v>
          </cell>
          <cell r="BA3576">
            <v>-120847.45762711864</v>
          </cell>
          <cell r="BC3576" t="str">
            <v>OTHERS</v>
          </cell>
          <cell r="BE3576" t="str">
            <v>Nov</v>
          </cell>
        </row>
        <row r="3577">
          <cell r="C3577" t="str">
            <v>Other</v>
          </cell>
          <cell r="R3577">
            <v>80000</v>
          </cell>
          <cell r="AZ3577">
            <v>-24000</v>
          </cell>
          <cell r="BA3577">
            <v>-96677.96610169491</v>
          </cell>
          <cell r="BC3577" t="str">
            <v>OTHERS</v>
          </cell>
          <cell r="BE3577" t="str">
            <v>Dec</v>
          </cell>
        </row>
        <row r="3578">
          <cell r="C3578" t="str">
            <v>Other</v>
          </cell>
          <cell r="R3578">
            <v>0</v>
          </cell>
          <cell r="AZ3578">
            <v>0</v>
          </cell>
          <cell r="BA3578">
            <v>0</v>
          </cell>
          <cell r="BC3578" t="str">
            <v>OTHERS</v>
          </cell>
          <cell r="BE3578" t="str">
            <v>Jan</v>
          </cell>
        </row>
        <row r="3579">
          <cell r="C3579" t="str">
            <v>Other</v>
          </cell>
          <cell r="R3579">
            <v>0</v>
          </cell>
          <cell r="AZ3579">
            <v>0</v>
          </cell>
          <cell r="BA3579">
            <v>0</v>
          </cell>
          <cell r="BC3579" t="str">
            <v>OTHERS</v>
          </cell>
          <cell r="BE3579" t="str">
            <v>Feb</v>
          </cell>
        </row>
        <row r="3580">
          <cell r="C3580" t="str">
            <v>Other</v>
          </cell>
          <cell r="R3580">
            <v>0</v>
          </cell>
          <cell r="AZ3580">
            <v>0</v>
          </cell>
          <cell r="BA3580">
            <v>0</v>
          </cell>
          <cell r="BC3580" t="str">
            <v>OTHERS</v>
          </cell>
          <cell r="BE3580" t="str">
            <v>Mar</v>
          </cell>
        </row>
        <row r="3581">
          <cell r="C3581" t="str">
            <v>Other</v>
          </cell>
          <cell r="R3581">
            <v>0</v>
          </cell>
          <cell r="AZ3581">
            <v>0</v>
          </cell>
          <cell r="BA3581">
            <v>0</v>
          </cell>
          <cell r="BC3581" t="str">
            <v>OTHERS</v>
          </cell>
          <cell r="BE3581" t="str">
            <v>Apr</v>
          </cell>
        </row>
        <row r="3582">
          <cell r="C3582" t="str">
            <v>Other</v>
          </cell>
          <cell r="R3582">
            <v>0</v>
          </cell>
          <cell r="AZ3582">
            <v>0</v>
          </cell>
          <cell r="BA3582">
            <v>0</v>
          </cell>
          <cell r="BC3582" t="str">
            <v>OTHERS</v>
          </cell>
          <cell r="BE3582" t="str">
            <v>May</v>
          </cell>
        </row>
        <row r="3583">
          <cell r="C3583" t="str">
            <v>Other</v>
          </cell>
          <cell r="R3583">
            <v>0</v>
          </cell>
          <cell r="AZ3583">
            <v>0</v>
          </cell>
          <cell r="BA3583">
            <v>0</v>
          </cell>
          <cell r="BC3583" t="str">
            <v>OTHERS</v>
          </cell>
          <cell r="BE3583" t="str">
            <v>Jun</v>
          </cell>
        </row>
        <row r="3584">
          <cell r="C3584" t="str">
            <v>Other</v>
          </cell>
          <cell r="R3584">
            <v>80000</v>
          </cell>
          <cell r="AZ3584">
            <v>-24000</v>
          </cell>
          <cell r="BA3584">
            <v>-96677.96610169491</v>
          </cell>
          <cell r="BC3584" t="str">
            <v>OTHERS</v>
          </cell>
          <cell r="BE3584" t="str">
            <v>Jul</v>
          </cell>
        </row>
        <row r="3585">
          <cell r="C3585" t="str">
            <v>Other</v>
          </cell>
          <cell r="R3585">
            <v>80000</v>
          </cell>
          <cell r="AZ3585">
            <v>-24000</v>
          </cell>
          <cell r="BA3585">
            <v>-96677.96610169491</v>
          </cell>
          <cell r="BC3585" t="str">
            <v>OTHERS</v>
          </cell>
          <cell r="BE3585" t="str">
            <v>Aug</v>
          </cell>
        </row>
        <row r="3586">
          <cell r="C3586" t="str">
            <v>Other</v>
          </cell>
          <cell r="R3586">
            <v>80000</v>
          </cell>
          <cell r="AZ3586">
            <v>-24000</v>
          </cell>
          <cell r="BA3586">
            <v>-96677.96610169491</v>
          </cell>
          <cell r="BC3586" t="str">
            <v>OTHERS</v>
          </cell>
          <cell r="BE3586" t="str">
            <v>Sep</v>
          </cell>
        </row>
        <row r="3587">
          <cell r="C3587" t="str">
            <v>Other</v>
          </cell>
          <cell r="R3587">
            <v>0</v>
          </cell>
          <cell r="AZ3587">
            <v>0</v>
          </cell>
          <cell r="BA3587">
            <v>0</v>
          </cell>
          <cell r="BC3587" t="str">
            <v>OTHERS</v>
          </cell>
          <cell r="BE3587" t="str">
            <v>Oct</v>
          </cell>
        </row>
        <row r="3588">
          <cell r="C3588" t="str">
            <v>Other</v>
          </cell>
          <cell r="R3588">
            <v>0</v>
          </cell>
          <cell r="AZ3588">
            <v>0</v>
          </cell>
          <cell r="BA3588">
            <v>0</v>
          </cell>
          <cell r="BC3588" t="str">
            <v>OTHERS</v>
          </cell>
          <cell r="BE3588" t="str">
            <v>Nov</v>
          </cell>
        </row>
        <row r="3589">
          <cell r="C3589" t="str">
            <v>Other</v>
          </cell>
          <cell r="R3589">
            <v>90000</v>
          </cell>
          <cell r="AZ3589">
            <v>-27000</v>
          </cell>
          <cell r="BA3589">
            <v>-108762.71186440678</v>
          </cell>
          <cell r="BC3589" t="str">
            <v>OTHERS</v>
          </cell>
          <cell r="BE3589" t="str">
            <v>Dec</v>
          </cell>
        </row>
        <row r="3590">
          <cell r="C3590" t="str">
            <v>Other</v>
          </cell>
          <cell r="R3590">
            <v>0</v>
          </cell>
          <cell r="AZ3590">
            <v>0</v>
          </cell>
          <cell r="BA3590">
            <v>0</v>
          </cell>
          <cell r="BC3590" t="str">
            <v>OTHERS</v>
          </cell>
          <cell r="BE3590" t="str">
            <v>Jan</v>
          </cell>
        </row>
        <row r="3591">
          <cell r="C3591" t="str">
            <v>Other</v>
          </cell>
          <cell r="R3591">
            <v>0</v>
          </cell>
          <cell r="AZ3591">
            <v>0</v>
          </cell>
          <cell r="BA3591">
            <v>0</v>
          </cell>
          <cell r="BC3591" t="str">
            <v>OTHERS</v>
          </cell>
          <cell r="BE3591" t="str">
            <v>Feb</v>
          </cell>
        </row>
        <row r="3592">
          <cell r="C3592" t="str">
            <v>Other</v>
          </cell>
          <cell r="R3592">
            <v>0</v>
          </cell>
          <cell r="AZ3592">
            <v>0</v>
          </cell>
          <cell r="BA3592">
            <v>0</v>
          </cell>
          <cell r="BC3592" t="str">
            <v>OTHERS</v>
          </cell>
          <cell r="BE3592" t="str">
            <v>Mar</v>
          </cell>
        </row>
        <row r="3593">
          <cell r="C3593" t="str">
            <v>Other</v>
          </cell>
          <cell r="R3593">
            <v>0</v>
          </cell>
          <cell r="AZ3593">
            <v>0</v>
          </cell>
          <cell r="BA3593">
            <v>0</v>
          </cell>
          <cell r="BC3593" t="str">
            <v>OTHERS</v>
          </cell>
          <cell r="BE3593" t="str">
            <v>Apr</v>
          </cell>
        </row>
        <row r="3594">
          <cell r="C3594" t="str">
            <v>Other</v>
          </cell>
          <cell r="R3594">
            <v>0</v>
          </cell>
          <cell r="AZ3594">
            <v>0</v>
          </cell>
          <cell r="BA3594">
            <v>0</v>
          </cell>
          <cell r="BC3594" t="str">
            <v>OTHERS</v>
          </cell>
          <cell r="BE3594" t="str">
            <v>May</v>
          </cell>
        </row>
        <row r="3595">
          <cell r="C3595" t="str">
            <v>Other</v>
          </cell>
          <cell r="R3595">
            <v>0</v>
          </cell>
          <cell r="AZ3595">
            <v>0</v>
          </cell>
          <cell r="BA3595">
            <v>0</v>
          </cell>
          <cell r="BC3595" t="str">
            <v>OTHERS</v>
          </cell>
          <cell r="BE3595" t="str">
            <v>Jun</v>
          </cell>
        </row>
        <row r="3596">
          <cell r="C3596" t="str">
            <v>Other</v>
          </cell>
          <cell r="R3596">
            <v>60000</v>
          </cell>
          <cell r="AZ3596">
            <v>-18000</v>
          </cell>
          <cell r="BA3596">
            <v>-72508.474576271183</v>
          </cell>
          <cell r="BC3596" t="str">
            <v>OTHERS</v>
          </cell>
          <cell r="BE3596" t="str">
            <v>Jul</v>
          </cell>
        </row>
        <row r="3597">
          <cell r="C3597" t="str">
            <v>Other</v>
          </cell>
          <cell r="R3597">
            <v>70000</v>
          </cell>
          <cell r="AZ3597">
            <v>-21000</v>
          </cell>
          <cell r="BA3597">
            <v>-84593.220338983054</v>
          </cell>
          <cell r="BC3597" t="str">
            <v>OTHERS</v>
          </cell>
          <cell r="BE3597" t="str">
            <v>Aug</v>
          </cell>
        </row>
        <row r="3598">
          <cell r="C3598" t="str">
            <v>Other</v>
          </cell>
          <cell r="R3598">
            <v>80000</v>
          </cell>
          <cell r="AZ3598">
            <v>-24000</v>
          </cell>
          <cell r="BA3598">
            <v>-96677.96610169491</v>
          </cell>
          <cell r="BC3598" t="str">
            <v>OTHERS</v>
          </cell>
          <cell r="BE3598" t="str">
            <v>Sep</v>
          </cell>
        </row>
        <row r="3599">
          <cell r="C3599" t="str">
            <v>Other</v>
          </cell>
          <cell r="R3599">
            <v>0</v>
          </cell>
          <cell r="AZ3599">
            <v>0</v>
          </cell>
          <cell r="BA3599">
            <v>0</v>
          </cell>
          <cell r="BC3599" t="str">
            <v>OTHERS</v>
          </cell>
          <cell r="BE3599" t="str">
            <v>Oct</v>
          </cell>
        </row>
        <row r="3600">
          <cell r="C3600" t="str">
            <v>Other</v>
          </cell>
          <cell r="R3600">
            <v>0</v>
          </cell>
          <cell r="AZ3600">
            <v>0</v>
          </cell>
          <cell r="BA3600">
            <v>0</v>
          </cell>
          <cell r="BC3600" t="str">
            <v>OTHERS</v>
          </cell>
          <cell r="BE3600" t="str">
            <v>Nov</v>
          </cell>
        </row>
        <row r="3601">
          <cell r="C3601" t="str">
            <v>Other</v>
          </cell>
          <cell r="R3601">
            <v>0</v>
          </cell>
          <cell r="AZ3601">
            <v>0</v>
          </cell>
          <cell r="BA3601">
            <v>0</v>
          </cell>
          <cell r="BC3601" t="str">
            <v>OTHERS</v>
          </cell>
          <cell r="BE3601" t="str">
            <v>Dec</v>
          </cell>
        </row>
        <row r="3602">
          <cell r="C3602" t="str">
            <v>Other</v>
          </cell>
          <cell r="R3602">
            <v>0</v>
          </cell>
          <cell r="AZ3602">
            <v>0</v>
          </cell>
          <cell r="BA3602">
            <v>0</v>
          </cell>
          <cell r="BC3602" t="str">
            <v>OTHERS</v>
          </cell>
          <cell r="BE3602" t="str">
            <v>Jan</v>
          </cell>
        </row>
        <row r="3603">
          <cell r="C3603" t="str">
            <v>Other</v>
          </cell>
          <cell r="R3603">
            <v>0</v>
          </cell>
          <cell r="AZ3603">
            <v>0</v>
          </cell>
          <cell r="BA3603">
            <v>0</v>
          </cell>
          <cell r="BC3603" t="str">
            <v>OTHERS</v>
          </cell>
          <cell r="BE3603" t="str">
            <v>Feb</v>
          </cell>
        </row>
        <row r="3604">
          <cell r="C3604" t="str">
            <v>Other</v>
          </cell>
          <cell r="R3604">
            <v>0</v>
          </cell>
          <cell r="AZ3604">
            <v>0</v>
          </cell>
          <cell r="BA3604">
            <v>0</v>
          </cell>
          <cell r="BC3604" t="str">
            <v>OTHERS</v>
          </cell>
          <cell r="BE3604" t="str">
            <v>Mar</v>
          </cell>
        </row>
        <row r="3605">
          <cell r="C3605" t="str">
            <v>Other</v>
          </cell>
          <cell r="R3605">
            <v>0</v>
          </cell>
          <cell r="AZ3605">
            <v>0</v>
          </cell>
          <cell r="BA3605">
            <v>0</v>
          </cell>
          <cell r="BC3605" t="str">
            <v>OTHERS</v>
          </cell>
          <cell r="BE3605" t="str">
            <v>Apr</v>
          </cell>
        </row>
        <row r="3606">
          <cell r="C3606" t="str">
            <v>Other</v>
          </cell>
          <cell r="R3606">
            <v>0</v>
          </cell>
          <cell r="AZ3606">
            <v>0</v>
          </cell>
          <cell r="BA3606">
            <v>0</v>
          </cell>
          <cell r="BC3606" t="str">
            <v>OTHERS</v>
          </cell>
          <cell r="BE3606" t="str">
            <v>May</v>
          </cell>
        </row>
        <row r="3607">
          <cell r="C3607" t="str">
            <v>Other</v>
          </cell>
          <cell r="R3607">
            <v>0</v>
          </cell>
          <cell r="AZ3607">
            <v>0</v>
          </cell>
          <cell r="BA3607">
            <v>0</v>
          </cell>
          <cell r="BC3607" t="str">
            <v>OTHERS</v>
          </cell>
          <cell r="BE3607" t="str">
            <v>Jun</v>
          </cell>
        </row>
        <row r="3608">
          <cell r="C3608" t="str">
            <v>Other</v>
          </cell>
          <cell r="R3608">
            <v>60000</v>
          </cell>
          <cell r="AZ3608">
            <v>-18000</v>
          </cell>
          <cell r="BA3608">
            <v>-72508.474576271183</v>
          </cell>
          <cell r="BC3608" t="str">
            <v>OTHERS</v>
          </cell>
          <cell r="BE3608" t="str">
            <v>Jul</v>
          </cell>
        </row>
        <row r="3609">
          <cell r="C3609" t="str">
            <v>Other</v>
          </cell>
          <cell r="R3609">
            <v>0</v>
          </cell>
          <cell r="AZ3609">
            <v>0</v>
          </cell>
          <cell r="BA3609">
            <v>0</v>
          </cell>
          <cell r="BC3609" t="str">
            <v>OTHERS</v>
          </cell>
          <cell r="BE3609" t="str">
            <v>Aug</v>
          </cell>
        </row>
        <row r="3610">
          <cell r="C3610" t="str">
            <v>Other</v>
          </cell>
          <cell r="R3610">
            <v>0</v>
          </cell>
          <cell r="AZ3610">
            <v>0</v>
          </cell>
          <cell r="BA3610">
            <v>0</v>
          </cell>
          <cell r="BC3610" t="str">
            <v>OTHERS</v>
          </cell>
          <cell r="BE3610" t="str">
            <v>Sep</v>
          </cell>
        </row>
        <row r="3611">
          <cell r="C3611" t="str">
            <v>Other</v>
          </cell>
          <cell r="R3611">
            <v>0</v>
          </cell>
          <cell r="AZ3611">
            <v>0</v>
          </cell>
          <cell r="BA3611">
            <v>0</v>
          </cell>
          <cell r="BC3611" t="str">
            <v>OTHERS</v>
          </cell>
          <cell r="BE3611" t="str">
            <v>Oct</v>
          </cell>
        </row>
        <row r="3612">
          <cell r="C3612" t="str">
            <v>Other</v>
          </cell>
          <cell r="R3612">
            <v>0</v>
          </cell>
          <cell r="AZ3612">
            <v>0</v>
          </cell>
          <cell r="BA3612">
            <v>0</v>
          </cell>
          <cell r="BC3612" t="str">
            <v>OTHERS</v>
          </cell>
          <cell r="BE3612" t="str">
            <v>Nov</v>
          </cell>
        </row>
        <row r="3613">
          <cell r="C3613" t="str">
            <v>Other</v>
          </cell>
          <cell r="R3613">
            <v>0</v>
          </cell>
          <cell r="AZ3613">
            <v>0</v>
          </cell>
          <cell r="BA3613">
            <v>0</v>
          </cell>
          <cell r="BC3613" t="str">
            <v>OTHERS</v>
          </cell>
          <cell r="BE3613" t="str">
            <v>Dec</v>
          </cell>
        </row>
        <row r="3614">
          <cell r="C3614" t="str">
            <v>Other</v>
          </cell>
          <cell r="R3614">
            <v>0</v>
          </cell>
          <cell r="AZ3614">
            <v>0</v>
          </cell>
          <cell r="BA3614">
            <v>0</v>
          </cell>
          <cell r="BC3614" t="str">
            <v>OTHERS</v>
          </cell>
          <cell r="BE3614" t="str">
            <v>Jan</v>
          </cell>
        </row>
        <row r="3615">
          <cell r="C3615" t="str">
            <v>Other</v>
          </cell>
          <cell r="R3615">
            <v>0</v>
          </cell>
          <cell r="AZ3615">
            <v>0</v>
          </cell>
          <cell r="BA3615">
            <v>0</v>
          </cell>
          <cell r="BC3615" t="str">
            <v>OTHERS</v>
          </cell>
          <cell r="BE3615" t="str">
            <v>Feb</v>
          </cell>
        </row>
        <row r="3616">
          <cell r="C3616" t="str">
            <v>Other</v>
          </cell>
          <cell r="R3616">
            <v>0</v>
          </cell>
          <cell r="AZ3616">
            <v>0</v>
          </cell>
          <cell r="BA3616">
            <v>0</v>
          </cell>
          <cell r="BC3616" t="str">
            <v>OTHERS</v>
          </cell>
          <cell r="BE3616" t="str">
            <v>Mar</v>
          </cell>
        </row>
        <row r="3617">
          <cell r="C3617" t="str">
            <v>Other</v>
          </cell>
          <cell r="R3617">
            <v>0</v>
          </cell>
          <cell r="AZ3617">
            <v>0</v>
          </cell>
          <cell r="BA3617">
            <v>0</v>
          </cell>
          <cell r="BC3617" t="str">
            <v>OTHERS</v>
          </cell>
          <cell r="BE3617" t="str">
            <v>Apr</v>
          </cell>
        </row>
        <row r="3618">
          <cell r="C3618" t="str">
            <v>Other</v>
          </cell>
          <cell r="R3618">
            <v>0</v>
          </cell>
          <cell r="AZ3618">
            <v>0</v>
          </cell>
          <cell r="BA3618">
            <v>0</v>
          </cell>
          <cell r="BC3618" t="str">
            <v>OTHERS</v>
          </cell>
          <cell r="BE3618" t="str">
            <v>May</v>
          </cell>
        </row>
        <row r="3619">
          <cell r="C3619" t="str">
            <v>Other</v>
          </cell>
          <cell r="R3619">
            <v>0</v>
          </cell>
          <cell r="AZ3619">
            <v>0</v>
          </cell>
          <cell r="BA3619">
            <v>0</v>
          </cell>
          <cell r="BC3619" t="str">
            <v>OTHERS</v>
          </cell>
          <cell r="BE3619" t="str">
            <v>Jun</v>
          </cell>
        </row>
        <row r="3620">
          <cell r="C3620" t="str">
            <v>Other</v>
          </cell>
          <cell r="R3620">
            <v>0</v>
          </cell>
          <cell r="AZ3620">
            <v>0</v>
          </cell>
          <cell r="BA3620">
            <v>0</v>
          </cell>
          <cell r="BC3620" t="str">
            <v>OTHERS</v>
          </cell>
          <cell r="BE3620" t="str">
            <v>Jul</v>
          </cell>
        </row>
        <row r="3621">
          <cell r="C3621" t="str">
            <v>Other</v>
          </cell>
          <cell r="R3621">
            <v>0</v>
          </cell>
          <cell r="AZ3621">
            <v>0</v>
          </cell>
          <cell r="BA3621">
            <v>0</v>
          </cell>
          <cell r="BC3621" t="str">
            <v>OTHERS</v>
          </cell>
          <cell r="BE3621" t="str">
            <v>Aug</v>
          </cell>
        </row>
        <row r="3622">
          <cell r="C3622" t="str">
            <v>Other</v>
          </cell>
          <cell r="R3622">
            <v>0</v>
          </cell>
          <cell r="AZ3622">
            <v>0</v>
          </cell>
          <cell r="BA3622">
            <v>0</v>
          </cell>
          <cell r="BC3622" t="str">
            <v>OTHERS</v>
          </cell>
          <cell r="BE3622" t="str">
            <v>Sep</v>
          </cell>
        </row>
        <row r="3623">
          <cell r="C3623" t="str">
            <v>Other</v>
          </cell>
          <cell r="R3623">
            <v>0</v>
          </cell>
          <cell r="AZ3623">
            <v>0</v>
          </cell>
          <cell r="BA3623">
            <v>0</v>
          </cell>
          <cell r="BC3623" t="str">
            <v>OTHERS</v>
          </cell>
          <cell r="BE3623" t="str">
            <v>Oct</v>
          </cell>
        </row>
        <row r="3624">
          <cell r="C3624" t="str">
            <v>Other</v>
          </cell>
          <cell r="R3624">
            <v>0</v>
          </cell>
          <cell r="AZ3624">
            <v>0</v>
          </cell>
          <cell r="BA3624">
            <v>0</v>
          </cell>
          <cell r="BC3624" t="str">
            <v>OTHERS</v>
          </cell>
          <cell r="BE3624" t="str">
            <v>Nov</v>
          </cell>
        </row>
        <row r="3625">
          <cell r="C3625" t="str">
            <v>Other</v>
          </cell>
          <cell r="R3625">
            <v>0</v>
          </cell>
          <cell r="AZ3625">
            <v>0</v>
          </cell>
          <cell r="BA3625">
            <v>0</v>
          </cell>
          <cell r="BC3625" t="str">
            <v>OTHERS</v>
          </cell>
          <cell r="BE3625" t="str">
            <v>Dec</v>
          </cell>
        </row>
        <row r="3626">
          <cell r="C3626" t="str">
            <v>Other</v>
          </cell>
          <cell r="R3626">
            <v>0</v>
          </cell>
          <cell r="AZ3626">
            <v>0</v>
          </cell>
          <cell r="BA3626">
            <v>0</v>
          </cell>
          <cell r="BC3626" t="str">
            <v>OTHERS</v>
          </cell>
          <cell r="BE3626" t="str">
            <v>Jan</v>
          </cell>
        </row>
        <row r="3627">
          <cell r="C3627" t="str">
            <v>Other</v>
          </cell>
          <cell r="R3627">
            <v>0</v>
          </cell>
          <cell r="AZ3627">
            <v>0</v>
          </cell>
          <cell r="BA3627">
            <v>0</v>
          </cell>
          <cell r="BC3627" t="str">
            <v>OTHERS</v>
          </cell>
          <cell r="BE3627" t="str">
            <v>Feb</v>
          </cell>
        </row>
        <row r="3628">
          <cell r="C3628" t="str">
            <v>Other</v>
          </cell>
          <cell r="R3628">
            <v>0</v>
          </cell>
          <cell r="AZ3628">
            <v>0</v>
          </cell>
          <cell r="BA3628">
            <v>0</v>
          </cell>
          <cell r="BC3628" t="str">
            <v>OTHERS</v>
          </cell>
          <cell r="BE3628" t="str">
            <v>Mar</v>
          </cell>
        </row>
        <row r="3629">
          <cell r="C3629" t="str">
            <v>Other</v>
          </cell>
          <cell r="R3629">
            <v>0</v>
          </cell>
          <cell r="AZ3629">
            <v>0</v>
          </cell>
          <cell r="BA3629">
            <v>0</v>
          </cell>
          <cell r="BC3629" t="str">
            <v>OTHERS</v>
          </cell>
          <cell r="BE3629" t="str">
            <v>Apr</v>
          </cell>
        </row>
        <row r="3630">
          <cell r="C3630" t="str">
            <v>Other</v>
          </cell>
          <cell r="R3630">
            <v>0</v>
          </cell>
          <cell r="AZ3630">
            <v>0</v>
          </cell>
          <cell r="BA3630">
            <v>0</v>
          </cell>
          <cell r="BC3630" t="str">
            <v>OTHERS</v>
          </cell>
          <cell r="BE3630" t="str">
            <v>May</v>
          </cell>
        </row>
        <row r="3631">
          <cell r="C3631" t="str">
            <v>Other</v>
          </cell>
          <cell r="R3631">
            <v>0</v>
          </cell>
          <cell r="AZ3631">
            <v>0</v>
          </cell>
          <cell r="BA3631">
            <v>0</v>
          </cell>
          <cell r="BC3631" t="str">
            <v>OTHERS</v>
          </cell>
          <cell r="BE3631" t="str">
            <v>Jun</v>
          </cell>
        </row>
        <row r="3632">
          <cell r="C3632" t="str">
            <v>Other</v>
          </cell>
          <cell r="R3632">
            <v>0</v>
          </cell>
          <cell r="AZ3632">
            <v>0</v>
          </cell>
          <cell r="BA3632">
            <v>0</v>
          </cell>
          <cell r="BC3632" t="str">
            <v>OTHERS</v>
          </cell>
          <cell r="BE3632" t="str">
            <v>Jul</v>
          </cell>
        </row>
        <row r="3633">
          <cell r="C3633" t="str">
            <v>Other</v>
          </cell>
          <cell r="R3633">
            <v>0</v>
          </cell>
          <cell r="AZ3633">
            <v>0</v>
          </cell>
          <cell r="BA3633">
            <v>0</v>
          </cell>
          <cell r="BC3633" t="str">
            <v>OTHERS</v>
          </cell>
          <cell r="BE3633" t="str">
            <v>Aug</v>
          </cell>
        </row>
        <row r="3634">
          <cell r="C3634" t="str">
            <v>Other</v>
          </cell>
          <cell r="R3634">
            <v>0</v>
          </cell>
          <cell r="AZ3634">
            <v>0</v>
          </cell>
          <cell r="BA3634">
            <v>0</v>
          </cell>
          <cell r="BC3634" t="str">
            <v>OTHERS</v>
          </cell>
          <cell r="BE3634" t="str">
            <v>Sep</v>
          </cell>
        </row>
        <row r="3635">
          <cell r="C3635" t="str">
            <v>Other</v>
          </cell>
          <cell r="R3635">
            <v>0</v>
          </cell>
          <cell r="AZ3635">
            <v>0</v>
          </cell>
          <cell r="BA3635">
            <v>0</v>
          </cell>
          <cell r="BC3635" t="str">
            <v>OTHERS</v>
          </cell>
          <cell r="BE3635" t="str">
            <v>Oct</v>
          </cell>
        </row>
        <row r="3636">
          <cell r="C3636" t="str">
            <v>Other</v>
          </cell>
          <cell r="R3636">
            <v>0</v>
          </cell>
          <cell r="AZ3636">
            <v>0</v>
          </cell>
          <cell r="BA3636">
            <v>0</v>
          </cell>
          <cell r="BC3636" t="str">
            <v>OTHERS</v>
          </cell>
          <cell r="BE3636" t="str">
            <v>Nov</v>
          </cell>
        </row>
        <row r="3637">
          <cell r="C3637" t="str">
            <v>Other</v>
          </cell>
          <cell r="R3637">
            <v>0</v>
          </cell>
          <cell r="AZ3637">
            <v>0</v>
          </cell>
          <cell r="BA3637">
            <v>0</v>
          </cell>
          <cell r="BC3637" t="str">
            <v>OTHERS</v>
          </cell>
          <cell r="BE3637" t="str">
            <v>Dec</v>
          </cell>
        </row>
        <row r="3638">
          <cell r="C3638" t="str">
            <v>Other</v>
          </cell>
          <cell r="R3638">
            <v>0</v>
          </cell>
          <cell r="AZ3638">
            <v>0</v>
          </cell>
          <cell r="BA3638">
            <v>0</v>
          </cell>
          <cell r="BC3638" t="str">
            <v>OTHERS</v>
          </cell>
          <cell r="BE3638" t="str">
            <v>Jan</v>
          </cell>
        </row>
        <row r="3639">
          <cell r="C3639" t="str">
            <v>Other</v>
          </cell>
          <cell r="R3639">
            <v>0</v>
          </cell>
          <cell r="AZ3639">
            <v>0</v>
          </cell>
          <cell r="BA3639">
            <v>0</v>
          </cell>
          <cell r="BC3639" t="str">
            <v>OTHERS</v>
          </cell>
          <cell r="BE3639" t="str">
            <v>Feb</v>
          </cell>
        </row>
        <row r="3640">
          <cell r="C3640" t="str">
            <v>Other</v>
          </cell>
          <cell r="R3640">
            <v>0</v>
          </cell>
          <cell r="AZ3640">
            <v>0</v>
          </cell>
          <cell r="BA3640">
            <v>0</v>
          </cell>
          <cell r="BC3640" t="str">
            <v>OTHERS</v>
          </cell>
          <cell r="BE3640" t="str">
            <v>Mar</v>
          </cell>
        </row>
        <row r="3641">
          <cell r="C3641" t="str">
            <v>Other</v>
          </cell>
          <cell r="R3641">
            <v>0</v>
          </cell>
          <cell r="AZ3641">
            <v>0</v>
          </cell>
          <cell r="BA3641">
            <v>0</v>
          </cell>
          <cell r="BC3641" t="str">
            <v>OTHERS</v>
          </cell>
          <cell r="BE3641" t="str">
            <v>Apr</v>
          </cell>
        </row>
        <row r="3642">
          <cell r="C3642" t="str">
            <v>Other</v>
          </cell>
          <cell r="R3642">
            <v>0</v>
          </cell>
          <cell r="AZ3642">
            <v>0</v>
          </cell>
          <cell r="BA3642">
            <v>0</v>
          </cell>
          <cell r="BC3642" t="str">
            <v>OTHERS</v>
          </cell>
          <cell r="BE3642" t="str">
            <v>May</v>
          </cell>
        </row>
        <row r="3643">
          <cell r="C3643" t="str">
            <v>Other</v>
          </cell>
          <cell r="R3643">
            <v>0</v>
          </cell>
          <cell r="AZ3643">
            <v>0</v>
          </cell>
          <cell r="BA3643">
            <v>0</v>
          </cell>
          <cell r="BC3643" t="str">
            <v>OTHERS</v>
          </cell>
          <cell r="BE3643" t="str">
            <v>Jun</v>
          </cell>
        </row>
        <row r="3644">
          <cell r="C3644" t="str">
            <v>Other</v>
          </cell>
          <cell r="R3644">
            <v>0</v>
          </cell>
          <cell r="AZ3644">
            <v>0</v>
          </cell>
          <cell r="BA3644">
            <v>0</v>
          </cell>
          <cell r="BC3644" t="str">
            <v>OTHERS</v>
          </cell>
          <cell r="BE3644" t="str">
            <v>Jul</v>
          </cell>
        </row>
        <row r="3645">
          <cell r="C3645" t="str">
            <v>Other</v>
          </cell>
          <cell r="R3645">
            <v>0</v>
          </cell>
          <cell r="AZ3645">
            <v>0</v>
          </cell>
          <cell r="BA3645">
            <v>0</v>
          </cell>
          <cell r="BC3645" t="str">
            <v>OTHERS</v>
          </cell>
          <cell r="BE3645" t="str">
            <v>Aug</v>
          </cell>
        </row>
        <row r="3646">
          <cell r="C3646" t="str">
            <v>Other</v>
          </cell>
          <cell r="R3646">
            <v>0</v>
          </cell>
          <cell r="AZ3646">
            <v>0</v>
          </cell>
          <cell r="BA3646">
            <v>0</v>
          </cell>
          <cell r="BC3646" t="str">
            <v>OTHERS</v>
          </cell>
          <cell r="BE3646" t="str">
            <v>Sep</v>
          </cell>
        </row>
        <row r="3647">
          <cell r="C3647" t="str">
            <v>Other</v>
          </cell>
          <cell r="R3647">
            <v>0</v>
          </cell>
          <cell r="AZ3647">
            <v>0</v>
          </cell>
          <cell r="BA3647">
            <v>0</v>
          </cell>
          <cell r="BC3647" t="str">
            <v>OTHERS</v>
          </cell>
          <cell r="BE3647" t="str">
            <v>Oct</v>
          </cell>
        </row>
        <row r="3648">
          <cell r="C3648" t="str">
            <v>Other</v>
          </cell>
          <cell r="R3648">
            <v>0</v>
          </cell>
          <cell r="AZ3648">
            <v>0</v>
          </cell>
          <cell r="BA3648">
            <v>0</v>
          </cell>
          <cell r="BC3648" t="str">
            <v>OTHERS</v>
          </cell>
          <cell r="BE3648" t="str">
            <v>Nov</v>
          </cell>
        </row>
        <row r="3649">
          <cell r="C3649" t="str">
            <v>Other</v>
          </cell>
          <cell r="R3649">
            <v>0</v>
          </cell>
          <cell r="AZ3649">
            <v>0</v>
          </cell>
          <cell r="BA3649">
            <v>0</v>
          </cell>
          <cell r="BC3649" t="str">
            <v>OTHERS</v>
          </cell>
          <cell r="BE3649" t="str">
            <v>Dec</v>
          </cell>
        </row>
        <row r="3650">
          <cell r="C3650" t="str">
            <v>Other</v>
          </cell>
          <cell r="R3650">
            <v>0</v>
          </cell>
          <cell r="AZ3650">
            <v>0</v>
          </cell>
          <cell r="BA3650">
            <v>0</v>
          </cell>
          <cell r="BC3650" t="str">
            <v>OTHERS</v>
          </cell>
          <cell r="BE3650" t="str">
            <v>Jan</v>
          </cell>
        </row>
        <row r="3651">
          <cell r="C3651" t="str">
            <v>Other</v>
          </cell>
          <cell r="R3651">
            <v>0</v>
          </cell>
          <cell r="AZ3651">
            <v>0</v>
          </cell>
          <cell r="BA3651">
            <v>0</v>
          </cell>
          <cell r="BC3651" t="str">
            <v>OTHERS</v>
          </cell>
          <cell r="BE3651" t="str">
            <v>Feb</v>
          </cell>
        </row>
        <row r="3652">
          <cell r="C3652" t="str">
            <v>Other</v>
          </cell>
          <cell r="R3652">
            <v>0</v>
          </cell>
          <cell r="AZ3652">
            <v>0</v>
          </cell>
          <cell r="BA3652">
            <v>0</v>
          </cell>
          <cell r="BC3652" t="str">
            <v>OTHERS</v>
          </cell>
          <cell r="BE3652" t="str">
            <v>Mar</v>
          </cell>
        </row>
        <row r="3653">
          <cell r="C3653" t="str">
            <v>Other</v>
          </cell>
          <cell r="R3653">
            <v>0</v>
          </cell>
          <cell r="AZ3653">
            <v>0</v>
          </cell>
          <cell r="BA3653">
            <v>0</v>
          </cell>
          <cell r="BC3653" t="str">
            <v>OTHERS</v>
          </cell>
          <cell r="BE3653" t="str">
            <v>Apr</v>
          </cell>
        </row>
        <row r="3654">
          <cell r="C3654" t="str">
            <v>Other</v>
          </cell>
          <cell r="R3654">
            <v>0</v>
          </cell>
          <cell r="AZ3654">
            <v>0</v>
          </cell>
          <cell r="BA3654">
            <v>0</v>
          </cell>
          <cell r="BC3654" t="str">
            <v>OTHERS</v>
          </cell>
          <cell r="BE3654" t="str">
            <v>May</v>
          </cell>
        </row>
        <row r="3655">
          <cell r="C3655" t="str">
            <v>Other</v>
          </cell>
          <cell r="R3655">
            <v>0</v>
          </cell>
          <cell r="AZ3655">
            <v>0</v>
          </cell>
          <cell r="BA3655">
            <v>0</v>
          </cell>
          <cell r="BC3655" t="str">
            <v>OTHERS</v>
          </cell>
          <cell r="BE3655" t="str">
            <v>Jun</v>
          </cell>
        </row>
        <row r="3656">
          <cell r="C3656" t="str">
            <v>Other</v>
          </cell>
          <cell r="R3656">
            <v>0</v>
          </cell>
          <cell r="AZ3656">
            <v>0</v>
          </cell>
          <cell r="BA3656">
            <v>0</v>
          </cell>
          <cell r="BC3656" t="str">
            <v>OTHERS</v>
          </cell>
          <cell r="BE3656" t="str">
            <v>Jul</v>
          </cell>
        </row>
        <row r="3657">
          <cell r="C3657" t="str">
            <v>Other</v>
          </cell>
          <cell r="R3657">
            <v>0</v>
          </cell>
          <cell r="AZ3657">
            <v>0</v>
          </cell>
          <cell r="BA3657">
            <v>0</v>
          </cell>
          <cell r="BC3657" t="str">
            <v>OTHERS</v>
          </cell>
          <cell r="BE3657" t="str">
            <v>Aug</v>
          </cell>
        </row>
        <row r="3658">
          <cell r="C3658" t="str">
            <v>Other</v>
          </cell>
          <cell r="R3658">
            <v>0</v>
          </cell>
          <cell r="AZ3658">
            <v>0</v>
          </cell>
          <cell r="BA3658">
            <v>0</v>
          </cell>
          <cell r="BC3658" t="str">
            <v>OTHERS</v>
          </cell>
          <cell r="BE3658" t="str">
            <v>Sep</v>
          </cell>
        </row>
        <row r="3659">
          <cell r="C3659" t="str">
            <v>Other</v>
          </cell>
          <cell r="R3659">
            <v>0</v>
          </cell>
          <cell r="AZ3659">
            <v>0</v>
          </cell>
          <cell r="BA3659">
            <v>0</v>
          </cell>
          <cell r="BC3659" t="str">
            <v>OTHERS</v>
          </cell>
          <cell r="BE3659" t="str">
            <v>Oct</v>
          </cell>
        </row>
        <row r="3660">
          <cell r="C3660" t="str">
            <v>Other</v>
          </cell>
          <cell r="R3660">
            <v>0</v>
          </cell>
          <cell r="AZ3660">
            <v>0</v>
          </cell>
          <cell r="BA3660">
            <v>0</v>
          </cell>
          <cell r="BC3660" t="str">
            <v>OTHERS</v>
          </cell>
          <cell r="BE3660" t="str">
            <v>Nov</v>
          </cell>
        </row>
        <row r="3661">
          <cell r="C3661" t="str">
            <v>Other</v>
          </cell>
          <cell r="R3661">
            <v>0</v>
          </cell>
          <cell r="AZ3661">
            <v>0</v>
          </cell>
          <cell r="BA3661">
            <v>0</v>
          </cell>
          <cell r="BC3661" t="str">
            <v>OTHERS</v>
          </cell>
          <cell r="BE3661" t="str">
            <v>Dec</v>
          </cell>
        </row>
        <row r="3662">
          <cell r="C3662" t="str">
            <v>Other</v>
          </cell>
          <cell r="R3662">
            <v>0</v>
          </cell>
          <cell r="AZ3662">
            <v>0</v>
          </cell>
          <cell r="BA3662">
            <v>0</v>
          </cell>
          <cell r="BC3662" t="str">
            <v>OTHERS</v>
          </cell>
          <cell r="BE3662" t="str">
            <v>Jan</v>
          </cell>
        </row>
        <row r="3663">
          <cell r="C3663" t="str">
            <v>Other</v>
          </cell>
          <cell r="R3663">
            <v>0</v>
          </cell>
          <cell r="AZ3663">
            <v>0</v>
          </cell>
          <cell r="BA3663">
            <v>0</v>
          </cell>
          <cell r="BC3663" t="str">
            <v>OTHERS</v>
          </cell>
          <cell r="BE3663" t="str">
            <v>Feb</v>
          </cell>
        </row>
        <row r="3664">
          <cell r="C3664" t="str">
            <v>Other</v>
          </cell>
          <cell r="R3664">
            <v>0</v>
          </cell>
          <cell r="AZ3664">
            <v>0</v>
          </cell>
          <cell r="BA3664">
            <v>0</v>
          </cell>
          <cell r="BC3664" t="str">
            <v>OTHERS</v>
          </cell>
          <cell r="BE3664" t="str">
            <v>Mar</v>
          </cell>
        </row>
        <row r="3665">
          <cell r="C3665" t="str">
            <v>Other</v>
          </cell>
          <cell r="R3665">
            <v>0</v>
          </cell>
          <cell r="AZ3665">
            <v>0</v>
          </cell>
          <cell r="BA3665">
            <v>0</v>
          </cell>
          <cell r="BC3665" t="str">
            <v>OTHERS</v>
          </cell>
          <cell r="BE3665" t="str">
            <v>Apr</v>
          </cell>
        </row>
        <row r="3666">
          <cell r="C3666" t="str">
            <v>Other</v>
          </cell>
          <cell r="R3666">
            <v>0</v>
          </cell>
          <cell r="AZ3666">
            <v>0</v>
          </cell>
          <cell r="BA3666">
            <v>0</v>
          </cell>
          <cell r="BC3666" t="str">
            <v>OTHERS</v>
          </cell>
          <cell r="BE3666" t="str">
            <v>May</v>
          </cell>
        </row>
        <row r="3667">
          <cell r="C3667" t="str">
            <v>Other</v>
          </cell>
          <cell r="R3667">
            <v>0</v>
          </cell>
          <cell r="AZ3667">
            <v>0</v>
          </cell>
          <cell r="BA3667">
            <v>0</v>
          </cell>
          <cell r="BC3667" t="str">
            <v>OTHERS</v>
          </cell>
          <cell r="BE3667" t="str">
            <v>Jun</v>
          </cell>
        </row>
        <row r="3668">
          <cell r="C3668" t="str">
            <v>Other</v>
          </cell>
          <cell r="R3668">
            <v>0</v>
          </cell>
          <cell r="AZ3668">
            <v>0</v>
          </cell>
          <cell r="BA3668">
            <v>0</v>
          </cell>
          <cell r="BC3668" t="str">
            <v>OTHERS</v>
          </cell>
          <cell r="BE3668" t="str">
            <v>Jul</v>
          </cell>
        </row>
        <row r="3669">
          <cell r="C3669" t="str">
            <v>Other</v>
          </cell>
          <cell r="R3669">
            <v>0</v>
          </cell>
          <cell r="AZ3669">
            <v>0</v>
          </cell>
          <cell r="BA3669">
            <v>0</v>
          </cell>
          <cell r="BC3669" t="str">
            <v>OTHERS</v>
          </cell>
          <cell r="BE3669" t="str">
            <v>Aug</v>
          </cell>
        </row>
        <row r="3670">
          <cell r="C3670" t="str">
            <v>Other</v>
          </cell>
          <cell r="R3670">
            <v>0</v>
          </cell>
          <cell r="AZ3670">
            <v>0</v>
          </cell>
          <cell r="BA3670">
            <v>0</v>
          </cell>
          <cell r="BC3670" t="str">
            <v>OTHERS</v>
          </cell>
          <cell r="BE3670" t="str">
            <v>Sep</v>
          </cell>
        </row>
        <row r="3671">
          <cell r="C3671" t="str">
            <v>Other</v>
          </cell>
          <cell r="R3671">
            <v>0</v>
          </cell>
          <cell r="AZ3671">
            <v>0</v>
          </cell>
          <cell r="BA3671">
            <v>0</v>
          </cell>
          <cell r="BC3671" t="str">
            <v>OTHERS</v>
          </cell>
          <cell r="BE3671" t="str">
            <v>Oct</v>
          </cell>
        </row>
        <row r="3672">
          <cell r="C3672" t="str">
            <v>Other</v>
          </cell>
          <cell r="R3672">
            <v>0</v>
          </cell>
          <cell r="AZ3672">
            <v>0</v>
          </cell>
          <cell r="BA3672">
            <v>0</v>
          </cell>
          <cell r="BC3672" t="str">
            <v>OTHERS</v>
          </cell>
          <cell r="BE3672" t="str">
            <v>Nov</v>
          </cell>
        </row>
        <row r="3673">
          <cell r="C3673" t="str">
            <v>Other</v>
          </cell>
          <cell r="R3673">
            <v>0</v>
          </cell>
          <cell r="AZ3673">
            <v>0</v>
          </cell>
          <cell r="BA3673">
            <v>0</v>
          </cell>
          <cell r="BC3673" t="str">
            <v>OTHERS</v>
          </cell>
          <cell r="BE3673" t="str">
            <v>Dec</v>
          </cell>
        </row>
        <row r="3674">
          <cell r="C3674" t="str">
            <v>Other</v>
          </cell>
          <cell r="R3674">
            <v>0</v>
          </cell>
          <cell r="AZ3674">
            <v>0</v>
          </cell>
          <cell r="BA3674">
            <v>0</v>
          </cell>
          <cell r="BC3674" t="str">
            <v>OTHERS</v>
          </cell>
          <cell r="BE3674" t="str">
            <v>Jan</v>
          </cell>
        </row>
        <row r="3675">
          <cell r="C3675" t="str">
            <v>Other</v>
          </cell>
          <cell r="R3675">
            <v>0</v>
          </cell>
          <cell r="AZ3675">
            <v>0</v>
          </cell>
          <cell r="BA3675">
            <v>0</v>
          </cell>
          <cell r="BC3675" t="str">
            <v>OTHERS</v>
          </cell>
          <cell r="BE3675" t="str">
            <v>Feb</v>
          </cell>
        </row>
        <row r="3676">
          <cell r="C3676" t="str">
            <v>Other</v>
          </cell>
          <cell r="R3676">
            <v>0</v>
          </cell>
          <cell r="AZ3676">
            <v>0</v>
          </cell>
          <cell r="BA3676">
            <v>0</v>
          </cell>
          <cell r="BC3676" t="str">
            <v>OTHERS</v>
          </cell>
          <cell r="BE3676" t="str">
            <v>Mar</v>
          </cell>
        </row>
        <row r="3677">
          <cell r="C3677" t="str">
            <v>Other</v>
          </cell>
          <cell r="R3677">
            <v>0</v>
          </cell>
          <cell r="AZ3677">
            <v>0</v>
          </cell>
          <cell r="BA3677">
            <v>0</v>
          </cell>
          <cell r="BC3677" t="str">
            <v>OTHERS</v>
          </cell>
          <cell r="BE3677" t="str">
            <v>Apr</v>
          </cell>
        </row>
        <row r="3678">
          <cell r="C3678" t="str">
            <v>Other</v>
          </cell>
          <cell r="R3678">
            <v>0</v>
          </cell>
          <cell r="AZ3678">
            <v>0</v>
          </cell>
          <cell r="BA3678">
            <v>0</v>
          </cell>
          <cell r="BC3678" t="str">
            <v>OTHERS</v>
          </cell>
          <cell r="BE3678" t="str">
            <v>May</v>
          </cell>
        </row>
        <row r="3679">
          <cell r="C3679" t="str">
            <v>Other</v>
          </cell>
          <cell r="R3679">
            <v>0</v>
          </cell>
          <cell r="AZ3679">
            <v>0</v>
          </cell>
          <cell r="BA3679">
            <v>0</v>
          </cell>
          <cell r="BC3679" t="str">
            <v>OTHERS</v>
          </cell>
          <cell r="BE3679" t="str">
            <v>Jun</v>
          </cell>
        </row>
        <row r="3680">
          <cell r="C3680" t="str">
            <v>Other</v>
          </cell>
          <cell r="R3680">
            <v>0</v>
          </cell>
          <cell r="AZ3680">
            <v>0</v>
          </cell>
          <cell r="BA3680">
            <v>0</v>
          </cell>
          <cell r="BC3680" t="str">
            <v>OTHERS</v>
          </cell>
          <cell r="BE3680" t="str">
            <v>Jul</v>
          </cell>
        </row>
        <row r="3681">
          <cell r="C3681" t="str">
            <v>Other</v>
          </cell>
          <cell r="R3681">
            <v>0</v>
          </cell>
          <cell r="AZ3681">
            <v>0</v>
          </cell>
          <cell r="BA3681">
            <v>0</v>
          </cell>
          <cell r="BC3681" t="str">
            <v>OTHERS</v>
          </cell>
          <cell r="BE3681" t="str">
            <v>Aug</v>
          </cell>
        </row>
        <row r="3682">
          <cell r="C3682" t="str">
            <v>Other</v>
          </cell>
          <cell r="R3682">
            <v>0</v>
          </cell>
          <cell r="AZ3682">
            <v>0</v>
          </cell>
          <cell r="BA3682">
            <v>0</v>
          </cell>
          <cell r="BC3682" t="str">
            <v>OTHERS</v>
          </cell>
          <cell r="BE3682" t="str">
            <v>Sep</v>
          </cell>
        </row>
        <row r="3683">
          <cell r="C3683" t="str">
            <v>Other</v>
          </cell>
          <cell r="R3683">
            <v>0</v>
          </cell>
          <cell r="AZ3683">
            <v>0</v>
          </cell>
          <cell r="BA3683">
            <v>0</v>
          </cell>
          <cell r="BC3683" t="str">
            <v>OTHERS</v>
          </cell>
          <cell r="BE3683" t="str">
            <v>Oct</v>
          </cell>
        </row>
        <row r="3684">
          <cell r="C3684" t="str">
            <v>Other</v>
          </cell>
          <cell r="R3684">
            <v>0</v>
          </cell>
          <cell r="AZ3684">
            <v>0</v>
          </cell>
          <cell r="BA3684">
            <v>0</v>
          </cell>
          <cell r="BC3684" t="str">
            <v>OTHERS</v>
          </cell>
          <cell r="BE3684" t="str">
            <v>Nov</v>
          </cell>
        </row>
        <row r="3685">
          <cell r="C3685" t="str">
            <v>Other</v>
          </cell>
          <cell r="R3685">
            <v>0</v>
          </cell>
          <cell r="AZ3685">
            <v>0</v>
          </cell>
          <cell r="BA3685">
            <v>0</v>
          </cell>
          <cell r="BC3685" t="str">
            <v>OTHERS</v>
          </cell>
          <cell r="BE3685" t="str">
            <v>Dec</v>
          </cell>
        </row>
        <row r="3686">
          <cell r="C3686" t="str">
            <v>Other</v>
          </cell>
          <cell r="R3686">
            <v>0</v>
          </cell>
          <cell r="AZ3686">
            <v>0</v>
          </cell>
          <cell r="BA3686">
            <v>0</v>
          </cell>
          <cell r="BC3686" t="str">
            <v>OTHERS</v>
          </cell>
          <cell r="BE3686" t="str">
            <v>Jan</v>
          </cell>
        </row>
        <row r="3687">
          <cell r="C3687" t="str">
            <v>Other</v>
          </cell>
          <cell r="R3687">
            <v>0</v>
          </cell>
          <cell r="AZ3687">
            <v>0</v>
          </cell>
          <cell r="BA3687">
            <v>0</v>
          </cell>
          <cell r="BC3687" t="str">
            <v>OTHERS</v>
          </cell>
          <cell r="BE3687" t="str">
            <v>Feb</v>
          </cell>
        </row>
        <row r="3688">
          <cell r="C3688" t="str">
            <v>Other</v>
          </cell>
          <cell r="R3688">
            <v>0</v>
          </cell>
          <cell r="AZ3688">
            <v>0</v>
          </cell>
          <cell r="BA3688">
            <v>0</v>
          </cell>
          <cell r="BC3688" t="str">
            <v>OTHERS</v>
          </cell>
          <cell r="BE3688" t="str">
            <v>Mar</v>
          </cell>
        </row>
        <row r="3689">
          <cell r="C3689" t="str">
            <v>Other</v>
          </cell>
          <cell r="R3689">
            <v>0</v>
          </cell>
          <cell r="AZ3689">
            <v>0</v>
          </cell>
          <cell r="BA3689">
            <v>0</v>
          </cell>
          <cell r="BC3689" t="str">
            <v>OTHERS</v>
          </cell>
          <cell r="BE3689" t="str">
            <v>Apr</v>
          </cell>
        </row>
        <row r="3690">
          <cell r="C3690" t="str">
            <v>Other</v>
          </cell>
          <cell r="R3690">
            <v>0</v>
          </cell>
          <cell r="AZ3690">
            <v>0</v>
          </cell>
          <cell r="BA3690">
            <v>0</v>
          </cell>
          <cell r="BC3690" t="str">
            <v>OTHERS</v>
          </cell>
          <cell r="BE3690" t="str">
            <v>May</v>
          </cell>
        </row>
        <row r="3691">
          <cell r="C3691" t="str">
            <v>Other</v>
          </cell>
          <cell r="R3691">
            <v>0</v>
          </cell>
          <cell r="AZ3691">
            <v>0</v>
          </cell>
          <cell r="BA3691">
            <v>0</v>
          </cell>
          <cell r="BC3691" t="str">
            <v>OTHERS</v>
          </cell>
          <cell r="BE3691" t="str">
            <v>Jun</v>
          </cell>
        </row>
        <row r="3692">
          <cell r="C3692" t="str">
            <v>Other</v>
          </cell>
          <cell r="R3692">
            <v>0</v>
          </cell>
          <cell r="AZ3692">
            <v>0</v>
          </cell>
          <cell r="BA3692">
            <v>0</v>
          </cell>
          <cell r="BC3692" t="str">
            <v>OTHERS</v>
          </cell>
          <cell r="BE3692" t="str">
            <v>Jul</v>
          </cell>
        </row>
        <row r="3693">
          <cell r="C3693" t="str">
            <v>Other</v>
          </cell>
          <cell r="R3693">
            <v>0</v>
          </cell>
          <cell r="AZ3693">
            <v>0</v>
          </cell>
          <cell r="BA3693">
            <v>0</v>
          </cell>
          <cell r="BC3693" t="str">
            <v>OTHERS</v>
          </cell>
          <cell r="BE3693" t="str">
            <v>Aug</v>
          </cell>
        </row>
        <row r="3694">
          <cell r="C3694" t="str">
            <v>Other</v>
          </cell>
          <cell r="R3694">
            <v>0</v>
          </cell>
          <cell r="AZ3694">
            <v>0</v>
          </cell>
          <cell r="BA3694">
            <v>0</v>
          </cell>
          <cell r="BC3694" t="str">
            <v>OTHERS</v>
          </cell>
          <cell r="BE3694" t="str">
            <v>Sep</v>
          </cell>
        </row>
        <row r="3695">
          <cell r="C3695" t="str">
            <v>Other</v>
          </cell>
          <cell r="R3695">
            <v>0</v>
          </cell>
          <cell r="AZ3695">
            <v>0</v>
          </cell>
          <cell r="BA3695">
            <v>0</v>
          </cell>
          <cell r="BC3695" t="str">
            <v>OTHERS</v>
          </cell>
          <cell r="BE3695" t="str">
            <v>Oct</v>
          </cell>
        </row>
        <row r="3696">
          <cell r="C3696" t="str">
            <v>Other</v>
          </cell>
          <cell r="R3696">
            <v>0</v>
          </cell>
          <cell r="AZ3696">
            <v>0</v>
          </cell>
          <cell r="BA3696">
            <v>0</v>
          </cell>
          <cell r="BC3696" t="str">
            <v>OTHERS</v>
          </cell>
          <cell r="BE3696" t="str">
            <v>Nov</v>
          </cell>
        </row>
        <row r="3697">
          <cell r="C3697" t="str">
            <v>Other</v>
          </cell>
          <cell r="R3697">
            <v>0</v>
          </cell>
          <cell r="AZ3697">
            <v>0</v>
          </cell>
          <cell r="BA3697">
            <v>0</v>
          </cell>
          <cell r="BC3697" t="str">
            <v>OTHERS</v>
          </cell>
          <cell r="BE3697" t="str">
            <v>Dec</v>
          </cell>
        </row>
        <row r="3698">
          <cell r="C3698" t="str">
            <v>Other</v>
          </cell>
          <cell r="R3698">
            <v>0</v>
          </cell>
          <cell r="AZ3698">
            <v>0</v>
          </cell>
          <cell r="BA3698">
            <v>0</v>
          </cell>
          <cell r="BC3698" t="str">
            <v>OTHERS</v>
          </cell>
          <cell r="BE3698" t="str">
            <v>Jan</v>
          </cell>
        </row>
        <row r="3699">
          <cell r="C3699" t="str">
            <v>Other</v>
          </cell>
          <cell r="R3699">
            <v>0</v>
          </cell>
          <cell r="AZ3699">
            <v>0</v>
          </cell>
          <cell r="BA3699">
            <v>0</v>
          </cell>
          <cell r="BC3699" t="str">
            <v>OTHERS</v>
          </cell>
          <cell r="BE3699" t="str">
            <v>Feb</v>
          </cell>
        </row>
        <row r="3700">
          <cell r="C3700" t="str">
            <v>Other</v>
          </cell>
          <cell r="R3700">
            <v>0</v>
          </cell>
          <cell r="AZ3700">
            <v>0</v>
          </cell>
          <cell r="BA3700">
            <v>0</v>
          </cell>
          <cell r="BC3700" t="str">
            <v>OTHERS</v>
          </cell>
          <cell r="BE3700" t="str">
            <v>Mar</v>
          </cell>
        </row>
        <row r="3701">
          <cell r="C3701" t="str">
            <v>Other</v>
          </cell>
          <cell r="R3701">
            <v>0</v>
          </cell>
          <cell r="AZ3701">
            <v>0</v>
          </cell>
          <cell r="BA3701">
            <v>0</v>
          </cell>
          <cell r="BC3701" t="str">
            <v>OTHERS</v>
          </cell>
          <cell r="BE3701" t="str">
            <v>Apr</v>
          </cell>
        </row>
        <row r="3702">
          <cell r="C3702" t="str">
            <v>Other</v>
          </cell>
          <cell r="R3702">
            <v>0</v>
          </cell>
          <cell r="AZ3702">
            <v>0</v>
          </cell>
          <cell r="BA3702">
            <v>0</v>
          </cell>
          <cell r="BC3702" t="str">
            <v>OTHERS</v>
          </cell>
          <cell r="BE3702" t="str">
            <v>May</v>
          </cell>
        </row>
        <row r="3703">
          <cell r="C3703" t="str">
            <v>Other</v>
          </cell>
          <cell r="R3703">
            <v>0</v>
          </cell>
          <cell r="AZ3703">
            <v>0</v>
          </cell>
          <cell r="BA3703">
            <v>0</v>
          </cell>
          <cell r="BC3703" t="str">
            <v>OTHERS</v>
          </cell>
          <cell r="BE3703" t="str">
            <v>Jun</v>
          </cell>
        </row>
        <row r="3704">
          <cell r="C3704" t="str">
            <v>Other</v>
          </cell>
          <cell r="R3704">
            <v>0</v>
          </cell>
          <cell r="AZ3704">
            <v>0</v>
          </cell>
          <cell r="BA3704">
            <v>0</v>
          </cell>
          <cell r="BC3704" t="str">
            <v>OTHERS</v>
          </cell>
          <cell r="BE3704" t="str">
            <v>Jul</v>
          </cell>
        </row>
        <row r="3705">
          <cell r="C3705" t="str">
            <v>Other</v>
          </cell>
          <cell r="R3705">
            <v>0</v>
          </cell>
          <cell r="AZ3705">
            <v>0</v>
          </cell>
          <cell r="BA3705">
            <v>0</v>
          </cell>
          <cell r="BC3705" t="str">
            <v>OTHERS</v>
          </cell>
          <cell r="BE3705" t="str">
            <v>Aug</v>
          </cell>
        </row>
        <row r="3706">
          <cell r="C3706" t="str">
            <v>Other</v>
          </cell>
          <cell r="R3706">
            <v>0</v>
          </cell>
          <cell r="AZ3706">
            <v>0</v>
          </cell>
          <cell r="BA3706">
            <v>0</v>
          </cell>
          <cell r="BC3706" t="str">
            <v>OTHERS</v>
          </cell>
          <cell r="BE3706" t="str">
            <v>Sep</v>
          </cell>
        </row>
        <row r="3707">
          <cell r="C3707" t="str">
            <v>Other</v>
          </cell>
          <cell r="R3707">
            <v>0</v>
          </cell>
          <cell r="AZ3707">
            <v>0</v>
          </cell>
          <cell r="BA3707">
            <v>0</v>
          </cell>
          <cell r="BC3707" t="str">
            <v>OTHERS</v>
          </cell>
          <cell r="BE3707" t="str">
            <v>Oct</v>
          </cell>
        </row>
        <row r="3708">
          <cell r="C3708" t="str">
            <v>Other</v>
          </cell>
          <cell r="R3708">
            <v>0</v>
          </cell>
          <cell r="AZ3708">
            <v>0</v>
          </cell>
          <cell r="BA3708">
            <v>0</v>
          </cell>
          <cell r="BC3708" t="str">
            <v>OTHERS</v>
          </cell>
          <cell r="BE3708" t="str">
            <v>Nov</v>
          </cell>
        </row>
        <row r="3709">
          <cell r="C3709" t="str">
            <v>Other</v>
          </cell>
          <cell r="R3709">
            <v>0</v>
          </cell>
          <cell r="AZ3709">
            <v>0</v>
          </cell>
          <cell r="BA3709">
            <v>0</v>
          </cell>
          <cell r="BC3709" t="str">
            <v>OTHERS</v>
          </cell>
          <cell r="BE3709" t="str">
            <v>Dec</v>
          </cell>
        </row>
        <row r="3710">
          <cell r="C3710" t="str">
            <v>Other</v>
          </cell>
          <cell r="R3710">
            <v>0</v>
          </cell>
          <cell r="AZ3710">
            <v>0</v>
          </cell>
          <cell r="BA3710">
            <v>0</v>
          </cell>
          <cell r="BC3710" t="str">
            <v>OTHERS</v>
          </cell>
          <cell r="BE3710" t="str">
            <v>Jan</v>
          </cell>
        </row>
        <row r="3711">
          <cell r="C3711" t="str">
            <v>Other</v>
          </cell>
          <cell r="R3711">
            <v>0</v>
          </cell>
          <cell r="AZ3711">
            <v>0</v>
          </cell>
          <cell r="BA3711">
            <v>0</v>
          </cell>
          <cell r="BC3711" t="str">
            <v>OTHERS</v>
          </cell>
          <cell r="BE3711" t="str">
            <v>Feb</v>
          </cell>
        </row>
        <row r="3712">
          <cell r="C3712" t="str">
            <v>Other</v>
          </cell>
          <cell r="R3712">
            <v>0</v>
          </cell>
          <cell r="AZ3712">
            <v>0</v>
          </cell>
          <cell r="BA3712">
            <v>0</v>
          </cell>
          <cell r="BC3712" t="str">
            <v>OTHERS</v>
          </cell>
          <cell r="BE3712" t="str">
            <v>Mar</v>
          </cell>
        </row>
        <row r="3713">
          <cell r="C3713" t="str">
            <v>Other</v>
          </cell>
          <cell r="R3713">
            <v>0</v>
          </cell>
          <cell r="AZ3713">
            <v>0</v>
          </cell>
          <cell r="BA3713">
            <v>0</v>
          </cell>
          <cell r="BC3713" t="str">
            <v>OTHERS</v>
          </cell>
          <cell r="BE3713" t="str">
            <v>Apr</v>
          </cell>
        </row>
        <row r="3714">
          <cell r="C3714" t="str">
            <v>Other</v>
          </cell>
          <cell r="R3714">
            <v>0</v>
          </cell>
          <cell r="AZ3714">
            <v>0</v>
          </cell>
          <cell r="BA3714">
            <v>0</v>
          </cell>
          <cell r="BC3714" t="str">
            <v>OTHERS</v>
          </cell>
          <cell r="BE3714" t="str">
            <v>May</v>
          </cell>
        </row>
        <row r="3715">
          <cell r="C3715" t="str">
            <v>Other</v>
          </cell>
          <cell r="R3715">
            <v>0</v>
          </cell>
          <cell r="AZ3715">
            <v>0</v>
          </cell>
          <cell r="BA3715">
            <v>0</v>
          </cell>
          <cell r="BC3715" t="str">
            <v>OTHERS</v>
          </cell>
          <cell r="BE3715" t="str">
            <v>Jun</v>
          </cell>
        </row>
        <row r="3716">
          <cell r="C3716" t="str">
            <v>Other</v>
          </cell>
          <cell r="R3716">
            <v>0</v>
          </cell>
          <cell r="AZ3716">
            <v>0</v>
          </cell>
          <cell r="BA3716">
            <v>0</v>
          </cell>
          <cell r="BC3716" t="str">
            <v>OTHERS</v>
          </cell>
          <cell r="BE3716" t="str">
            <v>Jul</v>
          </cell>
        </row>
        <row r="3717">
          <cell r="C3717" t="str">
            <v>Other</v>
          </cell>
          <cell r="R3717">
            <v>0</v>
          </cell>
          <cell r="AZ3717">
            <v>0</v>
          </cell>
          <cell r="BA3717">
            <v>0</v>
          </cell>
          <cell r="BC3717" t="str">
            <v>OTHERS</v>
          </cell>
          <cell r="BE3717" t="str">
            <v>Aug</v>
          </cell>
        </row>
        <row r="3718">
          <cell r="C3718" t="str">
            <v>Other</v>
          </cell>
          <cell r="R3718">
            <v>0</v>
          </cell>
          <cell r="AZ3718">
            <v>0</v>
          </cell>
          <cell r="BA3718">
            <v>0</v>
          </cell>
          <cell r="BC3718" t="str">
            <v>OTHERS</v>
          </cell>
          <cell r="BE3718" t="str">
            <v>Sep</v>
          </cell>
        </row>
        <row r="3719">
          <cell r="C3719" t="str">
            <v>Other</v>
          </cell>
          <cell r="R3719">
            <v>60000</v>
          </cell>
          <cell r="AZ3719">
            <v>-18000</v>
          </cell>
          <cell r="BA3719">
            <v>-60552</v>
          </cell>
          <cell r="BC3719" t="str">
            <v>OTHERS</v>
          </cell>
          <cell r="BE3719" t="str">
            <v>Oct</v>
          </cell>
        </row>
        <row r="3720">
          <cell r="C3720" t="str">
            <v>Other</v>
          </cell>
          <cell r="R3720">
            <v>60000</v>
          </cell>
          <cell r="AZ3720">
            <v>-18000</v>
          </cell>
          <cell r="BA3720">
            <v>-60552</v>
          </cell>
          <cell r="BC3720" t="str">
            <v>OTHERS</v>
          </cell>
          <cell r="BE3720" t="str">
            <v>Nov</v>
          </cell>
        </row>
        <row r="3721">
          <cell r="C3721" t="str">
            <v>Other</v>
          </cell>
          <cell r="R3721">
            <v>60000</v>
          </cell>
          <cell r="AZ3721">
            <v>-18000</v>
          </cell>
          <cell r="BA3721">
            <v>-60552</v>
          </cell>
          <cell r="BC3721" t="str">
            <v>OTHERS</v>
          </cell>
          <cell r="BE3721" t="str">
            <v>Dec</v>
          </cell>
        </row>
        <row r="3722">
          <cell r="C3722" t="str">
            <v>Other</v>
          </cell>
          <cell r="R3722">
            <v>0</v>
          </cell>
          <cell r="AZ3722">
            <v>0</v>
          </cell>
          <cell r="BA3722">
            <v>0</v>
          </cell>
          <cell r="BC3722" t="str">
            <v>OTHERS</v>
          </cell>
          <cell r="BE3722" t="str">
            <v>Jan</v>
          </cell>
        </row>
        <row r="3723">
          <cell r="C3723" t="str">
            <v>Other</v>
          </cell>
          <cell r="R3723">
            <v>0</v>
          </cell>
          <cell r="AZ3723">
            <v>0</v>
          </cell>
          <cell r="BA3723">
            <v>0</v>
          </cell>
          <cell r="BC3723" t="str">
            <v>OTHERS</v>
          </cell>
          <cell r="BE3723" t="str">
            <v>Feb</v>
          </cell>
        </row>
        <row r="3724">
          <cell r="C3724" t="str">
            <v>Other</v>
          </cell>
          <cell r="R3724">
            <v>0</v>
          </cell>
          <cell r="AZ3724">
            <v>0</v>
          </cell>
          <cell r="BA3724">
            <v>0</v>
          </cell>
          <cell r="BC3724" t="str">
            <v>OTHERS</v>
          </cell>
          <cell r="BE3724" t="str">
            <v>Mar</v>
          </cell>
        </row>
        <row r="3725">
          <cell r="C3725" t="str">
            <v>Other</v>
          </cell>
          <cell r="R3725">
            <v>0</v>
          </cell>
          <cell r="AZ3725">
            <v>0</v>
          </cell>
          <cell r="BA3725">
            <v>0</v>
          </cell>
          <cell r="BC3725" t="str">
            <v>OTHERS</v>
          </cell>
          <cell r="BE3725" t="str">
            <v>Apr</v>
          </cell>
        </row>
        <row r="3726">
          <cell r="C3726" t="str">
            <v>Other</v>
          </cell>
          <cell r="R3726">
            <v>0</v>
          </cell>
          <cell r="AZ3726">
            <v>0</v>
          </cell>
          <cell r="BA3726">
            <v>0</v>
          </cell>
          <cell r="BC3726" t="str">
            <v>OTHERS</v>
          </cell>
          <cell r="BE3726" t="str">
            <v>May</v>
          </cell>
        </row>
        <row r="3727">
          <cell r="C3727" t="str">
            <v>Other</v>
          </cell>
          <cell r="R3727">
            <v>0</v>
          </cell>
          <cell r="AZ3727">
            <v>0</v>
          </cell>
          <cell r="BA3727">
            <v>0</v>
          </cell>
          <cell r="BC3727" t="str">
            <v>OTHERS</v>
          </cell>
          <cell r="BE3727" t="str">
            <v>Jun</v>
          </cell>
        </row>
        <row r="3728">
          <cell r="C3728" t="str">
            <v>Other</v>
          </cell>
          <cell r="R3728">
            <v>0</v>
          </cell>
          <cell r="AZ3728">
            <v>0</v>
          </cell>
          <cell r="BA3728">
            <v>0</v>
          </cell>
          <cell r="BC3728" t="str">
            <v>OTHERS</v>
          </cell>
          <cell r="BE3728" t="str">
            <v>Jul</v>
          </cell>
        </row>
        <row r="3729">
          <cell r="C3729" t="str">
            <v>Other</v>
          </cell>
          <cell r="R3729">
            <v>0</v>
          </cell>
          <cell r="AZ3729">
            <v>0</v>
          </cell>
          <cell r="BA3729">
            <v>0</v>
          </cell>
          <cell r="BC3729" t="str">
            <v>OTHERS</v>
          </cell>
          <cell r="BE3729" t="str">
            <v>Aug</v>
          </cell>
        </row>
        <row r="3730">
          <cell r="C3730" t="str">
            <v>Other</v>
          </cell>
          <cell r="R3730">
            <v>0</v>
          </cell>
          <cell r="AZ3730">
            <v>0</v>
          </cell>
          <cell r="BA3730">
            <v>0</v>
          </cell>
          <cell r="BC3730" t="str">
            <v>OTHERS</v>
          </cell>
          <cell r="BE3730" t="str">
            <v>Sep</v>
          </cell>
        </row>
        <row r="3731">
          <cell r="C3731" t="str">
            <v>Other</v>
          </cell>
          <cell r="R3731">
            <v>0</v>
          </cell>
          <cell r="AZ3731">
            <v>0</v>
          </cell>
          <cell r="BA3731">
            <v>0</v>
          </cell>
          <cell r="BC3731" t="str">
            <v>OTHERS</v>
          </cell>
          <cell r="BE3731" t="str">
            <v>Oct</v>
          </cell>
        </row>
        <row r="3732">
          <cell r="C3732" t="str">
            <v>Other</v>
          </cell>
          <cell r="R3732">
            <v>0</v>
          </cell>
          <cell r="AZ3732">
            <v>0</v>
          </cell>
          <cell r="BA3732">
            <v>0</v>
          </cell>
          <cell r="BC3732" t="str">
            <v>OTHERS</v>
          </cell>
          <cell r="BE3732" t="str">
            <v>Nov</v>
          </cell>
        </row>
        <row r="3733">
          <cell r="C3733" t="str">
            <v>Other</v>
          </cell>
          <cell r="R3733">
            <v>80000</v>
          </cell>
          <cell r="AZ3733">
            <v>-24000</v>
          </cell>
          <cell r="BA3733">
            <v>-80736</v>
          </cell>
          <cell r="BC3733" t="str">
            <v>OTHERS</v>
          </cell>
          <cell r="BE3733" t="str">
            <v>Dec</v>
          </cell>
        </row>
        <row r="3734">
          <cell r="C3734" t="str">
            <v>Other</v>
          </cell>
          <cell r="R3734">
            <v>0</v>
          </cell>
          <cell r="AZ3734">
            <v>0</v>
          </cell>
          <cell r="BA3734">
            <v>0</v>
          </cell>
          <cell r="BC3734" t="str">
            <v>OTHERS</v>
          </cell>
          <cell r="BE3734" t="str">
            <v>Jan</v>
          </cell>
        </row>
        <row r="3735">
          <cell r="C3735" t="str">
            <v>Other</v>
          </cell>
          <cell r="R3735">
            <v>0</v>
          </cell>
          <cell r="AZ3735">
            <v>0</v>
          </cell>
          <cell r="BA3735">
            <v>0</v>
          </cell>
          <cell r="BC3735" t="str">
            <v>OTHERS</v>
          </cell>
          <cell r="BE3735" t="str">
            <v>Feb</v>
          </cell>
        </row>
        <row r="3736">
          <cell r="C3736" t="str">
            <v>Other</v>
          </cell>
          <cell r="R3736">
            <v>0</v>
          </cell>
          <cell r="AZ3736">
            <v>0</v>
          </cell>
          <cell r="BA3736">
            <v>0</v>
          </cell>
          <cell r="BC3736" t="str">
            <v>OTHERS</v>
          </cell>
          <cell r="BE3736" t="str">
            <v>Mar</v>
          </cell>
        </row>
        <row r="3737">
          <cell r="C3737" t="str">
            <v>Other</v>
          </cell>
          <cell r="R3737">
            <v>0</v>
          </cell>
          <cell r="AZ3737">
            <v>0</v>
          </cell>
          <cell r="BA3737">
            <v>0</v>
          </cell>
          <cell r="BC3737" t="str">
            <v>OTHERS</v>
          </cell>
          <cell r="BE3737" t="str">
            <v>Apr</v>
          </cell>
        </row>
        <row r="3738">
          <cell r="C3738" t="str">
            <v>Other</v>
          </cell>
          <cell r="R3738">
            <v>0</v>
          </cell>
          <cell r="AZ3738">
            <v>0</v>
          </cell>
          <cell r="BA3738">
            <v>0</v>
          </cell>
          <cell r="BC3738" t="str">
            <v>OTHERS</v>
          </cell>
          <cell r="BE3738" t="str">
            <v>May</v>
          </cell>
        </row>
        <row r="3739">
          <cell r="C3739" t="str">
            <v>Other</v>
          </cell>
          <cell r="R3739">
            <v>0</v>
          </cell>
          <cell r="AZ3739">
            <v>0</v>
          </cell>
          <cell r="BA3739">
            <v>0</v>
          </cell>
          <cell r="BC3739" t="str">
            <v>OTHERS</v>
          </cell>
          <cell r="BE3739" t="str">
            <v>Jun</v>
          </cell>
        </row>
        <row r="3740">
          <cell r="C3740" t="str">
            <v>Other</v>
          </cell>
          <cell r="R3740">
            <v>0</v>
          </cell>
          <cell r="AZ3740">
            <v>0</v>
          </cell>
          <cell r="BA3740">
            <v>0</v>
          </cell>
          <cell r="BC3740" t="str">
            <v>OTHERS</v>
          </cell>
          <cell r="BE3740" t="str">
            <v>Jul</v>
          </cell>
        </row>
        <row r="3741">
          <cell r="C3741" t="str">
            <v>Other</v>
          </cell>
          <cell r="R3741">
            <v>0</v>
          </cell>
          <cell r="AZ3741">
            <v>0</v>
          </cell>
          <cell r="BA3741">
            <v>0</v>
          </cell>
          <cell r="BC3741" t="str">
            <v>OTHERS</v>
          </cell>
          <cell r="BE3741" t="str">
            <v>Aug</v>
          </cell>
        </row>
        <row r="3742">
          <cell r="C3742" t="str">
            <v>Other</v>
          </cell>
          <cell r="R3742">
            <v>0</v>
          </cell>
          <cell r="AZ3742">
            <v>0</v>
          </cell>
          <cell r="BA3742">
            <v>0</v>
          </cell>
          <cell r="BC3742" t="str">
            <v>OTHERS</v>
          </cell>
          <cell r="BE3742" t="str">
            <v>Sep</v>
          </cell>
        </row>
        <row r="3743">
          <cell r="C3743" t="str">
            <v>Other</v>
          </cell>
          <cell r="R3743">
            <v>0</v>
          </cell>
          <cell r="AZ3743">
            <v>0</v>
          </cell>
          <cell r="BA3743">
            <v>0</v>
          </cell>
          <cell r="BC3743" t="str">
            <v>OTHERS</v>
          </cell>
          <cell r="BE3743" t="str">
            <v>Oct</v>
          </cell>
        </row>
        <row r="3744">
          <cell r="C3744" t="str">
            <v>Other</v>
          </cell>
          <cell r="R3744">
            <v>0</v>
          </cell>
          <cell r="AZ3744">
            <v>0</v>
          </cell>
          <cell r="BA3744">
            <v>0</v>
          </cell>
          <cell r="BC3744" t="str">
            <v>OTHERS</v>
          </cell>
          <cell r="BE3744" t="str">
            <v>Nov</v>
          </cell>
        </row>
        <row r="3745">
          <cell r="C3745" t="str">
            <v>Other</v>
          </cell>
          <cell r="R3745">
            <v>0</v>
          </cell>
          <cell r="AZ3745">
            <v>0</v>
          </cell>
          <cell r="BA3745">
            <v>0</v>
          </cell>
          <cell r="BC3745" t="str">
            <v>OTHERS</v>
          </cell>
          <cell r="BE3745" t="str">
            <v>Dec</v>
          </cell>
        </row>
        <row r="3746">
          <cell r="C3746" t="str">
            <v>Other</v>
          </cell>
          <cell r="R3746">
            <v>0</v>
          </cell>
          <cell r="AZ3746">
            <v>0</v>
          </cell>
          <cell r="BA3746">
            <v>0</v>
          </cell>
          <cell r="BC3746" t="str">
            <v>OTHERS</v>
          </cell>
          <cell r="BE3746" t="str">
            <v>Jan</v>
          </cell>
        </row>
        <row r="3747">
          <cell r="C3747" t="str">
            <v>Other</v>
          </cell>
          <cell r="R3747">
            <v>0</v>
          </cell>
          <cell r="AZ3747">
            <v>0</v>
          </cell>
          <cell r="BA3747">
            <v>0</v>
          </cell>
          <cell r="BC3747" t="str">
            <v>OTHERS</v>
          </cell>
          <cell r="BE3747" t="str">
            <v>Feb</v>
          </cell>
        </row>
        <row r="3748">
          <cell r="C3748" t="str">
            <v>Other</v>
          </cell>
          <cell r="R3748">
            <v>0</v>
          </cell>
          <cell r="AZ3748">
            <v>0</v>
          </cell>
          <cell r="BA3748">
            <v>0</v>
          </cell>
          <cell r="BC3748" t="str">
            <v>OTHERS</v>
          </cell>
          <cell r="BE3748" t="str">
            <v>Mar</v>
          </cell>
        </row>
        <row r="3749">
          <cell r="C3749" t="str">
            <v>Other</v>
          </cell>
          <cell r="R3749">
            <v>0</v>
          </cell>
          <cell r="AZ3749">
            <v>0</v>
          </cell>
          <cell r="BA3749">
            <v>0</v>
          </cell>
          <cell r="BC3749" t="str">
            <v>OTHERS</v>
          </cell>
          <cell r="BE3749" t="str">
            <v>Apr</v>
          </cell>
        </row>
        <row r="3750">
          <cell r="C3750" t="str">
            <v>Other</v>
          </cell>
          <cell r="R3750">
            <v>0</v>
          </cell>
          <cell r="AZ3750">
            <v>0</v>
          </cell>
          <cell r="BA3750">
            <v>0</v>
          </cell>
          <cell r="BC3750" t="str">
            <v>OTHERS</v>
          </cell>
          <cell r="BE3750" t="str">
            <v>May</v>
          </cell>
        </row>
        <row r="3751">
          <cell r="C3751" t="str">
            <v>Other</v>
          </cell>
          <cell r="R3751">
            <v>80000</v>
          </cell>
          <cell r="AZ3751">
            <v>-24000</v>
          </cell>
          <cell r="BA3751">
            <v>-47353.846153846156</v>
          </cell>
          <cell r="BC3751" t="str">
            <v>OTHERS</v>
          </cell>
          <cell r="BE3751" t="str">
            <v>Jun</v>
          </cell>
        </row>
        <row r="3752">
          <cell r="C3752" t="str">
            <v>Other</v>
          </cell>
          <cell r="R3752">
            <v>60000</v>
          </cell>
          <cell r="AZ3752">
            <v>-18000</v>
          </cell>
          <cell r="BA3752">
            <v>-35515.384615384617</v>
          </cell>
          <cell r="BC3752" t="str">
            <v>OTHERS</v>
          </cell>
          <cell r="BE3752" t="str">
            <v>Jul</v>
          </cell>
        </row>
        <row r="3753">
          <cell r="C3753" t="str">
            <v>Other</v>
          </cell>
          <cell r="R3753">
            <v>60000</v>
          </cell>
          <cell r="AZ3753">
            <v>-18000</v>
          </cell>
          <cell r="BA3753">
            <v>-35515.384615384617</v>
          </cell>
          <cell r="BC3753" t="str">
            <v>OTHERS</v>
          </cell>
          <cell r="BE3753" t="str">
            <v>Aug</v>
          </cell>
        </row>
        <row r="3754">
          <cell r="C3754" t="str">
            <v>Other</v>
          </cell>
          <cell r="R3754">
            <v>60000</v>
          </cell>
          <cell r="AZ3754">
            <v>-18000</v>
          </cell>
          <cell r="BA3754">
            <v>-35515.384615384617</v>
          </cell>
          <cell r="BC3754" t="str">
            <v>OTHERS</v>
          </cell>
          <cell r="BE3754" t="str">
            <v>Sep</v>
          </cell>
        </row>
        <row r="3755">
          <cell r="C3755" t="str">
            <v>Other</v>
          </cell>
          <cell r="R3755">
            <v>60000</v>
          </cell>
          <cell r="AZ3755">
            <v>-18000</v>
          </cell>
          <cell r="BA3755">
            <v>-35515.384615384617</v>
          </cell>
          <cell r="BC3755" t="str">
            <v>OTHERS</v>
          </cell>
          <cell r="BE3755" t="str">
            <v>Oct</v>
          </cell>
        </row>
        <row r="3756">
          <cell r="C3756" t="str">
            <v>Other</v>
          </cell>
          <cell r="R3756">
            <v>60000</v>
          </cell>
          <cell r="AZ3756">
            <v>-18000</v>
          </cell>
          <cell r="BA3756">
            <v>-35515.384615384617</v>
          </cell>
          <cell r="BC3756" t="str">
            <v>OTHERS</v>
          </cell>
          <cell r="BE3756" t="str">
            <v>Nov</v>
          </cell>
        </row>
        <row r="3757">
          <cell r="C3757" t="str">
            <v>Other</v>
          </cell>
          <cell r="R3757">
            <v>0</v>
          </cell>
          <cell r="AZ3757">
            <v>0</v>
          </cell>
          <cell r="BA3757">
            <v>0</v>
          </cell>
          <cell r="BC3757" t="str">
            <v>OTHERS</v>
          </cell>
          <cell r="BE3757" t="str">
            <v>Dec</v>
          </cell>
        </row>
        <row r="3758">
          <cell r="C3758" t="str">
            <v>Other</v>
          </cell>
          <cell r="R3758">
            <v>0</v>
          </cell>
          <cell r="AZ3758">
            <v>0</v>
          </cell>
          <cell r="BA3758">
            <v>0</v>
          </cell>
          <cell r="BC3758" t="str">
            <v>OTHERS</v>
          </cell>
          <cell r="BE3758" t="str">
            <v>Jan</v>
          </cell>
        </row>
        <row r="3759">
          <cell r="C3759" t="str">
            <v>Other</v>
          </cell>
          <cell r="R3759">
            <v>0</v>
          </cell>
          <cell r="AZ3759">
            <v>0</v>
          </cell>
          <cell r="BA3759">
            <v>0</v>
          </cell>
          <cell r="BC3759" t="str">
            <v>OTHERS</v>
          </cell>
          <cell r="BE3759" t="str">
            <v>Feb</v>
          </cell>
        </row>
        <row r="3760">
          <cell r="C3760" t="str">
            <v>Other</v>
          </cell>
          <cell r="R3760">
            <v>0</v>
          </cell>
          <cell r="AZ3760">
            <v>0</v>
          </cell>
          <cell r="BA3760">
            <v>0</v>
          </cell>
          <cell r="BC3760" t="str">
            <v>OTHERS</v>
          </cell>
          <cell r="BE3760" t="str">
            <v>Mar</v>
          </cell>
        </row>
        <row r="3761">
          <cell r="C3761" t="str">
            <v>Other</v>
          </cell>
          <cell r="R3761">
            <v>0</v>
          </cell>
          <cell r="AZ3761">
            <v>0</v>
          </cell>
          <cell r="BA3761">
            <v>0</v>
          </cell>
          <cell r="BC3761" t="str">
            <v>OTHERS</v>
          </cell>
          <cell r="BE3761" t="str">
            <v>Apr</v>
          </cell>
        </row>
        <row r="3762">
          <cell r="C3762" t="str">
            <v>Other</v>
          </cell>
          <cell r="R3762">
            <v>0</v>
          </cell>
          <cell r="AZ3762">
            <v>0</v>
          </cell>
          <cell r="BA3762">
            <v>0</v>
          </cell>
          <cell r="BC3762" t="str">
            <v>OTHERS</v>
          </cell>
          <cell r="BE3762" t="str">
            <v>May</v>
          </cell>
        </row>
        <row r="3763">
          <cell r="C3763" t="str">
            <v>Other</v>
          </cell>
          <cell r="R3763">
            <v>0</v>
          </cell>
          <cell r="AZ3763">
            <v>0</v>
          </cell>
          <cell r="BA3763">
            <v>0</v>
          </cell>
          <cell r="BC3763" t="str">
            <v>OTHERS</v>
          </cell>
          <cell r="BE3763" t="str">
            <v>Jun</v>
          </cell>
        </row>
        <row r="3764">
          <cell r="C3764" t="str">
            <v>Other</v>
          </cell>
          <cell r="R3764">
            <v>0</v>
          </cell>
          <cell r="AZ3764">
            <v>0</v>
          </cell>
          <cell r="BA3764">
            <v>0</v>
          </cell>
          <cell r="BC3764" t="str">
            <v>OTHERS</v>
          </cell>
          <cell r="BE3764" t="str">
            <v>Jul</v>
          </cell>
        </row>
        <row r="3765">
          <cell r="C3765" t="str">
            <v>Other</v>
          </cell>
          <cell r="R3765">
            <v>0</v>
          </cell>
          <cell r="AZ3765">
            <v>0</v>
          </cell>
          <cell r="BA3765">
            <v>0</v>
          </cell>
          <cell r="BC3765" t="str">
            <v>OTHERS</v>
          </cell>
          <cell r="BE3765" t="str">
            <v>Aug</v>
          </cell>
        </row>
        <row r="3766">
          <cell r="C3766" t="str">
            <v>Other</v>
          </cell>
          <cell r="R3766">
            <v>0</v>
          </cell>
          <cell r="AZ3766">
            <v>0</v>
          </cell>
          <cell r="BA3766">
            <v>0</v>
          </cell>
          <cell r="BC3766" t="str">
            <v>OTHERS</v>
          </cell>
          <cell r="BE3766" t="str">
            <v>Sep</v>
          </cell>
        </row>
        <row r="3767">
          <cell r="C3767" t="str">
            <v>Other</v>
          </cell>
          <cell r="R3767">
            <v>0</v>
          </cell>
          <cell r="AZ3767">
            <v>0</v>
          </cell>
          <cell r="BA3767">
            <v>0</v>
          </cell>
          <cell r="BC3767" t="str">
            <v>OTHERS</v>
          </cell>
          <cell r="BE3767" t="str">
            <v>Oct</v>
          </cell>
        </row>
        <row r="3768">
          <cell r="C3768" t="str">
            <v>Other</v>
          </cell>
          <cell r="R3768">
            <v>0</v>
          </cell>
          <cell r="AZ3768">
            <v>0</v>
          </cell>
          <cell r="BA3768">
            <v>0</v>
          </cell>
          <cell r="BC3768" t="str">
            <v>OTHERS</v>
          </cell>
          <cell r="BE3768" t="str">
            <v>Nov</v>
          </cell>
        </row>
        <row r="3769">
          <cell r="C3769" t="str">
            <v>Other</v>
          </cell>
          <cell r="R3769">
            <v>0</v>
          </cell>
          <cell r="AZ3769">
            <v>0</v>
          </cell>
          <cell r="BA3769">
            <v>0</v>
          </cell>
          <cell r="BC3769" t="str">
            <v>OTHERS</v>
          </cell>
          <cell r="BE3769" t="str">
            <v>Dec</v>
          </cell>
        </row>
        <row r="3770">
          <cell r="C3770" t="str">
            <v>Other</v>
          </cell>
          <cell r="R3770">
            <v>0</v>
          </cell>
          <cell r="AZ3770">
            <v>0</v>
          </cell>
          <cell r="BA3770">
            <v>0</v>
          </cell>
          <cell r="BC3770" t="str">
            <v>OTHERS</v>
          </cell>
          <cell r="BE3770" t="str">
            <v>Jan</v>
          </cell>
        </row>
        <row r="3771">
          <cell r="C3771" t="str">
            <v>Other</v>
          </cell>
          <cell r="R3771">
            <v>0</v>
          </cell>
          <cell r="AZ3771">
            <v>0</v>
          </cell>
          <cell r="BA3771">
            <v>0</v>
          </cell>
          <cell r="BC3771" t="str">
            <v>OTHERS</v>
          </cell>
          <cell r="BE3771" t="str">
            <v>Feb</v>
          </cell>
        </row>
        <row r="3772">
          <cell r="C3772" t="str">
            <v>Other</v>
          </cell>
          <cell r="R3772">
            <v>0</v>
          </cell>
          <cell r="AZ3772">
            <v>0</v>
          </cell>
          <cell r="BA3772">
            <v>0</v>
          </cell>
          <cell r="BC3772" t="str">
            <v>OTHERS</v>
          </cell>
          <cell r="BE3772" t="str">
            <v>Mar</v>
          </cell>
        </row>
        <row r="3773">
          <cell r="C3773" t="str">
            <v>Other</v>
          </cell>
          <cell r="R3773">
            <v>0</v>
          </cell>
          <cell r="AZ3773">
            <v>0</v>
          </cell>
          <cell r="BA3773">
            <v>0</v>
          </cell>
          <cell r="BC3773" t="str">
            <v>OTHERS</v>
          </cell>
          <cell r="BE3773" t="str">
            <v>Apr</v>
          </cell>
        </row>
        <row r="3774">
          <cell r="C3774" t="str">
            <v>Other</v>
          </cell>
          <cell r="R3774">
            <v>0</v>
          </cell>
          <cell r="AZ3774">
            <v>0</v>
          </cell>
          <cell r="BA3774">
            <v>0</v>
          </cell>
          <cell r="BC3774" t="str">
            <v>OTHERS</v>
          </cell>
          <cell r="BE3774" t="str">
            <v>May</v>
          </cell>
        </row>
        <row r="3775">
          <cell r="C3775" t="str">
            <v>Other</v>
          </cell>
          <cell r="R3775">
            <v>0</v>
          </cell>
          <cell r="AZ3775">
            <v>0</v>
          </cell>
          <cell r="BA3775">
            <v>0</v>
          </cell>
          <cell r="BC3775" t="str">
            <v>OTHERS</v>
          </cell>
          <cell r="BE3775" t="str">
            <v>Jun</v>
          </cell>
        </row>
        <row r="3776">
          <cell r="C3776" t="str">
            <v>Other</v>
          </cell>
          <cell r="R3776">
            <v>0</v>
          </cell>
          <cell r="AZ3776">
            <v>0</v>
          </cell>
          <cell r="BA3776">
            <v>0</v>
          </cell>
          <cell r="BC3776" t="str">
            <v>OTHERS</v>
          </cell>
          <cell r="BE3776" t="str">
            <v>Jul</v>
          </cell>
        </row>
        <row r="3777">
          <cell r="C3777" t="str">
            <v>Other</v>
          </cell>
          <cell r="R3777">
            <v>0</v>
          </cell>
          <cell r="AZ3777">
            <v>0</v>
          </cell>
          <cell r="BA3777">
            <v>0</v>
          </cell>
          <cell r="BC3777" t="str">
            <v>OTHERS</v>
          </cell>
          <cell r="BE3777" t="str">
            <v>Aug</v>
          </cell>
        </row>
        <row r="3778">
          <cell r="C3778" t="str">
            <v>Other</v>
          </cell>
          <cell r="R3778">
            <v>0</v>
          </cell>
          <cell r="AZ3778">
            <v>0</v>
          </cell>
          <cell r="BA3778">
            <v>0</v>
          </cell>
          <cell r="BC3778" t="str">
            <v>OTHERS</v>
          </cell>
          <cell r="BE3778" t="str">
            <v>Sep</v>
          </cell>
        </row>
        <row r="3779">
          <cell r="C3779" t="str">
            <v>Other</v>
          </cell>
          <cell r="R3779">
            <v>0</v>
          </cell>
          <cell r="AZ3779">
            <v>0</v>
          </cell>
          <cell r="BA3779">
            <v>0</v>
          </cell>
          <cell r="BC3779" t="str">
            <v>OTHERS</v>
          </cell>
          <cell r="BE3779" t="str">
            <v>Oct</v>
          </cell>
        </row>
        <row r="3780">
          <cell r="C3780" t="str">
            <v>Other</v>
          </cell>
          <cell r="R3780">
            <v>0</v>
          </cell>
          <cell r="AZ3780">
            <v>0</v>
          </cell>
          <cell r="BA3780">
            <v>0</v>
          </cell>
          <cell r="BC3780" t="str">
            <v>OTHERS</v>
          </cell>
          <cell r="BE3780" t="str">
            <v>Nov</v>
          </cell>
        </row>
        <row r="3781">
          <cell r="C3781" t="str">
            <v>Other</v>
          </cell>
          <cell r="R3781">
            <v>0</v>
          </cell>
          <cell r="AZ3781">
            <v>0</v>
          </cell>
          <cell r="BA3781">
            <v>0</v>
          </cell>
          <cell r="BC3781" t="str">
            <v>OTHERS</v>
          </cell>
          <cell r="BE3781" t="str">
            <v>Dec</v>
          </cell>
        </row>
        <row r="3782">
          <cell r="C3782" t="str">
            <v>Other</v>
          </cell>
          <cell r="R3782">
            <v>0</v>
          </cell>
          <cell r="AZ3782">
            <v>0</v>
          </cell>
          <cell r="BA3782">
            <v>0</v>
          </cell>
          <cell r="BC3782" t="str">
            <v>OTHERS</v>
          </cell>
          <cell r="BE3782" t="str">
            <v>Jan</v>
          </cell>
        </row>
        <row r="3783">
          <cell r="C3783" t="str">
            <v>Other</v>
          </cell>
          <cell r="R3783">
            <v>0</v>
          </cell>
          <cell r="AZ3783">
            <v>0</v>
          </cell>
          <cell r="BA3783">
            <v>0</v>
          </cell>
          <cell r="BC3783" t="str">
            <v>OTHERS</v>
          </cell>
          <cell r="BE3783" t="str">
            <v>Feb</v>
          </cell>
        </row>
        <row r="3784">
          <cell r="C3784" t="str">
            <v>Other</v>
          </cell>
          <cell r="R3784">
            <v>0</v>
          </cell>
          <cell r="AZ3784">
            <v>0</v>
          </cell>
          <cell r="BA3784">
            <v>0</v>
          </cell>
          <cell r="BC3784" t="str">
            <v>OTHERS</v>
          </cell>
          <cell r="BE3784" t="str">
            <v>Mar</v>
          </cell>
        </row>
        <row r="3785">
          <cell r="C3785" t="str">
            <v>Other</v>
          </cell>
          <cell r="R3785">
            <v>0</v>
          </cell>
          <cell r="AZ3785">
            <v>0</v>
          </cell>
          <cell r="BA3785">
            <v>0</v>
          </cell>
          <cell r="BC3785" t="str">
            <v>OTHERS</v>
          </cell>
          <cell r="BE3785" t="str">
            <v>Apr</v>
          </cell>
        </row>
        <row r="3786">
          <cell r="C3786" t="str">
            <v>Other</v>
          </cell>
          <cell r="R3786">
            <v>0</v>
          </cell>
          <cell r="AZ3786">
            <v>0</v>
          </cell>
          <cell r="BA3786">
            <v>0</v>
          </cell>
          <cell r="BC3786" t="str">
            <v>OTHERS</v>
          </cell>
          <cell r="BE3786" t="str">
            <v>May</v>
          </cell>
        </row>
        <row r="3787">
          <cell r="C3787" t="str">
            <v>Other</v>
          </cell>
          <cell r="R3787">
            <v>0</v>
          </cell>
          <cell r="AZ3787">
            <v>0</v>
          </cell>
          <cell r="BA3787">
            <v>0</v>
          </cell>
          <cell r="BC3787" t="str">
            <v>OTHERS</v>
          </cell>
          <cell r="BE3787" t="str">
            <v>Jun</v>
          </cell>
        </row>
        <row r="3788">
          <cell r="C3788" t="str">
            <v>Other</v>
          </cell>
          <cell r="R3788">
            <v>0</v>
          </cell>
          <cell r="AZ3788">
            <v>0</v>
          </cell>
          <cell r="BA3788">
            <v>0</v>
          </cell>
          <cell r="BC3788" t="str">
            <v>OTHERS</v>
          </cell>
          <cell r="BE3788" t="str">
            <v>Jul</v>
          </cell>
        </row>
        <row r="3789">
          <cell r="C3789" t="str">
            <v>Other</v>
          </cell>
          <cell r="R3789">
            <v>0</v>
          </cell>
          <cell r="AZ3789">
            <v>0</v>
          </cell>
          <cell r="BA3789">
            <v>0</v>
          </cell>
          <cell r="BC3789" t="str">
            <v>OTHERS</v>
          </cell>
          <cell r="BE3789" t="str">
            <v>Aug</v>
          </cell>
        </row>
        <row r="3790">
          <cell r="C3790" t="str">
            <v>Other</v>
          </cell>
          <cell r="R3790">
            <v>0</v>
          </cell>
          <cell r="AZ3790">
            <v>0</v>
          </cell>
          <cell r="BA3790">
            <v>0</v>
          </cell>
          <cell r="BC3790" t="str">
            <v>OTHERS</v>
          </cell>
          <cell r="BE3790" t="str">
            <v>Sep</v>
          </cell>
        </row>
        <row r="3791">
          <cell r="C3791" t="str">
            <v>Other</v>
          </cell>
          <cell r="R3791">
            <v>0</v>
          </cell>
          <cell r="AZ3791">
            <v>0</v>
          </cell>
          <cell r="BA3791">
            <v>0</v>
          </cell>
          <cell r="BC3791" t="str">
            <v>OTHERS</v>
          </cell>
          <cell r="BE3791" t="str">
            <v>Oct</v>
          </cell>
        </row>
        <row r="3792">
          <cell r="C3792" t="str">
            <v>Other</v>
          </cell>
          <cell r="R3792">
            <v>0</v>
          </cell>
          <cell r="AZ3792">
            <v>0</v>
          </cell>
          <cell r="BA3792">
            <v>0</v>
          </cell>
          <cell r="BC3792" t="str">
            <v>OTHERS</v>
          </cell>
          <cell r="BE3792" t="str">
            <v>Nov</v>
          </cell>
        </row>
        <row r="3793">
          <cell r="C3793" t="str">
            <v>Other</v>
          </cell>
          <cell r="R3793">
            <v>0</v>
          </cell>
          <cell r="AZ3793">
            <v>0</v>
          </cell>
          <cell r="BA3793">
            <v>0</v>
          </cell>
          <cell r="BC3793" t="str">
            <v>OTHERS</v>
          </cell>
          <cell r="BE3793" t="str">
            <v>Dec</v>
          </cell>
        </row>
        <row r="3794">
          <cell r="C3794" t="str">
            <v>Other</v>
          </cell>
          <cell r="R3794">
            <v>0</v>
          </cell>
          <cell r="AZ3794">
            <v>0</v>
          </cell>
          <cell r="BA3794">
            <v>0</v>
          </cell>
          <cell r="BC3794" t="str">
            <v>OTHERS</v>
          </cell>
          <cell r="BE3794" t="str">
            <v>Jan</v>
          </cell>
        </row>
        <row r="3795">
          <cell r="C3795" t="str">
            <v>Other</v>
          </cell>
          <cell r="R3795">
            <v>0</v>
          </cell>
          <cell r="AZ3795">
            <v>0</v>
          </cell>
          <cell r="BA3795">
            <v>0</v>
          </cell>
          <cell r="BC3795" t="str">
            <v>OTHERS</v>
          </cell>
          <cell r="BE3795" t="str">
            <v>Feb</v>
          </cell>
        </row>
        <row r="3796">
          <cell r="C3796" t="str">
            <v>Other</v>
          </cell>
          <cell r="R3796">
            <v>0</v>
          </cell>
          <cell r="AZ3796">
            <v>0</v>
          </cell>
          <cell r="BA3796">
            <v>0</v>
          </cell>
          <cell r="BC3796" t="str">
            <v>OTHERS</v>
          </cell>
          <cell r="BE3796" t="str">
            <v>Mar</v>
          </cell>
        </row>
        <row r="3797">
          <cell r="C3797" t="str">
            <v>Other</v>
          </cell>
          <cell r="R3797">
            <v>0</v>
          </cell>
          <cell r="AZ3797">
            <v>0</v>
          </cell>
          <cell r="BA3797">
            <v>0</v>
          </cell>
          <cell r="BC3797" t="str">
            <v>OTHERS</v>
          </cell>
          <cell r="BE3797" t="str">
            <v>Apr</v>
          </cell>
        </row>
        <row r="3798">
          <cell r="C3798" t="str">
            <v>Other</v>
          </cell>
          <cell r="R3798">
            <v>0</v>
          </cell>
          <cell r="AZ3798">
            <v>0</v>
          </cell>
          <cell r="BA3798">
            <v>0</v>
          </cell>
          <cell r="BC3798" t="str">
            <v>OTHERS</v>
          </cell>
          <cell r="BE3798" t="str">
            <v>May</v>
          </cell>
        </row>
        <row r="3799">
          <cell r="C3799" t="str">
            <v>Other</v>
          </cell>
          <cell r="R3799">
            <v>0</v>
          </cell>
          <cell r="AZ3799">
            <v>0</v>
          </cell>
          <cell r="BA3799">
            <v>0</v>
          </cell>
          <cell r="BC3799" t="str">
            <v>OTHERS</v>
          </cell>
          <cell r="BE3799" t="str">
            <v>Jun</v>
          </cell>
        </row>
        <row r="3800">
          <cell r="C3800" t="str">
            <v>Other</v>
          </cell>
          <cell r="R3800">
            <v>0</v>
          </cell>
          <cell r="AZ3800">
            <v>0</v>
          </cell>
          <cell r="BA3800">
            <v>0</v>
          </cell>
          <cell r="BC3800" t="str">
            <v>OTHERS</v>
          </cell>
          <cell r="BE3800" t="str">
            <v>Jul</v>
          </cell>
        </row>
        <row r="3801">
          <cell r="C3801" t="str">
            <v>Other</v>
          </cell>
          <cell r="R3801">
            <v>0</v>
          </cell>
          <cell r="AZ3801">
            <v>0</v>
          </cell>
          <cell r="BA3801">
            <v>0</v>
          </cell>
          <cell r="BC3801" t="str">
            <v>OTHERS</v>
          </cell>
          <cell r="BE3801" t="str">
            <v>Aug</v>
          </cell>
        </row>
        <row r="3802">
          <cell r="C3802" t="str">
            <v>Other</v>
          </cell>
          <cell r="R3802">
            <v>0</v>
          </cell>
          <cell r="AZ3802">
            <v>0</v>
          </cell>
          <cell r="BA3802">
            <v>0</v>
          </cell>
          <cell r="BC3802" t="str">
            <v>OTHERS</v>
          </cell>
          <cell r="BE3802" t="str">
            <v>Sep</v>
          </cell>
        </row>
        <row r="3803">
          <cell r="C3803" t="str">
            <v>Other</v>
          </cell>
          <cell r="R3803">
            <v>0</v>
          </cell>
          <cell r="AZ3803">
            <v>0</v>
          </cell>
          <cell r="BA3803">
            <v>0</v>
          </cell>
          <cell r="BC3803" t="str">
            <v>OTHERS</v>
          </cell>
          <cell r="BE3803" t="str">
            <v>Oct</v>
          </cell>
        </row>
        <row r="3804">
          <cell r="C3804" t="str">
            <v>Other</v>
          </cell>
          <cell r="R3804">
            <v>0</v>
          </cell>
          <cell r="AZ3804">
            <v>0</v>
          </cell>
          <cell r="BA3804">
            <v>0</v>
          </cell>
          <cell r="BC3804" t="str">
            <v>OTHERS</v>
          </cell>
          <cell r="BE3804" t="str">
            <v>Nov</v>
          </cell>
        </row>
        <row r="3805">
          <cell r="C3805" t="str">
            <v>Other</v>
          </cell>
          <cell r="R3805">
            <v>0</v>
          </cell>
          <cell r="AZ3805">
            <v>0</v>
          </cell>
          <cell r="BA3805">
            <v>0</v>
          </cell>
          <cell r="BC3805" t="str">
            <v>OTHERS</v>
          </cell>
          <cell r="BE3805" t="str">
            <v>Dec</v>
          </cell>
        </row>
        <row r="3806">
          <cell r="C3806" t="str">
            <v>Other</v>
          </cell>
          <cell r="R3806">
            <v>0</v>
          </cell>
          <cell r="AZ3806">
            <v>0</v>
          </cell>
          <cell r="BA3806">
            <v>0</v>
          </cell>
          <cell r="BC3806" t="str">
            <v>OTHERS</v>
          </cell>
          <cell r="BE3806" t="str">
            <v>Jan</v>
          </cell>
        </row>
        <row r="3807">
          <cell r="C3807" t="str">
            <v>Other</v>
          </cell>
          <cell r="R3807">
            <v>0</v>
          </cell>
          <cell r="AZ3807">
            <v>0</v>
          </cell>
          <cell r="BA3807">
            <v>0</v>
          </cell>
          <cell r="BC3807" t="str">
            <v>OTHERS</v>
          </cell>
          <cell r="BE3807" t="str">
            <v>Feb</v>
          </cell>
        </row>
        <row r="3808">
          <cell r="C3808" t="str">
            <v>Other</v>
          </cell>
          <cell r="R3808">
            <v>0</v>
          </cell>
          <cell r="AZ3808">
            <v>0</v>
          </cell>
          <cell r="BA3808">
            <v>0</v>
          </cell>
          <cell r="BC3808" t="str">
            <v>OTHERS</v>
          </cell>
          <cell r="BE3808" t="str">
            <v>Mar</v>
          </cell>
        </row>
        <row r="3809">
          <cell r="C3809" t="str">
            <v>Other</v>
          </cell>
          <cell r="R3809">
            <v>0</v>
          </cell>
          <cell r="AZ3809">
            <v>0</v>
          </cell>
          <cell r="BA3809">
            <v>0</v>
          </cell>
          <cell r="BC3809" t="str">
            <v>OTHERS</v>
          </cell>
          <cell r="BE3809" t="str">
            <v>Apr</v>
          </cell>
        </row>
        <row r="3810">
          <cell r="C3810" t="str">
            <v>Other</v>
          </cell>
          <cell r="R3810">
            <v>0</v>
          </cell>
          <cell r="AZ3810">
            <v>0</v>
          </cell>
          <cell r="BA3810">
            <v>0</v>
          </cell>
          <cell r="BC3810" t="str">
            <v>OTHERS</v>
          </cell>
          <cell r="BE3810" t="str">
            <v>May</v>
          </cell>
        </row>
        <row r="3811">
          <cell r="C3811" t="str">
            <v>Other</v>
          </cell>
          <cell r="R3811">
            <v>0</v>
          </cell>
          <cell r="AZ3811">
            <v>0</v>
          </cell>
          <cell r="BA3811">
            <v>0</v>
          </cell>
          <cell r="BC3811" t="str">
            <v>OTHERS</v>
          </cell>
          <cell r="BE3811" t="str">
            <v>Jun</v>
          </cell>
        </row>
        <row r="3812">
          <cell r="C3812" t="str">
            <v>Other</v>
          </cell>
          <cell r="R3812">
            <v>0</v>
          </cell>
          <cell r="AZ3812">
            <v>0</v>
          </cell>
          <cell r="BA3812">
            <v>0</v>
          </cell>
          <cell r="BC3812" t="str">
            <v>OTHERS</v>
          </cell>
          <cell r="BE3812" t="str">
            <v>Jul</v>
          </cell>
        </row>
        <row r="3813">
          <cell r="C3813" t="str">
            <v>Other</v>
          </cell>
          <cell r="R3813">
            <v>0</v>
          </cell>
          <cell r="AZ3813">
            <v>0</v>
          </cell>
          <cell r="BA3813">
            <v>0</v>
          </cell>
          <cell r="BC3813" t="str">
            <v>OTHERS</v>
          </cell>
          <cell r="BE3813" t="str">
            <v>Aug</v>
          </cell>
        </row>
        <row r="3814">
          <cell r="C3814" t="str">
            <v>Other</v>
          </cell>
          <cell r="R3814">
            <v>0</v>
          </cell>
          <cell r="AZ3814">
            <v>0</v>
          </cell>
          <cell r="BA3814">
            <v>0</v>
          </cell>
          <cell r="BC3814" t="str">
            <v>OTHERS</v>
          </cell>
          <cell r="BE3814" t="str">
            <v>Sep</v>
          </cell>
        </row>
        <row r="3815">
          <cell r="C3815" t="str">
            <v>Other</v>
          </cell>
          <cell r="R3815">
            <v>0</v>
          </cell>
          <cell r="AZ3815">
            <v>0</v>
          </cell>
          <cell r="BA3815">
            <v>0</v>
          </cell>
          <cell r="BC3815" t="str">
            <v>OTHERS</v>
          </cell>
          <cell r="BE3815" t="str">
            <v>Oct</v>
          </cell>
        </row>
        <row r="3816">
          <cell r="C3816" t="str">
            <v>Other</v>
          </cell>
          <cell r="R3816">
            <v>0</v>
          </cell>
          <cell r="AZ3816">
            <v>0</v>
          </cell>
          <cell r="BA3816">
            <v>0</v>
          </cell>
          <cell r="BC3816" t="str">
            <v>OTHERS</v>
          </cell>
          <cell r="BE3816" t="str">
            <v>Nov</v>
          </cell>
        </row>
        <row r="3817">
          <cell r="C3817" t="str">
            <v>Other</v>
          </cell>
          <cell r="R3817">
            <v>0</v>
          </cell>
          <cell r="AZ3817">
            <v>0</v>
          </cell>
          <cell r="BA3817">
            <v>0</v>
          </cell>
          <cell r="BC3817" t="str">
            <v>OTHERS</v>
          </cell>
          <cell r="BE3817" t="str">
            <v>Dec</v>
          </cell>
        </row>
        <row r="3818">
          <cell r="C3818" t="str">
            <v>Other</v>
          </cell>
          <cell r="R3818">
            <v>0</v>
          </cell>
          <cell r="AZ3818">
            <v>0</v>
          </cell>
          <cell r="BA3818">
            <v>0</v>
          </cell>
          <cell r="BC3818" t="str">
            <v>OTHERS</v>
          </cell>
          <cell r="BE3818" t="str">
            <v>Jan</v>
          </cell>
        </row>
        <row r="3819">
          <cell r="C3819" t="str">
            <v>Other</v>
          </cell>
          <cell r="R3819">
            <v>0</v>
          </cell>
          <cell r="AZ3819">
            <v>0</v>
          </cell>
          <cell r="BA3819">
            <v>0</v>
          </cell>
          <cell r="BC3819" t="str">
            <v>OTHERS</v>
          </cell>
          <cell r="BE3819" t="str">
            <v>Feb</v>
          </cell>
        </row>
        <row r="3820">
          <cell r="C3820" t="str">
            <v>Other</v>
          </cell>
          <cell r="R3820">
            <v>0</v>
          </cell>
          <cell r="AZ3820">
            <v>0</v>
          </cell>
          <cell r="BA3820">
            <v>0</v>
          </cell>
          <cell r="BC3820" t="str">
            <v>OTHERS</v>
          </cell>
          <cell r="BE3820" t="str">
            <v>Mar</v>
          </cell>
        </row>
        <row r="3821">
          <cell r="C3821" t="str">
            <v>Other</v>
          </cell>
          <cell r="R3821">
            <v>0</v>
          </cell>
          <cell r="AZ3821">
            <v>0</v>
          </cell>
          <cell r="BA3821">
            <v>0</v>
          </cell>
          <cell r="BC3821" t="str">
            <v>OTHERS</v>
          </cell>
          <cell r="BE3821" t="str">
            <v>Apr</v>
          </cell>
        </row>
        <row r="3822">
          <cell r="C3822" t="str">
            <v>Other</v>
          </cell>
          <cell r="R3822">
            <v>0</v>
          </cell>
          <cell r="AZ3822">
            <v>0</v>
          </cell>
          <cell r="BA3822">
            <v>0</v>
          </cell>
          <cell r="BC3822" t="str">
            <v>OTHERS</v>
          </cell>
          <cell r="BE3822" t="str">
            <v>May</v>
          </cell>
        </row>
        <row r="3823">
          <cell r="C3823" t="str">
            <v>Other</v>
          </cell>
          <cell r="R3823">
            <v>0</v>
          </cell>
          <cell r="AZ3823">
            <v>0</v>
          </cell>
          <cell r="BA3823">
            <v>0</v>
          </cell>
          <cell r="BC3823" t="str">
            <v>OTHERS</v>
          </cell>
          <cell r="BE3823" t="str">
            <v>Jun</v>
          </cell>
        </row>
        <row r="3824">
          <cell r="C3824" t="str">
            <v>Other</v>
          </cell>
          <cell r="R3824">
            <v>0</v>
          </cell>
          <cell r="AZ3824">
            <v>0</v>
          </cell>
          <cell r="BA3824">
            <v>0</v>
          </cell>
          <cell r="BC3824" t="str">
            <v>OTHERS</v>
          </cell>
          <cell r="BE3824" t="str">
            <v>Jul</v>
          </cell>
        </row>
        <row r="3825">
          <cell r="C3825" t="str">
            <v>Other</v>
          </cell>
          <cell r="R3825">
            <v>0</v>
          </cell>
          <cell r="AZ3825">
            <v>0</v>
          </cell>
          <cell r="BA3825">
            <v>0</v>
          </cell>
          <cell r="BC3825" t="str">
            <v>OTHERS</v>
          </cell>
          <cell r="BE3825" t="str">
            <v>Aug</v>
          </cell>
        </row>
        <row r="3826">
          <cell r="C3826" t="str">
            <v>Other</v>
          </cell>
          <cell r="R3826">
            <v>0</v>
          </cell>
          <cell r="AZ3826">
            <v>0</v>
          </cell>
          <cell r="BA3826">
            <v>0</v>
          </cell>
          <cell r="BC3826" t="str">
            <v>OTHERS</v>
          </cell>
          <cell r="BE3826" t="str">
            <v>Sep</v>
          </cell>
        </row>
        <row r="3827">
          <cell r="C3827" t="str">
            <v>Other</v>
          </cell>
          <cell r="R3827">
            <v>0</v>
          </cell>
          <cell r="AZ3827">
            <v>0</v>
          </cell>
          <cell r="BA3827">
            <v>0</v>
          </cell>
          <cell r="BC3827" t="str">
            <v>OTHERS</v>
          </cell>
          <cell r="BE3827" t="str">
            <v>Oct</v>
          </cell>
        </row>
        <row r="3828">
          <cell r="C3828" t="str">
            <v>Other</v>
          </cell>
          <cell r="R3828">
            <v>0</v>
          </cell>
          <cell r="AZ3828">
            <v>0</v>
          </cell>
          <cell r="BA3828">
            <v>0</v>
          </cell>
          <cell r="BC3828" t="str">
            <v>OTHERS</v>
          </cell>
          <cell r="BE3828" t="str">
            <v>Nov</v>
          </cell>
        </row>
        <row r="3829">
          <cell r="C3829" t="str">
            <v>Other</v>
          </cell>
          <cell r="R3829">
            <v>0</v>
          </cell>
          <cell r="AZ3829">
            <v>0</v>
          </cell>
          <cell r="BA3829">
            <v>0</v>
          </cell>
          <cell r="BC3829" t="str">
            <v>OTHERS</v>
          </cell>
          <cell r="BE3829" t="str">
            <v>Dec</v>
          </cell>
        </row>
        <row r="3830">
          <cell r="C3830" t="str">
            <v>Other</v>
          </cell>
          <cell r="R3830">
            <v>0</v>
          </cell>
          <cell r="AZ3830">
            <v>0</v>
          </cell>
          <cell r="BA3830">
            <v>0</v>
          </cell>
          <cell r="BC3830" t="str">
            <v>OTHERS</v>
          </cell>
          <cell r="BE3830" t="str">
            <v>Jan</v>
          </cell>
        </row>
        <row r="3831">
          <cell r="C3831" t="str">
            <v>Other</v>
          </cell>
          <cell r="R3831">
            <v>30000</v>
          </cell>
          <cell r="AZ3831">
            <v>-9000</v>
          </cell>
          <cell r="BA3831">
            <v>0</v>
          </cell>
          <cell r="BC3831" t="str">
            <v>OTHERS</v>
          </cell>
          <cell r="BE3831" t="str">
            <v>Feb</v>
          </cell>
        </row>
        <row r="3832">
          <cell r="C3832" t="str">
            <v>Other</v>
          </cell>
          <cell r="R3832">
            <v>40000</v>
          </cell>
          <cell r="AZ3832">
            <v>-12000</v>
          </cell>
          <cell r="BA3832">
            <v>0</v>
          </cell>
          <cell r="BC3832" t="str">
            <v>OTHERS</v>
          </cell>
          <cell r="BE3832" t="str">
            <v>Mar</v>
          </cell>
        </row>
        <row r="3833">
          <cell r="C3833" t="str">
            <v>Other</v>
          </cell>
          <cell r="R3833">
            <v>30000</v>
          </cell>
          <cell r="AZ3833">
            <v>-9000</v>
          </cell>
          <cell r="BA3833">
            <v>0</v>
          </cell>
          <cell r="BC3833" t="str">
            <v>OTHERS</v>
          </cell>
          <cell r="BE3833" t="str">
            <v>Apr</v>
          </cell>
        </row>
        <row r="3834">
          <cell r="C3834" t="str">
            <v>Other</v>
          </cell>
          <cell r="R3834">
            <v>30000</v>
          </cell>
          <cell r="AZ3834">
            <v>-9000</v>
          </cell>
          <cell r="BA3834">
            <v>0</v>
          </cell>
          <cell r="BC3834" t="str">
            <v>OTHERS</v>
          </cell>
          <cell r="BE3834" t="str">
            <v>May</v>
          </cell>
        </row>
        <row r="3835">
          <cell r="C3835" t="str">
            <v>Other</v>
          </cell>
          <cell r="R3835">
            <v>30000</v>
          </cell>
          <cell r="AZ3835">
            <v>-9000</v>
          </cell>
          <cell r="BA3835">
            <v>0</v>
          </cell>
          <cell r="BC3835" t="str">
            <v>OTHERS</v>
          </cell>
          <cell r="BE3835" t="str">
            <v>Jun</v>
          </cell>
        </row>
        <row r="3836">
          <cell r="C3836" t="str">
            <v>Other</v>
          </cell>
          <cell r="R3836">
            <v>30000</v>
          </cell>
          <cell r="AZ3836">
            <v>-9000</v>
          </cell>
          <cell r="BA3836">
            <v>0</v>
          </cell>
          <cell r="BC3836" t="str">
            <v>OTHERS</v>
          </cell>
          <cell r="BE3836" t="str">
            <v>Jul</v>
          </cell>
        </row>
        <row r="3837">
          <cell r="C3837" t="str">
            <v>Other</v>
          </cell>
          <cell r="R3837">
            <v>30000</v>
          </cell>
          <cell r="AZ3837">
            <v>-9000</v>
          </cell>
          <cell r="BA3837">
            <v>0</v>
          </cell>
          <cell r="BC3837" t="str">
            <v>OTHERS</v>
          </cell>
          <cell r="BE3837" t="str">
            <v>Aug</v>
          </cell>
        </row>
        <row r="3838">
          <cell r="C3838" t="str">
            <v>Other</v>
          </cell>
          <cell r="R3838">
            <v>60000</v>
          </cell>
          <cell r="AZ3838">
            <v>-18000</v>
          </cell>
          <cell r="BA3838">
            <v>0</v>
          </cell>
          <cell r="BC3838" t="str">
            <v>OTHERS</v>
          </cell>
          <cell r="BE3838" t="str">
            <v>Sep</v>
          </cell>
        </row>
        <row r="3839">
          <cell r="C3839" t="str">
            <v>Other</v>
          </cell>
          <cell r="R3839">
            <v>60000</v>
          </cell>
          <cell r="AZ3839">
            <v>-18000</v>
          </cell>
          <cell r="BA3839">
            <v>0</v>
          </cell>
          <cell r="BC3839" t="str">
            <v>OTHERS</v>
          </cell>
          <cell r="BE3839" t="str">
            <v>Oct</v>
          </cell>
        </row>
        <row r="3840">
          <cell r="C3840" t="str">
            <v>Other</v>
          </cell>
          <cell r="R3840">
            <v>56000</v>
          </cell>
          <cell r="AZ3840">
            <v>-16800</v>
          </cell>
          <cell r="BA3840">
            <v>0</v>
          </cell>
          <cell r="BC3840" t="str">
            <v>OTHERS</v>
          </cell>
          <cell r="BE3840" t="str">
            <v>Nov</v>
          </cell>
        </row>
        <row r="3841">
          <cell r="C3841" t="str">
            <v>Other</v>
          </cell>
          <cell r="R3841">
            <v>60000</v>
          </cell>
          <cell r="AZ3841">
            <v>-18000</v>
          </cell>
          <cell r="BA3841">
            <v>0</v>
          </cell>
          <cell r="BC3841" t="str">
            <v>OTHERS</v>
          </cell>
          <cell r="BE3841" t="str">
            <v>Dec</v>
          </cell>
        </row>
        <row r="3842">
          <cell r="C3842" t="str">
            <v>Other</v>
          </cell>
          <cell r="R3842">
            <v>0</v>
          </cell>
          <cell r="AZ3842">
            <v>0</v>
          </cell>
          <cell r="BA3842">
            <v>0</v>
          </cell>
          <cell r="BC3842" t="str">
            <v>OTHERS</v>
          </cell>
          <cell r="BE3842" t="str">
            <v>Jan</v>
          </cell>
        </row>
        <row r="3843">
          <cell r="C3843" t="str">
            <v>Other</v>
          </cell>
          <cell r="R3843">
            <v>30000</v>
          </cell>
          <cell r="AZ3843">
            <v>-9000</v>
          </cell>
          <cell r="BA3843">
            <v>0</v>
          </cell>
          <cell r="BC3843" t="str">
            <v>OTHERS</v>
          </cell>
          <cell r="BE3843" t="str">
            <v>Feb</v>
          </cell>
        </row>
        <row r="3844">
          <cell r="C3844" t="str">
            <v>Other</v>
          </cell>
          <cell r="R3844">
            <v>40000</v>
          </cell>
          <cell r="AZ3844">
            <v>-12000</v>
          </cell>
          <cell r="BA3844">
            <v>0</v>
          </cell>
          <cell r="BC3844" t="str">
            <v>OTHERS</v>
          </cell>
          <cell r="BE3844" t="str">
            <v>Mar</v>
          </cell>
        </row>
        <row r="3845">
          <cell r="C3845" t="str">
            <v>Other</v>
          </cell>
          <cell r="R3845">
            <v>30000</v>
          </cell>
          <cell r="AZ3845">
            <v>-9000</v>
          </cell>
          <cell r="BA3845">
            <v>0</v>
          </cell>
          <cell r="BC3845" t="str">
            <v>OTHERS</v>
          </cell>
          <cell r="BE3845" t="str">
            <v>Apr</v>
          </cell>
        </row>
        <row r="3846">
          <cell r="C3846" t="str">
            <v>Other</v>
          </cell>
          <cell r="R3846">
            <v>30000</v>
          </cell>
          <cell r="AZ3846">
            <v>-9000</v>
          </cell>
          <cell r="BA3846">
            <v>0</v>
          </cell>
          <cell r="BC3846" t="str">
            <v>OTHERS</v>
          </cell>
          <cell r="BE3846" t="str">
            <v>May</v>
          </cell>
        </row>
        <row r="3847">
          <cell r="C3847" t="str">
            <v>Other</v>
          </cell>
          <cell r="R3847">
            <v>30000</v>
          </cell>
          <cell r="AZ3847">
            <v>-9000</v>
          </cell>
          <cell r="BA3847">
            <v>0</v>
          </cell>
          <cell r="BC3847" t="str">
            <v>OTHERS</v>
          </cell>
          <cell r="BE3847" t="str">
            <v>Jun</v>
          </cell>
        </row>
        <row r="3848">
          <cell r="C3848" t="str">
            <v>Other</v>
          </cell>
          <cell r="R3848">
            <v>30000</v>
          </cell>
          <cell r="AZ3848">
            <v>-9000</v>
          </cell>
          <cell r="BA3848">
            <v>0</v>
          </cell>
          <cell r="BC3848" t="str">
            <v>OTHERS</v>
          </cell>
          <cell r="BE3848" t="str">
            <v>Jul</v>
          </cell>
        </row>
        <row r="3849">
          <cell r="C3849" t="str">
            <v>Other</v>
          </cell>
          <cell r="R3849">
            <v>30000</v>
          </cell>
          <cell r="AZ3849">
            <v>-9000</v>
          </cell>
          <cell r="BA3849">
            <v>0</v>
          </cell>
          <cell r="BC3849" t="str">
            <v>OTHERS</v>
          </cell>
          <cell r="BE3849" t="str">
            <v>Aug</v>
          </cell>
        </row>
        <row r="3850">
          <cell r="C3850" t="str">
            <v>Other</v>
          </cell>
          <cell r="R3850">
            <v>30000</v>
          </cell>
          <cell r="AZ3850">
            <v>-9000</v>
          </cell>
          <cell r="BA3850">
            <v>0</v>
          </cell>
          <cell r="BC3850" t="str">
            <v>OTHERS</v>
          </cell>
          <cell r="BE3850" t="str">
            <v>Sep</v>
          </cell>
        </row>
        <row r="3851">
          <cell r="C3851" t="str">
            <v>Other</v>
          </cell>
          <cell r="R3851">
            <v>30000</v>
          </cell>
          <cell r="AZ3851">
            <v>-9000</v>
          </cell>
          <cell r="BA3851">
            <v>0</v>
          </cell>
          <cell r="BC3851" t="str">
            <v>OTHERS</v>
          </cell>
          <cell r="BE3851" t="str">
            <v>Oct</v>
          </cell>
        </row>
        <row r="3852">
          <cell r="C3852" t="str">
            <v>Other</v>
          </cell>
          <cell r="R3852">
            <v>30000</v>
          </cell>
          <cell r="AZ3852">
            <v>-9000</v>
          </cell>
          <cell r="BA3852">
            <v>0</v>
          </cell>
          <cell r="BC3852" t="str">
            <v>OTHERS</v>
          </cell>
          <cell r="BE3852" t="str">
            <v>Nov</v>
          </cell>
        </row>
        <row r="3853">
          <cell r="C3853" t="str">
            <v>Other</v>
          </cell>
          <cell r="R3853">
            <v>30000</v>
          </cell>
          <cell r="AZ3853">
            <v>-9000</v>
          </cell>
          <cell r="BA3853">
            <v>0</v>
          </cell>
          <cell r="BC3853" t="str">
            <v>OTHERS</v>
          </cell>
          <cell r="BE3853" t="str">
            <v>Dec</v>
          </cell>
        </row>
        <row r="3854">
          <cell r="C3854" t="str">
            <v>Other</v>
          </cell>
          <cell r="R3854">
            <v>0</v>
          </cell>
          <cell r="AZ3854">
            <v>0</v>
          </cell>
          <cell r="BA3854">
            <v>0</v>
          </cell>
          <cell r="BC3854" t="str">
            <v>OTHERS</v>
          </cell>
          <cell r="BE3854" t="str">
            <v>Jan</v>
          </cell>
        </row>
        <row r="3855">
          <cell r="C3855" t="str">
            <v>Other</v>
          </cell>
          <cell r="R3855">
            <v>30000</v>
          </cell>
          <cell r="AZ3855">
            <v>-9000</v>
          </cell>
          <cell r="BA3855">
            <v>0</v>
          </cell>
          <cell r="BC3855" t="str">
            <v>OTHERS</v>
          </cell>
          <cell r="BE3855" t="str">
            <v>Feb</v>
          </cell>
        </row>
        <row r="3856">
          <cell r="C3856" t="str">
            <v>Other</v>
          </cell>
          <cell r="R3856">
            <v>0</v>
          </cell>
          <cell r="AZ3856">
            <v>0</v>
          </cell>
          <cell r="BA3856">
            <v>0</v>
          </cell>
          <cell r="BC3856" t="str">
            <v>OTHERS</v>
          </cell>
          <cell r="BE3856" t="str">
            <v>Mar</v>
          </cell>
        </row>
        <row r="3857">
          <cell r="C3857" t="str">
            <v>Other</v>
          </cell>
          <cell r="R3857">
            <v>30000</v>
          </cell>
          <cell r="AZ3857">
            <v>-9000</v>
          </cell>
          <cell r="BA3857">
            <v>0</v>
          </cell>
          <cell r="BC3857" t="str">
            <v>OTHERS</v>
          </cell>
          <cell r="BE3857" t="str">
            <v>Apr</v>
          </cell>
        </row>
        <row r="3858">
          <cell r="C3858" t="str">
            <v>Other</v>
          </cell>
          <cell r="R3858">
            <v>30000</v>
          </cell>
          <cell r="AZ3858">
            <v>-9000</v>
          </cell>
          <cell r="BA3858">
            <v>0</v>
          </cell>
          <cell r="BC3858" t="str">
            <v>OTHERS</v>
          </cell>
          <cell r="BE3858" t="str">
            <v>May</v>
          </cell>
        </row>
        <row r="3859">
          <cell r="C3859" t="str">
            <v>Other</v>
          </cell>
          <cell r="R3859">
            <v>30000</v>
          </cell>
          <cell r="AZ3859">
            <v>-9000</v>
          </cell>
          <cell r="BA3859">
            <v>0</v>
          </cell>
          <cell r="BC3859" t="str">
            <v>OTHERS</v>
          </cell>
          <cell r="BE3859" t="str">
            <v>Jun</v>
          </cell>
        </row>
        <row r="3860">
          <cell r="C3860" t="str">
            <v>Other</v>
          </cell>
          <cell r="R3860">
            <v>30000</v>
          </cell>
          <cell r="AZ3860">
            <v>-9000</v>
          </cell>
          <cell r="BA3860">
            <v>0</v>
          </cell>
          <cell r="BC3860" t="str">
            <v>OTHERS</v>
          </cell>
          <cell r="BE3860" t="str">
            <v>Jul</v>
          </cell>
        </row>
        <row r="3861">
          <cell r="C3861" t="str">
            <v>Other</v>
          </cell>
          <cell r="R3861">
            <v>30000</v>
          </cell>
          <cell r="AZ3861">
            <v>-9000</v>
          </cell>
          <cell r="BA3861">
            <v>0</v>
          </cell>
          <cell r="BC3861" t="str">
            <v>OTHERS</v>
          </cell>
          <cell r="BE3861" t="str">
            <v>Aug</v>
          </cell>
        </row>
        <row r="3862">
          <cell r="C3862" t="str">
            <v>Other</v>
          </cell>
          <cell r="R3862">
            <v>30000</v>
          </cell>
          <cell r="AZ3862">
            <v>-9000</v>
          </cell>
          <cell r="BA3862">
            <v>0</v>
          </cell>
          <cell r="BC3862" t="str">
            <v>OTHERS</v>
          </cell>
          <cell r="BE3862" t="str">
            <v>Sep</v>
          </cell>
        </row>
        <row r="3863">
          <cell r="C3863" t="str">
            <v>Other</v>
          </cell>
          <cell r="R3863">
            <v>30000</v>
          </cell>
          <cell r="AZ3863">
            <v>-9000</v>
          </cell>
          <cell r="BA3863">
            <v>0</v>
          </cell>
          <cell r="BC3863" t="str">
            <v>OTHERS</v>
          </cell>
          <cell r="BE3863" t="str">
            <v>Oct</v>
          </cell>
        </row>
        <row r="3864">
          <cell r="C3864" t="str">
            <v>Other</v>
          </cell>
          <cell r="R3864">
            <v>30000</v>
          </cell>
          <cell r="AZ3864">
            <v>-9000</v>
          </cell>
          <cell r="BA3864">
            <v>0</v>
          </cell>
          <cell r="BC3864" t="str">
            <v>OTHERS</v>
          </cell>
          <cell r="BE3864" t="str">
            <v>Nov</v>
          </cell>
        </row>
        <row r="3865">
          <cell r="C3865" t="str">
            <v>Other</v>
          </cell>
          <cell r="R3865">
            <v>30000</v>
          </cell>
          <cell r="AZ3865">
            <v>-9000</v>
          </cell>
          <cell r="BA3865">
            <v>0</v>
          </cell>
          <cell r="BC3865" t="str">
            <v>OTHERS</v>
          </cell>
          <cell r="BE3865" t="str">
            <v>Dec</v>
          </cell>
        </row>
        <row r="3866">
          <cell r="C3866" t="str">
            <v>Other</v>
          </cell>
          <cell r="R3866">
            <v>0</v>
          </cell>
          <cell r="AZ3866">
            <v>0</v>
          </cell>
          <cell r="BA3866">
            <v>0</v>
          </cell>
          <cell r="BC3866" t="str">
            <v>OTHERS</v>
          </cell>
          <cell r="BE3866" t="str">
            <v>Jan</v>
          </cell>
        </row>
        <row r="3867">
          <cell r="C3867" t="str">
            <v>Other</v>
          </cell>
          <cell r="R3867">
            <v>30000</v>
          </cell>
          <cell r="AZ3867">
            <v>-9000</v>
          </cell>
          <cell r="BA3867">
            <v>0</v>
          </cell>
          <cell r="BC3867" t="str">
            <v>OTHERS</v>
          </cell>
          <cell r="BE3867" t="str">
            <v>Feb</v>
          </cell>
        </row>
        <row r="3868">
          <cell r="C3868" t="str">
            <v>Other</v>
          </cell>
          <cell r="R3868">
            <v>0</v>
          </cell>
          <cell r="AZ3868">
            <v>0</v>
          </cell>
          <cell r="BA3868">
            <v>0</v>
          </cell>
          <cell r="BC3868" t="str">
            <v>OTHERS</v>
          </cell>
          <cell r="BE3868" t="str">
            <v>Mar</v>
          </cell>
        </row>
        <row r="3869">
          <cell r="C3869" t="str">
            <v>Other</v>
          </cell>
          <cell r="R3869">
            <v>30000</v>
          </cell>
          <cell r="AZ3869">
            <v>-9000</v>
          </cell>
          <cell r="BA3869">
            <v>0</v>
          </cell>
          <cell r="BC3869" t="str">
            <v>OTHERS</v>
          </cell>
          <cell r="BE3869" t="str">
            <v>Apr</v>
          </cell>
        </row>
        <row r="3870">
          <cell r="C3870" t="str">
            <v>Other</v>
          </cell>
          <cell r="R3870">
            <v>30000</v>
          </cell>
          <cell r="AZ3870">
            <v>-9000</v>
          </cell>
          <cell r="BA3870">
            <v>0</v>
          </cell>
          <cell r="BC3870" t="str">
            <v>OTHERS</v>
          </cell>
          <cell r="BE3870" t="str">
            <v>May</v>
          </cell>
        </row>
        <row r="3871">
          <cell r="C3871" t="str">
            <v>Other</v>
          </cell>
          <cell r="R3871">
            <v>30000</v>
          </cell>
          <cell r="AZ3871">
            <v>-9000</v>
          </cell>
          <cell r="BA3871">
            <v>0</v>
          </cell>
          <cell r="BC3871" t="str">
            <v>OTHERS</v>
          </cell>
          <cell r="BE3871" t="str">
            <v>Jun</v>
          </cell>
        </row>
        <row r="3872">
          <cell r="C3872" t="str">
            <v>Other</v>
          </cell>
          <cell r="R3872">
            <v>30000</v>
          </cell>
          <cell r="AZ3872">
            <v>-9000</v>
          </cell>
          <cell r="BA3872">
            <v>0</v>
          </cell>
          <cell r="BC3872" t="str">
            <v>OTHERS</v>
          </cell>
          <cell r="BE3872" t="str">
            <v>Jul</v>
          </cell>
        </row>
        <row r="3873">
          <cell r="C3873" t="str">
            <v>Other</v>
          </cell>
          <cell r="R3873">
            <v>30000</v>
          </cell>
          <cell r="AZ3873">
            <v>-9000</v>
          </cell>
          <cell r="BA3873">
            <v>0</v>
          </cell>
          <cell r="BC3873" t="str">
            <v>OTHERS</v>
          </cell>
          <cell r="BE3873" t="str">
            <v>Aug</v>
          </cell>
        </row>
        <row r="3874">
          <cell r="C3874" t="str">
            <v>Other</v>
          </cell>
          <cell r="R3874">
            <v>30000</v>
          </cell>
          <cell r="AZ3874">
            <v>-9000</v>
          </cell>
          <cell r="BA3874">
            <v>0</v>
          </cell>
          <cell r="BC3874" t="str">
            <v>OTHERS</v>
          </cell>
          <cell r="BE3874" t="str">
            <v>Sep</v>
          </cell>
        </row>
        <row r="3875">
          <cell r="C3875" t="str">
            <v>Other</v>
          </cell>
          <cell r="R3875">
            <v>30000</v>
          </cell>
          <cell r="AZ3875">
            <v>-9000</v>
          </cell>
          <cell r="BA3875">
            <v>0</v>
          </cell>
          <cell r="BC3875" t="str">
            <v>OTHERS</v>
          </cell>
          <cell r="BE3875" t="str">
            <v>Oct</v>
          </cell>
        </row>
        <row r="3876">
          <cell r="C3876" t="str">
            <v>Other</v>
          </cell>
          <cell r="R3876">
            <v>30000</v>
          </cell>
          <cell r="AZ3876">
            <v>-9000</v>
          </cell>
          <cell r="BA3876">
            <v>0</v>
          </cell>
          <cell r="BC3876" t="str">
            <v>OTHERS</v>
          </cell>
          <cell r="BE3876" t="str">
            <v>Nov</v>
          </cell>
        </row>
        <row r="3877">
          <cell r="C3877" t="str">
            <v>Other</v>
          </cell>
          <cell r="R3877">
            <v>30000</v>
          </cell>
          <cell r="AZ3877">
            <v>-9000</v>
          </cell>
          <cell r="BA3877">
            <v>0</v>
          </cell>
          <cell r="BC3877" t="str">
            <v>OTHERS</v>
          </cell>
          <cell r="BE3877" t="str">
            <v>Dec</v>
          </cell>
        </row>
        <row r="3878">
          <cell r="C3878" t="str">
            <v>Other</v>
          </cell>
          <cell r="R3878">
            <v>0</v>
          </cell>
          <cell r="AZ3878">
            <v>0</v>
          </cell>
          <cell r="BA3878">
            <v>0</v>
          </cell>
          <cell r="BC3878" t="str">
            <v>OTHERS</v>
          </cell>
          <cell r="BE3878" t="str">
            <v>Jan</v>
          </cell>
        </row>
        <row r="3879">
          <cell r="C3879" t="str">
            <v>Other</v>
          </cell>
          <cell r="R3879">
            <v>0</v>
          </cell>
          <cell r="AZ3879">
            <v>0</v>
          </cell>
          <cell r="BA3879">
            <v>0</v>
          </cell>
          <cell r="BC3879" t="str">
            <v>OTHERS</v>
          </cell>
          <cell r="BE3879" t="str">
            <v>Feb</v>
          </cell>
        </row>
        <row r="3880">
          <cell r="C3880" t="str">
            <v>Other</v>
          </cell>
          <cell r="R3880">
            <v>0</v>
          </cell>
          <cell r="AZ3880">
            <v>0</v>
          </cell>
          <cell r="BA3880">
            <v>0</v>
          </cell>
          <cell r="BC3880" t="str">
            <v>OTHERS</v>
          </cell>
          <cell r="BE3880" t="str">
            <v>Mar</v>
          </cell>
        </row>
        <row r="3881">
          <cell r="C3881" t="str">
            <v>Other</v>
          </cell>
          <cell r="R3881">
            <v>0</v>
          </cell>
          <cell r="AZ3881">
            <v>0</v>
          </cell>
          <cell r="BA3881">
            <v>0</v>
          </cell>
          <cell r="BC3881" t="str">
            <v>OTHERS</v>
          </cell>
          <cell r="BE3881" t="str">
            <v>Apr</v>
          </cell>
        </row>
        <row r="3882">
          <cell r="C3882" t="str">
            <v>Other</v>
          </cell>
          <cell r="R3882">
            <v>0</v>
          </cell>
          <cell r="AZ3882">
            <v>0</v>
          </cell>
          <cell r="BA3882">
            <v>0</v>
          </cell>
          <cell r="BC3882" t="str">
            <v>OTHERS</v>
          </cell>
          <cell r="BE3882" t="str">
            <v>May</v>
          </cell>
        </row>
        <row r="3883">
          <cell r="C3883" t="str">
            <v>Other</v>
          </cell>
          <cell r="R3883">
            <v>0</v>
          </cell>
          <cell r="AZ3883">
            <v>0</v>
          </cell>
          <cell r="BA3883">
            <v>0</v>
          </cell>
          <cell r="BC3883" t="str">
            <v>OTHERS</v>
          </cell>
          <cell r="BE3883" t="str">
            <v>Jun</v>
          </cell>
        </row>
        <row r="3884">
          <cell r="C3884" t="str">
            <v>Other</v>
          </cell>
          <cell r="R3884">
            <v>30000</v>
          </cell>
          <cell r="AZ3884">
            <v>-9000</v>
          </cell>
          <cell r="BA3884">
            <v>0</v>
          </cell>
          <cell r="BC3884" t="str">
            <v>OTHERS</v>
          </cell>
          <cell r="BE3884" t="str">
            <v>Jul</v>
          </cell>
        </row>
        <row r="3885">
          <cell r="C3885" t="str">
            <v>Other</v>
          </cell>
          <cell r="R3885">
            <v>30000</v>
          </cell>
          <cell r="AZ3885">
            <v>-9000</v>
          </cell>
          <cell r="BA3885">
            <v>0</v>
          </cell>
          <cell r="BC3885" t="str">
            <v>OTHERS</v>
          </cell>
          <cell r="BE3885" t="str">
            <v>Aug</v>
          </cell>
        </row>
        <row r="3886">
          <cell r="C3886" t="str">
            <v>Other</v>
          </cell>
          <cell r="R3886">
            <v>30000</v>
          </cell>
          <cell r="AZ3886">
            <v>-9000</v>
          </cell>
          <cell r="BA3886">
            <v>0</v>
          </cell>
          <cell r="BC3886" t="str">
            <v>OTHERS</v>
          </cell>
          <cell r="BE3886" t="str">
            <v>Sep</v>
          </cell>
        </row>
        <row r="3887">
          <cell r="C3887" t="str">
            <v>Other</v>
          </cell>
          <cell r="R3887">
            <v>30000</v>
          </cell>
          <cell r="AZ3887">
            <v>-9000</v>
          </cell>
          <cell r="BA3887">
            <v>0</v>
          </cell>
          <cell r="BC3887" t="str">
            <v>OTHERS</v>
          </cell>
          <cell r="BE3887" t="str">
            <v>Oct</v>
          </cell>
        </row>
        <row r="3888">
          <cell r="C3888" t="str">
            <v>Other</v>
          </cell>
          <cell r="R3888">
            <v>30000</v>
          </cell>
          <cell r="AZ3888">
            <v>-9000</v>
          </cell>
          <cell r="BA3888">
            <v>0</v>
          </cell>
          <cell r="BC3888" t="str">
            <v>OTHERS</v>
          </cell>
          <cell r="BE3888" t="str">
            <v>Nov</v>
          </cell>
        </row>
        <row r="3889">
          <cell r="C3889" t="str">
            <v>Other</v>
          </cell>
          <cell r="R3889">
            <v>30000</v>
          </cell>
          <cell r="AZ3889">
            <v>-9000</v>
          </cell>
          <cell r="BA3889">
            <v>0</v>
          </cell>
          <cell r="BC3889" t="str">
            <v>OTHERS</v>
          </cell>
          <cell r="BE3889" t="str">
            <v>Dec</v>
          </cell>
        </row>
        <row r="3890">
          <cell r="C3890" t="str">
            <v>Other</v>
          </cell>
          <cell r="R3890">
            <v>0</v>
          </cell>
          <cell r="AZ3890">
            <v>0</v>
          </cell>
          <cell r="BA3890">
            <v>0</v>
          </cell>
          <cell r="BC3890" t="str">
            <v>OTHERS</v>
          </cell>
          <cell r="BE3890" t="str">
            <v>Jan</v>
          </cell>
        </row>
        <row r="3891">
          <cell r="C3891" t="str">
            <v>Other</v>
          </cell>
          <cell r="R3891">
            <v>0</v>
          </cell>
          <cell r="AZ3891">
            <v>0</v>
          </cell>
          <cell r="BA3891">
            <v>0</v>
          </cell>
          <cell r="BC3891" t="str">
            <v>OTHERS</v>
          </cell>
          <cell r="BE3891" t="str">
            <v>Feb</v>
          </cell>
        </row>
        <row r="3892">
          <cell r="C3892" t="str">
            <v>Other</v>
          </cell>
          <cell r="R3892">
            <v>0</v>
          </cell>
          <cell r="AZ3892">
            <v>0</v>
          </cell>
          <cell r="BA3892">
            <v>0</v>
          </cell>
          <cell r="BC3892" t="str">
            <v>OTHERS</v>
          </cell>
          <cell r="BE3892" t="str">
            <v>Mar</v>
          </cell>
        </row>
        <row r="3893">
          <cell r="C3893" t="str">
            <v>Other</v>
          </cell>
          <cell r="R3893">
            <v>0</v>
          </cell>
          <cell r="AZ3893">
            <v>0</v>
          </cell>
          <cell r="BA3893">
            <v>0</v>
          </cell>
          <cell r="BC3893" t="str">
            <v>OTHERS</v>
          </cell>
          <cell r="BE3893" t="str">
            <v>Apr</v>
          </cell>
        </row>
        <row r="3894">
          <cell r="C3894" t="str">
            <v>Other</v>
          </cell>
          <cell r="R3894">
            <v>0</v>
          </cell>
          <cell r="AZ3894">
            <v>0</v>
          </cell>
          <cell r="BA3894">
            <v>0</v>
          </cell>
          <cell r="BC3894" t="str">
            <v>OTHERS</v>
          </cell>
          <cell r="BE3894" t="str">
            <v>May</v>
          </cell>
        </row>
        <row r="3895">
          <cell r="C3895" t="str">
            <v>Other</v>
          </cell>
          <cell r="R3895">
            <v>0</v>
          </cell>
          <cell r="AZ3895">
            <v>0</v>
          </cell>
          <cell r="BA3895">
            <v>0</v>
          </cell>
          <cell r="BC3895" t="str">
            <v>OTHERS</v>
          </cell>
          <cell r="BE3895" t="str">
            <v>Jun</v>
          </cell>
        </row>
        <row r="3896">
          <cell r="C3896" t="str">
            <v>Other</v>
          </cell>
          <cell r="R3896">
            <v>30000</v>
          </cell>
          <cell r="AZ3896">
            <v>-9000</v>
          </cell>
          <cell r="BA3896">
            <v>0</v>
          </cell>
          <cell r="BC3896" t="str">
            <v>OTHERS</v>
          </cell>
          <cell r="BE3896" t="str">
            <v>Jul</v>
          </cell>
        </row>
        <row r="3897">
          <cell r="C3897" t="str">
            <v>Other</v>
          </cell>
          <cell r="R3897">
            <v>30000</v>
          </cell>
          <cell r="AZ3897">
            <v>-9000</v>
          </cell>
          <cell r="BA3897">
            <v>0</v>
          </cell>
          <cell r="BC3897" t="str">
            <v>OTHERS</v>
          </cell>
          <cell r="BE3897" t="str">
            <v>Aug</v>
          </cell>
        </row>
        <row r="3898">
          <cell r="C3898" t="str">
            <v>Other</v>
          </cell>
          <cell r="R3898">
            <v>30000</v>
          </cell>
          <cell r="AZ3898">
            <v>-9000</v>
          </cell>
          <cell r="BA3898">
            <v>0</v>
          </cell>
          <cell r="BC3898" t="str">
            <v>OTHERS</v>
          </cell>
          <cell r="BE3898" t="str">
            <v>Sep</v>
          </cell>
        </row>
        <row r="3899">
          <cell r="C3899" t="str">
            <v>Other</v>
          </cell>
          <cell r="R3899">
            <v>30000</v>
          </cell>
          <cell r="AZ3899">
            <v>-9000</v>
          </cell>
          <cell r="BA3899">
            <v>0</v>
          </cell>
          <cell r="BC3899" t="str">
            <v>OTHERS</v>
          </cell>
          <cell r="BE3899" t="str">
            <v>Oct</v>
          </cell>
        </row>
        <row r="3900">
          <cell r="C3900" t="str">
            <v>Other</v>
          </cell>
          <cell r="R3900">
            <v>30000</v>
          </cell>
          <cell r="AZ3900">
            <v>-9000</v>
          </cell>
          <cell r="BA3900">
            <v>0</v>
          </cell>
          <cell r="BC3900" t="str">
            <v>OTHERS</v>
          </cell>
          <cell r="BE3900" t="str">
            <v>Nov</v>
          </cell>
        </row>
        <row r="3901">
          <cell r="C3901" t="str">
            <v>Other</v>
          </cell>
          <cell r="R3901">
            <v>30000</v>
          </cell>
          <cell r="AZ3901">
            <v>-9000</v>
          </cell>
          <cell r="BA3901">
            <v>0</v>
          </cell>
          <cell r="BC3901" t="str">
            <v>OTHERS</v>
          </cell>
          <cell r="BE3901" t="str">
            <v>Dec</v>
          </cell>
        </row>
        <row r="3902">
          <cell r="C3902" t="str">
            <v>Other</v>
          </cell>
          <cell r="R3902">
            <v>0</v>
          </cell>
          <cell r="AZ3902">
            <v>0</v>
          </cell>
          <cell r="BA3902">
            <v>0</v>
          </cell>
          <cell r="BC3902" t="str">
            <v>OTHERS</v>
          </cell>
          <cell r="BE3902" t="str">
            <v>Jan</v>
          </cell>
        </row>
        <row r="3903">
          <cell r="C3903" t="str">
            <v>Other</v>
          </cell>
          <cell r="R3903">
            <v>0</v>
          </cell>
          <cell r="AZ3903">
            <v>0</v>
          </cell>
          <cell r="BA3903">
            <v>0</v>
          </cell>
          <cell r="BC3903" t="str">
            <v>OTHERS</v>
          </cell>
          <cell r="BE3903" t="str">
            <v>Feb</v>
          </cell>
        </row>
        <row r="3904">
          <cell r="C3904" t="str">
            <v>Other</v>
          </cell>
          <cell r="R3904">
            <v>0</v>
          </cell>
          <cell r="AZ3904">
            <v>0</v>
          </cell>
          <cell r="BA3904">
            <v>0</v>
          </cell>
          <cell r="BC3904" t="str">
            <v>OTHERS</v>
          </cell>
          <cell r="BE3904" t="str">
            <v>Mar</v>
          </cell>
        </row>
        <row r="3905">
          <cell r="C3905" t="str">
            <v>Other</v>
          </cell>
          <cell r="R3905">
            <v>0</v>
          </cell>
          <cell r="AZ3905">
            <v>0</v>
          </cell>
          <cell r="BA3905">
            <v>0</v>
          </cell>
          <cell r="BC3905" t="str">
            <v>OTHERS</v>
          </cell>
          <cell r="BE3905" t="str">
            <v>Apr</v>
          </cell>
        </row>
        <row r="3906">
          <cell r="C3906" t="str">
            <v>Other</v>
          </cell>
          <cell r="R3906">
            <v>0</v>
          </cell>
          <cell r="AZ3906">
            <v>0</v>
          </cell>
          <cell r="BA3906">
            <v>0</v>
          </cell>
          <cell r="BC3906" t="str">
            <v>OTHERS</v>
          </cell>
          <cell r="BE3906" t="str">
            <v>May</v>
          </cell>
        </row>
        <row r="3907">
          <cell r="C3907" t="str">
            <v>Other</v>
          </cell>
          <cell r="R3907">
            <v>0</v>
          </cell>
          <cell r="AZ3907">
            <v>0</v>
          </cell>
          <cell r="BA3907">
            <v>0</v>
          </cell>
          <cell r="BC3907" t="str">
            <v>OTHERS</v>
          </cell>
          <cell r="BE3907" t="str">
            <v>Jun</v>
          </cell>
        </row>
        <row r="3908">
          <cell r="C3908" t="str">
            <v>Other</v>
          </cell>
          <cell r="R3908">
            <v>30000</v>
          </cell>
          <cell r="AZ3908">
            <v>-9000</v>
          </cell>
          <cell r="BA3908">
            <v>0</v>
          </cell>
          <cell r="BC3908" t="str">
            <v>OTHERS</v>
          </cell>
          <cell r="BE3908" t="str">
            <v>Jul</v>
          </cell>
        </row>
        <row r="3909">
          <cell r="C3909" t="str">
            <v>Other</v>
          </cell>
          <cell r="R3909">
            <v>30000</v>
          </cell>
          <cell r="AZ3909">
            <v>-9000</v>
          </cell>
          <cell r="BA3909">
            <v>0</v>
          </cell>
          <cell r="BC3909" t="str">
            <v>OTHERS</v>
          </cell>
          <cell r="BE3909" t="str">
            <v>Aug</v>
          </cell>
        </row>
        <row r="3910">
          <cell r="C3910" t="str">
            <v>Other</v>
          </cell>
          <cell r="R3910">
            <v>30000</v>
          </cell>
          <cell r="AZ3910">
            <v>-9000</v>
          </cell>
          <cell r="BA3910">
            <v>0</v>
          </cell>
          <cell r="BC3910" t="str">
            <v>OTHERS</v>
          </cell>
          <cell r="BE3910" t="str">
            <v>Sep</v>
          </cell>
        </row>
        <row r="3911">
          <cell r="C3911" t="str">
            <v>Other</v>
          </cell>
          <cell r="R3911">
            <v>30000</v>
          </cell>
          <cell r="AZ3911">
            <v>-9000</v>
          </cell>
          <cell r="BA3911">
            <v>0</v>
          </cell>
          <cell r="BC3911" t="str">
            <v>OTHERS</v>
          </cell>
          <cell r="BE3911" t="str">
            <v>Oct</v>
          </cell>
        </row>
        <row r="3912">
          <cell r="C3912" t="str">
            <v>Other</v>
          </cell>
          <cell r="R3912">
            <v>30000</v>
          </cell>
          <cell r="AZ3912">
            <v>-9000</v>
          </cell>
          <cell r="BA3912">
            <v>0</v>
          </cell>
          <cell r="BC3912" t="str">
            <v>OTHERS</v>
          </cell>
          <cell r="BE3912" t="str">
            <v>Nov</v>
          </cell>
        </row>
        <row r="3913">
          <cell r="C3913" t="str">
            <v>Other</v>
          </cell>
          <cell r="R3913">
            <v>30000</v>
          </cell>
          <cell r="AZ3913">
            <v>-9000</v>
          </cell>
          <cell r="BA3913">
            <v>0</v>
          </cell>
          <cell r="BC3913" t="str">
            <v>OTHERS</v>
          </cell>
          <cell r="BE3913" t="str">
            <v>Dec</v>
          </cell>
        </row>
        <row r="3914">
          <cell r="C3914" t="str">
            <v>Other</v>
          </cell>
          <cell r="R3914">
            <v>0</v>
          </cell>
          <cell r="AZ3914">
            <v>0</v>
          </cell>
          <cell r="BA3914">
            <v>0</v>
          </cell>
          <cell r="BC3914" t="str">
            <v>OTHERS</v>
          </cell>
          <cell r="BE3914" t="str">
            <v>Jan</v>
          </cell>
        </row>
        <row r="3915">
          <cell r="C3915" t="str">
            <v>Other</v>
          </cell>
          <cell r="R3915">
            <v>0</v>
          </cell>
          <cell r="AZ3915">
            <v>0</v>
          </cell>
          <cell r="BA3915">
            <v>0</v>
          </cell>
          <cell r="BC3915" t="str">
            <v>OTHERS</v>
          </cell>
          <cell r="BE3915" t="str">
            <v>Feb</v>
          </cell>
        </row>
        <row r="3916">
          <cell r="C3916" t="str">
            <v>Other</v>
          </cell>
          <cell r="R3916">
            <v>0</v>
          </cell>
          <cell r="AZ3916">
            <v>0</v>
          </cell>
          <cell r="BA3916">
            <v>0</v>
          </cell>
          <cell r="BC3916" t="str">
            <v>OTHERS</v>
          </cell>
          <cell r="BE3916" t="str">
            <v>Mar</v>
          </cell>
        </row>
        <row r="3917">
          <cell r="C3917" t="str">
            <v>Other</v>
          </cell>
          <cell r="R3917">
            <v>0</v>
          </cell>
          <cell r="AZ3917">
            <v>0</v>
          </cell>
          <cell r="BA3917">
            <v>0</v>
          </cell>
          <cell r="BC3917" t="str">
            <v>OTHERS</v>
          </cell>
          <cell r="BE3917" t="str">
            <v>Apr</v>
          </cell>
        </row>
        <row r="3918">
          <cell r="C3918" t="str">
            <v>Other</v>
          </cell>
          <cell r="R3918">
            <v>0</v>
          </cell>
          <cell r="AZ3918">
            <v>0</v>
          </cell>
          <cell r="BA3918">
            <v>0</v>
          </cell>
          <cell r="BC3918" t="str">
            <v>OTHERS</v>
          </cell>
          <cell r="BE3918" t="str">
            <v>May</v>
          </cell>
        </row>
        <row r="3919">
          <cell r="C3919" t="str">
            <v>Other</v>
          </cell>
          <cell r="R3919">
            <v>0</v>
          </cell>
          <cell r="AZ3919">
            <v>0</v>
          </cell>
          <cell r="BA3919">
            <v>0</v>
          </cell>
          <cell r="BC3919" t="str">
            <v>OTHERS</v>
          </cell>
          <cell r="BE3919" t="str">
            <v>Jun</v>
          </cell>
        </row>
        <row r="3920">
          <cell r="C3920" t="str">
            <v>Other</v>
          </cell>
          <cell r="R3920">
            <v>30000</v>
          </cell>
          <cell r="AZ3920">
            <v>-9000</v>
          </cell>
          <cell r="BA3920">
            <v>0</v>
          </cell>
          <cell r="BC3920" t="str">
            <v>OTHERS</v>
          </cell>
          <cell r="BE3920" t="str">
            <v>Jul</v>
          </cell>
        </row>
        <row r="3921">
          <cell r="C3921" t="str">
            <v>Other</v>
          </cell>
          <cell r="R3921">
            <v>30000</v>
          </cell>
          <cell r="AZ3921">
            <v>-9000</v>
          </cell>
          <cell r="BA3921">
            <v>0</v>
          </cell>
          <cell r="BC3921" t="str">
            <v>OTHERS</v>
          </cell>
          <cell r="BE3921" t="str">
            <v>Aug</v>
          </cell>
        </row>
        <row r="3922">
          <cell r="C3922" t="str">
            <v>Other</v>
          </cell>
          <cell r="R3922">
            <v>30000</v>
          </cell>
          <cell r="AZ3922">
            <v>-9000</v>
          </cell>
          <cell r="BA3922">
            <v>0</v>
          </cell>
          <cell r="BC3922" t="str">
            <v>OTHERS</v>
          </cell>
          <cell r="BE3922" t="str">
            <v>Sep</v>
          </cell>
        </row>
        <row r="3923">
          <cell r="C3923" t="str">
            <v>Other</v>
          </cell>
          <cell r="R3923">
            <v>30000</v>
          </cell>
          <cell r="AZ3923">
            <v>-9000</v>
          </cell>
          <cell r="BA3923">
            <v>0</v>
          </cell>
          <cell r="BC3923" t="str">
            <v>OTHERS</v>
          </cell>
          <cell r="BE3923" t="str">
            <v>Oct</v>
          </cell>
        </row>
        <row r="3924">
          <cell r="C3924" t="str">
            <v>Other</v>
          </cell>
          <cell r="R3924">
            <v>30000</v>
          </cell>
          <cell r="AZ3924">
            <v>-9000</v>
          </cell>
          <cell r="BA3924">
            <v>0</v>
          </cell>
          <cell r="BC3924" t="str">
            <v>OTHERS</v>
          </cell>
          <cell r="BE3924" t="str">
            <v>Nov</v>
          </cell>
        </row>
        <row r="3925">
          <cell r="C3925" t="str">
            <v>Other</v>
          </cell>
          <cell r="R3925">
            <v>30000</v>
          </cell>
          <cell r="AZ3925">
            <v>-9000</v>
          </cell>
          <cell r="BA3925">
            <v>0</v>
          </cell>
          <cell r="BC3925" t="str">
            <v>OTHERS</v>
          </cell>
          <cell r="BE3925" t="str">
            <v>Dec</v>
          </cell>
        </row>
        <row r="3926">
          <cell r="C3926" t="str">
            <v>Other</v>
          </cell>
          <cell r="R3926">
            <v>0</v>
          </cell>
          <cell r="AZ3926">
            <v>0</v>
          </cell>
          <cell r="BA3926">
            <v>0</v>
          </cell>
          <cell r="BC3926" t="str">
            <v>OTHERS</v>
          </cell>
          <cell r="BE3926" t="str">
            <v>Jan</v>
          </cell>
        </row>
        <row r="3927">
          <cell r="C3927" t="str">
            <v>Other</v>
          </cell>
          <cell r="R3927">
            <v>0</v>
          </cell>
          <cell r="AZ3927">
            <v>0</v>
          </cell>
          <cell r="BA3927">
            <v>0</v>
          </cell>
          <cell r="BC3927" t="str">
            <v>OTHERS</v>
          </cell>
          <cell r="BE3927" t="str">
            <v>Feb</v>
          </cell>
        </row>
        <row r="3928">
          <cell r="C3928" t="str">
            <v>Other</v>
          </cell>
          <cell r="R3928">
            <v>0</v>
          </cell>
          <cell r="AZ3928">
            <v>0</v>
          </cell>
          <cell r="BA3928">
            <v>0</v>
          </cell>
          <cell r="BC3928" t="str">
            <v>OTHERS</v>
          </cell>
          <cell r="BE3928" t="str">
            <v>Mar</v>
          </cell>
        </row>
        <row r="3929">
          <cell r="C3929" t="str">
            <v>Other</v>
          </cell>
          <cell r="R3929">
            <v>0</v>
          </cell>
          <cell r="AZ3929">
            <v>0</v>
          </cell>
          <cell r="BA3929">
            <v>0</v>
          </cell>
          <cell r="BC3929" t="str">
            <v>OTHERS</v>
          </cell>
          <cell r="BE3929" t="str">
            <v>Apr</v>
          </cell>
        </row>
        <row r="3930">
          <cell r="C3930" t="str">
            <v>Other</v>
          </cell>
          <cell r="R3930">
            <v>0</v>
          </cell>
          <cell r="AZ3930">
            <v>0</v>
          </cell>
          <cell r="BA3930">
            <v>0</v>
          </cell>
          <cell r="BC3930" t="str">
            <v>OTHERS</v>
          </cell>
          <cell r="BE3930" t="str">
            <v>May</v>
          </cell>
        </row>
        <row r="3931">
          <cell r="C3931" t="str">
            <v>Other</v>
          </cell>
          <cell r="R3931">
            <v>0</v>
          </cell>
          <cell r="AZ3931">
            <v>0</v>
          </cell>
          <cell r="BA3931">
            <v>0</v>
          </cell>
          <cell r="BC3931" t="str">
            <v>OTHERS</v>
          </cell>
          <cell r="BE3931" t="str">
            <v>Jun</v>
          </cell>
        </row>
        <row r="3932">
          <cell r="C3932" t="str">
            <v>Other</v>
          </cell>
          <cell r="R3932">
            <v>0</v>
          </cell>
          <cell r="AZ3932">
            <v>0</v>
          </cell>
          <cell r="BA3932">
            <v>0</v>
          </cell>
          <cell r="BC3932" t="str">
            <v>OTHERS</v>
          </cell>
          <cell r="BE3932" t="str">
            <v>Jul</v>
          </cell>
        </row>
        <row r="3933">
          <cell r="C3933" t="str">
            <v>Other</v>
          </cell>
          <cell r="R3933">
            <v>0</v>
          </cell>
          <cell r="AZ3933">
            <v>0</v>
          </cell>
          <cell r="BA3933">
            <v>0</v>
          </cell>
          <cell r="BC3933" t="str">
            <v>OTHERS</v>
          </cell>
          <cell r="BE3933" t="str">
            <v>Aug</v>
          </cell>
        </row>
        <row r="3934">
          <cell r="C3934" t="str">
            <v>Other</v>
          </cell>
          <cell r="R3934">
            <v>0</v>
          </cell>
          <cell r="AZ3934">
            <v>0</v>
          </cell>
          <cell r="BA3934">
            <v>0</v>
          </cell>
          <cell r="BC3934" t="str">
            <v>OTHERS</v>
          </cell>
          <cell r="BE3934" t="str">
            <v>Sep</v>
          </cell>
        </row>
        <row r="3935">
          <cell r="C3935" t="str">
            <v>Other</v>
          </cell>
          <cell r="R3935">
            <v>0</v>
          </cell>
          <cell r="AZ3935">
            <v>0</v>
          </cell>
          <cell r="BA3935">
            <v>0</v>
          </cell>
          <cell r="BC3935" t="str">
            <v>OTHERS</v>
          </cell>
          <cell r="BE3935" t="str">
            <v>Oct</v>
          </cell>
        </row>
        <row r="3936">
          <cell r="C3936" t="str">
            <v>Other</v>
          </cell>
          <cell r="R3936">
            <v>0</v>
          </cell>
          <cell r="AZ3936">
            <v>0</v>
          </cell>
          <cell r="BA3936">
            <v>0</v>
          </cell>
          <cell r="BC3936" t="str">
            <v>OTHERS</v>
          </cell>
          <cell r="BE3936" t="str">
            <v>Nov</v>
          </cell>
        </row>
        <row r="3937">
          <cell r="C3937" t="str">
            <v>Other</v>
          </cell>
          <cell r="R3937">
            <v>0</v>
          </cell>
          <cell r="AZ3937">
            <v>0</v>
          </cell>
          <cell r="BA3937">
            <v>0</v>
          </cell>
          <cell r="BC3937" t="str">
            <v>OTHERS</v>
          </cell>
          <cell r="BE3937" t="str">
            <v>Dec</v>
          </cell>
        </row>
        <row r="3938">
          <cell r="C3938" t="str">
            <v>Other</v>
          </cell>
          <cell r="R3938">
            <v>0</v>
          </cell>
          <cell r="AZ3938">
            <v>0</v>
          </cell>
          <cell r="BA3938">
            <v>0</v>
          </cell>
          <cell r="BC3938" t="str">
            <v>OTHERS</v>
          </cell>
          <cell r="BE3938" t="str">
            <v>Jan</v>
          </cell>
        </row>
        <row r="3939">
          <cell r="C3939" t="str">
            <v>Other</v>
          </cell>
          <cell r="R3939">
            <v>0</v>
          </cell>
          <cell r="AZ3939">
            <v>0</v>
          </cell>
          <cell r="BA3939">
            <v>0</v>
          </cell>
          <cell r="BC3939" t="str">
            <v>OTHERS</v>
          </cell>
          <cell r="BE3939" t="str">
            <v>Feb</v>
          </cell>
        </row>
        <row r="3940">
          <cell r="C3940" t="str">
            <v>Other</v>
          </cell>
          <cell r="R3940">
            <v>0</v>
          </cell>
          <cell r="AZ3940">
            <v>0</v>
          </cell>
          <cell r="BA3940">
            <v>0</v>
          </cell>
          <cell r="BC3940" t="str">
            <v>OTHERS</v>
          </cell>
          <cell r="BE3940" t="str">
            <v>Mar</v>
          </cell>
        </row>
        <row r="3941">
          <cell r="C3941" t="str">
            <v>Other</v>
          </cell>
          <cell r="R3941">
            <v>0</v>
          </cell>
          <cell r="AZ3941">
            <v>0</v>
          </cell>
          <cell r="BA3941">
            <v>0</v>
          </cell>
          <cell r="BC3941" t="str">
            <v>OTHERS</v>
          </cell>
          <cell r="BE3941" t="str">
            <v>Apr</v>
          </cell>
        </row>
        <row r="3942">
          <cell r="C3942" t="str">
            <v>Other</v>
          </cell>
          <cell r="R3942">
            <v>0</v>
          </cell>
          <cell r="AZ3942">
            <v>0</v>
          </cell>
          <cell r="BA3942">
            <v>0</v>
          </cell>
          <cell r="BC3942" t="str">
            <v>OTHERS</v>
          </cell>
          <cell r="BE3942" t="str">
            <v>May</v>
          </cell>
        </row>
        <row r="3943">
          <cell r="C3943" t="str">
            <v>Other</v>
          </cell>
          <cell r="R3943">
            <v>0</v>
          </cell>
          <cell r="AZ3943">
            <v>0</v>
          </cell>
          <cell r="BA3943">
            <v>0</v>
          </cell>
          <cell r="BC3943" t="str">
            <v>OTHERS</v>
          </cell>
          <cell r="BE3943" t="str">
            <v>Jun</v>
          </cell>
        </row>
        <row r="3944">
          <cell r="C3944" t="str">
            <v>Other</v>
          </cell>
          <cell r="R3944">
            <v>0</v>
          </cell>
          <cell r="AZ3944">
            <v>0</v>
          </cell>
          <cell r="BA3944">
            <v>0</v>
          </cell>
          <cell r="BC3944" t="str">
            <v>OTHERS</v>
          </cell>
          <cell r="BE3944" t="str">
            <v>Jul</v>
          </cell>
        </row>
        <row r="3945">
          <cell r="C3945" t="str">
            <v>Other</v>
          </cell>
          <cell r="R3945">
            <v>0</v>
          </cell>
          <cell r="AZ3945">
            <v>0</v>
          </cell>
          <cell r="BA3945">
            <v>0</v>
          </cell>
          <cell r="BC3945" t="str">
            <v>OTHERS</v>
          </cell>
          <cell r="BE3945" t="str">
            <v>Aug</v>
          </cell>
        </row>
        <row r="3946">
          <cell r="C3946" t="str">
            <v>Other</v>
          </cell>
          <cell r="R3946">
            <v>0</v>
          </cell>
          <cell r="AZ3946">
            <v>0</v>
          </cell>
          <cell r="BA3946">
            <v>0</v>
          </cell>
          <cell r="BC3946" t="str">
            <v>OTHERS</v>
          </cell>
          <cell r="BE3946" t="str">
            <v>Sep</v>
          </cell>
        </row>
        <row r="3947">
          <cell r="C3947" t="str">
            <v>Other</v>
          </cell>
          <cell r="R3947">
            <v>0</v>
          </cell>
          <cell r="AZ3947">
            <v>0</v>
          </cell>
          <cell r="BA3947">
            <v>0</v>
          </cell>
          <cell r="BC3947" t="str">
            <v>OTHERS</v>
          </cell>
          <cell r="BE3947" t="str">
            <v>Oct</v>
          </cell>
        </row>
        <row r="3948">
          <cell r="C3948" t="str">
            <v>Other</v>
          </cell>
          <cell r="R3948">
            <v>0</v>
          </cell>
          <cell r="AZ3948">
            <v>0</v>
          </cell>
          <cell r="BA3948">
            <v>0</v>
          </cell>
          <cell r="BC3948" t="str">
            <v>OTHERS</v>
          </cell>
          <cell r="BE3948" t="str">
            <v>Nov</v>
          </cell>
        </row>
        <row r="3949">
          <cell r="C3949" t="str">
            <v>Other</v>
          </cell>
          <cell r="R3949">
            <v>0</v>
          </cell>
          <cell r="AZ3949">
            <v>0</v>
          </cell>
          <cell r="BA3949">
            <v>0</v>
          </cell>
          <cell r="BC3949" t="str">
            <v>OTHERS</v>
          </cell>
          <cell r="BE3949" t="str">
            <v>Dec</v>
          </cell>
        </row>
        <row r="3950">
          <cell r="C3950" t="str">
            <v>Other</v>
          </cell>
          <cell r="R3950">
            <v>0</v>
          </cell>
          <cell r="AZ3950">
            <v>0</v>
          </cell>
          <cell r="BA3950">
            <v>0</v>
          </cell>
          <cell r="BC3950" t="str">
            <v>OTHERS</v>
          </cell>
          <cell r="BE3950" t="str">
            <v>Jan</v>
          </cell>
        </row>
        <row r="3951">
          <cell r="C3951" t="str">
            <v>Other</v>
          </cell>
          <cell r="R3951">
            <v>0</v>
          </cell>
          <cell r="AZ3951">
            <v>0</v>
          </cell>
          <cell r="BA3951">
            <v>0</v>
          </cell>
          <cell r="BC3951" t="str">
            <v>OTHERS</v>
          </cell>
          <cell r="BE3951" t="str">
            <v>Feb</v>
          </cell>
        </row>
        <row r="3952">
          <cell r="C3952" t="str">
            <v>Other</v>
          </cell>
          <cell r="R3952">
            <v>0</v>
          </cell>
          <cell r="AZ3952">
            <v>0</v>
          </cell>
          <cell r="BA3952">
            <v>0</v>
          </cell>
          <cell r="BC3952" t="str">
            <v>OTHERS</v>
          </cell>
          <cell r="BE3952" t="str">
            <v>Mar</v>
          </cell>
        </row>
        <row r="3953">
          <cell r="C3953" t="str">
            <v>Other</v>
          </cell>
          <cell r="R3953">
            <v>0</v>
          </cell>
          <cell r="AZ3953">
            <v>0</v>
          </cell>
          <cell r="BA3953">
            <v>0</v>
          </cell>
          <cell r="BC3953" t="str">
            <v>OTHERS</v>
          </cell>
          <cell r="BE3953" t="str">
            <v>Apr</v>
          </cell>
        </row>
        <row r="3954">
          <cell r="C3954" t="str">
            <v>Other</v>
          </cell>
          <cell r="R3954">
            <v>0</v>
          </cell>
          <cell r="AZ3954">
            <v>0</v>
          </cell>
          <cell r="BA3954">
            <v>0</v>
          </cell>
          <cell r="BC3954" t="str">
            <v>OTHERS</v>
          </cell>
          <cell r="BE3954" t="str">
            <v>May</v>
          </cell>
        </row>
        <row r="3955">
          <cell r="C3955" t="str">
            <v>Other</v>
          </cell>
          <cell r="R3955">
            <v>0</v>
          </cell>
          <cell r="AZ3955">
            <v>0</v>
          </cell>
          <cell r="BA3955">
            <v>0</v>
          </cell>
          <cell r="BC3955" t="str">
            <v>OTHERS</v>
          </cell>
          <cell r="BE3955" t="str">
            <v>Jun</v>
          </cell>
        </row>
        <row r="3956">
          <cell r="C3956" t="str">
            <v>Other</v>
          </cell>
          <cell r="R3956">
            <v>0</v>
          </cell>
          <cell r="AZ3956">
            <v>0</v>
          </cell>
          <cell r="BA3956">
            <v>0</v>
          </cell>
          <cell r="BC3956" t="str">
            <v>OTHERS</v>
          </cell>
          <cell r="BE3956" t="str">
            <v>Jul</v>
          </cell>
        </row>
        <row r="3957">
          <cell r="C3957" t="str">
            <v>Other</v>
          </cell>
          <cell r="R3957">
            <v>0</v>
          </cell>
          <cell r="AZ3957">
            <v>0</v>
          </cell>
          <cell r="BA3957">
            <v>0</v>
          </cell>
          <cell r="BC3957" t="str">
            <v>OTHERS</v>
          </cell>
          <cell r="BE3957" t="str">
            <v>Aug</v>
          </cell>
        </row>
        <row r="3958">
          <cell r="C3958" t="str">
            <v>Other</v>
          </cell>
          <cell r="R3958">
            <v>0</v>
          </cell>
          <cell r="AZ3958">
            <v>0</v>
          </cell>
          <cell r="BA3958">
            <v>0</v>
          </cell>
          <cell r="BC3958" t="str">
            <v>OTHERS</v>
          </cell>
          <cell r="BE3958" t="str">
            <v>Sep</v>
          </cell>
        </row>
        <row r="3959">
          <cell r="C3959" t="str">
            <v>Other</v>
          </cell>
          <cell r="R3959">
            <v>0</v>
          </cell>
          <cell r="AZ3959">
            <v>0</v>
          </cell>
          <cell r="BA3959">
            <v>0</v>
          </cell>
          <cell r="BC3959" t="str">
            <v>OTHERS</v>
          </cell>
          <cell r="BE3959" t="str">
            <v>Oct</v>
          </cell>
        </row>
        <row r="3960">
          <cell r="C3960" t="str">
            <v>Other</v>
          </cell>
          <cell r="R3960">
            <v>0</v>
          </cell>
          <cell r="AZ3960">
            <v>0</v>
          </cell>
          <cell r="BA3960">
            <v>0</v>
          </cell>
          <cell r="BC3960" t="str">
            <v>OTHERS</v>
          </cell>
          <cell r="BE3960" t="str">
            <v>Nov</v>
          </cell>
        </row>
        <row r="3961">
          <cell r="C3961" t="str">
            <v>Other</v>
          </cell>
          <cell r="R3961">
            <v>0</v>
          </cell>
          <cell r="AZ3961">
            <v>0</v>
          </cell>
          <cell r="BA3961">
            <v>0</v>
          </cell>
          <cell r="BC3961" t="str">
            <v>OTHERS</v>
          </cell>
          <cell r="BE3961" t="str">
            <v>Dec</v>
          </cell>
        </row>
        <row r="3962">
          <cell r="C3962" t="str">
            <v>Other</v>
          </cell>
          <cell r="R3962">
            <v>0</v>
          </cell>
          <cell r="AZ3962">
            <v>0</v>
          </cell>
          <cell r="BA3962">
            <v>0</v>
          </cell>
          <cell r="BC3962" t="str">
            <v>OTHERS</v>
          </cell>
          <cell r="BE3962" t="str">
            <v>Jan</v>
          </cell>
        </row>
        <row r="3963">
          <cell r="C3963" t="str">
            <v>Other</v>
          </cell>
          <cell r="R3963">
            <v>0</v>
          </cell>
          <cell r="AZ3963">
            <v>0</v>
          </cell>
          <cell r="BA3963">
            <v>0</v>
          </cell>
          <cell r="BC3963" t="str">
            <v>OTHERS</v>
          </cell>
          <cell r="BE3963" t="str">
            <v>Feb</v>
          </cell>
        </row>
        <row r="3964">
          <cell r="C3964" t="str">
            <v>Other</v>
          </cell>
          <cell r="R3964">
            <v>0</v>
          </cell>
          <cell r="AZ3964">
            <v>0</v>
          </cell>
          <cell r="BA3964">
            <v>0</v>
          </cell>
          <cell r="BC3964" t="str">
            <v>OTHERS</v>
          </cell>
          <cell r="BE3964" t="str">
            <v>Mar</v>
          </cell>
        </row>
        <row r="3965">
          <cell r="C3965" t="str">
            <v>Other</v>
          </cell>
          <cell r="R3965">
            <v>0</v>
          </cell>
          <cell r="AZ3965">
            <v>0</v>
          </cell>
          <cell r="BA3965">
            <v>0</v>
          </cell>
          <cell r="BC3965" t="str">
            <v>OTHERS</v>
          </cell>
          <cell r="BE3965" t="str">
            <v>Apr</v>
          </cell>
        </row>
        <row r="3966">
          <cell r="C3966" t="str">
            <v>Other</v>
          </cell>
          <cell r="R3966">
            <v>0</v>
          </cell>
          <cell r="AZ3966">
            <v>0</v>
          </cell>
          <cell r="BA3966">
            <v>0</v>
          </cell>
          <cell r="BC3966" t="str">
            <v>OTHERS</v>
          </cell>
          <cell r="BE3966" t="str">
            <v>May</v>
          </cell>
        </row>
        <row r="3967">
          <cell r="C3967" t="str">
            <v>Other</v>
          </cell>
          <cell r="R3967">
            <v>0</v>
          </cell>
          <cell r="AZ3967">
            <v>0</v>
          </cell>
          <cell r="BA3967">
            <v>0</v>
          </cell>
          <cell r="BC3967" t="str">
            <v>OTHERS</v>
          </cell>
          <cell r="BE3967" t="str">
            <v>Jun</v>
          </cell>
        </row>
        <row r="3968">
          <cell r="C3968" t="str">
            <v>Other</v>
          </cell>
          <cell r="R3968">
            <v>0</v>
          </cell>
          <cell r="AZ3968">
            <v>0</v>
          </cell>
          <cell r="BA3968">
            <v>0</v>
          </cell>
          <cell r="BC3968" t="str">
            <v>OTHERS</v>
          </cell>
          <cell r="BE3968" t="str">
            <v>Jul</v>
          </cell>
        </row>
        <row r="3969">
          <cell r="C3969" t="str">
            <v>Other</v>
          </cell>
          <cell r="R3969">
            <v>0</v>
          </cell>
          <cell r="AZ3969">
            <v>0</v>
          </cell>
          <cell r="BA3969">
            <v>0</v>
          </cell>
          <cell r="BC3969" t="str">
            <v>OTHERS</v>
          </cell>
          <cell r="BE3969" t="str">
            <v>Aug</v>
          </cell>
        </row>
        <row r="3970">
          <cell r="C3970" t="str">
            <v>Other</v>
          </cell>
          <cell r="R3970">
            <v>0</v>
          </cell>
          <cell r="AZ3970">
            <v>0</v>
          </cell>
          <cell r="BA3970">
            <v>0</v>
          </cell>
          <cell r="BC3970" t="str">
            <v>OTHERS</v>
          </cell>
          <cell r="BE3970" t="str">
            <v>Sep</v>
          </cell>
        </row>
        <row r="3971">
          <cell r="C3971" t="str">
            <v>Other</v>
          </cell>
          <cell r="R3971">
            <v>0</v>
          </cell>
          <cell r="AZ3971">
            <v>0</v>
          </cell>
          <cell r="BA3971">
            <v>0</v>
          </cell>
          <cell r="BC3971" t="str">
            <v>OTHERS</v>
          </cell>
          <cell r="BE3971" t="str">
            <v>Oct</v>
          </cell>
        </row>
        <row r="3972">
          <cell r="C3972" t="str">
            <v>Other</v>
          </cell>
          <cell r="R3972">
            <v>0</v>
          </cell>
          <cell r="AZ3972">
            <v>0</v>
          </cell>
          <cell r="BA3972">
            <v>0</v>
          </cell>
          <cell r="BC3972" t="str">
            <v>OTHERS</v>
          </cell>
          <cell r="BE3972" t="str">
            <v>Nov</v>
          </cell>
        </row>
        <row r="3973">
          <cell r="C3973" t="str">
            <v>Other</v>
          </cell>
          <cell r="R3973">
            <v>0</v>
          </cell>
          <cell r="AZ3973">
            <v>0</v>
          </cell>
          <cell r="BA3973">
            <v>0</v>
          </cell>
          <cell r="BC3973" t="str">
            <v>OTHERS</v>
          </cell>
          <cell r="BE3973" t="str">
            <v>Dec</v>
          </cell>
        </row>
        <row r="3974">
          <cell r="C3974" t="str">
            <v>Other</v>
          </cell>
          <cell r="R3974">
            <v>0</v>
          </cell>
          <cell r="AZ3974">
            <v>0</v>
          </cell>
          <cell r="BA3974">
            <v>0</v>
          </cell>
          <cell r="BC3974" t="str">
            <v>OTHERS</v>
          </cell>
          <cell r="BE3974" t="str">
            <v>Jan</v>
          </cell>
        </row>
        <row r="3975">
          <cell r="C3975" t="str">
            <v>Other</v>
          </cell>
          <cell r="R3975">
            <v>0</v>
          </cell>
          <cell r="AZ3975">
            <v>0</v>
          </cell>
          <cell r="BA3975">
            <v>0</v>
          </cell>
          <cell r="BC3975" t="str">
            <v>OTHERS</v>
          </cell>
          <cell r="BE3975" t="str">
            <v>Feb</v>
          </cell>
        </row>
        <row r="3976">
          <cell r="C3976" t="str">
            <v>Other</v>
          </cell>
          <cell r="R3976">
            <v>0</v>
          </cell>
          <cell r="AZ3976">
            <v>0</v>
          </cell>
          <cell r="BA3976">
            <v>0</v>
          </cell>
          <cell r="BC3976" t="str">
            <v>OTHERS</v>
          </cell>
          <cell r="BE3976" t="str">
            <v>Mar</v>
          </cell>
        </row>
        <row r="3977">
          <cell r="C3977" t="str">
            <v>Other</v>
          </cell>
          <cell r="R3977">
            <v>0</v>
          </cell>
          <cell r="AZ3977">
            <v>0</v>
          </cell>
          <cell r="BA3977">
            <v>0</v>
          </cell>
          <cell r="BC3977" t="str">
            <v>OTHERS</v>
          </cell>
          <cell r="BE3977" t="str">
            <v>Apr</v>
          </cell>
        </row>
        <row r="3978">
          <cell r="C3978" t="str">
            <v>Other</v>
          </cell>
          <cell r="R3978">
            <v>70000</v>
          </cell>
          <cell r="AZ3978">
            <v>-21000</v>
          </cell>
          <cell r="BA3978">
            <v>-47096</v>
          </cell>
          <cell r="BC3978" t="str">
            <v>OTHERS</v>
          </cell>
          <cell r="BE3978" t="str">
            <v>May</v>
          </cell>
        </row>
        <row r="3979">
          <cell r="C3979" t="str">
            <v>Other</v>
          </cell>
          <cell r="R3979">
            <v>0</v>
          </cell>
          <cell r="AZ3979">
            <v>0</v>
          </cell>
          <cell r="BA3979">
            <v>0</v>
          </cell>
          <cell r="BC3979" t="str">
            <v>OTHERS</v>
          </cell>
          <cell r="BE3979" t="str">
            <v>Jun</v>
          </cell>
        </row>
        <row r="3980">
          <cell r="C3980" t="str">
            <v>Other</v>
          </cell>
          <cell r="R3980">
            <v>0</v>
          </cell>
          <cell r="AZ3980">
            <v>0</v>
          </cell>
          <cell r="BA3980">
            <v>0</v>
          </cell>
          <cell r="BC3980" t="str">
            <v>OTHERS</v>
          </cell>
          <cell r="BE3980" t="str">
            <v>Jul</v>
          </cell>
        </row>
        <row r="3981">
          <cell r="C3981" t="str">
            <v>Other</v>
          </cell>
          <cell r="R3981">
            <v>0</v>
          </cell>
          <cell r="AZ3981">
            <v>0</v>
          </cell>
          <cell r="BA3981">
            <v>0</v>
          </cell>
          <cell r="BC3981" t="str">
            <v>OTHERS</v>
          </cell>
          <cell r="BE3981" t="str">
            <v>Aug</v>
          </cell>
        </row>
        <row r="3982">
          <cell r="C3982" t="str">
            <v>Other</v>
          </cell>
          <cell r="R3982">
            <v>0</v>
          </cell>
          <cell r="AZ3982">
            <v>0</v>
          </cell>
          <cell r="BA3982">
            <v>0</v>
          </cell>
          <cell r="BC3982" t="str">
            <v>OTHERS</v>
          </cell>
          <cell r="BE3982" t="str">
            <v>Sep</v>
          </cell>
        </row>
        <row r="3983">
          <cell r="C3983" t="str">
            <v>Other</v>
          </cell>
          <cell r="R3983">
            <v>0</v>
          </cell>
          <cell r="AZ3983">
            <v>0</v>
          </cell>
          <cell r="BA3983">
            <v>0</v>
          </cell>
          <cell r="BC3983" t="str">
            <v>OTHERS</v>
          </cell>
          <cell r="BE3983" t="str">
            <v>Oct</v>
          </cell>
        </row>
        <row r="3984">
          <cell r="C3984" t="str">
            <v>Other</v>
          </cell>
          <cell r="R3984">
            <v>80000</v>
          </cell>
          <cell r="AZ3984">
            <v>-24000</v>
          </cell>
          <cell r="BA3984">
            <v>-53824</v>
          </cell>
          <cell r="BC3984" t="str">
            <v>OTHERS</v>
          </cell>
          <cell r="BE3984" t="str">
            <v>Nov</v>
          </cell>
        </row>
        <row r="3985">
          <cell r="C3985" t="str">
            <v>Other</v>
          </cell>
          <cell r="R3985">
            <v>30000</v>
          </cell>
          <cell r="AZ3985">
            <v>-9000</v>
          </cell>
          <cell r="BA3985">
            <v>-20184</v>
          </cell>
          <cell r="BC3985" t="str">
            <v>OTHERS</v>
          </cell>
          <cell r="BE3985" t="str">
            <v>Dec</v>
          </cell>
        </row>
        <row r="3986">
          <cell r="C3986" t="str">
            <v>Other</v>
          </cell>
          <cell r="R3986">
            <v>0</v>
          </cell>
          <cell r="AZ3986">
            <v>0</v>
          </cell>
          <cell r="BA3986">
            <v>0</v>
          </cell>
          <cell r="BC3986" t="str">
            <v>OTHERS</v>
          </cell>
          <cell r="BE3986" t="str">
            <v>Jan</v>
          </cell>
        </row>
        <row r="3987">
          <cell r="C3987" t="str">
            <v>Other</v>
          </cell>
          <cell r="R3987">
            <v>0</v>
          </cell>
          <cell r="AZ3987">
            <v>0</v>
          </cell>
          <cell r="BA3987">
            <v>0</v>
          </cell>
          <cell r="BC3987" t="str">
            <v>OTHERS</v>
          </cell>
          <cell r="BE3987" t="str">
            <v>Feb</v>
          </cell>
        </row>
        <row r="3988">
          <cell r="C3988" t="str">
            <v>Other</v>
          </cell>
          <cell r="R3988">
            <v>0</v>
          </cell>
          <cell r="AZ3988">
            <v>0</v>
          </cell>
          <cell r="BA3988">
            <v>0</v>
          </cell>
          <cell r="BC3988" t="str">
            <v>OTHERS</v>
          </cell>
          <cell r="BE3988" t="str">
            <v>Mar</v>
          </cell>
        </row>
        <row r="3989">
          <cell r="C3989" t="str">
            <v>Other</v>
          </cell>
          <cell r="R3989">
            <v>0</v>
          </cell>
          <cell r="AZ3989">
            <v>0</v>
          </cell>
          <cell r="BA3989">
            <v>0</v>
          </cell>
          <cell r="BC3989" t="str">
            <v>OTHERS</v>
          </cell>
          <cell r="BE3989" t="str">
            <v>Apr</v>
          </cell>
        </row>
        <row r="3990">
          <cell r="C3990" t="str">
            <v>Other</v>
          </cell>
          <cell r="R3990">
            <v>0</v>
          </cell>
          <cell r="AZ3990">
            <v>0</v>
          </cell>
          <cell r="BA3990">
            <v>0</v>
          </cell>
          <cell r="BC3990" t="str">
            <v>OTHERS</v>
          </cell>
          <cell r="BE3990" t="str">
            <v>May</v>
          </cell>
        </row>
        <row r="3991">
          <cell r="C3991" t="str">
            <v>Other</v>
          </cell>
          <cell r="R3991">
            <v>0</v>
          </cell>
          <cell r="AZ3991">
            <v>0</v>
          </cell>
          <cell r="BA3991">
            <v>0</v>
          </cell>
          <cell r="BC3991" t="str">
            <v>OTHERS</v>
          </cell>
          <cell r="BE3991" t="str">
            <v>Jun</v>
          </cell>
        </row>
        <row r="3992">
          <cell r="C3992" t="str">
            <v>Other</v>
          </cell>
          <cell r="R3992">
            <v>0</v>
          </cell>
          <cell r="AZ3992">
            <v>0</v>
          </cell>
          <cell r="BA3992">
            <v>0</v>
          </cell>
          <cell r="BC3992" t="str">
            <v>OTHERS</v>
          </cell>
          <cell r="BE3992" t="str">
            <v>Jul</v>
          </cell>
        </row>
        <row r="3993">
          <cell r="C3993" t="str">
            <v>Other</v>
          </cell>
          <cell r="R3993">
            <v>0</v>
          </cell>
          <cell r="AZ3993">
            <v>0</v>
          </cell>
          <cell r="BA3993">
            <v>0</v>
          </cell>
          <cell r="BC3993" t="str">
            <v>OTHERS</v>
          </cell>
          <cell r="BE3993" t="str">
            <v>Aug</v>
          </cell>
        </row>
        <row r="3994">
          <cell r="C3994" t="str">
            <v>Other</v>
          </cell>
          <cell r="R3994">
            <v>0</v>
          </cell>
          <cell r="AZ3994">
            <v>0</v>
          </cell>
          <cell r="BA3994">
            <v>0</v>
          </cell>
          <cell r="BC3994" t="str">
            <v>OTHERS</v>
          </cell>
          <cell r="BE3994" t="str">
            <v>Sep</v>
          </cell>
        </row>
        <row r="3995">
          <cell r="C3995" t="str">
            <v>Other</v>
          </cell>
          <cell r="R3995">
            <v>0</v>
          </cell>
          <cell r="AZ3995">
            <v>0</v>
          </cell>
          <cell r="BA3995">
            <v>0</v>
          </cell>
          <cell r="BC3995" t="str">
            <v>OTHERS</v>
          </cell>
          <cell r="BE3995" t="str">
            <v>Oct</v>
          </cell>
        </row>
        <row r="3996">
          <cell r="C3996" t="str">
            <v>Other</v>
          </cell>
          <cell r="R3996">
            <v>0</v>
          </cell>
          <cell r="AZ3996">
            <v>0</v>
          </cell>
          <cell r="BA3996">
            <v>0</v>
          </cell>
          <cell r="BC3996" t="str">
            <v>OTHERS</v>
          </cell>
          <cell r="BE3996" t="str">
            <v>Nov</v>
          </cell>
        </row>
        <row r="3997">
          <cell r="C3997" t="str">
            <v>Other</v>
          </cell>
          <cell r="R3997">
            <v>0</v>
          </cell>
          <cell r="AZ3997">
            <v>0</v>
          </cell>
          <cell r="BA3997">
            <v>0</v>
          </cell>
          <cell r="BC3997" t="str">
            <v>OTHERS</v>
          </cell>
          <cell r="BE3997" t="str">
            <v>Dec</v>
          </cell>
        </row>
        <row r="3998">
          <cell r="C3998" t="str">
            <v>Other</v>
          </cell>
          <cell r="R3998">
            <v>0</v>
          </cell>
          <cell r="AZ3998">
            <v>0</v>
          </cell>
          <cell r="BA3998">
            <v>0</v>
          </cell>
          <cell r="BC3998" t="str">
            <v>OTHERS</v>
          </cell>
          <cell r="BE3998" t="str">
            <v>Jan</v>
          </cell>
        </row>
        <row r="3999">
          <cell r="C3999" t="str">
            <v>Other</v>
          </cell>
          <cell r="R3999">
            <v>0</v>
          </cell>
          <cell r="AZ3999">
            <v>0</v>
          </cell>
          <cell r="BA3999">
            <v>0</v>
          </cell>
          <cell r="BC3999" t="str">
            <v>OTHERS</v>
          </cell>
          <cell r="BE3999" t="str">
            <v>Feb</v>
          </cell>
        </row>
        <row r="4000">
          <cell r="C4000" t="str">
            <v>Other</v>
          </cell>
          <cell r="R4000">
            <v>0</v>
          </cell>
          <cell r="AZ4000">
            <v>0</v>
          </cell>
          <cell r="BA4000">
            <v>0</v>
          </cell>
          <cell r="BC4000" t="str">
            <v>OTHERS</v>
          </cell>
          <cell r="BE4000" t="str">
            <v>Mar</v>
          </cell>
        </row>
        <row r="4001">
          <cell r="C4001" t="str">
            <v>Other</v>
          </cell>
          <cell r="R4001">
            <v>0</v>
          </cell>
          <cell r="AZ4001">
            <v>0</v>
          </cell>
          <cell r="BA4001">
            <v>0</v>
          </cell>
          <cell r="BC4001" t="str">
            <v>OTHERS</v>
          </cell>
          <cell r="BE4001" t="str">
            <v>Apr</v>
          </cell>
        </row>
        <row r="4002">
          <cell r="C4002" t="str">
            <v>Other</v>
          </cell>
          <cell r="R4002">
            <v>0</v>
          </cell>
          <cell r="AZ4002">
            <v>0</v>
          </cell>
          <cell r="BA4002">
            <v>0</v>
          </cell>
          <cell r="BC4002" t="str">
            <v>OTHERS</v>
          </cell>
          <cell r="BE4002" t="str">
            <v>May</v>
          </cell>
        </row>
        <row r="4003">
          <cell r="C4003" t="str">
            <v>Other</v>
          </cell>
          <cell r="R4003">
            <v>0</v>
          </cell>
          <cell r="AZ4003">
            <v>0</v>
          </cell>
          <cell r="BA4003">
            <v>0</v>
          </cell>
          <cell r="BC4003" t="str">
            <v>OTHERS</v>
          </cell>
          <cell r="BE4003" t="str">
            <v>Jun</v>
          </cell>
        </row>
        <row r="4004">
          <cell r="C4004" t="str">
            <v>Other</v>
          </cell>
          <cell r="R4004">
            <v>0</v>
          </cell>
          <cell r="AZ4004">
            <v>0</v>
          </cell>
          <cell r="BA4004">
            <v>0</v>
          </cell>
          <cell r="BC4004" t="str">
            <v>OTHERS</v>
          </cell>
          <cell r="BE4004" t="str">
            <v>Jul</v>
          </cell>
        </row>
        <row r="4005">
          <cell r="C4005" t="str">
            <v>Other</v>
          </cell>
          <cell r="R4005">
            <v>0</v>
          </cell>
          <cell r="AZ4005">
            <v>0</v>
          </cell>
          <cell r="BA4005">
            <v>0</v>
          </cell>
          <cell r="BC4005" t="str">
            <v>OTHERS</v>
          </cell>
          <cell r="BE4005" t="str">
            <v>Aug</v>
          </cell>
        </row>
        <row r="4006">
          <cell r="C4006" t="str">
            <v>Other</v>
          </cell>
          <cell r="R4006">
            <v>0</v>
          </cell>
          <cell r="AZ4006">
            <v>0</v>
          </cell>
          <cell r="BA4006">
            <v>0</v>
          </cell>
          <cell r="BC4006" t="str">
            <v>OTHERS</v>
          </cell>
          <cell r="BE4006" t="str">
            <v>Sep</v>
          </cell>
        </row>
        <row r="4007">
          <cell r="C4007" t="str">
            <v>Other</v>
          </cell>
          <cell r="R4007">
            <v>0</v>
          </cell>
          <cell r="AZ4007">
            <v>0</v>
          </cell>
          <cell r="BA4007">
            <v>0</v>
          </cell>
          <cell r="BC4007" t="str">
            <v>OTHERS</v>
          </cell>
          <cell r="BE4007" t="str">
            <v>Oct</v>
          </cell>
        </row>
        <row r="4008">
          <cell r="C4008" t="str">
            <v>Other</v>
          </cell>
          <cell r="R4008">
            <v>0</v>
          </cell>
          <cell r="AZ4008">
            <v>0</v>
          </cell>
          <cell r="BA4008">
            <v>0</v>
          </cell>
          <cell r="BC4008" t="str">
            <v>OTHERS</v>
          </cell>
          <cell r="BE4008" t="str">
            <v>Nov</v>
          </cell>
        </row>
        <row r="4009">
          <cell r="C4009" t="str">
            <v>Other</v>
          </cell>
          <cell r="R4009">
            <v>0</v>
          </cell>
          <cell r="AZ4009">
            <v>0</v>
          </cell>
          <cell r="BA4009">
            <v>0</v>
          </cell>
          <cell r="BC4009" t="str">
            <v>OTHERS</v>
          </cell>
          <cell r="BE4009" t="str">
            <v>Dec</v>
          </cell>
        </row>
        <row r="4010">
          <cell r="C4010" t="str">
            <v>Other</v>
          </cell>
          <cell r="R4010">
            <v>0</v>
          </cell>
          <cell r="AZ4010">
            <v>0</v>
          </cell>
          <cell r="BA4010">
            <v>0</v>
          </cell>
          <cell r="BC4010" t="str">
            <v>OTHERS</v>
          </cell>
          <cell r="BE4010" t="str">
            <v>Jan</v>
          </cell>
        </row>
        <row r="4011">
          <cell r="C4011" t="str">
            <v>Other</v>
          </cell>
          <cell r="R4011">
            <v>0</v>
          </cell>
          <cell r="AZ4011">
            <v>0</v>
          </cell>
          <cell r="BA4011">
            <v>0</v>
          </cell>
          <cell r="BC4011" t="str">
            <v>OTHERS</v>
          </cell>
          <cell r="BE4011" t="str">
            <v>Feb</v>
          </cell>
        </row>
        <row r="4012">
          <cell r="C4012" t="str">
            <v>Other</v>
          </cell>
          <cell r="R4012">
            <v>0</v>
          </cell>
          <cell r="AZ4012">
            <v>0</v>
          </cell>
          <cell r="BA4012">
            <v>0</v>
          </cell>
          <cell r="BC4012" t="str">
            <v>OTHERS</v>
          </cell>
          <cell r="BE4012" t="str">
            <v>Mar</v>
          </cell>
        </row>
        <row r="4013">
          <cell r="C4013" t="str">
            <v>Other</v>
          </cell>
          <cell r="R4013">
            <v>0</v>
          </cell>
          <cell r="AZ4013">
            <v>0</v>
          </cell>
          <cell r="BA4013">
            <v>0</v>
          </cell>
          <cell r="BC4013" t="str">
            <v>OTHERS</v>
          </cell>
          <cell r="BE4013" t="str">
            <v>Apr</v>
          </cell>
        </row>
        <row r="4014">
          <cell r="C4014" t="str">
            <v>Other</v>
          </cell>
          <cell r="R4014">
            <v>16000</v>
          </cell>
          <cell r="AZ4014">
            <v>-4800</v>
          </cell>
          <cell r="BA4014">
            <v>-10764.800000000001</v>
          </cell>
          <cell r="BC4014" t="str">
            <v>OTHERS</v>
          </cell>
          <cell r="BE4014" t="str">
            <v>May</v>
          </cell>
        </row>
        <row r="4015">
          <cell r="C4015" t="str">
            <v>Other</v>
          </cell>
          <cell r="R4015">
            <v>45000</v>
          </cell>
          <cell r="AZ4015">
            <v>-13500</v>
          </cell>
          <cell r="BA4015">
            <v>-30275.999999999996</v>
          </cell>
          <cell r="BC4015" t="str">
            <v>OTHERS</v>
          </cell>
          <cell r="BE4015" t="str">
            <v>Jun</v>
          </cell>
        </row>
        <row r="4016">
          <cell r="C4016" t="str">
            <v>Other</v>
          </cell>
          <cell r="R4016">
            <v>40000</v>
          </cell>
          <cell r="AZ4016">
            <v>-12000</v>
          </cell>
          <cell r="BA4016">
            <v>-26912</v>
          </cell>
          <cell r="BC4016" t="str">
            <v>OTHERS</v>
          </cell>
          <cell r="BE4016" t="str">
            <v>Jul</v>
          </cell>
        </row>
        <row r="4017">
          <cell r="C4017" t="str">
            <v>Other</v>
          </cell>
          <cell r="R4017">
            <v>60000</v>
          </cell>
          <cell r="AZ4017">
            <v>-18000</v>
          </cell>
          <cell r="BA4017">
            <v>-40368</v>
          </cell>
          <cell r="BC4017" t="str">
            <v>OTHERS</v>
          </cell>
          <cell r="BE4017" t="str">
            <v>Aug</v>
          </cell>
        </row>
        <row r="4018">
          <cell r="C4018" t="str">
            <v>Other</v>
          </cell>
          <cell r="R4018">
            <v>70000</v>
          </cell>
          <cell r="AZ4018">
            <v>-21000</v>
          </cell>
          <cell r="BA4018">
            <v>-47096</v>
          </cell>
          <cell r="BC4018" t="str">
            <v>OTHERS</v>
          </cell>
          <cell r="BE4018" t="str">
            <v>Sep</v>
          </cell>
        </row>
        <row r="4019">
          <cell r="C4019" t="str">
            <v>Other</v>
          </cell>
          <cell r="R4019">
            <v>0</v>
          </cell>
          <cell r="AZ4019">
            <v>0</v>
          </cell>
          <cell r="BA4019">
            <v>0</v>
          </cell>
          <cell r="BC4019" t="str">
            <v>OTHERS</v>
          </cell>
          <cell r="BE4019" t="str">
            <v>Oct</v>
          </cell>
        </row>
        <row r="4020">
          <cell r="C4020" t="str">
            <v>Other</v>
          </cell>
          <cell r="R4020">
            <v>0</v>
          </cell>
          <cell r="AZ4020">
            <v>0</v>
          </cell>
          <cell r="BA4020">
            <v>0</v>
          </cell>
          <cell r="BC4020" t="str">
            <v>OTHERS</v>
          </cell>
          <cell r="BE4020" t="str">
            <v>Nov</v>
          </cell>
        </row>
        <row r="4021">
          <cell r="C4021" t="str">
            <v>Other</v>
          </cell>
          <cell r="R4021">
            <v>60000</v>
          </cell>
          <cell r="AZ4021">
            <v>-18000</v>
          </cell>
          <cell r="BA4021">
            <v>-40368</v>
          </cell>
          <cell r="BC4021" t="str">
            <v>OTHERS</v>
          </cell>
          <cell r="BE4021" t="str">
            <v>Dec</v>
          </cell>
        </row>
        <row r="4022">
          <cell r="C4022" t="str">
            <v>Other</v>
          </cell>
          <cell r="R4022">
            <v>0</v>
          </cell>
          <cell r="AZ4022">
            <v>0</v>
          </cell>
          <cell r="BA4022">
            <v>0</v>
          </cell>
          <cell r="BC4022" t="str">
            <v>OTHERS</v>
          </cell>
          <cell r="BE4022" t="str">
            <v>Jan</v>
          </cell>
        </row>
        <row r="4023">
          <cell r="C4023" t="str">
            <v>Other</v>
          </cell>
          <cell r="R4023">
            <v>0</v>
          </cell>
          <cell r="AZ4023">
            <v>0</v>
          </cell>
          <cell r="BA4023">
            <v>0</v>
          </cell>
          <cell r="BC4023" t="str">
            <v>OTHERS</v>
          </cell>
          <cell r="BE4023" t="str">
            <v>Feb</v>
          </cell>
        </row>
        <row r="4024">
          <cell r="C4024" t="str">
            <v>Other</v>
          </cell>
          <cell r="R4024">
            <v>0</v>
          </cell>
          <cell r="AZ4024">
            <v>0</v>
          </cell>
          <cell r="BA4024">
            <v>0</v>
          </cell>
          <cell r="BC4024" t="str">
            <v>OTHERS</v>
          </cell>
          <cell r="BE4024" t="str">
            <v>Mar</v>
          </cell>
        </row>
        <row r="4025">
          <cell r="C4025" t="str">
            <v>Other</v>
          </cell>
          <cell r="R4025">
            <v>0</v>
          </cell>
          <cell r="AZ4025">
            <v>0</v>
          </cell>
          <cell r="BA4025">
            <v>0</v>
          </cell>
          <cell r="BC4025" t="str">
            <v>OTHERS</v>
          </cell>
          <cell r="BE4025" t="str">
            <v>Apr</v>
          </cell>
        </row>
        <row r="4026">
          <cell r="C4026" t="str">
            <v>Other</v>
          </cell>
          <cell r="R4026">
            <v>0</v>
          </cell>
          <cell r="AZ4026">
            <v>0</v>
          </cell>
          <cell r="BA4026">
            <v>0</v>
          </cell>
          <cell r="BC4026" t="str">
            <v>OTHERS</v>
          </cell>
          <cell r="BE4026" t="str">
            <v>May</v>
          </cell>
        </row>
        <row r="4027">
          <cell r="C4027" t="str">
            <v>Other</v>
          </cell>
          <cell r="R4027">
            <v>0</v>
          </cell>
          <cell r="AZ4027">
            <v>0</v>
          </cell>
          <cell r="BA4027">
            <v>0</v>
          </cell>
          <cell r="BC4027" t="str">
            <v>OTHERS</v>
          </cell>
          <cell r="BE4027" t="str">
            <v>Jun</v>
          </cell>
        </row>
        <row r="4028">
          <cell r="C4028" t="str">
            <v>Other</v>
          </cell>
          <cell r="R4028">
            <v>70000</v>
          </cell>
          <cell r="AZ4028">
            <v>-21000</v>
          </cell>
          <cell r="BA4028">
            <v>-47096</v>
          </cell>
          <cell r="BC4028" t="str">
            <v>OTHERS</v>
          </cell>
          <cell r="BE4028" t="str">
            <v>Jul</v>
          </cell>
        </row>
        <row r="4029">
          <cell r="C4029" t="str">
            <v>Other</v>
          </cell>
          <cell r="R4029">
            <v>0</v>
          </cell>
          <cell r="AZ4029">
            <v>0</v>
          </cell>
          <cell r="BA4029">
            <v>0</v>
          </cell>
          <cell r="BC4029" t="str">
            <v>OTHERS</v>
          </cell>
          <cell r="BE4029" t="str">
            <v>Aug</v>
          </cell>
        </row>
        <row r="4030">
          <cell r="C4030" t="str">
            <v>Other</v>
          </cell>
          <cell r="R4030">
            <v>0</v>
          </cell>
          <cell r="AZ4030">
            <v>0</v>
          </cell>
          <cell r="BA4030">
            <v>0</v>
          </cell>
          <cell r="BC4030" t="str">
            <v>OTHERS</v>
          </cell>
          <cell r="BE4030" t="str">
            <v>Sep</v>
          </cell>
        </row>
        <row r="4031">
          <cell r="C4031" t="str">
            <v>Other</v>
          </cell>
          <cell r="R4031">
            <v>0</v>
          </cell>
          <cell r="AZ4031">
            <v>0</v>
          </cell>
          <cell r="BA4031">
            <v>0</v>
          </cell>
          <cell r="BC4031" t="str">
            <v>OTHERS</v>
          </cell>
          <cell r="BE4031" t="str">
            <v>Oct</v>
          </cell>
        </row>
        <row r="4032">
          <cell r="C4032" t="str">
            <v>Other</v>
          </cell>
          <cell r="R4032">
            <v>0</v>
          </cell>
          <cell r="AZ4032">
            <v>0</v>
          </cell>
          <cell r="BA4032">
            <v>0</v>
          </cell>
          <cell r="BC4032" t="str">
            <v>OTHERS</v>
          </cell>
          <cell r="BE4032" t="str">
            <v>Nov</v>
          </cell>
        </row>
        <row r="4033">
          <cell r="C4033" t="str">
            <v>Other</v>
          </cell>
          <cell r="R4033">
            <v>0</v>
          </cell>
          <cell r="AZ4033">
            <v>0</v>
          </cell>
          <cell r="BA4033">
            <v>0</v>
          </cell>
          <cell r="BC4033" t="str">
            <v>OTHERS</v>
          </cell>
          <cell r="BE4033" t="str">
            <v>Dec</v>
          </cell>
        </row>
        <row r="4034">
          <cell r="C4034" t="str">
            <v>Other</v>
          </cell>
          <cell r="R4034">
            <v>0</v>
          </cell>
          <cell r="AZ4034">
            <v>0</v>
          </cell>
          <cell r="BA4034">
            <v>0</v>
          </cell>
          <cell r="BC4034" t="str">
            <v>OTHERS</v>
          </cell>
          <cell r="BE4034" t="str">
            <v>Jan</v>
          </cell>
        </row>
        <row r="4035">
          <cell r="C4035" t="str">
            <v>Other</v>
          </cell>
          <cell r="R4035">
            <v>0</v>
          </cell>
          <cell r="AZ4035">
            <v>0</v>
          </cell>
          <cell r="BA4035">
            <v>0</v>
          </cell>
          <cell r="BC4035" t="str">
            <v>OTHERS</v>
          </cell>
          <cell r="BE4035" t="str">
            <v>Feb</v>
          </cell>
        </row>
        <row r="4036">
          <cell r="C4036" t="str">
            <v>Other</v>
          </cell>
          <cell r="R4036">
            <v>0</v>
          </cell>
          <cell r="AZ4036">
            <v>0</v>
          </cell>
          <cell r="BA4036">
            <v>0</v>
          </cell>
          <cell r="BC4036" t="str">
            <v>OTHERS</v>
          </cell>
          <cell r="BE4036" t="str">
            <v>Mar</v>
          </cell>
        </row>
        <row r="4037">
          <cell r="C4037" t="str">
            <v>Other</v>
          </cell>
          <cell r="R4037">
            <v>0</v>
          </cell>
          <cell r="AZ4037">
            <v>0</v>
          </cell>
          <cell r="BA4037">
            <v>0</v>
          </cell>
          <cell r="BC4037" t="str">
            <v>OTHERS</v>
          </cell>
          <cell r="BE4037" t="str">
            <v>Apr</v>
          </cell>
        </row>
        <row r="4038">
          <cell r="C4038" t="str">
            <v>Other</v>
          </cell>
          <cell r="R4038">
            <v>0</v>
          </cell>
          <cell r="AZ4038">
            <v>0</v>
          </cell>
          <cell r="BA4038">
            <v>0</v>
          </cell>
          <cell r="BC4038" t="str">
            <v>OTHERS</v>
          </cell>
          <cell r="BE4038" t="str">
            <v>May</v>
          </cell>
        </row>
        <row r="4039">
          <cell r="C4039" t="str">
            <v>Other</v>
          </cell>
          <cell r="R4039">
            <v>0</v>
          </cell>
          <cell r="AZ4039">
            <v>0</v>
          </cell>
          <cell r="BA4039">
            <v>0</v>
          </cell>
          <cell r="BC4039" t="str">
            <v>OTHERS</v>
          </cell>
          <cell r="BE4039" t="str">
            <v>Jun</v>
          </cell>
        </row>
        <row r="4040">
          <cell r="C4040" t="str">
            <v>Other</v>
          </cell>
          <cell r="R4040">
            <v>0</v>
          </cell>
          <cell r="AZ4040">
            <v>0</v>
          </cell>
          <cell r="BA4040">
            <v>0</v>
          </cell>
          <cell r="BC4040" t="str">
            <v>OTHERS</v>
          </cell>
          <cell r="BE4040" t="str">
            <v>Jul</v>
          </cell>
        </row>
        <row r="4041">
          <cell r="C4041" t="str">
            <v>Other</v>
          </cell>
          <cell r="R4041">
            <v>0</v>
          </cell>
          <cell r="AZ4041">
            <v>0</v>
          </cell>
          <cell r="BA4041">
            <v>0</v>
          </cell>
          <cell r="BC4041" t="str">
            <v>OTHERS</v>
          </cell>
          <cell r="BE4041" t="str">
            <v>Aug</v>
          </cell>
        </row>
        <row r="4042">
          <cell r="C4042" t="str">
            <v>Other</v>
          </cell>
          <cell r="R4042">
            <v>0</v>
          </cell>
          <cell r="AZ4042">
            <v>0</v>
          </cell>
          <cell r="BA4042">
            <v>0</v>
          </cell>
          <cell r="BC4042" t="str">
            <v>OTHERS</v>
          </cell>
          <cell r="BE4042" t="str">
            <v>Sep</v>
          </cell>
        </row>
        <row r="4043">
          <cell r="C4043" t="str">
            <v>Other</v>
          </cell>
          <cell r="R4043">
            <v>0</v>
          </cell>
          <cell r="AZ4043">
            <v>0</v>
          </cell>
          <cell r="BA4043">
            <v>0</v>
          </cell>
          <cell r="BC4043" t="str">
            <v>OTHERS</v>
          </cell>
          <cell r="BE4043" t="str">
            <v>Oct</v>
          </cell>
        </row>
        <row r="4044">
          <cell r="C4044" t="str">
            <v>Other</v>
          </cell>
          <cell r="R4044">
            <v>0</v>
          </cell>
          <cell r="AZ4044">
            <v>0</v>
          </cell>
          <cell r="BA4044">
            <v>0</v>
          </cell>
          <cell r="BC4044" t="str">
            <v>OTHERS</v>
          </cell>
          <cell r="BE4044" t="str">
            <v>Nov</v>
          </cell>
        </row>
        <row r="4045">
          <cell r="C4045" t="str">
            <v>Other</v>
          </cell>
          <cell r="R4045">
            <v>0</v>
          </cell>
          <cell r="AZ4045">
            <v>0</v>
          </cell>
          <cell r="BA4045">
            <v>0</v>
          </cell>
          <cell r="BC4045" t="str">
            <v>OTHERS</v>
          </cell>
          <cell r="BE4045" t="str">
            <v>Dec</v>
          </cell>
        </row>
        <row r="4046">
          <cell r="C4046" t="str">
            <v>Other</v>
          </cell>
          <cell r="R4046">
            <v>0</v>
          </cell>
          <cell r="AZ4046">
            <v>0</v>
          </cell>
          <cell r="BA4046">
            <v>0</v>
          </cell>
          <cell r="BC4046" t="str">
            <v>OTHERS</v>
          </cell>
          <cell r="BE4046" t="str">
            <v>Jan</v>
          </cell>
        </row>
        <row r="4047">
          <cell r="C4047" t="str">
            <v>Other</v>
          </cell>
          <cell r="R4047">
            <v>0</v>
          </cell>
          <cell r="AZ4047">
            <v>0</v>
          </cell>
          <cell r="BA4047">
            <v>0</v>
          </cell>
          <cell r="BC4047" t="str">
            <v>OTHERS</v>
          </cell>
          <cell r="BE4047" t="str">
            <v>Feb</v>
          </cell>
        </row>
        <row r="4048">
          <cell r="C4048" t="str">
            <v>Other</v>
          </cell>
          <cell r="R4048">
            <v>0</v>
          </cell>
          <cell r="AZ4048">
            <v>0</v>
          </cell>
          <cell r="BA4048">
            <v>0</v>
          </cell>
          <cell r="BC4048" t="str">
            <v>OTHERS</v>
          </cell>
          <cell r="BE4048" t="str">
            <v>Mar</v>
          </cell>
        </row>
        <row r="4049">
          <cell r="C4049" t="str">
            <v>Other</v>
          </cell>
          <cell r="R4049">
            <v>0</v>
          </cell>
          <cell r="AZ4049">
            <v>0</v>
          </cell>
          <cell r="BA4049">
            <v>0</v>
          </cell>
          <cell r="BC4049" t="str">
            <v>OTHERS</v>
          </cell>
          <cell r="BE4049" t="str">
            <v>Apr</v>
          </cell>
        </row>
        <row r="4050">
          <cell r="C4050" t="str">
            <v>Other</v>
          </cell>
          <cell r="R4050">
            <v>0</v>
          </cell>
          <cell r="AZ4050">
            <v>0</v>
          </cell>
          <cell r="BA4050">
            <v>0</v>
          </cell>
          <cell r="BC4050" t="str">
            <v>OTHERS</v>
          </cell>
          <cell r="BE4050" t="str">
            <v>May</v>
          </cell>
        </row>
        <row r="4051">
          <cell r="C4051" t="str">
            <v>Other</v>
          </cell>
          <cell r="R4051">
            <v>0</v>
          </cell>
          <cell r="AZ4051">
            <v>0</v>
          </cell>
          <cell r="BA4051">
            <v>0</v>
          </cell>
          <cell r="BC4051" t="str">
            <v>OTHERS</v>
          </cell>
          <cell r="BE4051" t="str">
            <v>Jun</v>
          </cell>
        </row>
        <row r="4052">
          <cell r="C4052" t="str">
            <v>Other</v>
          </cell>
          <cell r="R4052">
            <v>0</v>
          </cell>
          <cell r="AZ4052">
            <v>0</v>
          </cell>
          <cell r="BA4052">
            <v>0</v>
          </cell>
          <cell r="BC4052" t="str">
            <v>OTHERS</v>
          </cell>
          <cell r="BE4052" t="str">
            <v>Jul</v>
          </cell>
        </row>
        <row r="4053">
          <cell r="C4053" t="str">
            <v>Other</v>
          </cell>
          <cell r="R4053">
            <v>0</v>
          </cell>
          <cell r="AZ4053">
            <v>0</v>
          </cell>
          <cell r="BA4053">
            <v>0</v>
          </cell>
          <cell r="BC4053" t="str">
            <v>OTHERS</v>
          </cell>
          <cell r="BE4053" t="str">
            <v>Aug</v>
          </cell>
        </row>
        <row r="4054">
          <cell r="C4054" t="str">
            <v>Other</v>
          </cell>
          <cell r="R4054">
            <v>0</v>
          </cell>
          <cell r="AZ4054">
            <v>0</v>
          </cell>
          <cell r="BA4054">
            <v>0</v>
          </cell>
          <cell r="BC4054" t="str">
            <v>OTHERS</v>
          </cell>
          <cell r="BE4054" t="str">
            <v>Sep</v>
          </cell>
        </row>
        <row r="4055">
          <cell r="C4055" t="str">
            <v>Other</v>
          </cell>
          <cell r="R4055">
            <v>0</v>
          </cell>
          <cell r="AZ4055">
            <v>0</v>
          </cell>
          <cell r="BA4055">
            <v>0</v>
          </cell>
          <cell r="BC4055" t="str">
            <v>OTHERS</v>
          </cell>
          <cell r="BE4055" t="str">
            <v>Oct</v>
          </cell>
        </row>
        <row r="4056">
          <cell r="C4056" t="str">
            <v>Other</v>
          </cell>
          <cell r="R4056">
            <v>0</v>
          </cell>
          <cell r="AZ4056">
            <v>0</v>
          </cell>
          <cell r="BA4056">
            <v>0</v>
          </cell>
          <cell r="BC4056" t="str">
            <v>OTHERS</v>
          </cell>
          <cell r="BE4056" t="str">
            <v>Nov</v>
          </cell>
        </row>
        <row r="4057">
          <cell r="C4057" t="str">
            <v>Other</v>
          </cell>
          <cell r="R4057">
            <v>0</v>
          </cell>
          <cell r="AZ4057">
            <v>0</v>
          </cell>
          <cell r="BA4057">
            <v>0</v>
          </cell>
          <cell r="BC4057" t="str">
            <v>OTHERS</v>
          </cell>
          <cell r="BE4057" t="str">
            <v>Dec</v>
          </cell>
        </row>
        <row r="4058">
          <cell r="C4058" t="str">
            <v>Other</v>
          </cell>
          <cell r="R4058">
            <v>0</v>
          </cell>
          <cell r="AZ4058">
            <v>0</v>
          </cell>
          <cell r="BA4058">
            <v>0</v>
          </cell>
          <cell r="BC4058" t="str">
            <v>OTHERS</v>
          </cell>
          <cell r="BE4058" t="str">
            <v>Jan</v>
          </cell>
        </row>
        <row r="4059">
          <cell r="C4059" t="str">
            <v>Other</v>
          </cell>
          <cell r="R4059">
            <v>0</v>
          </cell>
          <cell r="AZ4059">
            <v>0</v>
          </cell>
          <cell r="BA4059">
            <v>0</v>
          </cell>
          <cell r="BC4059" t="str">
            <v>OTHERS</v>
          </cell>
          <cell r="BE4059" t="str">
            <v>Feb</v>
          </cell>
        </row>
        <row r="4060">
          <cell r="C4060" t="str">
            <v>Other</v>
          </cell>
          <cell r="R4060">
            <v>0</v>
          </cell>
          <cell r="AZ4060">
            <v>0</v>
          </cell>
          <cell r="BA4060">
            <v>0</v>
          </cell>
          <cell r="BC4060" t="str">
            <v>OTHERS</v>
          </cell>
          <cell r="BE4060" t="str">
            <v>Mar</v>
          </cell>
        </row>
        <row r="4061">
          <cell r="C4061" t="str">
            <v>Other</v>
          </cell>
          <cell r="R4061">
            <v>0</v>
          </cell>
          <cell r="AZ4061">
            <v>0</v>
          </cell>
          <cell r="BA4061">
            <v>0</v>
          </cell>
          <cell r="BC4061" t="str">
            <v>OTHERS</v>
          </cell>
          <cell r="BE4061" t="str">
            <v>Apr</v>
          </cell>
        </row>
        <row r="4062">
          <cell r="C4062" t="str">
            <v>Other</v>
          </cell>
          <cell r="R4062">
            <v>0</v>
          </cell>
          <cell r="AZ4062">
            <v>0</v>
          </cell>
          <cell r="BA4062">
            <v>0</v>
          </cell>
          <cell r="BC4062" t="str">
            <v>OTHERS</v>
          </cell>
          <cell r="BE4062" t="str">
            <v>May</v>
          </cell>
        </row>
        <row r="4063">
          <cell r="C4063" t="str">
            <v>Other</v>
          </cell>
          <cell r="R4063">
            <v>0</v>
          </cell>
          <cell r="AZ4063">
            <v>0</v>
          </cell>
          <cell r="BA4063">
            <v>0</v>
          </cell>
          <cell r="BC4063" t="str">
            <v>OTHERS</v>
          </cell>
          <cell r="BE4063" t="str">
            <v>Jun</v>
          </cell>
        </row>
        <row r="4064">
          <cell r="C4064" t="str">
            <v>Other</v>
          </cell>
          <cell r="R4064">
            <v>0</v>
          </cell>
          <cell r="AZ4064">
            <v>0</v>
          </cell>
          <cell r="BA4064">
            <v>0</v>
          </cell>
          <cell r="BC4064" t="str">
            <v>OTHERS</v>
          </cell>
          <cell r="BE4064" t="str">
            <v>Jul</v>
          </cell>
        </row>
        <row r="4065">
          <cell r="C4065" t="str">
            <v>Other</v>
          </cell>
          <cell r="R4065">
            <v>0</v>
          </cell>
          <cell r="AZ4065">
            <v>0</v>
          </cell>
          <cell r="BA4065">
            <v>0</v>
          </cell>
          <cell r="BC4065" t="str">
            <v>OTHERS</v>
          </cell>
          <cell r="BE4065" t="str">
            <v>Aug</v>
          </cell>
        </row>
        <row r="4066">
          <cell r="C4066" t="str">
            <v>Other</v>
          </cell>
          <cell r="R4066">
            <v>0</v>
          </cell>
          <cell r="AZ4066">
            <v>0</v>
          </cell>
          <cell r="BA4066">
            <v>0</v>
          </cell>
          <cell r="BC4066" t="str">
            <v>OTHERS</v>
          </cell>
          <cell r="BE4066" t="str">
            <v>Sep</v>
          </cell>
        </row>
        <row r="4067">
          <cell r="C4067" t="str">
            <v>Other</v>
          </cell>
          <cell r="R4067">
            <v>0</v>
          </cell>
          <cell r="AZ4067">
            <v>0</v>
          </cell>
          <cell r="BA4067">
            <v>0</v>
          </cell>
          <cell r="BC4067" t="str">
            <v>OTHERS</v>
          </cell>
          <cell r="BE4067" t="str">
            <v>Oct</v>
          </cell>
        </row>
        <row r="4068">
          <cell r="C4068" t="str">
            <v>Other</v>
          </cell>
          <cell r="R4068">
            <v>0</v>
          </cell>
          <cell r="AZ4068">
            <v>0</v>
          </cell>
          <cell r="BA4068">
            <v>0</v>
          </cell>
          <cell r="BC4068" t="str">
            <v>OTHERS</v>
          </cell>
          <cell r="BE4068" t="str">
            <v>Nov</v>
          </cell>
        </row>
        <row r="4069">
          <cell r="C4069" t="str">
            <v>Other</v>
          </cell>
          <cell r="R4069">
            <v>0</v>
          </cell>
          <cell r="AZ4069">
            <v>0</v>
          </cell>
          <cell r="BA4069">
            <v>0</v>
          </cell>
          <cell r="BC4069" t="str">
            <v>OTHERS</v>
          </cell>
          <cell r="BE4069" t="str">
            <v>Dec</v>
          </cell>
        </row>
        <row r="4070">
          <cell r="C4070" t="str">
            <v>Other</v>
          </cell>
          <cell r="R4070">
            <v>0</v>
          </cell>
          <cell r="AZ4070">
            <v>0</v>
          </cell>
          <cell r="BA4070">
            <v>0</v>
          </cell>
          <cell r="BC4070" t="str">
            <v>OTHERS</v>
          </cell>
          <cell r="BE4070" t="str">
            <v>Jan</v>
          </cell>
        </row>
        <row r="4071">
          <cell r="C4071" t="str">
            <v>Other</v>
          </cell>
          <cell r="R4071">
            <v>0</v>
          </cell>
          <cell r="AZ4071">
            <v>0</v>
          </cell>
          <cell r="BA4071">
            <v>0</v>
          </cell>
          <cell r="BC4071" t="str">
            <v>OTHERS</v>
          </cell>
          <cell r="BE4071" t="str">
            <v>Feb</v>
          </cell>
        </row>
        <row r="4072">
          <cell r="C4072" t="str">
            <v>Other</v>
          </cell>
          <cell r="R4072">
            <v>0</v>
          </cell>
          <cell r="AZ4072">
            <v>0</v>
          </cell>
          <cell r="BA4072">
            <v>0</v>
          </cell>
          <cell r="BC4072" t="str">
            <v>OTHERS</v>
          </cell>
          <cell r="BE4072" t="str">
            <v>Mar</v>
          </cell>
        </row>
        <row r="4073">
          <cell r="C4073" t="str">
            <v>Other</v>
          </cell>
          <cell r="R4073">
            <v>0</v>
          </cell>
          <cell r="AZ4073">
            <v>0</v>
          </cell>
          <cell r="BA4073">
            <v>0</v>
          </cell>
          <cell r="BC4073" t="str">
            <v>OTHERS</v>
          </cell>
          <cell r="BE4073" t="str">
            <v>Apr</v>
          </cell>
        </row>
        <row r="4074">
          <cell r="C4074" t="str">
            <v>Other</v>
          </cell>
          <cell r="R4074">
            <v>0</v>
          </cell>
          <cell r="AZ4074">
            <v>0</v>
          </cell>
          <cell r="BA4074">
            <v>0</v>
          </cell>
          <cell r="BC4074" t="str">
            <v>OTHERS</v>
          </cell>
          <cell r="BE4074" t="str">
            <v>May</v>
          </cell>
        </row>
        <row r="4075">
          <cell r="C4075" t="str">
            <v>Other</v>
          </cell>
          <cell r="R4075">
            <v>0</v>
          </cell>
          <cell r="AZ4075">
            <v>0</v>
          </cell>
          <cell r="BA4075">
            <v>0</v>
          </cell>
          <cell r="BC4075" t="str">
            <v>OTHERS</v>
          </cell>
          <cell r="BE4075" t="str">
            <v>Jun</v>
          </cell>
        </row>
        <row r="4076">
          <cell r="C4076" t="str">
            <v>Other</v>
          </cell>
          <cell r="R4076">
            <v>0</v>
          </cell>
          <cell r="AZ4076">
            <v>0</v>
          </cell>
          <cell r="BA4076">
            <v>0</v>
          </cell>
          <cell r="BC4076" t="str">
            <v>OTHERS</v>
          </cell>
          <cell r="BE4076" t="str">
            <v>Jul</v>
          </cell>
        </row>
        <row r="4077">
          <cell r="C4077" t="str">
            <v>Other</v>
          </cell>
          <cell r="R4077">
            <v>0</v>
          </cell>
          <cell r="AZ4077">
            <v>0</v>
          </cell>
          <cell r="BA4077">
            <v>0</v>
          </cell>
          <cell r="BC4077" t="str">
            <v>OTHERS</v>
          </cell>
          <cell r="BE4077" t="str">
            <v>Aug</v>
          </cell>
        </row>
        <row r="4078">
          <cell r="C4078" t="str">
            <v>Other</v>
          </cell>
          <cell r="R4078">
            <v>0</v>
          </cell>
          <cell r="AZ4078">
            <v>0</v>
          </cell>
          <cell r="BA4078">
            <v>0</v>
          </cell>
          <cell r="BC4078" t="str">
            <v>OTHERS</v>
          </cell>
          <cell r="BE4078" t="str">
            <v>Sep</v>
          </cell>
        </row>
        <row r="4079">
          <cell r="C4079" t="str">
            <v>Other</v>
          </cell>
          <cell r="R4079">
            <v>0</v>
          </cell>
          <cell r="AZ4079">
            <v>0</v>
          </cell>
          <cell r="BA4079">
            <v>0</v>
          </cell>
          <cell r="BC4079" t="str">
            <v>OTHERS</v>
          </cell>
          <cell r="BE4079" t="str">
            <v>Oct</v>
          </cell>
        </row>
        <row r="4080">
          <cell r="C4080" t="str">
            <v>Other</v>
          </cell>
          <cell r="R4080">
            <v>0</v>
          </cell>
          <cell r="AZ4080">
            <v>0</v>
          </cell>
          <cell r="BA4080">
            <v>0</v>
          </cell>
          <cell r="BC4080" t="str">
            <v>OTHERS</v>
          </cell>
          <cell r="BE4080" t="str">
            <v>Nov</v>
          </cell>
        </row>
        <row r="4081">
          <cell r="C4081" t="str">
            <v>Other</v>
          </cell>
          <cell r="R4081">
            <v>0</v>
          </cell>
          <cell r="AZ4081">
            <v>0</v>
          </cell>
          <cell r="BA4081">
            <v>0</v>
          </cell>
          <cell r="BC4081" t="str">
            <v>OTHERS</v>
          </cell>
          <cell r="BE4081" t="str">
            <v>Dec</v>
          </cell>
        </row>
        <row r="4082">
          <cell r="C4082" t="str">
            <v>Other</v>
          </cell>
          <cell r="R4082">
            <v>0</v>
          </cell>
          <cell r="AZ4082">
            <v>0</v>
          </cell>
          <cell r="BA4082">
            <v>0</v>
          </cell>
          <cell r="BC4082" t="str">
            <v>OTHERS</v>
          </cell>
          <cell r="BE4082" t="str">
            <v>Jan</v>
          </cell>
        </row>
        <row r="4083">
          <cell r="C4083" t="str">
            <v>Other</v>
          </cell>
          <cell r="R4083">
            <v>0</v>
          </cell>
          <cell r="AZ4083">
            <v>0</v>
          </cell>
          <cell r="BA4083">
            <v>0</v>
          </cell>
          <cell r="BC4083" t="str">
            <v>OTHERS</v>
          </cell>
          <cell r="BE4083" t="str">
            <v>Feb</v>
          </cell>
        </row>
        <row r="4084">
          <cell r="C4084" t="str">
            <v>Other</v>
          </cell>
          <cell r="R4084">
            <v>0</v>
          </cell>
          <cell r="AZ4084">
            <v>0</v>
          </cell>
          <cell r="BA4084">
            <v>0</v>
          </cell>
          <cell r="BC4084" t="str">
            <v>OTHERS</v>
          </cell>
          <cell r="BE4084" t="str">
            <v>Mar</v>
          </cell>
        </row>
        <row r="4085">
          <cell r="C4085" t="str">
            <v>Other</v>
          </cell>
          <cell r="R4085">
            <v>0</v>
          </cell>
          <cell r="AZ4085">
            <v>0</v>
          </cell>
          <cell r="BA4085">
            <v>0</v>
          </cell>
          <cell r="BC4085" t="str">
            <v>OTHERS</v>
          </cell>
          <cell r="BE4085" t="str">
            <v>Apr</v>
          </cell>
        </row>
        <row r="4086">
          <cell r="C4086" t="str">
            <v>Other</v>
          </cell>
          <cell r="R4086">
            <v>0</v>
          </cell>
          <cell r="AZ4086">
            <v>0</v>
          </cell>
          <cell r="BA4086">
            <v>0</v>
          </cell>
          <cell r="BC4086" t="str">
            <v>OTHERS</v>
          </cell>
          <cell r="BE4086" t="str">
            <v>May</v>
          </cell>
        </row>
        <row r="4087">
          <cell r="C4087" t="str">
            <v>Other</v>
          </cell>
          <cell r="R4087">
            <v>0</v>
          </cell>
          <cell r="AZ4087">
            <v>0</v>
          </cell>
          <cell r="BA4087">
            <v>0</v>
          </cell>
          <cell r="BC4087" t="str">
            <v>OTHERS</v>
          </cell>
          <cell r="BE4087" t="str">
            <v>Jun</v>
          </cell>
        </row>
        <row r="4088">
          <cell r="C4088" t="str">
            <v>Other</v>
          </cell>
          <cell r="R4088">
            <v>0</v>
          </cell>
          <cell r="AZ4088">
            <v>0</v>
          </cell>
          <cell r="BA4088">
            <v>0</v>
          </cell>
          <cell r="BC4088" t="str">
            <v>OTHERS</v>
          </cell>
          <cell r="BE4088" t="str">
            <v>Jul</v>
          </cell>
        </row>
        <row r="4089">
          <cell r="C4089" t="str">
            <v>Other</v>
          </cell>
          <cell r="R4089">
            <v>0</v>
          </cell>
          <cell r="AZ4089">
            <v>0</v>
          </cell>
          <cell r="BA4089">
            <v>0</v>
          </cell>
          <cell r="BC4089" t="str">
            <v>OTHERS</v>
          </cell>
          <cell r="BE4089" t="str">
            <v>Aug</v>
          </cell>
        </row>
        <row r="4090">
          <cell r="C4090" t="str">
            <v>Other</v>
          </cell>
          <cell r="R4090">
            <v>0</v>
          </cell>
          <cell r="AZ4090">
            <v>0</v>
          </cell>
          <cell r="BA4090">
            <v>0</v>
          </cell>
          <cell r="BC4090" t="str">
            <v>OTHERS</v>
          </cell>
          <cell r="BE4090" t="str">
            <v>Sep</v>
          </cell>
        </row>
        <row r="4091">
          <cell r="C4091" t="str">
            <v>Other</v>
          </cell>
          <cell r="R4091">
            <v>0</v>
          </cell>
          <cell r="AZ4091">
            <v>0</v>
          </cell>
          <cell r="BA4091">
            <v>0</v>
          </cell>
          <cell r="BC4091" t="str">
            <v>OTHERS</v>
          </cell>
          <cell r="BE4091" t="str">
            <v>Oct</v>
          </cell>
        </row>
        <row r="4092">
          <cell r="C4092" t="str">
            <v>Other</v>
          </cell>
          <cell r="R4092">
            <v>0</v>
          </cell>
          <cell r="AZ4092">
            <v>0</v>
          </cell>
          <cell r="BA4092">
            <v>0</v>
          </cell>
          <cell r="BC4092" t="str">
            <v>OTHERS</v>
          </cell>
          <cell r="BE4092" t="str">
            <v>Nov</v>
          </cell>
        </row>
        <row r="4093">
          <cell r="C4093" t="str">
            <v>Other</v>
          </cell>
          <cell r="R4093">
            <v>0</v>
          </cell>
          <cell r="AZ4093">
            <v>0</v>
          </cell>
          <cell r="BA4093">
            <v>0</v>
          </cell>
          <cell r="BC4093" t="str">
            <v>OTHERS</v>
          </cell>
          <cell r="BE4093" t="str">
            <v>Dec</v>
          </cell>
        </row>
        <row r="4094">
          <cell r="C4094" t="str">
            <v>Other</v>
          </cell>
          <cell r="R4094">
            <v>0</v>
          </cell>
          <cell r="AZ4094">
            <v>0</v>
          </cell>
          <cell r="BA4094">
            <v>0</v>
          </cell>
          <cell r="BC4094" t="str">
            <v>OTHERS</v>
          </cell>
          <cell r="BE4094" t="str">
            <v>Jan</v>
          </cell>
        </row>
        <row r="4095">
          <cell r="C4095" t="str">
            <v>Other</v>
          </cell>
          <cell r="R4095">
            <v>0</v>
          </cell>
          <cell r="AZ4095">
            <v>0</v>
          </cell>
          <cell r="BA4095">
            <v>0</v>
          </cell>
          <cell r="BC4095" t="str">
            <v>OTHERS</v>
          </cell>
          <cell r="BE4095" t="str">
            <v>Feb</v>
          </cell>
        </row>
        <row r="4096">
          <cell r="C4096" t="str">
            <v>Other</v>
          </cell>
          <cell r="R4096">
            <v>0</v>
          </cell>
          <cell r="AZ4096">
            <v>0</v>
          </cell>
          <cell r="BA4096">
            <v>0</v>
          </cell>
          <cell r="BC4096" t="str">
            <v>OTHERS</v>
          </cell>
          <cell r="BE4096" t="str">
            <v>Mar</v>
          </cell>
        </row>
        <row r="4097">
          <cell r="C4097" t="str">
            <v>Other</v>
          </cell>
          <cell r="R4097">
            <v>0</v>
          </cell>
          <cell r="AZ4097">
            <v>0</v>
          </cell>
          <cell r="BA4097">
            <v>0</v>
          </cell>
          <cell r="BC4097" t="str">
            <v>OTHERS</v>
          </cell>
          <cell r="BE4097" t="str">
            <v>Apr</v>
          </cell>
        </row>
        <row r="4098">
          <cell r="C4098" t="str">
            <v>Other</v>
          </cell>
          <cell r="R4098">
            <v>0</v>
          </cell>
          <cell r="AZ4098">
            <v>0</v>
          </cell>
          <cell r="BA4098">
            <v>0</v>
          </cell>
          <cell r="BC4098" t="str">
            <v>OTHERS</v>
          </cell>
          <cell r="BE4098" t="str">
            <v>May</v>
          </cell>
        </row>
        <row r="4099">
          <cell r="C4099" t="str">
            <v>Other</v>
          </cell>
          <cell r="R4099">
            <v>0</v>
          </cell>
          <cell r="AZ4099">
            <v>0</v>
          </cell>
          <cell r="BA4099">
            <v>0</v>
          </cell>
          <cell r="BC4099" t="str">
            <v>OTHERS</v>
          </cell>
          <cell r="BE4099" t="str">
            <v>Jun</v>
          </cell>
        </row>
        <row r="4100">
          <cell r="C4100" t="str">
            <v>Other</v>
          </cell>
          <cell r="R4100">
            <v>0</v>
          </cell>
          <cell r="AZ4100">
            <v>0</v>
          </cell>
          <cell r="BA4100">
            <v>0</v>
          </cell>
          <cell r="BC4100" t="str">
            <v>OTHERS</v>
          </cell>
          <cell r="BE4100" t="str">
            <v>Jul</v>
          </cell>
        </row>
        <row r="4101">
          <cell r="C4101" t="str">
            <v>Other</v>
          </cell>
          <cell r="R4101">
            <v>0</v>
          </cell>
          <cell r="AZ4101">
            <v>0</v>
          </cell>
          <cell r="BA4101">
            <v>0</v>
          </cell>
          <cell r="BC4101" t="str">
            <v>OTHERS</v>
          </cell>
          <cell r="BE4101" t="str">
            <v>Aug</v>
          </cell>
        </row>
        <row r="4102">
          <cell r="C4102" t="str">
            <v>Other</v>
          </cell>
          <cell r="R4102">
            <v>0</v>
          </cell>
          <cell r="AZ4102">
            <v>0</v>
          </cell>
          <cell r="BA4102">
            <v>0</v>
          </cell>
          <cell r="BC4102" t="str">
            <v>OTHERS</v>
          </cell>
          <cell r="BE4102" t="str">
            <v>Sep</v>
          </cell>
        </row>
        <row r="4103">
          <cell r="C4103" t="str">
            <v>Other</v>
          </cell>
          <cell r="R4103">
            <v>0</v>
          </cell>
          <cell r="AZ4103">
            <v>0</v>
          </cell>
          <cell r="BA4103">
            <v>0</v>
          </cell>
          <cell r="BC4103" t="str">
            <v>OTHERS</v>
          </cell>
          <cell r="BE4103" t="str">
            <v>Oct</v>
          </cell>
        </row>
        <row r="4104">
          <cell r="C4104" t="str">
            <v>Other</v>
          </cell>
          <cell r="R4104">
            <v>0</v>
          </cell>
          <cell r="AZ4104">
            <v>0</v>
          </cell>
          <cell r="BA4104">
            <v>0</v>
          </cell>
          <cell r="BC4104" t="str">
            <v>OTHERS</v>
          </cell>
          <cell r="BE4104" t="str">
            <v>Nov</v>
          </cell>
        </row>
        <row r="4105">
          <cell r="C4105" t="str">
            <v>Other</v>
          </cell>
          <cell r="R4105">
            <v>0</v>
          </cell>
          <cell r="AZ4105">
            <v>0</v>
          </cell>
          <cell r="BA4105">
            <v>0</v>
          </cell>
          <cell r="BC4105" t="str">
            <v>OTHERS</v>
          </cell>
          <cell r="BE4105" t="str">
            <v>Dec</v>
          </cell>
        </row>
        <row r="4106">
          <cell r="C4106" t="str">
            <v>Other</v>
          </cell>
          <cell r="R4106">
            <v>0</v>
          </cell>
          <cell r="AZ4106">
            <v>0</v>
          </cell>
          <cell r="BA4106">
            <v>0</v>
          </cell>
          <cell r="BC4106" t="str">
            <v>OTHERS</v>
          </cell>
          <cell r="BE4106" t="str">
            <v>Jan</v>
          </cell>
        </row>
        <row r="4107">
          <cell r="C4107" t="str">
            <v>Other</v>
          </cell>
          <cell r="R4107">
            <v>0</v>
          </cell>
          <cell r="AZ4107">
            <v>0</v>
          </cell>
          <cell r="BA4107">
            <v>0</v>
          </cell>
          <cell r="BC4107" t="str">
            <v>OTHERS</v>
          </cell>
          <cell r="BE4107" t="str">
            <v>Feb</v>
          </cell>
        </row>
        <row r="4108">
          <cell r="C4108" t="str">
            <v>Other</v>
          </cell>
          <cell r="R4108">
            <v>0</v>
          </cell>
          <cell r="AZ4108">
            <v>0</v>
          </cell>
          <cell r="BA4108">
            <v>0</v>
          </cell>
          <cell r="BC4108" t="str">
            <v>OTHERS</v>
          </cell>
          <cell r="BE4108" t="str">
            <v>Mar</v>
          </cell>
        </row>
        <row r="4109">
          <cell r="C4109" t="str">
            <v>Other</v>
          </cell>
          <cell r="R4109">
            <v>0</v>
          </cell>
          <cell r="AZ4109">
            <v>0</v>
          </cell>
          <cell r="BA4109">
            <v>0</v>
          </cell>
          <cell r="BC4109" t="str">
            <v>OTHERS</v>
          </cell>
          <cell r="BE4109" t="str">
            <v>Apr</v>
          </cell>
        </row>
        <row r="4110">
          <cell r="C4110" t="str">
            <v>Other</v>
          </cell>
          <cell r="R4110">
            <v>0</v>
          </cell>
          <cell r="AZ4110">
            <v>0</v>
          </cell>
          <cell r="BA4110">
            <v>0</v>
          </cell>
          <cell r="BC4110" t="str">
            <v>OTHERS</v>
          </cell>
          <cell r="BE4110" t="str">
            <v>May</v>
          </cell>
        </row>
        <row r="4111">
          <cell r="C4111" t="str">
            <v>Other</v>
          </cell>
          <cell r="R4111">
            <v>0</v>
          </cell>
          <cell r="AZ4111">
            <v>0</v>
          </cell>
          <cell r="BA4111">
            <v>0</v>
          </cell>
          <cell r="BC4111" t="str">
            <v>OTHERS</v>
          </cell>
          <cell r="BE4111" t="str">
            <v>Jun</v>
          </cell>
        </row>
        <row r="4112">
          <cell r="C4112" t="str">
            <v>Other</v>
          </cell>
          <cell r="R4112">
            <v>0</v>
          </cell>
          <cell r="AZ4112">
            <v>0</v>
          </cell>
          <cell r="BA4112">
            <v>0</v>
          </cell>
          <cell r="BC4112" t="str">
            <v>OTHERS</v>
          </cell>
          <cell r="BE4112" t="str">
            <v>Jul</v>
          </cell>
        </row>
        <row r="4113">
          <cell r="C4113" t="str">
            <v>Other</v>
          </cell>
          <cell r="R4113">
            <v>0</v>
          </cell>
          <cell r="AZ4113">
            <v>0</v>
          </cell>
          <cell r="BA4113">
            <v>0</v>
          </cell>
          <cell r="BC4113" t="str">
            <v>OTHERS</v>
          </cell>
          <cell r="BE4113" t="str">
            <v>Aug</v>
          </cell>
        </row>
        <row r="4114">
          <cell r="C4114" t="str">
            <v>Other</v>
          </cell>
          <cell r="R4114">
            <v>0</v>
          </cell>
          <cell r="AZ4114">
            <v>0</v>
          </cell>
          <cell r="BA4114">
            <v>0</v>
          </cell>
          <cell r="BC4114" t="str">
            <v>OTHERS</v>
          </cell>
          <cell r="BE4114" t="str">
            <v>Sep</v>
          </cell>
        </row>
        <row r="4115">
          <cell r="C4115" t="str">
            <v>Other</v>
          </cell>
          <cell r="R4115">
            <v>0</v>
          </cell>
          <cell r="AZ4115">
            <v>0</v>
          </cell>
          <cell r="BA4115">
            <v>0</v>
          </cell>
          <cell r="BC4115" t="str">
            <v>OTHERS</v>
          </cell>
          <cell r="BE4115" t="str">
            <v>Oct</v>
          </cell>
        </row>
        <row r="4116">
          <cell r="C4116" t="str">
            <v>Other</v>
          </cell>
          <cell r="R4116">
            <v>0</v>
          </cell>
          <cell r="AZ4116">
            <v>0</v>
          </cell>
          <cell r="BA4116">
            <v>0</v>
          </cell>
          <cell r="BC4116" t="str">
            <v>OTHERS</v>
          </cell>
          <cell r="BE4116" t="str">
            <v>Nov</v>
          </cell>
        </row>
        <row r="4117">
          <cell r="C4117" t="str">
            <v>Other</v>
          </cell>
          <cell r="R4117">
            <v>0</v>
          </cell>
          <cell r="AZ4117">
            <v>0</v>
          </cell>
          <cell r="BA4117">
            <v>0</v>
          </cell>
          <cell r="BC4117" t="str">
            <v>OTHERS</v>
          </cell>
          <cell r="BE4117" t="str">
            <v>Dec</v>
          </cell>
        </row>
        <row r="4118">
          <cell r="C4118" t="str">
            <v>Other</v>
          </cell>
          <cell r="R4118">
            <v>0</v>
          </cell>
          <cell r="AZ4118">
            <v>0</v>
          </cell>
          <cell r="BA4118">
            <v>0</v>
          </cell>
          <cell r="BC4118" t="str">
            <v>OTHERS</v>
          </cell>
          <cell r="BE4118" t="str">
            <v>Jan</v>
          </cell>
        </row>
        <row r="4119">
          <cell r="C4119" t="str">
            <v>Other</v>
          </cell>
          <cell r="R4119">
            <v>0</v>
          </cell>
          <cell r="AZ4119">
            <v>0</v>
          </cell>
          <cell r="BA4119">
            <v>0</v>
          </cell>
          <cell r="BC4119" t="str">
            <v>OTHERS</v>
          </cell>
          <cell r="BE4119" t="str">
            <v>Feb</v>
          </cell>
        </row>
        <row r="4120">
          <cell r="C4120" t="str">
            <v>Other</v>
          </cell>
          <cell r="R4120">
            <v>0</v>
          </cell>
          <cell r="AZ4120">
            <v>0</v>
          </cell>
          <cell r="BA4120">
            <v>0</v>
          </cell>
          <cell r="BC4120" t="str">
            <v>OTHERS</v>
          </cell>
          <cell r="BE4120" t="str">
            <v>Mar</v>
          </cell>
        </row>
        <row r="4121">
          <cell r="C4121" t="str">
            <v>Other</v>
          </cell>
          <cell r="R4121">
            <v>0</v>
          </cell>
          <cell r="AZ4121">
            <v>0</v>
          </cell>
          <cell r="BA4121">
            <v>0</v>
          </cell>
          <cell r="BC4121" t="str">
            <v>OTHERS</v>
          </cell>
          <cell r="BE4121" t="str">
            <v>Apr</v>
          </cell>
        </row>
        <row r="4122">
          <cell r="C4122" t="str">
            <v>Other</v>
          </cell>
          <cell r="R4122">
            <v>0</v>
          </cell>
          <cell r="AZ4122">
            <v>0</v>
          </cell>
          <cell r="BA4122">
            <v>0</v>
          </cell>
          <cell r="BC4122" t="str">
            <v>OTHERS</v>
          </cell>
          <cell r="BE4122" t="str">
            <v>May</v>
          </cell>
        </row>
        <row r="4123">
          <cell r="C4123" t="str">
            <v>Other</v>
          </cell>
          <cell r="R4123">
            <v>0</v>
          </cell>
          <cell r="AZ4123">
            <v>0</v>
          </cell>
          <cell r="BA4123">
            <v>0</v>
          </cell>
          <cell r="BC4123" t="str">
            <v>OTHERS</v>
          </cell>
          <cell r="BE4123" t="str">
            <v>Jun</v>
          </cell>
        </row>
        <row r="4124">
          <cell r="C4124" t="str">
            <v>Other</v>
          </cell>
          <cell r="R4124">
            <v>0</v>
          </cell>
          <cell r="AZ4124">
            <v>0</v>
          </cell>
          <cell r="BA4124">
            <v>0</v>
          </cell>
          <cell r="BC4124" t="str">
            <v>OTHERS</v>
          </cell>
          <cell r="BE4124" t="str">
            <v>Jul</v>
          </cell>
        </row>
        <row r="4125">
          <cell r="C4125" t="str">
            <v>Other</v>
          </cell>
          <cell r="R4125">
            <v>0</v>
          </cell>
          <cell r="AZ4125">
            <v>0</v>
          </cell>
          <cell r="BA4125">
            <v>0</v>
          </cell>
          <cell r="BC4125" t="str">
            <v>OTHERS</v>
          </cell>
          <cell r="BE4125" t="str">
            <v>Aug</v>
          </cell>
        </row>
        <row r="4126">
          <cell r="C4126" t="str">
            <v>Other</v>
          </cell>
          <cell r="R4126">
            <v>0</v>
          </cell>
          <cell r="AZ4126">
            <v>0</v>
          </cell>
          <cell r="BA4126">
            <v>0</v>
          </cell>
          <cell r="BC4126" t="str">
            <v>OTHERS</v>
          </cell>
          <cell r="BE4126" t="str">
            <v>Sep</v>
          </cell>
        </row>
        <row r="4127">
          <cell r="C4127" t="str">
            <v>Other</v>
          </cell>
          <cell r="R4127">
            <v>0</v>
          </cell>
          <cell r="AZ4127">
            <v>0</v>
          </cell>
          <cell r="BA4127">
            <v>0</v>
          </cell>
          <cell r="BC4127" t="str">
            <v>OTHERS</v>
          </cell>
          <cell r="BE4127" t="str">
            <v>Oct</v>
          </cell>
        </row>
        <row r="4128">
          <cell r="C4128" t="str">
            <v>Other</v>
          </cell>
          <cell r="R4128">
            <v>0</v>
          </cell>
          <cell r="AZ4128">
            <v>0</v>
          </cell>
          <cell r="BA4128">
            <v>0</v>
          </cell>
          <cell r="BC4128" t="str">
            <v>OTHERS</v>
          </cell>
          <cell r="BE4128" t="str">
            <v>Nov</v>
          </cell>
        </row>
        <row r="4129">
          <cell r="C4129" t="str">
            <v>Other</v>
          </cell>
          <cell r="R4129">
            <v>0</v>
          </cell>
          <cell r="AZ4129">
            <v>0</v>
          </cell>
          <cell r="BA4129">
            <v>0</v>
          </cell>
          <cell r="BC4129" t="str">
            <v>OTHERS</v>
          </cell>
          <cell r="BE4129" t="str">
            <v>Dec</v>
          </cell>
        </row>
        <row r="4130">
          <cell r="C4130" t="str">
            <v>Other</v>
          </cell>
          <cell r="R4130">
            <v>0</v>
          </cell>
          <cell r="AZ4130">
            <v>0</v>
          </cell>
          <cell r="BA4130">
            <v>0</v>
          </cell>
          <cell r="BC4130" t="str">
            <v>OTHERS</v>
          </cell>
          <cell r="BE4130" t="str">
            <v>Jan</v>
          </cell>
        </row>
        <row r="4131">
          <cell r="C4131" t="str">
            <v>Other</v>
          </cell>
          <cell r="R4131">
            <v>0</v>
          </cell>
          <cell r="AZ4131">
            <v>0</v>
          </cell>
          <cell r="BA4131">
            <v>0</v>
          </cell>
          <cell r="BC4131" t="str">
            <v>OTHERS</v>
          </cell>
          <cell r="BE4131" t="str">
            <v>Feb</v>
          </cell>
        </row>
        <row r="4132">
          <cell r="C4132" t="str">
            <v>Other</v>
          </cell>
          <cell r="R4132">
            <v>0</v>
          </cell>
          <cell r="AZ4132">
            <v>0</v>
          </cell>
          <cell r="BA4132">
            <v>0</v>
          </cell>
          <cell r="BC4132" t="str">
            <v>OTHERS</v>
          </cell>
          <cell r="BE4132" t="str">
            <v>Mar</v>
          </cell>
        </row>
        <row r="4133">
          <cell r="C4133" t="str">
            <v>Other</v>
          </cell>
          <cell r="R4133">
            <v>0</v>
          </cell>
          <cell r="AZ4133">
            <v>0</v>
          </cell>
          <cell r="BA4133">
            <v>0</v>
          </cell>
          <cell r="BC4133" t="str">
            <v>OTHERS</v>
          </cell>
          <cell r="BE4133" t="str">
            <v>Apr</v>
          </cell>
        </row>
        <row r="4134">
          <cell r="C4134" t="str">
            <v>Other</v>
          </cell>
          <cell r="R4134">
            <v>0</v>
          </cell>
          <cell r="AZ4134">
            <v>0</v>
          </cell>
          <cell r="BA4134">
            <v>0</v>
          </cell>
          <cell r="BC4134" t="str">
            <v>OTHERS</v>
          </cell>
          <cell r="BE4134" t="str">
            <v>May</v>
          </cell>
        </row>
        <row r="4135">
          <cell r="C4135" t="str">
            <v>Other</v>
          </cell>
          <cell r="R4135">
            <v>0</v>
          </cell>
          <cell r="AZ4135">
            <v>0</v>
          </cell>
          <cell r="BA4135">
            <v>0</v>
          </cell>
          <cell r="BC4135" t="str">
            <v>OTHERS</v>
          </cell>
          <cell r="BE4135" t="str">
            <v>Jun</v>
          </cell>
        </row>
        <row r="4136">
          <cell r="C4136" t="str">
            <v>Other</v>
          </cell>
          <cell r="R4136">
            <v>0</v>
          </cell>
          <cell r="AZ4136">
            <v>0</v>
          </cell>
          <cell r="BA4136">
            <v>0</v>
          </cell>
          <cell r="BC4136" t="str">
            <v>OTHERS</v>
          </cell>
          <cell r="BE4136" t="str">
            <v>Jul</v>
          </cell>
        </row>
        <row r="4137">
          <cell r="C4137" t="str">
            <v>Other</v>
          </cell>
          <cell r="R4137">
            <v>0</v>
          </cell>
          <cell r="AZ4137">
            <v>0</v>
          </cell>
          <cell r="BA4137">
            <v>0</v>
          </cell>
          <cell r="BC4137" t="str">
            <v>OTHERS</v>
          </cell>
          <cell r="BE4137" t="str">
            <v>Aug</v>
          </cell>
        </row>
        <row r="4138">
          <cell r="C4138" t="str">
            <v>Other</v>
          </cell>
          <cell r="R4138">
            <v>0</v>
          </cell>
          <cell r="AZ4138">
            <v>0</v>
          </cell>
          <cell r="BA4138">
            <v>0</v>
          </cell>
          <cell r="BC4138" t="str">
            <v>OTHERS</v>
          </cell>
          <cell r="BE4138" t="str">
            <v>Sep</v>
          </cell>
        </row>
        <row r="4139">
          <cell r="C4139" t="str">
            <v>Other</v>
          </cell>
          <cell r="R4139">
            <v>0</v>
          </cell>
          <cell r="AZ4139">
            <v>0</v>
          </cell>
          <cell r="BA4139">
            <v>0</v>
          </cell>
          <cell r="BC4139" t="str">
            <v>OTHERS</v>
          </cell>
          <cell r="BE4139" t="str">
            <v>Oct</v>
          </cell>
        </row>
        <row r="4140">
          <cell r="C4140" t="str">
            <v>Other</v>
          </cell>
          <cell r="R4140">
            <v>0</v>
          </cell>
          <cell r="AZ4140">
            <v>0</v>
          </cell>
          <cell r="BA4140">
            <v>0</v>
          </cell>
          <cell r="BC4140" t="str">
            <v>OTHERS</v>
          </cell>
          <cell r="BE4140" t="str">
            <v>Nov</v>
          </cell>
        </row>
        <row r="4141">
          <cell r="C4141" t="str">
            <v>Other</v>
          </cell>
          <cell r="R4141">
            <v>0</v>
          </cell>
          <cell r="AZ4141">
            <v>0</v>
          </cell>
          <cell r="BA4141">
            <v>0</v>
          </cell>
          <cell r="BC4141" t="str">
            <v>OTHERS</v>
          </cell>
          <cell r="BE4141" t="str">
            <v>Dec</v>
          </cell>
        </row>
        <row r="4142">
          <cell r="C4142" t="str">
            <v>Other</v>
          </cell>
          <cell r="R4142">
            <v>0</v>
          </cell>
          <cell r="AZ4142">
            <v>0</v>
          </cell>
          <cell r="BA4142">
            <v>0</v>
          </cell>
          <cell r="BC4142" t="str">
            <v>OTHERS</v>
          </cell>
          <cell r="BE4142" t="str">
            <v>Jan</v>
          </cell>
        </row>
        <row r="4143">
          <cell r="C4143" t="str">
            <v>Other</v>
          </cell>
          <cell r="R4143">
            <v>0</v>
          </cell>
          <cell r="AZ4143">
            <v>0</v>
          </cell>
          <cell r="BA4143">
            <v>0</v>
          </cell>
          <cell r="BC4143" t="str">
            <v>OTHERS</v>
          </cell>
          <cell r="BE4143" t="str">
            <v>Feb</v>
          </cell>
        </row>
        <row r="4144">
          <cell r="C4144" t="str">
            <v>Other</v>
          </cell>
          <cell r="R4144">
            <v>0</v>
          </cell>
          <cell r="AZ4144">
            <v>0</v>
          </cell>
          <cell r="BA4144">
            <v>0</v>
          </cell>
          <cell r="BC4144" t="str">
            <v>OTHERS</v>
          </cell>
          <cell r="BE4144" t="str">
            <v>Mar</v>
          </cell>
        </row>
        <row r="4145">
          <cell r="C4145" t="str">
            <v>Other</v>
          </cell>
          <cell r="R4145">
            <v>0</v>
          </cell>
          <cell r="AZ4145">
            <v>0</v>
          </cell>
          <cell r="BA4145">
            <v>0</v>
          </cell>
          <cell r="BC4145" t="str">
            <v>OTHERS</v>
          </cell>
          <cell r="BE4145" t="str">
            <v>Apr</v>
          </cell>
        </row>
        <row r="4146">
          <cell r="C4146" t="str">
            <v>Other</v>
          </cell>
          <cell r="R4146">
            <v>0</v>
          </cell>
          <cell r="AZ4146">
            <v>0</v>
          </cell>
          <cell r="BA4146">
            <v>0</v>
          </cell>
          <cell r="BC4146" t="str">
            <v>OTHERS</v>
          </cell>
          <cell r="BE4146" t="str">
            <v>May</v>
          </cell>
        </row>
        <row r="4147">
          <cell r="C4147" t="str">
            <v>Other</v>
          </cell>
          <cell r="R4147">
            <v>0</v>
          </cell>
          <cell r="AZ4147">
            <v>0</v>
          </cell>
          <cell r="BA4147">
            <v>0</v>
          </cell>
          <cell r="BC4147" t="str">
            <v>OTHERS</v>
          </cell>
          <cell r="BE4147" t="str">
            <v>Jun</v>
          </cell>
        </row>
        <row r="4148">
          <cell r="C4148" t="str">
            <v>Other</v>
          </cell>
          <cell r="R4148">
            <v>0</v>
          </cell>
          <cell r="AZ4148">
            <v>0</v>
          </cell>
          <cell r="BA4148">
            <v>0</v>
          </cell>
          <cell r="BC4148" t="str">
            <v>OTHERS</v>
          </cell>
          <cell r="BE4148" t="str">
            <v>Jul</v>
          </cell>
        </row>
        <row r="4149">
          <cell r="C4149" t="str">
            <v>Other</v>
          </cell>
          <cell r="R4149">
            <v>0</v>
          </cell>
          <cell r="AZ4149">
            <v>0</v>
          </cell>
          <cell r="BA4149">
            <v>0</v>
          </cell>
          <cell r="BC4149" t="str">
            <v>OTHERS</v>
          </cell>
          <cell r="BE4149" t="str">
            <v>Aug</v>
          </cell>
        </row>
        <row r="4150">
          <cell r="C4150" t="str">
            <v>Other</v>
          </cell>
          <cell r="R4150">
            <v>0</v>
          </cell>
          <cell r="AZ4150">
            <v>0</v>
          </cell>
          <cell r="BA4150">
            <v>0</v>
          </cell>
          <cell r="BC4150" t="str">
            <v>OTHERS</v>
          </cell>
          <cell r="BE4150" t="str">
            <v>Sep</v>
          </cell>
        </row>
        <row r="4151">
          <cell r="C4151" t="str">
            <v>Other</v>
          </cell>
          <cell r="R4151">
            <v>0</v>
          </cell>
          <cell r="AZ4151">
            <v>0</v>
          </cell>
          <cell r="BA4151">
            <v>0</v>
          </cell>
          <cell r="BC4151" t="str">
            <v>OTHERS</v>
          </cell>
          <cell r="BE4151" t="str">
            <v>Oct</v>
          </cell>
        </row>
        <row r="4152">
          <cell r="C4152" t="str">
            <v>Other</v>
          </cell>
          <cell r="R4152">
            <v>0</v>
          </cell>
          <cell r="AZ4152">
            <v>0</v>
          </cell>
          <cell r="BA4152">
            <v>0</v>
          </cell>
          <cell r="BC4152" t="str">
            <v>OTHERS</v>
          </cell>
          <cell r="BE4152" t="str">
            <v>Nov</v>
          </cell>
        </row>
        <row r="4153">
          <cell r="C4153" t="str">
            <v>Other</v>
          </cell>
          <cell r="R4153">
            <v>0</v>
          </cell>
          <cell r="AZ4153">
            <v>0</v>
          </cell>
          <cell r="BA4153">
            <v>0</v>
          </cell>
          <cell r="BC4153" t="str">
            <v>OTHERS</v>
          </cell>
          <cell r="BE4153" t="str">
            <v>Dec</v>
          </cell>
        </row>
        <row r="4154">
          <cell r="C4154" t="str">
            <v>Other</v>
          </cell>
          <cell r="R4154">
            <v>0</v>
          </cell>
          <cell r="AZ4154">
            <v>0</v>
          </cell>
          <cell r="BA4154">
            <v>0</v>
          </cell>
          <cell r="BC4154" t="str">
            <v>OTHERS</v>
          </cell>
          <cell r="BE4154" t="str">
            <v>Jan</v>
          </cell>
        </row>
        <row r="4155">
          <cell r="C4155" t="str">
            <v>Other</v>
          </cell>
          <cell r="R4155">
            <v>0</v>
          </cell>
          <cell r="AZ4155">
            <v>0</v>
          </cell>
          <cell r="BA4155">
            <v>0</v>
          </cell>
          <cell r="BC4155" t="str">
            <v>OTHERS</v>
          </cell>
          <cell r="BE4155" t="str">
            <v>Feb</v>
          </cell>
        </row>
        <row r="4156">
          <cell r="C4156" t="str">
            <v>Other</v>
          </cell>
          <cell r="R4156">
            <v>0</v>
          </cell>
          <cell r="AZ4156">
            <v>0</v>
          </cell>
          <cell r="BA4156">
            <v>0</v>
          </cell>
          <cell r="BC4156" t="str">
            <v>OTHERS</v>
          </cell>
          <cell r="BE4156" t="str">
            <v>Mar</v>
          </cell>
        </row>
        <row r="4157">
          <cell r="C4157" t="str">
            <v>Other</v>
          </cell>
          <cell r="R4157">
            <v>0</v>
          </cell>
          <cell r="AZ4157">
            <v>0</v>
          </cell>
          <cell r="BA4157">
            <v>0</v>
          </cell>
          <cell r="BC4157" t="str">
            <v>OTHERS</v>
          </cell>
          <cell r="BE4157" t="str">
            <v>Apr</v>
          </cell>
        </row>
        <row r="4158">
          <cell r="C4158" t="str">
            <v>Other</v>
          </cell>
          <cell r="R4158">
            <v>0</v>
          </cell>
          <cell r="AZ4158">
            <v>0</v>
          </cell>
          <cell r="BA4158">
            <v>0</v>
          </cell>
          <cell r="BC4158" t="str">
            <v>OTHERS</v>
          </cell>
          <cell r="BE4158" t="str">
            <v>May</v>
          </cell>
        </row>
        <row r="4159">
          <cell r="C4159" t="str">
            <v>Other</v>
          </cell>
          <cell r="R4159">
            <v>0</v>
          </cell>
          <cell r="AZ4159">
            <v>0</v>
          </cell>
          <cell r="BA4159">
            <v>0</v>
          </cell>
          <cell r="BC4159" t="str">
            <v>OTHERS</v>
          </cell>
          <cell r="BE4159" t="str">
            <v>Jun</v>
          </cell>
        </row>
        <row r="4160">
          <cell r="C4160" t="str">
            <v>Other</v>
          </cell>
          <cell r="R4160">
            <v>0</v>
          </cell>
          <cell r="AZ4160">
            <v>0</v>
          </cell>
          <cell r="BA4160">
            <v>0</v>
          </cell>
          <cell r="BC4160" t="str">
            <v>OTHERS</v>
          </cell>
          <cell r="BE4160" t="str">
            <v>Jul</v>
          </cell>
        </row>
        <row r="4161">
          <cell r="C4161" t="str">
            <v>Other</v>
          </cell>
          <cell r="R4161">
            <v>0</v>
          </cell>
          <cell r="AZ4161">
            <v>0</v>
          </cell>
          <cell r="BA4161">
            <v>0</v>
          </cell>
          <cell r="BC4161" t="str">
            <v>OTHERS</v>
          </cell>
          <cell r="BE4161" t="str">
            <v>Aug</v>
          </cell>
        </row>
        <row r="4162">
          <cell r="C4162" t="str">
            <v>Other</v>
          </cell>
          <cell r="R4162">
            <v>0</v>
          </cell>
          <cell r="AZ4162">
            <v>0</v>
          </cell>
          <cell r="BA4162">
            <v>0</v>
          </cell>
          <cell r="BC4162" t="str">
            <v>OTHERS</v>
          </cell>
          <cell r="BE4162" t="str">
            <v>Sep</v>
          </cell>
        </row>
        <row r="4163">
          <cell r="C4163" t="str">
            <v>Other</v>
          </cell>
          <cell r="R4163">
            <v>0</v>
          </cell>
          <cell r="AZ4163">
            <v>0</v>
          </cell>
          <cell r="BA4163">
            <v>0</v>
          </cell>
          <cell r="BC4163" t="str">
            <v>OTHERS</v>
          </cell>
          <cell r="BE4163" t="str">
            <v>Oct</v>
          </cell>
        </row>
        <row r="4164">
          <cell r="C4164" t="str">
            <v>Other</v>
          </cell>
          <cell r="R4164">
            <v>0</v>
          </cell>
          <cell r="AZ4164">
            <v>0</v>
          </cell>
          <cell r="BA4164">
            <v>0</v>
          </cell>
          <cell r="BC4164" t="str">
            <v>OTHERS</v>
          </cell>
          <cell r="BE4164" t="str">
            <v>Nov</v>
          </cell>
        </row>
        <row r="4165">
          <cell r="C4165" t="str">
            <v>Other</v>
          </cell>
          <cell r="R4165">
            <v>0</v>
          </cell>
          <cell r="AZ4165">
            <v>0</v>
          </cell>
          <cell r="BA4165">
            <v>0</v>
          </cell>
          <cell r="BC4165" t="str">
            <v>OTHERS</v>
          </cell>
          <cell r="BE4165" t="str">
            <v>Dec</v>
          </cell>
        </row>
        <row r="4166">
          <cell r="C4166" t="str">
            <v>Other</v>
          </cell>
          <cell r="R4166">
            <v>0</v>
          </cell>
          <cell r="AZ4166">
            <v>0</v>
          </cell>
          <cell r="BA4166">
            <v>0</v>
          </cell>
          <cell r="BC4166" t="str">
            <v>OTHERS</v>
          </cell>
          <cell r="BE4166" t="str">
            <v>Jan</v>
          </cell>
        </row>
        <row r="4167">
          <cell r="C4167" t="str">
            <v>Other</v>
          </cell>
          <cell r="R4167">
            <v>0</v>
          </cell>
          <cell r="AZ4167">
            <v>0</v>
          </cell>
          <cell r="BA4167">
            <v>0</v>
          </cell>
          <cell r="BC4167" t="str">
            <v>OTHERS</v>
          </cell>
          <cell r="BE4167" t="str">
            <v>Feb</v>
          </cell>
        </row>
        <row r="4168">
          <cell r="C4168" t="str">
            <v>Other</v>
          </cell>
          <cell r="R4168">
            <v>0</v>
          </cell>
          <cell r="AZ4168">
            <v>0</v>
          </cell>
          <cell r="BA4168">
            <v>0</v>
          </cell>
          <cell r="BC4168" t="str">
            <v>OTHERS</v>
          </cell>
          <cell r="BE4168" t="str">
            <v>Mar</v>
          </cell>
        </row>
        <row r="4169">
          <cell r="C4169" t="str">
            <v>Other</v>
          </cell>
          <cell r="R4169">
            <v>0</v>
          </cell>
          <cell r="AZ4169">
            <v>0</v>
          </cell>
          <cell r="BA4169">
            <v>0</v>
          </cell>
          <cell r="BC4169" t="str">
            <v>OTHERS</v>
          </cell>
          <cell r="BE4169" t="str">
            <v>Apr</v>
          </cell>
        </row>
        <row r="4170">
          <cell r="C4170" t="str">
            <v>Other</v>
          </cell>
          <cell r="R4170">
            <v>0</v>
          </cell>
          <cell r="AZ4170">
            <v>0</v>
          </cell>
          <cell r="BA4170">
            <v>0</v>
          </cell>
          <cell r="BC4170" t="str">
            <v>OTHERS</v>
          </cell>
          <cell r="BE4170" t="str">
            <v>May</v>
          </cell>
        </row>
        <row r="4171">
          <cell r="C4171" t="str">
            <v>Other</v>
          </cell>
          <cell r="R4171">
            <v>0</v>
          </cell>
          <cell r="AZ4171">
            <v>0</v>
          </cell>
          <cell r="BA4171">
            <v>0</v>
          </cell>
          <cell r="BC4171" t="str">
            <v>OTHERS</v>
          </cell>
          <cell r="BE4171" t="str">
            <v>Jun</v>
          </cell>
        </row>
        <row r="4172">
          <cell r="C4172" t="str">
            <v>Other</v>
          </cell>
          <cell r="R4172">
            <v>0</v>
          </cell>
          <cell r="AZ4172">
            <v>0</v>
          </cell>
          <cell r="BA4172">
            <v>0</v>
          </cell>
          <cell r="BC4172" t="str">
            <v>OTHERS</v>
          </cell>
          <cell r="BE4172" t="str">
            <v>Jul</v>
          </cell>
        </row>
        <row r="4173">
          <cell r="C4173" t="str">
            <v>Other</v>
          </cell>
          <cell r="R4173">
            <v>0</v>
          </cell>
          <cell r="AZ4173">
            <v>0</v>
          </cell>
          <cell r="BA4173">
            <v>0</v>
          </cell>
          <cell r="BC4173" t="str">
            <v>OTHERS</v>
          </cell>
          <cell r="BE4173" t="str">
            <v>Aug</v>
          </cell>
        </row>
        <row r="4174">
          <cell r="C4174" t="str">
            <v>Other</v>
          </cell>
          <cell r="R4174">
            <v>0</v>
          </cell>
          <cell r="AZ4174">
            <v>0</v>
          </cell>
          <cell r="BA4174">
            <v>0</v>
          </cell>
          <cell r="BC4174" t="str">
            <v>OTHERS</v>
          </cell>
          <cell r="BE4174" t="str">
            <v>Sep</v>
          </cell>
        </row>
        <row r="4175">
          <cell r="C4175" t="str">
            <v>Other</v>
          </cell>
          <cell r="R4175">
            <v>0</v>
          </cell>
          <cell r="AZ4175">
            <v>0</v>
          </cell>
          <cell r="BA4175">
            <v>0</v>
          </cell>
          <cell r="BC4175" t="str">
            <v>OTHERS</v>
          </cell>
          <cell r="BE4175" t="str">
            <v>Oct</v>
          </cell>
        </row>
        <row r="4176">
          <cell r="C4176" t="str">
            <v>Other</v>
          </cell>
          <cell r="R4176">
            <v>0</v>
          </cell>
          <cell r="AZ4176">
            <v>0</v>
          </cell>
          <cell r="BA4176">
            <v>0</v>
          </cell>
          <cell r="BC4176" t="str">
            <v>OTHERS</v>
          </cell>
          <cell r="BE4176" t="str">
            <v>Nov</v>
          </cell>
        </row>
        <row r="4177">
          <cell r="C4177" t="str">
            <v>Other</v>
          </cell>
          <cell r="R4177">
            <v>0</v>
          </cell>
          <cell r="AZ4177">
            <v>0</v>
          </cell>
          <cell r="BA4177">
            <v>0</v>
          </cell>
          <cell r="BC4177" t="str">
            <v>OTHERS</v>
          </cell>
          <cell r="BE4177" t="str">
            <v>Dec</v>
          </cell>
        </row>
        <row r="4178">
          <cell r="C4178" t="str">
            <v>Other</v>
          </cell>
          <cell r="R4178">
            <v>0</v>
          </cell>
          <cell r="AZ4178">
            <v>0</v>
          </cell>
          <cell r="BA4178">
            <v>0</v>
          </cell>
          <cell r="BC4178" t="str">
            <v>OTHERS</v>
          </cell>
          <cell r="BE4178" t="str">
            <v>Jan</v>
          </cell>
        </row>
        <row r="4179">
          <cell r="C4179" t="str">
            <v>Other</v>
          </cell>
          <cell r="R4179">
            <v>0</v>
          </cell>
          <cell r="AZ4179">
            <v>0</v>
          </cell>
          <cell r="BA4179">
            <v>0</v>
          </cell>
          <cell r="BC4179" t="str">
            <v>OTHERS</v>
          </cell>
          <cell r="BE4179" t="str">
            <v>Feb</v>
          </cell>
        </row>
        <row r="4180">
          <cell r="C4180" t="str">
            <v>Other</v>
          </cell>
          <cell r="R4180">
            <v>0</v>
          </cell>
          <cell r="AZ4180">
            <v>0</v>
          </cell>
          <cell r="BA4180">
            <v>0</v>
          </cell>
          <cell r="BC4180" t="str">
            <v>OTHERS</v>
          </cell>
          <cell r="BE4180" t="str">
            <v>Mar</v>
          </cell>
        </row>
        <row r="4181">
          <cell r="C4181" t="str">
            <v>Other</v>
          </cell>
          <cell r="R4181">
            <v>0</v>
          </cell>
          <cell r="AZ4181">
            <v>0</v>
          </cell>
          <cell r="BA4181">
            <v>0</v>
          </cell>
          <cell r="BC4181" t="str">
            <v>OTHERS</v>
          </cell>
          <cell r="BE4181" t="str">
            <v>Apr</v>
          </cell>
        </row>
        <row r="4182">
          <cell r="C4182" t="str">
            <v>Other</v>
          </cell>
          <cell r="R4182">
            <v>0</v>
          </cell>
          <cell r="AZ4182">
            <v>0</v>
          </cell>
          <cell r="BA4182">
            <v>0</v>
          </cell>
          <cell r="BC4182" t="str">
            <v>OTHERS</v>
          </cell>
          <cell r="BE4182" t="str">
            <v>May</v>
          </cell>
        </row>
        <row r="4183">
          <cell r="C4183" t="str">
            <v>Other</v>
          </cell>
          <cell r="R4183">
            <v>0</v>
          </cell>
          <cell r="AZ4183">
            <v>0</v>
          </cell>
          <cell r="BA4183">
            <v>0</v>
          </cell>
          <cell r="BC4183" t="str">
            <v>OTHERS</v>
          </cell>
          <cell r="BE4183" t="str">
            <v>Jun</v>
          </cell>
        </row>
        <row r="4184">
          <cell r="C4184" t="str">
            <v>Other</v>
          </cell>
          <cell r="R4184">
            <v>0</v>
          </cell>
          <cell r="AZ4184">
            <v>0</v>
          </cell>
          <cell r="BA4184">
            <v>0</v>
          </cell>
          <cell r="BC4184" t="str">
            <v>OTHERS</v>
          </cell>
          <cell r="BE4184" t="str">
            <v>Jul</v>
          </cell>
        </row>
        <row r="4185">
          <cell r="C4185" t="str">
            <v>Other</v>
          </cell>
          <cell r="R4185">
            <v>0</v>
          </cell>
          <cell r="AZ4185">
            <v>0</v>
          </cell>
          <cell r="BA4185">
            <v>0</v>
          </cell>
          <cell r="BC4185" t="str">
            <v>OTHERS</v>
          </cell>
          <cell r="BE4185" t="str">
            <v>Aug</v>
          </cell>
        </row>
        <row r="4186">
          <cell r="C4186" t="str">
            <v>Other</v>
          </cell>
          <cell r="R4186">
            <v>0</v>
          </cell>
          <cell r="AZ4186">
            <v>0</v>
          </cell>
          <cell r="BA4186">
            <v>0</v>
          </cell>
          <cell r="BC4186" t="str">
            <v>OTHERS</v>
          </cell>
          <cell r="BE4186" t="str">
            <v>Sep</v>
          </cell>
        </row>
        <row r="4187">
          <cell r="C4187" t="str">
            <v>Other</v>
          </cell>
          <cell r="R4187">
            <v>0</v>
          </cell>
          <cell r="AZ4187">
            <v>0</v>
          </cell>
          <cell r="BA4187">
            <v>0</v>
          </cell>
          <cell r="BC4187" t="str">
            <v>OTHERS</v>
          </cell>
          <cell r="BE4187" t="str">
            <v>Oct</v>
          </cell>
        </row>
        <row r="4188">
          <cell r="C4188" t="str">
            <v>Other</v>
          </cell>
          <cell r="R4188">
            <v>0</v>
          </cell>
          <cell r="AZ4188">
            <v>0</v>
          </cell>
          <cell r="BA4188">
            <v>0</v>
          </cell>
          <cell r="BC4188" t="str">
            <v>OTHERS</v>
          </cell>
          <cell r="BE4188" t="str">
            <v>Nov</v>
          </cell>
        </row>
        <row r="4189">
          <cell r="C4189" t="str">
            <v>Other</v>
          </cell>
          <cell r="R4189">
            <v>0</v>
          </cell>
          <cell r="AZ4189">
            <v>0</v>
          </cell>
          <cell r="BA4189">
            <v>0</v>
          </cell>
          <cell r="BC4189" t="str">
            <v>OTHERS</v>
          </cell>
          <cell r="BE4189" t="str">
            <v>Dec</v>
          </cell>
        </row>
        <row r="4190">
          <cell r="C4190" t="str">
            <v>Other</v>
          </cell>
          <cell r="R4190">
            <v>0</v>
          </cell>
          <cell r="AZ4190">
            <v>0</v>
          </cell>
          <cell r="BA4190">
            <v>0</v>
          </cell>
          <cell r="BC4190" t="str">
            <v>OTHERS</v>
          </cell>
          <cell r="BE4190" t="str">
            <v>Jan</v>
          </cell>
        </row>
        <row r="4191">
          <cell r="C4191" t="str">
            <v>Other</v>
          </cell>
          <cell r="R4191">
            <v>0</v>
          </cell>
          <cell r="AZ4191">
            <v>0</v>
          </cell>
          <cell r="BA4191">
            <v>0</v>
          </cell>
          <cell r="BC4191" t="str">
            <v>OTHERS</v>
          </cell>
          <cell r="BE4191" t="str">
            <v>Feb</v>
          </cell>
        </row>
        <row r="4192">
          <cell r="C4192" t="str">
            <v>Other</v>
          </cell>
          <cell r="R4192">
            <v>0</v>
          </cell>
          <cell r="AZ4192">
            <v>0</v>
          </cell>
          <cell r="BA4192">
            <v>0</v>
          </cell>
          <cell r="BC4192" t="str">
            <v>OTHERS</v>
          </cell>
          <cell r="BE4192" t="str">
            <v>Mar</v>
          </cell>
        </row>
        <row r="4193">
          <cell r="C4193" t="str">
            <v>Other</v>
          </cell>
          <cell r="R4193">
            <v>0</v>
          </cell>
          <cell r="AZ4193">
            <v>0</v>
          </cell>
          <cell r="BA4193">
            <v>0</v>
          </cell>
          <cell r="BC4193" t="str">
            <v>OTHERS</v>
          </cell>
          <cell r="BE4193" t="str">
            <v>Apr</v>
          </cell>
        </row>
        <row r="4194">
          <cell r="C4194" t="str">
            <v>Other</v>
          </cell>
          <cell r="R4194">
            <v>60000</v>
          </cell>
          <cell r="AZ4194">
            <v>-18000</v>
          </cell>
          <cell r="BA4194">
            <v>-99310.344827586203</v>
          </cell>
          <cell r="BC4194" t="str">
            <v>OTHERS</v>
          </cell>
          <cell r="BE4194" t="str">
            <v>May</v>
          </cell>
        </row>
        <row r="4195">
          <cell r="C4195" t="str">
            <v>Other</v>
          </cell>
          <cell r="R4195">
            <v>60000</v>
          </cell>
          <cell r="AZ4195">
            <v>-18000</v>
          </cell>
          <cell r="BA4195">
            <v>-99310.344827586203</v>
          </cell>
          <cell r="BC4195" t="str">
            <v>OTHERS</v>
          </cell>
          <cell r="BE4195" t="str">
            <v>Jun</v>
          </cell>
        </row>
        <row r="4196">
          <cell r="C4196" t="str">
            <v>Other</v>
          </cell>
          <cell r="R4196">
            <v>60000</v>
          </cell>
          <cell r="AZ4196">
            <v>-18000</v>
          </cell>
          <cell r="BA4196">
            <v>-99310.344827586203</v>
          </cell>
          <cell r="BC4196" t="str">
            <v>OTHERS</v>
          </cell>
          <cell r="BE4196" t="str">
            <v>Jul</v>
          </cell>
        </row>
        <row r="4197">
          <cell r="C4197" t="str">
            <v>Other</v>
          </cell>
          <cell r="R4197">
            <v>0</v>
          </cell>
          <cell r="AZ4197">
            <v>0</v>
          </cell>
          <cell r="BA4197">
            <v>0</v>
          </cell>
          <cell r="BC4197" t="str">
            <v>OTHERS</v>
          </cell>
          <cell r="BE4197" t="str">
            <v>Aug</v>
          </cell>
        </row>
        <row r="4198">
          <cell r="C4198" t="str">
            <v>Other</v>
          </cell>
          <cell r="R4198">
            <v>60000</v>
          </cell>
          <cell r="AZ4198">
            <v>-18000</v>
          </cell>
          <cell r="BA4198">
            <v>-99310.344827586203</v>
          </cell>
          <cell r="BC4198" t="str">
            <v>OTHERS</v>
          </cell>
          <cell r="BE4198" t="str">
            <v>Sep</v>
          </cell>
        </row>
        <row r="4199">
          <cell r="C4199" t="str">
            <v>Other</v>
          </cell>
          <cell r="R4199">
            <v>60000</v>
          </cell>
          <cell r="AZ4199">
            <v>-18000</v>
          </cell>
          <cell r="BA4199">
            <v>-99310.344827586203</v>
          </cell>
          <cell r="BC4199" t="str">
            <v>OTHERS</v>
          </cell>
          <cell r="BE4199" t="str">
            <v>Oct</v>
          </cell>
        </row>
        <row r="4200">
          <cell r="C4200" t="str">
            <v>Other</v>
          </cell>
          <cell r="R4200">
            <v>60000</v>
          </cell>
          <cell r="AZ4200">
            <v>-18000</v>
          </cell>
          <cell r="BA4200">
            <v>-99310.344827586203</v>
          </cell>
          <cell r="BC4200" t="str">
            <v>OTHERS</v>
          </cell>
          <cell r="BE4200" t="str">
            <v>Nov</v>
          </cell>
        </row>
        <row r="4201">
          <cell r="C4201" t="str">
            <v>Other</v>
          </cell>
          <cell r="R4201">
            <v>0</v>
          </cell>
          <cell r="AZ4201">
            <v>0</v>
          </cell>
          <cell r="BA4201">
            <v>0</v>
          </cell>
          <cell r="BC4201" t="str">
            <v>OTHERS</v>
          </cell>
          <cell r="BE4201" t="str">
            <v>Dec</v>
          </cell>
        </row>
        <row r="4202">
          <cell r="C4202" t="str">
            <v>Other</v>
          </cell>
          <cell r="R4202">
            <v>0</v>
          </cell>
          <cell r="AZ4202">
            <v>0</v>
          </cell>
          <cell r="BA4202">
            <v>0</v>
          </cell>
          <cell r="BC4202" t="str">
            <v>OTHERS</v>
          </cell>
          <cell r="BE4202" t="str">
            <v>Jan</v>
          </cell>
        </row>
        <row r="4203">
          <cell r="C4203" t="str">
            <v>Other</v>
          </cell>
          <cell r="R4203">
            <v>0</v>
          </cell>
          <cell r="AZ4203">
            <v>0</v>
          </cell>
          <cell r="BA4203">
            <v>0</v>
          </cell>
          <cell r="BC4203" t="str">
            <v>OTHERS</v>
          </cell>
          <cell r="BE4203" t="str">
            <v>Feb</v>
          </cell>
        </row>
        <row r="4204">
          <cell r="C4204" t="str">
            <v>Other</v>
          </cell>
          <cell r="R4204">
            <v>0</v>
          </cell>
          <cell r="AZ4204">
            <v>0</v>
          </cell>
          <cell r="BA4204">
            <v>0</v>
          </cell>
          <cell r="BC4204" t="str">
            <v>OTHERS</v>
          </cell>
          <cell r="BE4204" t="str">
            <v>Mar</v>
          </cell>
        </row>
        <row r="4205">
          <cell r="C4205" t="str">
            <v>Other</v>
          </cell>
          <cell r="R4205">
            <v>0</v>
          </cell>
          <cell r="AZ4205">
            <v>0</v>
          </cell>
          <cell r="BA4205">
            <v>0</v>
          </cell>
          <cell r="BC4205" t="str">
            <v>OTHERS</v>
          </cell>
          <cell r="BE4205" t="str">
            <v>Apr</v>
          </cell>
        </row>
        <row r="4206">
          <cell r="C4206" t="str">
            <v>Other</v>
          </cell>
          <cell r="R4206">
            <v>0</v>
          </cell>
          <cell r="AZ4206">
            <v>0</v>
          </cell>
          <cell r="BA4206">
            <v>0</v>
          </cell>
          <cell r="BC4206" t="str">
            <v>OTHERS</v>
          </cell>
          <cell r="BE4206" t="str">
            <v>May</v>
          </cell>
        </row>
        <row r="4207">
          <cell r="C4207" t="str">
            <v>Other</v>
          </cell>
          <cell r="R4207">
            <v>16000</v>
          </cell>
          <cell r="AZ4207">
            <v>-4800</v>
          </cell>
          <cell r="BA4207">
            <v>-26482.758620689656</v>
          </cell>
          <cell r="BC4207" t="str">
            <v>OTHERS</v>
          </cell>
          <cell r="BE4207" t="str">
            <v>Jun</v>
          </cell>
        </row>
        <row r="4208">
          <cell r="C4208" t="str">
            <v>Other</v>
          </cell>
          <cell r="R4208">
            <v>80000</v>
          </cell>
          <cell r="AZ4208">
            <v>-24000</v>
          </cell>
          <cell r="BA4208">
            <v>-132413.79310344826</v>
          </cell>
          <cell r="BC4208" t="str">
            <v>OTHERS</v>
          </cell>
          <cell r="BE4208" t="str">
            <v>Jul</v>
          </cell>
        </row>
        <row r="4209">
          <cell r="C4209" t="str">
            <v>Other</v>
          </cell>
          <cell r="R4209">
            <v>0</v>
          </cell>
          <cell r="AZ4209">
            <v>0</v>
          </cell>
          <cell r="BA4209">
            <v>0</v>
          </cell>
          <cell r="BC4209" t="str">
            <v>OTHERS</v>
          </cell>
          <cell r="BE4209" t="str">
            <v>Aug</v>
          </cell>
        </row>
        <row r="4210">
          <cell r="C4210" t="str">
            <v>Other</v>
          </cell>
          <cell r="R4210">
            <v>100000</v>
          </cell>
          <cell r="AZ4210">
            <v>-30000</v>
          </cell>
          <cell r="BA4210">
            <v>-165517.24137931035</v>
          </cell>
          <cell r="BC4210" t="str">
            <v>OTHERS</v>
          </cell>
          <cell r="BE4210" t="str">
            <v>Sep</v>
          </cell>
        </row>
        <row r="4211">
          <cell r="C4211" t="str">
            <v>Other</v>
          </cell>
          <cell r="R4211">
            <v>0</v>
          </cell>
          <cell r="AZ4211">
            <v>0</v>
          </cell>
          <cell r="BA4211">
            <v>0</v>
          </cell>
          <cell r="BC4211" t="str">
            <v>OTHERS</v>
          </cell>
          <cell r="BE4211" t="str">
            <v>Oct</v>
          </cell>
        </row>
        <row r="4212">
          <cell r="C4212" t="str">
            <v>Other</v>
          </cell>
          <cell r="R4212">
            <v>60000</v>
          </cell>
          <cell r="AZ4212">
            <v>-18000</v>
          </cell>
          <cell r="BA4212">
            <v>-99310.344827586203</v>
          </cell>
          <cell r="BC4212" t="str">
            <v>OTHERS</v>
          </cell>
          <cell r="BE4212" t="str">
            <v>Nov</v>
          </cell>
        </row>
        <row r="4213">
          <cell r="C4213" t="str">
            <v>Other</v>
          </cell>
          <cell r="R4213">
            <v>0</v>
          </cell>
          <cell r="AZ4213">
            <v>0</v>
          </cell>
          <cell r="BA4213">
            <v>0</v>
          </cell>
          <cell r="BC4213" t="str">
            <v>OTHERS</v>
          </cell>
          <cell r="BE4213" t="str">
            <v>Dec</v>
          </cell>
        </row>
        <row r="4214">
          <cell r="C4214" t="str">
            <v>Other</v>
          </cell>
          <cell r="R4214">
            <v>0</v>
          </cell>
          <cell r="AZ4214">
            <v>0</v>
          </cell>
          <cell r="BA4214">
            <v>0</v>
          </cell>
          <cell r="BC4214" t="str">
            <v>OTHERS</v>
          </cell>
          <cell r="BE4214" t="str">
            <v>Jan</v>
          </cell>
        </row>
        <row r="4215">
          <cell r="C4215" t="str">
            <v>Other</v>
          </cell>
          <cell r="R4215">
            <v>25000</v>
          </cell>
          <cell r="AZ4215">
            <v>-7500</v>
          </cell>
          <cell r="BA4215">
            <v>-41379.310344827587</v>
          </cell>
          <cell r="BC4215" t="str">
            <v>OTHERS</v>
          </cell>
          <cell r="BE4215" t="str">
            <v>Feb</v>
          </cell>
        </row>
        <row r="4216">
          <cell r="C4216" t="str">
            <v>Other</v>
          </cell>
          <cell r="R4216">
            <v>25000</v>
          </cell>
          <cell r="AZ4216">
            <v>-7500</v>
          </cell>
          <cell r="BA4216">
            <v>-41379.310344827587</v>
          </cell>
          <cell r="BC4216" t="str">
            <v>OTHERS</v>
          </cell>
          <cell r="BE4216" t="str">
            <v>Mar</v>
          </cell>
        </row>
        <row r="4217">
          <cell r="C4217" t="str">
            <v>Other</v>
          </cell>
          <cell r="R4217">
            <v>0</v>
          </cell>
          <cell r="AZ4217">
            <v>0</v>
          </cell>
          <cell r="BA4217">
            <v>0</v>
          </cell>
          <cell r="BC4217" t="str">
            <v>OTHERS</v>
          </cell>
          <cell r="BE4217" t="str">
            <v>Apr</v>
          </cell>
        </row>
        <row r="4218">
          <cell r="C4218" t="str">
            <v>Other</v>
          </cell>
          <cell r="R4218">
            <v>21000</v>
          </cell>
          <cell r="AZ4218">
            <v>-6300</v>
          </cell>
          <cell r="BA4218">
            <v>-34758.620689655174</v>
          </cell>
          <cell r="BC4218" t="str">
            <v>OTHERS</v>
          </cell>
          <cell r="BE4218" t="str">
            <v>May</v>
          </cell>
        </row>
        <row r="4219">
          <cell r="C4219" t="str">
            <v>Other</v>
          </cell>
          <cell r="R4219">
            <v>0</v>
          </cell>
          <cell r="AZ4219">
            <v>0</v>
          </cell>
          <cell r="BA4219">
            <v>0</v>
          </cell>
          <cell r="BC4219" t="str">
            <v>OTHERS</v>
          </cell>
          <cell r="BE4219" t="str">
            <v>Jun</v>
          </cell>
        </row>
        <row r="4220">
          <cell r="C4220" t="str">
            <v>Other</v>
          </cell>
          <cell r="R4220">
            <v>0</v>
          </cell>
          <cell r="AZ4220">
            <v>0</v>
          </cell>
          <cell r="BA4220">
            <v>0</v>
          </cell>
          <cell r="BC4220" t="str">
            <v>OTHERS</v>
          </cell>
          <cell r="BE4220" t="str">
            <v>Jul</v>
          </cell>
        </row>
        <row r="4221">
          <cell r="C4221" t="str">
            <v>Other</v>
          </cell>
          <cell r="R4221">
            <v>60000</v>
          </cell>
          <cell r="AZ4221">
            <v>-18000</v>
          </cell>
          <cell r="BA4221">
            <v>-99310.344827586203</v>
          </cell>
          <cell r="BC4221" t="str">
            <v>OTHERS</v>
          </cell>
          <cell r="BE4221" t="str">
            <v>Aug</v>
          </cell>
        </row>
        <row r="4222">
          <cell r="C4222" t="str">
            <v>Other</v>
          </cell>
          <cell r="R4222">
            <v>0</v>
          </cell>
          <cell r="AZ4222">
            <v>0</v>
          </cell>
          <cell r="BA4222">
            <v>0</v>
          </cell>
          <cell r="BC4222" t="str">
            <v>OTHERS</v>
          </cell>
          <cell r="BE4222" t="str">
            <v>Sep</v>
          </cell>
        </row>
        <row r="4223">
          <cell r="C4223" t="str">
            <v>Other</v>
          </cell>
          <cell r="R4223">
            <v>40000</v>
          </cell>
          <cell r="AZ4223">
            <v>-12000</v>
          </cell>
          <cell r="BA4223">
            <v>-66206.89655172413</v>
          </cell>
          <cell r="BC4223" t="str">
            <v>OTHERS</v>
          </cell>
          <cell r="BE4223" t="str">
            <v>Oct</v>
          </cell>
        </row>
        <row r="4224">
          <cell r="C4224" t="str">
            <v>Other</v>
          </cell>
          <cell r="R4224">
            <v>0</v>
          </cell>
          <cell r="AZ4224">
            <v>0</v>
          </cell>
          <cell r="BA4224">
            <v>0</v>
          </cell>
          <cell r="BC4224" t="str">
            <v>OTHERS</v>
          </cell>
          <cell r="BE4224" t="str">
            <v>Nov</v>
          </cell>
        </row>
        <row r="4225">
          <cell r="C4225" t="str">
            <v>Other</v>
          </cell>
          <cell r="R4225">
            <v>0</v>
          </cell>
          <cell r="AZ4225">
            <v>0</v>
          </cell>
          <cell r="BA4225">
            <v>0</v>
          </cell>
          <cell r="BC4225" t="str">
            <v>OTHERS</v>
          </cell>
          <cell r="BE4225" t="str">
            <v>Dec</v>
          </cell>
        </row>
        <row r="4226">
          <cell r="C4226" t="str">
            <v>Other</v>
          </cell>
          <cell r="R4226">
            <v>0</v>
          </cell>
          <cell r="AZ4226">
            <v>0</v>
          </cell>
          <cell r="BA4226">
            <v>0</v>
          </cell>
          <cell r="BC4226" t="str">
            <v>OTHERS</v>
          </cell>
          <cell r="BE4226" t="str">
            <v>Jan</v>
          </cell>
        </row>
        <row r="4227">
          <cell r="C4227" t="str">
            <v>Other</v>
          </cell>
          <cell r="R4227">
            <v>0</v>
          </cell>
          <cell r="AZ4227">
            <v>0</v>
          </cell>
          <cell r="BA4227">
            <v>0</v>
          </cell>
          <cell r="BC4227" t="str">
            <v>OTHERS</v>
          </cell>
          <cell r="BE4227" t="str">
            <v>Feb</v>
          </cell>
        </row>
        <row r="4228">
          <cell r="C4228" t="str">
            <v>Other</v>
          </cell>
          <cell r="R4228">
            <v>0</v>
          </cell>
          <cell r="AZ4228">
            <v>0</v>
          </cell>
          <cell r="BA4228">
            <v>0</v>
          </cell>
          <cell r="BC4228" t="str">
            <v>OTHERS</v>
          </cell>
          <cell r="BE4228" t="str">
            <v>Mar</v>
          </cell>
        </row>
        <row r="4229">
          <cell r="C4229" t="str">
            <v>Other</v>
          </cell>
          <cell r="R4229">
            <v>0</v>
          </cell>
          <cell r="AZ4229">
            <v>0</v>
          </cell>
          <cell r="BA4229">
            <v>0</v>
          </cell>
          <cell r="BC4229" t="str">
            <v>OTHERS</v>
          </cell>
          <cell r="BE4229" t="str">
            <v>Apr</v>
          </cell>
        </row>
        <row r="4230">
          <cell r="C4230" t="str">
            <v>Other</v>
          </cell>
          <cell r="R4230">
            <v>24000</v>
          </cell>
          <cell r="AZ4230">
            <v>-7200</v>
          </cell>
          <cell r="BA4230">
            <v>-39724.137931034486</v>
          </cell>
          <cell r="BC4230" t="str">
            <v>OTHERS</v>
          </cell>
          <cell r="BE4230" t="str">
            <v>May</v>
          </cell>
        </row>
        <row r="4231">
          <cell r="C4231" t="str">
            <v>Other</v>
          </cell>
          <cell r="R4231">
            <v>0</v>
          </cell>
          <cell r="AZ4231">
            <v>0</v>
          </cell>
          <cell r="BA4231">
            <v>0</v>
          </cell>
          <cell r="BC4231" t="str">
            <v>OTHERS</v>
          </cell>
          <cell r="BE4231" t="str">
            <v>Jun</v>
          </cell>
        </row>
        <row r="4232">
          <cell r="C4232" t="str">
            <v>Other</v>
          </cell>
          <cell r="R4232">
            <v>0</v>
          </cell>
          <cell r="AZ4232">
            <v>0</v>
          </cell>
          <cell r="BA4232">
            <v>0</v>
          </cell>
          <cell r="BC4232" t="str">
            <v>OTHERS</v>
          </cell>
          <cell r="BE4232" t="str">
            <v>Jul</v>
          </cell>
        </row>
        <row r="4233">
          <cell r="C4233" t="str">
            <v>Other</v>
          </cell>
          <cell r="R4233">
            <v>0</v>
          </cell>
          <cell r="AZ4233">
            <v>0</v>
          </cell>
          <cell r="BA4233">
            <v>0</v>
          </cell>
          <cell r="BC4233" t="str">
            <v>OTHERS</v>
          </cell>
          <cell r="BE4233" t="str">
            <v>Aug</v>
          </cell>
        </row>
        <row r="4234">
          <cell r="C4234" t="str">
            <v>Other</v>
          </cell>
          <cell r="R4234">
            <v>0</v>
          </cell>
          <cell r="AZ4234">
            <v>0</v>
          </cell>
          <cell r="BA4234">
            <v>0</v>
          </cell>
          <cell r="BC4234" t="str">
            <v>OTHERS</v>
          </cell>
          <cell r="BE4234" t="str">
            <v>Sep</v>
          </cell>
        </row>
        <row r="4235">
          <cell r="C4235" t="str">
            <v>Other</v>
          </cell>
          <cell r="R4235">
            <v>0</v>
          </cell>
          <cell r="AZ4235">
            <v>0</v>
          </cell>
          <cell r="BA4235">
            <v>0</v>
          </cell>
          <cell r="BC4235" t="str">
            <v>OTHERS</v>
          </cell>
          <cell r="BE4235" t="str">
            <v>Oct</v>
          </cell>
        </row>
        <row r="4236">
          <cell r="C4236" t="str">
            <v>Other</v>
          </cell>
          <cell r="R4236">
            <v>0</v>
          </cell>
          <cell r="AZ4236">
            <v>0</v>
          </cell>
          <cell r="BA4236">
            <v>0</v>
          </cell>
          <cell r="BC4236" t="str">
            <v>OTHERS</v>
          </cell>
          <cell r="BE4236" t="str">
            <v>Nov</v>
          </cell>
        </row>
        <row r="4237">
          <cell r="C4237" t="str">
            <v>Other</v>
          </cell>
          <cell r="R4237">
            <v>100000</v>
          </cell>
          <cell r="AZ4237">
            <v>-30000</v>
          </cell>
          <cell r="BA4237">
            <v>-165517.24137931035</v>
          </cell>
          <cell r="BC4237" t="str">
            <v>OTHERS</v>
          </cell>
          <cell r="BE4237" t="str">
            <v>Dec</v>
          </cell>
        </row>
        <row r="4238">
          <cell r="C4238" t="str">
            <v>Other</v>
          </cell>
          <cell r="R4238">
            <v>0</v>
          </cell>
          <cell r="AZ4238">
            <v>0</v>
          </cell>
          <cell r="BA4238">
            <v>0</v>
          </cell>
          <cell r="BC4238" t="str">
            <v>OTHERS</v>
          </cell>
          <cell r="BE4238" t="str">
            <v>Jan</v>
          </cell>
        </row>
        <row r="4239">
          <cell r="C4239" t="str">
            <v>Other</v>
          </cell>
          <cell r="R4239">
            <v>40000</v>
          </cell>
          <cell r="AZ4239">
            <v>-12000</v>
          </cell>
          <cell r="BA4239">
            <v>-28061.538461538465</v>
          </cell>
          <cell r="BC4239" t="str">
            <v>OTHERS</v>
          </cell>
          <cell r="BE4239" t="str">
            <v>Feb</v>
          </cell>
        </row>
        <row r="4240">
          <cell r="C4240" t="str">
            <v>Other</v>
          </cell>
          <cell r="R4240">
            <v>75000</v>
          </cell>
          <cell r="AZ4240">
            <v>-22500</v>
          </cell>
          <cell r="BA4240">
            <v>-52615.384615384617</v>
          </cell>
          <cell r="BC4240" t="str">
            <v>OTHERS</v>
          </cell>
          <cell r="BE4240" t="str">
            <v>Mar</v>
          </cell>
        </row>
        <row r="4241">
          <cell r="C4241" t="str">
            <v>Other</v>
          </cell>
          <cell r="R4241">
            <v>40000</v>
          </cell>
          <cell r="AZ4241">
            <v>-12000</v>
          </cell>
          <cell r="BA4241">
            <v>-28061.538461538465</v>
          </cell>
          <cell r="BC4241" t="str">
            <v>OTHERS</v>
          </cell>
          <cell r="BE4241" t="str">
            <v>Apr</v>
          </cell>
        </row>
        <row r="4242">
          <cell r="C4242" t="str">
            <v>Other</v>
          </cell>
          <cell r="R4242">
            <v>100000</v>
          </cell>
          <cell r="AZ4242">
            <v>-30000</v>
          </cell>
          <cell r="BA4242">
            <v>-70153.846153846156</v>
          </cell>
          <cell r="BC4242" t="str">
            <v>OTHERS</v>
          </cell>
          <cell r="BE4242" t="str">
            <v>May</v>
          </cell>
        </row>
        <row r="4243">
          <cell r="C4243" t="str">
            <v>Other</v>
          </cell>
          <cell r="R4243">
            <v>0</v>
          </cell>
          <cell r="AZ4243">
            <v>0</v>
          </cell>
          <cell r="BA4243">
            <v>0</v>
          </cell>
          <cell r="BC4243" t="str">
            <v>OTHERS</v>
          </cell>
          <cell r="BE4243" t="str">
            <v>Jun</v>
          </cell>
        </row>
        <row r="4244">
          <cell r="C4244" t="str">
            <v>Other</v>
          </cell>
          <cell r="R4244">
            <v>0</v>
          </cell>
          <cell r="AZ4244">
            <v>0</v>
          </cell>
          <cell r="BA4244">
            <v>0</v>
          </cell>
          <cell r="BC4244" t="str">
            <v>OTHERS</v>
          </cell>
          <cell r="BE4244" t="str">
            <v>Jul</v>
          </cell>
        </row>
        <row r="4245">
          <cell r="C4245" t="str">
            <v>Other</v>
          </cell>
          <cell r="R4245">
            <v>90000</v>
          </cell>
          <cell r="AZ4245">
            <v>-27000</v>
          </cell>
          <cell r="BA4245">
            <v>-63138.461538461539</v>
          </cell>
          <cell r="BC4245" t="str">
            <v>OTHERS</v>
          </cell>
          <cell r="BE4245" t="str">
            <v>Aug</v>
          </cell>
        </row>
        <row r="4246">
          <cell r="C4246" t="str">
            <v>Other</v>
          </cell>
          <cell r="R4246">
            <v>0</v>
          </cell>
          <cell r="AZ4246">
            <v>0</v>
          </cell>
          <cell r="BA4246">
            <v>0</v>
          </cell>
          <cell r="BC4246" t="str">
            <v>OTHERS</v>
          </cell>
          <cell r="BE4246" t="str">
            <v>Sep</v>
          </cell>
        </row>
        <row r="4247">
          <cell r="C4247" t="str">
            <v>Other</v>
          </cell>
          <cell r="R4247">
            <v>0</v>
          </cell>
          <cell r="AZ4247">
            <v>0</v>
          </cell>
          <cell r="BA4247">
            <v>0</v>
          </cell>
          <cell r="BC4247" t="str">
            <v>OTHERS</v>
          </cell>
          <cell r="BE4247" t="str">
            <v>Oct</v>
          </cell>
        </row>
        <row r="4248">
          <cell r="C4248" t="str">
            <v>Other</v>
          </cell>
          <cell r="R4248">
            <v>0</v>
          </cell>
          <cell r="AZ4248">
            <v>0</v>
          </cell>
          <cell r="BA4248">
            <v>0</v>
          </cell>
          <cell r="BC4248" t="str">
            <v>OTHERS</v>
          </cell>
          <cell r="BE4248" t="str">
            <v>Nov</v>
          </cell>
        </row>
        <row r="4249">
          <cell r="C4249" t="str">
            <v>Other</v>
          </cell>
          <cell r="R4249">
            <v>60000</v>
          </cell>
          <cell r="AZ4249">
            <v>-18000</v>
          </cell>
          <cell r="BA4249">
            <v>-42092.307692307695</v>
          </cell>
          <cell r="BC4249" t="str">
            <v>OTHERS</v>
          </cell>
          <cell r="BE4249" t="str">
            <v>Dec</v>
          </cell>
        </row>
        <row r="4250">
          <cell r="C4250" t="str">
            <v>Other</v>
          </cell>
          <cell r="R4250">
            <v>0</v>
          </cell>
          <cell r="AZ4250">
            <v>0</v>
          </cell>
          <cell r="BA4250">
            <v>0</v>
          </cell>
          <cell r="BC4250" t="str">
            <v>OTHERS</v>
          </cell>
          <cell r="BE4250" t="str">
            <v>Jan</v>
          </cell>
        </row>
        <row r="4251">
          <cell r="C4251" t="str">
            <v>Other</v>
          </cell>
          <cell r="R4251">
            <v>0</v>
          </cell>
          <cell r="AZ4251">
            <v>0</v>
          </cell>
          <cell r="BA4251">
            <v>0</v>
          </cell>
          <cell r="BC4251" t="str">
            <v>OTHERS</v>
          </cell>
          <cell r="BE4251" t="str">
            <v>Feb</v>
          </cell>
        </row>
        <row r="4252">
          <cell r="C4252" t="str">
            <v>Other</v>
          </cell>
          <cell r="R4252">
            <v>0</v>
          </cell>
          <cell r="AZ4252">
            <v>0</v>
          </cell>
          <cell r="BA4252">
            <v>0</v>
          </cell>
          <cell r="BC4252" t="str">
            <v>OTHERS</v>
          </cell>
          <cell r="BE4252" t="str">
            <v>Mar</v>
          </cell>
        </row>
        <row r="4253">
          <cell r="C4253" t="str">
            <v>Other</v>
          </cell>
          <cell r="R4253">
            <v>0</v>
          </cell>
          <cell r="AZ4253">
            <v>0</v>
          </cell>
          <cell r="BA4253">
            <v>0</v>
          </cell>
          <cell r="BC4253" t="str">
            <v>OTHERS</v>
          </cell>
          <cell r="BE4253" t="str">
            <v>Apr</v>
          </cell>
        </row>
        <row r="4254">
          <cell r="C4254" t="str">
            <v>Other</v>
          </cell>
          <cell r="R4254">
            <v>60000</v>
          </cell>
          <cell r="AZ4254">
            <v>-18000</v>
          </cell>
          <cell r="BA4254">
            <v>-42092.307692307695</v>
          </cell>
          <cell r="BC4254" t="str">
            <v>OTHERS</v>
          </cell>
          <cell r="BE4254" t="str">
            <v>May</v>
          </cell>
        </row>
        <row r="4255">
          <cell r="C4255" t="str">
            <v>Other</v>
          </cell>
          <cell r="R4255">
            <v>0</v>
          </cell>
          <cell r="AZ4255">
            <v>0</v>
          </cell>
          <cell r="BA4255">
            <v>0</v>
          </cell>
          <cell r="BC4255" t="str">
            <v>OTHERS</v>
          </cell>
          <cell r="BE4255" t="str">
            <v>Jun</v>
          </cell>
        </row>
        <row r="4256">
          <cell r="C4256" t="str">
            <v>Other</v>
          </cell>
          <cell r="R4256">
            <v>55500</v>
          </cell>
          <cell r="AZ4256">
            <v>-16650</v>
          </cell>
          <cell r="BA4256">
            <v>-38935.384615384617</v>
          </cell>
          <cell r="BC4256" t="str">
            <v>OTHERS</v>
          </cell>
          <cell r="BE4256" t="str">
            <v>Jul</v>
          </cell>
        </row>
        <row r="4257">
          <cell r="C4257" t="str">
            <v>Other</v>
          </cell>
          <cell r="R4257">
            <v>0</v>
          </cell>
          <cell r="AZ4257">
            <v>0</v>
          </cell>
          <cell r="BA4257">
            <v>0</v>
          </cell>
          <cell r="BC4257" t="str">
            <v>OTHERS</v>
          </cell>
          <cell r="BE4257" t="str">
            <v>Aug</v>
          </cell>
        </row>
        <row r="4258">
          <cell r="C4258" t="str">
            <v>Other</v>
          </cell>
          <cell r="R4258">
            <v>60000</v>
          </cell>
          <cell r="AZ4258">
            <v>-18000</v>
          </cell>
          <cell r="BA4258">
            <v>-42092.307692307695</v>
          </cell>
          <cell r="BC4258" t="str">
            <v>OTHERS</v>
          </cell>
          <cell r="BE4258" t="str">
            <v>Sep</v>
          </cell>
        </row>
        <row r="4259">
          <cell r="C4259" t="str">
            <v>Other</v>
          </cell>
          <cell r="R4259">
            <v>0</v>
          </cell>
          <cell r="AZ4259">
            <v>0</v>
          </cell>
          <cell r="BA4259">
            <v>0</v>
          </cell>
          <cell r="BC4259" t="str">
            <v>OTHERS</v>
          </cell>
          <cell r="BE4259" t="str">
            <v>Oct</v>
          </cell>
        </row>
        <row r="4260">
          <cell r="C4260" t="str">
            <v>Other</v>
          </cell>
          <cell r="R4260">
            <v>60000</v>
          </cell>
          <cell r="AZ4260">
            <v>-18000</v>
          </cell>
          <cell r="BA4260">
            <v>-42092.307692307695</v>
          </cell>
          <cell r="BC4260" t="str">
            <v>OTHERS</v>
          </cell>
          <cell r="BE4260" t="str">
            <v>Nov</v>
          </cell>
        </row>
        <row r="4261">
          <cell r="C4261" t="str">
            <v>Other</v>
          </cell>
          <cell r="R4261">
            <v>0</v>
          </cell>
          <cell r="AZ4261">
            <v>0</v>
          </cell>
          <cell r="BA4261">
            <v>0</v>
          </cell>
          <cell r="BC4261" t="str">
            <v>OTHERS</v>
          </cell>
          <cell r="BE4261" t="str">
            <v>Dec</v>
          </cell>
        </row>
        <row r="4262">
          <cell r="C4262" t="str">
            <v>Other</v>
          </cell>
          <cell r="R4262">
            <v>0</v>
          </cell>
          <cell r="AZ4262">
            <v>0</v>
          </cell>
          <cell r="BA4262">
            <v>0</v>
          </cell>
          <cell r="BC4262" t="str">
            <v>OTHERS</v>
          </cell>
          <cell r="BE4262" t="str">
            <v>Jan</v>
          </cell>
        </row>
        <row r="4263">
          <cell r="C4263" t="str">
            <v>Other</v>
          </cell>
          <cell r="R4263">
            <v>0</v>
          </cell>
          <cell r="AZ4263">
            <v>0</v>
          </cell>
          <cell r="BA4263">
            <v>0</v>
          </cell>
          <cell r="BC4263" t="str">
            <v>OTHERS</v>
          </cell>
          <cell r="BE4263" t="str">
            <v>Feb</v>
          </cell>
        </row>
        <row r="4264">
          <cell r="C4264" t="str">
            <v>Other</v>
          </cell>
          <cell r="R4264">
            <v>0</v>
          </cell>
          <cell r="AZ4264">
            <v>0</v>
          </cell>
          <cell r="BA4264">
            <v>0</v>
          </cell>
          <cell r="BC4264" t="str">
            <v>OTHERS</v>
          </cell>
          <cell r="BE4264" t="str">
            <v>Mar</v>
          </cell>
        </row>
        <row r="4265">
          <cell r="C4265" t="str">
            <v>Other</v>
          </cell>
          <cell r="R4265">
            <v>0</v>
          </cell>
          <cell r="AZ4265">
            <v>0</v>
          </cell>
          <cell r="BA4265">
            <v>0</v>
          </cell>
          <cell r="BC4265" t="str">
            <v>OTHERS</v>
          </cell>
          <cell r="BE4265" t="str">
            <v>Apr</v>
          </cell>
        </row>
        <row r="4266">
          <cell r="C4266" t="str">
            <v>Other</v>
          </cell>
          <cell r="R4266">
            <v>0</v>
          </cell>
          <cell r="AZ4266">
            <v>0</v>
          </cell>
          <cell r="BA4266">
            <v>0</v>
          </cell>
          <cell r="BC4266" t="str">
            <v>OTHERS</v>
          </cell>
          <cell r="BE4266" t="str">
            <v>May</v>
          </cell>
        </row>
        <row r="4267">
          <cell r="C4267" t="str">
            <v>Other</v>
          </cell>
          <cell r="R4267">
            <v>0</v>
          </cell>
          <cell r="AZ4267">
            <v>0</v>
          </cell>
          <cell r="BA4267">
            <v>0</v>
          </cell>
          <cell r="BC4267" t="str">
            <v>OTHERS</v>
          </cell>
          <cell r="BE4267" t="str">
            <v>Jun</v>
          </cell>
        </row>
        <row r="4268">
          <cell r="C4268" t="str">
            <v>Other</v>
          </cell>
          <cell r="R4268">
            <v>60000</v>
          </cell>
          <cell r="AZ4268">
            <v>-18000</v>
          </cell>
          <cell r="BA4268">
            <v>-42092.307692307695</v>
          </cell>
          <cell r="BC4268" t="str">
            <v>OTHERS</v>
          </cell>
          <cell r="BE4268" t="str">
            <v>Jul</v>
          </cell>
        </row>
        <row r="4269">
          <cell r="C4269" t="str">
            <v>Other</v>
          </cell>
          <cell r="R4269">
            <v>57000</v>
          </cell>
          <cell r="AZ4269">
            <v>-17100</v>
          </cell>
          <cell r="BA4269">
            <v>-39987.692307692312</v>
          </cell>
          <cell r="BC4269" t="str">
            <v>OTHERS</v>
          </cell>
          <cell r="BE4269" t="str">
            <v>Aug</v>
          </cell>
        </row>
        <row r="4270">
          <cell r="C4270" t="str">
            <v>Other</v>
          </cell>
          <cell r="R4270">
            <v>60000</v>
          </cell>
          <cell r="AZ4270">
            <v>-18000</v>
          </cell>
          <cell r="BA4270">
            <v>-42092.307692307695</v>
          </cell>
          <cell r="BC4270" t="str">
            <v>OTHERS</v>
          </cell>
          <cell r="BE4270" t="str">
            <v>Sep</v>
          </cell>
        </row>
        <row r="4271">
          <cell r="C4271" t="str">
            <v>Other</v>
          </cell>
          <cell r="R4271">
            <v>0</v>
          </cell>
          <cell r="AZ4271">
            <v>0</v>
          </cell>
          <cell r="BA4271">
            <v>0</v>
          </cell>
          <cell r="BC4271" t="str">
            <v>OTHERS</v>
          </cell>
          <cell r="BE4271" t="str">
            <v>Oct</v>
          </cell>
        </row>
        <row r="4272">
          <cell r="C4272" t="str">
            <v>Other</v>
          </cell>
          <cell r="R4272">
            <v>60000</v>
          </cell>
          <cell r="AZ4272">
            <v>-18000</v>
          </cell>
          <cell r="BA4272">
            <v>-42092.307692307695</v>
          </cell>
          <cell r="BC4272" t="str">
            <v>OTHERS</v>
          </cell>
          <cell r="BE4272" t="str">
            <v>Nov</v>
          </cell>
        </row>
        <row r="4273">
          <cell r="C4273" t="str">
            <v>Other</v>
          </cell>
          <cell r="R4273">
            <v>0</v>
          </cell>
          <cell r="AZ4273">
            <v>0</v>
          </cell>
          <cell r="BA4273">
            <v>0</v>
          </cell>
          <cell r="BC4273" t="str">
            <v>OTHERS</v>
          </cell>
          <cell r="BE4273" t="str">
            <v>Dec</v>
          </cell>
        </row>
        <row r="4274">
          <cell r="C4274" t="str">
            <v>Other</v>
          </cell>
          <cell r="R4274">
            <v>60000</v>
          </cell>
          <cell r="AZ4274">
            <v>-18000</v>
          </cell>
          <cell r="BA4274">
            <v>-42092.307692307695</v>
          </cell>
          <cell r="BC4274" t="str">
            <v>OTHERS</v>
          </cell>
          <cell r="BE4274" t="str">
            <v>Jan</v>
          </cell>
        </row>
        <row r="4275">
          <cell r="C4275" t="str">
            <v>Other</v>
          </cell>
          <cell r="R4275">
            <v>0</v>
          </cell>
          <cell r="AZ4275">
            <v>0</v>
          </cell>
          <cell r="BA4275">
            <v>0</v>
          </cell>
          <cell r="BC4275" t="str">
            <v>OTHERS</v>
          </cell>
          <cell r="BE4275" t="str">
            <v>Feb</v>
          </cell>
        </row>
        <row r="4276">
          <cell r="C4276" t="str">
            <v>Other</v>
          </cell>
          <cell r="R4276">
            <v>0</v>
          </cell>
          <cell r="AZ4276">
            <v>0</v>
          </cell>
          <cell r="BA4276">
            <v>0</v>
          </cell>
          <cell r="BC4276" t="str">
            <v>OTHERS</v>
          </cell>
          <cell r="BE4276" t="str">
            <v>Mar</v>
          </cell>
        </row>
        <row r="4277">
          <cell r="C4277" t="str">
            <v>Other</v>
          </cell>
          <cell r="R4277">
            <v>21000</v>
          </cell>
          <cell r="AZ4277">
            <v>-6300</v>
          </cell>
          <cell r="BA4277">
            <v>-14732.307692307693</v>
          </cell>
          <cell r="BC4277" t="str">
            <v>OTHERS</v>
          </cell>
          <cell r="BE4277" t="str">
            <v>Apr</v>
          </cell>
        </row>
        <row r="4278">
          <cell r="C4278" t="str">
            <v>Other</v>
          </cell>
          <cell r="R4278">
            <v>0</v>
          </cell>
          <cell r="AZ4278">
            <v>0</v>
          </cell>
          <cell r="BA4278">
            <v>0</v>
          </cell>
          <cell r="BC4278" t="str">
            <v>OTHERS</v>
          </cell>
          <cell r="BE4278" t="str">
            <v>May</v>
          </cell>
        </row>
        <row r="4279">
          <cell r="C4279" t="str">
            <v>Other</v>
          </cell>
          <cell r="R4279">
            <v>60000</v>
          </cell>
          <cell r="AZ4279">
            <v>-18000</v>
          </cell>
          <cell r="BA4279">
            <v>-42092.307692307695</v>
          </cell>
          <cell r="BC4279" t="str">
            <v>OTHERS</v>
          </cell>
          <cell r="BE4279" t="str">
            <v>Jun</v>
          </cell>
        </row>
        <row r="4280">
          <cell r="C4280" t="str">
            <v>Other</v>
          </cell>
          <cell r="R4280">
            <v>0</v>
          </cell>
          <cell r="AZ4280">
            <v>0</v>
          </cell>
          <cell r="BA4280">
            <v>0</v>
          </cell>
          <cell r="BC4280" t="str">
            <v>OTHERS</v>
          </cell>
          <cell r="BE4280" t="str">
            <v>Jul</v>
          </cell>
        </row>
        <row r="4281">
          <cell r="C4281" t="str">
            <v>Other</v>
          </cell>
          <cell r="R4281">
            <v>0</v>
          </cell>
          <cell r="AZ4281">
            <v>0</v>
          </cell>
          <cell r="BA4281">
            <v>0</v>
          </cell>
          <cell r="BC4281" t="str">
            <v>OTHERS</v>
          </cell>
          <cell r="BE4281" t="str">
            <v>Aug</v>
          </cell>
        </row>
        <row r="4282">
          <cell r="C4282" t="str">
            <v>Other</v>
          </cell>
          <cell r="R4282">
            <v>30000</v>
          </cell>
          <cell r="AZ4282">
            <v>-9000</v>
          </cell>
          <cell r="BA4282">
            <v>-21046.153846153848</v>
          </cell>
          <cell r="BC4282" t="str">
            <v>OTHERS</v>
          </cell>
          <cell r="BE4282" t="str">
            <v>Sep</v>
          </cell>
        </row>
        <row r="4283">
          <cell r="C4283" t="str">
            <v>Other</v>
          </cell>
          <cell r="R4283">
            <v>60000</v>
          </cell>
          <cell r="AZ4283">
            <v>-18000</v>
          </cell>
          <cell r="BA4283">
            <v>-42092.307692307695</v>
          </cell>
          <cell r="BC4283" t="str">
            <v>OTHERS</v>
          </cell>
          <cell r="BE4283" t="str">
            <v>Oct</v>
          </cell>
        </row>
        <row r="4284">
          <cell r="C4284" t="str">
            <v>Other</v>
          </cell>
          <cell r="R4284">
            <v>0</v>
          </cell>
          <cell r="AZ4284">
            <v>0</v>
          </cell>
          <cell r="BA4284">
            <v>0</v>
          </cell>
          <cell r="BC4284" t="str">
            <v>OTHERS</v>
          </cell>
          <cell r="BE4284" t="str">
            <v>Nov</v>
          </cell>
        </row>
        <row r="4285">
          <cell r="C4285" t="str">
            <v>Other</v>
          </cell>
          <cell r="R4285">
            <v>50000</v>
          </cell>
          <cell r="AZ4285">
            <v>-15000</v>
          </cell>
          <cell r="BA4285">
            <v>-35076.923076923078</v>
          </cell>
          <cell r="BC4285" t="str">
            <v>OTHERS</v>
          </cell>
          <cell r="BE4285" t="str">
            <v>Dec</v>
          </cell>
        </row>
        <row r="4286">
          <cell r="C4286" t="str">
            <v>Other</v>
          </cell>
          <cell r="R4286">
            <v>0</v>
          </cell>
          <cell r="AZ4286">
            <v>0</v>
          </cell>
          <cell r="BA4286">
            <v>0</v>
          </cell>
          <cell r="BC4286" t="str">
            <v>OTHERS</v>
          </cell>
          <cell r="BE4286" t="str">
            <v>Jan</v>
          </cell>
        </row>
        <row r="4287">
          <cell r="C4287" t="str">
            <v>Other</v>
          </cell>
          <cell r="R4287">
            <v>0</v>
          </cell>
          <cell r="AZ4287">
            <v>0</v>
          </cell>
          <cell r="BA4287">
            <v>0</v>
          </cell>
          <cell r="BC4287" t="str">
            <v>OTHERS</v>
          </cell>
          <cell r="BE4287" t="str">
            <v>Feb</v>
          </cell>
        </row>
        <row r="4288">
          <cell r="C4288" t="str">
            <v>Other</v>
          </cell>
          <cell r="R4288">
            <v>0</v>
          </cell>
          <cell r="AZ4288">
            <v>0</v>
          </cell>
          <cell r="BA4288">
            <v>0</v>
          </cell>
          <cell r="BC4288" t="str">
            <v>OTHERS</v>
          </cell>
          <cell r="BE4288" t="str">
            <v>Mar</v>
          </cell>
        </row>
        <row r="4289">
          <cell r="C4289" t="str">
            <v>Other</v>
          </cell>
          <cell r="R4289">
            <v>0</v>
          </cell>
          <cell r="AZ4289">
            <v>0</v>
          </cell>
          <cell r="BA4289">
            <v>0</v>
          </cell>
          <cell r="BC4289" t="str">
            <v>OTHERS</v>
          </cell>
          <cell r="BE4289" t="str">
            <v>Apr</v>
          </cell>
        </row>
        <row r="4290">
          <cell r="C4290" t="str">
            <v>Other</v>
          </cell>
          <cell r="R4290">
            <v>0</v>
          </cell>
          <cell r="AZ4290">
            <v>0</v>
          </cell>
          <cell r="BA4290">
            <v>0</v>
          </cell>
          <cell r="BC4290" t="str">
            <v>OTHERS</v>
          </cell>
          <cell r="BE4290" t="str">
            <v>May</v>
          </cell>
        </row>
        <row r="4291">
          <cell r="C4291" t="str">
            <v>Other</v>
          </cell>
          <cell r="R4291">
            <v>0</v>
          </cell>
          <cell r="AZ4291">
            <v>0</v>
          </cell>
          <cell r="BA4291">
            <v>0</v>
          </cell>
          <cell r="BC4291" t="str">
            <v>OTHERS</v>
          </cell>
          <cell r="BE4291" t="str">
            <v>Jun</v>
          </cell>
        </row>
        <row r="4292">
          <cell r="C4292" t="str">
            <v>Other</v>
          </cell>
          <cell r="R4292">
            <v>0</v>
          </cell>
          <cell r="AZ4292">
            <v>0</v>
          </cell>
          <cell r="BA4292">
            <v>0</v>
          </cell>
          <cell r="BC4292" t="str">
            <v>OTHERS</v>
          </cell>
          <cell r="BE4292" t="str">
            <v>Jul</v>
          </cell>
        </row>
        <row r="4293">
          <cell r="C4293" t="str">
            <v>Other</v>
          </cell>
          <cell r="R4293">
            <v>0</v>
          </cell>
          <cell r="AZ4293">
            <v>0</v>
          </cell>
          <cell r="BA4293">
            <v>0</v>
          </cell>
          <cell r="BC4293" t="str">
            <v>OTHERS</v>
          </cell>
          <cell r="BE4293" t="str">
            <v>Aug</v>
          </cell>
        </row>
        <row r="4294">
          <cell r="C4294" t="str">
            <v>Other</v>
          </cell>
          <cell r="R4294">
            <v>0</v>
          </cell>
          <cell r="AZ4294">
            <v>0</v>
          </cell>
          <cell r="BA4294">
            <v>0</v>
          </cell>
          <cell r="BC4294" t="str">
            <v>OTHERS</v>
          </cell>
          <cell r="BE4294" t="str">
            <v>Sep</v>
          </cell>
        </row>
        <row r="4295">
          <cell r="C4295" t="str">
            <v>Other</v>
          </cell>
          <cell r="R4295">
            <v>0</v>
          </cell>
          <cell r="AZ4295">
            <v>0</v>
          </cell>
          <cell r="BA4295">
            <v>0</v>
          </cell>
          <cell r="BC4295" t="str">
            <v>OTHERS</v>
          </cell>
          <cell r="BE4295" t="str">
            <v>Oct</v>
          </cell>
        </row>
        <row r="4296">
          <cell r="C4296" t="str">
            <v>Other</v>
          </cell>
          <cell r="R4296">
            <v>0</v>
          </cell>
          <cell r="AZ4296">
            <v>0</v>
          </cell>
          <cell r="BA4296">
            <v>0</v>
          </cell>
          <cell r="BC4296" t="str">
            <v>OTHERS</v>
          </cell>
          <cell r="BE4296" t="str">
            <v>Nov</v>
          </cell>
        </row>
        <row r="4297">
          <cell r="C4297" t="str">
            <v>Other</v>
          </cell>
          <cell r="R4297">
            <v>0</v>
          </cell>
          <cell r="AZ4297">
            <v>0</v>
          </cell>
          <cell r="BA4297">
            <v>0</v>
          </cell>
          <cell r="BC4297" t="str">
            <v>OTHERS</v>
          </cell>
          <cell r="BE4297" t="str">
            <v>Dec</v>
          </cell>
        </row>
        <row r="4298">
          <cell r="C4298" t="str">
            <v>Other</v>
          </cell>
          <cell r="R4298">
            <v>0</v>
          </cell>
          <cell r="AZ4298">
            <v>0</v>
          </cell>
          <cell r="BA4298">
            <v>0</v>
          </cell>
          <cell r="BC4298" t="str">
            <v>OTHERS</v>
          </cell>
          <cell r="BE4298" t="str">
            <v>Jan</v>
          </cell>
        </row>
        <row r="4299">
          <cell r="C4299" t="str">
            <v>Other</v>
          </cell>
          <cell r="R4299">
            <v>0</v>
          </cell>
          <cell r="AZ4299">
            <v>0</v>
          </cell>
          <cell r="BA4299">
            <v>0</v>
          </cell>
          <cell r="BC4299" t="str">
            <v>OTHERS</v>
          </cell>
          <cell r="BE4299" t="str">
            <v>Feb</v>
          </cell>
        </row>
        <row r="4300">
          <cell r="C4300" t="str">
            <v>Other</v>
          </cell>
          <cell r="R4300">
            <v>0</v>
          </cell>
          <cell r="AZ4300">
            <v>0</v>
          </cell>
          <cell r="BA4300">
            <v>0</v>
          </cell>
          <cell r="BC4300" t="str">
            <v>OTHERS</v>
          </cell>
          <cell r="BE4300" t="str">
            <v>Mar</v>
          </cell>
        </row>
        <row r="4301">
          <cell r="C4301" t="str">
            <v>Other</v>
          </cell>
          <cell r="R4301">
            <v>60000</v>
          </cell>
          <cell r="AZ4301">
            <v>-18000</v>
          </cell>
          <cell r="BA4301">
            <v>-99310.344827586203</v>
          </cell>
          <cell r="BC4301" t="str">
            <v>OTHERS</v>
          </cell>
          <cell r="BE4301" t="str">
            <v>Apr</v>
          </cell>
        </row>
        <row r="4302">
          <cell r="C4302" t="str">
            <v>Other</v>
          </cell>
          <cell r="R4302">
            <v>0</v>
          </cell>
          <cell r="AZ4302">
            <v>0</v>
          </cell>
          <cell r="BA4302">
            <v>0</v>
          </cell>
          <cell r="BC4302" t="str">
            <v>OTHERS</v>
          </cell>
          <cell r="BE4302" t="str">
            <v>May</v>
          </cell>
        </row>
        <row r="4303">
          <cell r="C4303" t="str">
            <v>Other</v>
          </cell>
          <cell r="R4303">
            <v>60000</v>
          </cell>
          <cell r="AZ4303">
            <v>-18000</v>
          </cell>
          <cell r="BA4303">
            <v>-99310.344827586203</v>
          </cell>
          <cell r="BC4303" t="str">
            <v>OTHERS</v>
          </cell>
          <cell r="BE4303" t="str">
            <v>Jun</v>
          </cell>
        </row>
        <row r="4304">
          <cell r="C4304" t="str">
            <v>Other</v>
          </cell>
          <cell r="R4304">
            <v>0</v>
          </cell>
          <cell r="AZ4304">
            <v>0</v>
          </cell>
          <cell r="BA4304">
            <v>0</v>
          </cell>
          <cell r="BC4304" t="str">
            <v>OTHERS</v>
          </cell>
          <cell r="BE4304" t="str">
            <v>Jul</v>
          </cell>
        </row>
        <row r="4305">
          <cell r="C4305" t="str">
            <v>Other</v>
          </cell>
          <cell r="R4305">
            <v>0</v>
          </cell>
          <cell r="AZ4305">
            <v>0</v>
          </cell>
          <cell r="BA4305">
            <v>0</v>
          </cell>
          <cell r="BC4305" t="str">
            <v>OTHERS</v>
          </cell>
          <cell r="BE4305" t="str">
            <v>Aug</v>
          </cell>
        </row>
        <row r="4306">
          <cell r="C4306" t="str">
            <v>Other</v>
          </cell>
          <cell r="R4306">
            <v>0</v>
          </cell>
          <cell r="AZ4306">
            <v>0</v>
          </cell>
          <cell r="BA4306">
            <v>0</v>
          </cell>
          <cell r="BC4306" t="str">
            <v>OTHERS</v>
          </cell>
          <cell r="BE4306" t="str">
            <v>Sep</v>
          </cell>
        </row>
        <row r="4307">
          <cell r="C4307" t="str">
            <v>Other</v>
          </cell>
          <cell r="R4307">
            <v>60000</v>
          </cell>
          <cell r="AZ4307">
            <v>-18000</v>
          </cell>
          <cell r="BA4307">
            <v>-99310.344827586203</v>
          </cell>
          <cell r="BC4307" t="str">
            <v>OTHERS</v>
          </cell>
          <cell r="BE4307" t="str">
            <v>Oct</v>
          </cell>
        </row>
        <row r="4308">
          <cell r="C4308" t="str">
            <v>Other</v>
          </cell>
          <cell r="R4308">
            <v>0</v>
          </cell>
          <cell r="AZ4308">
            <v>0</v>
          </cell>
          <cell r="BA4308">
            <v>0</v>
          </cell>
          <cell r="BC4308" t="str">
            <v>OTHERS</v>
          </cell>
          <cell r="BE4308" t="str">
            <v>Nov</v>
          </cell>
        </row>
        <row r="4309">
          <cell r="C4309" t="str">
            <v>Other</v>
          </cell>
          <cell r="R4309">
            <v>0</v>
          </cell>
          <cell r="AZ4309">
            <v>0</v>
          </cell>
          <cell r="BA4309">
            <v>0</v>
          </cell>
          <cell r="BC4309" t="str">
            <v>OTHERS</v>
          </cell>
          <cell r="BE4309" t="str">
            <v>Dec</v>
          </cell>
        </row>
        <row r="4310">
          <cell r="C4310" t="str">
            <v>Other</v>
          </cell>
          <cell r="R4310">
            <v>0</v>
          </cell>
          <cell r="AZ4310">
            <v>0</v>
          </cell>
          <cell r="BA4310">
            <v>0</v>
          </cell>
          <cell r="BC4310" t="str">
            <v>OTHERS</v>
          </cell>
          <cell r="BE4310" t="str">
            <v>Jan</v>
          </cell>
        </row>
        <row r="4311">
          <cell r="C4311" t="str">
            <v>Other</v>
          </cell>
          <cell r="R4311">
            <v>0</v>
          </cell>
          <cell r="AZ4311">
            <v>0</v>
          </cell>
          <cell r="BA4311">
            <v>0</v>
          </cell>
          <cell r="BC4311" t="str">
            <v>OTHERS</v>
          </cell>
          <cell r="BE4311" t="str">
            <v>Feb</v>
          </cell>
        </row>
        <row r="4312">
          <cell r="C4312" t="str">
            <v>Other</v>
          </cell>
          <cell r="R4312">
            <v>30000</v>
          </cell>
          <cell r="AZ4312">
            <v>-9000</v>
          </cell>
          <cell r="BA4312">
            <v>-17896.551724137931</v>
          </cell>
          <cell r="BC4312" t="str">
            <v>OTHERS</v>
          </cell>
          <cell r="BE4312" t="str">
            <v>Mar</v>
          </cell>
        </row>
        <row r="4313">
          <cell r="C4313" t="str">
            <v>Other</v>
          </cell>
          <cell r="R4313">
            <v>21000</v>
          </cell>
          <cell r="AZ4313">
            <v>-6300</v>
          </cell>
          <cell r="BA4313">
            <v>-12527.586206896551</v>
          </cell>
          <cell r="BC4313" t="str">
            <v>OTHERS</v>
          </cell>
          <cell r="BE4313" t="str">
            <v>Apr</v>
          </cell>
        </row>
        <row r="4314">
          <cell r="C4314" t="str">
            <v>Other</v>
          </cell>
          <cell r="R4314">
            <v>0</v>
          </cell>
          <cell r="AZ4314">
            <v>0</v>
          </cell>
          <cell r="BA4314">
            <v>0</v>
          </cell>
          <cell r="BC4314" t="str">
            <v>OTHERS</v>
          </cell>
          <cell r="BE4314" t="str">
            <v>May</v>
          </cell>
        </row>
        <row r="4315">
          <cell r="C4315" t="str">
            <v>Other</v>
          </cell>
          <cell r="R4315">
            <v>0</v>
          </cell>
          <cell r="AZ4315">
            <v>0</v>
          </cell>
          <cell r="BA4315">
            <v>0</v>
          </cell>
          <cell r="BC4315" t="str">
            <v>OTHERS</v>
          </cell>
          <cell r="BE4315" t="str">
            <v>Jun</v>
          </cell>
        </row>
        <row r="4316">
          <cell r="C4316" t="str">
            <v>Other</v>
          </cell>
          <cell r="R4316">
            <v>0</v>
          </cell>
          <cell r="AZ4316">
            <v>0</v>
          </cell>
          <cell r="BA4316">
            <v>0</v>
          </cell>
          <cell r="BC4316" t="str">
            <v>OTHERS</v>
          </cell>
          <cell r="BE4316" t="str">
            <v>Jul</v>
          </cell>
        </row>
        <row r="4317">
          <cell r="C4317" t="str">
            <v>Other</v>
          </cell>
          <cell r="R4317">
            <v>16000</v>
          </cell>
          <cell r="AZ4317">
            <v>-4800</v>
          </cell>
          <cell r="BA4317">
            <v>-9544.8275862068967</v>
          </cell>
          <cell r="BC4317" t="str">
            <v>OTHERS</v>
          </cell>
          <cell r="BE4317" t="str">
            <v>Aug</v>
          </cell>
        </row>
        <row r="4318">
          <cell r="C4318" t="str">
            <v>Other</v>
          </cell>
          <cell r="R4318">
            <v>21000</v>
          </cell>
          <cell r="AZ4318">
            <v>-6300</v>
          </cell>
          <cell r="BA4318">
            <v>-12527.586206896551</v>
          </cell>
          <cell r="BC4318" t="str">
            <v>OTHERS</v>
          </cell>
          <cell r="BE4318" t="str">
            <v>Sep</v>
          </cell>
        </row>
        <row r="4319">
          <cell r="C4319" t="str">
            <v>Other</v>
          </cell>
          <cell r="R4319">
            <v>0</v>
          </cell>
          <cell r="AZ4319">
            <v>0</v>
          </cell>
          <cell r="BA4319">
            <v>0</v>
          </cell>
          <cell r="BC4319" t="str">
            <v>OTHERS</v>
          </cell>
          <cell r="BE4319" t="str">
            <v>Oct</v>
          </cell>
        </row>
        <row r="4320">
          <cell r="C4320" t="str">
            <v>Other</v>
          </cell>
          <cell r="R4320">
            <v>16000</v>
          </cell>
          <cell r="AZ4320">
            <v>-4800</v>
          </cell>
          <cell r="BA4320">
            <v>-9544.8275862068967</v>
          </cell>
          <cell r="BC4320" t="str">
            <v>OTHERS</v>
          </cell>
          <cell r="BE4320" t="str">
            <v>Nov</v>
          </cell>
        </row>
        <row r="4321">
          <cell r="C4321" t="str">
            <v>Other</v>
          </cell>
          <cell r="R4321">
            <v>40000</v>
          </cell>
          <cell r="AZ4321">
            <v>-12000</v>
          </cell>
          <cell r="BA4321">
            <v>-23862.068965517243</v>
          </cell>
          <cell r="BC4321" t="str">
            <v>OTHERS</v>
          </cell>
          <cell r="BE4321" t="str">
            <v>Dec</v>
          </cell>
        </row>
        <row r="4322">
          <cell r="C4322" t="str">
            <v>Other</v>
          </cell>
          <cell r="R4322">
            <v>0</v>
          </cell>
          <cell r="AZ4322">
            <v>0</v>
          </cell>
          <cell r="BA4322">
            <v>0</v>
          </cell>
          <cell r="BC4322" t="str">
            <v>OTHERS</v>
          </cell>
          <cell r="BE4322" t="str">
            <v>Jan</v>
          </cell>
        </row>
        <row r="4323">
          <cell r="C4323" t="str">
            <v>Other</v>
          </cell>
          <cell r="R4323">
            <v>0</v>
          </cell>
          <cell r="AZ4323">
            <v>0</v>
          </cell>
          <cell r="BA4323">
            <v>0</v>
          </cell>
          <cell r="BC4323" t="str">
            <v>OTHERS</v>
          </cell>
          <cell r="BE4323" t="str">
            <v>Feb</v>
          </cell>
        </row>
        <row r="4324">
          <cell r="C4324" t="str">
            <v>Other</v>
          </cell>
          <cell r="R4324">
            <v>0</v>
          </cell>
          <cell r="AZ4324">
            <v>0</v>
          </cell>
          <cell r="BA4324">
            <v>0</v>
          </cell>
          <cell r="BC4324" t="str">
            <v>OTHERS</v>
          </cell>
          <cell r="BE4324" t="str">
            <v>Mar</v>
          </cell>
        </row>
        <row r="4325">
          <cell r="C4325" t="str">
            <v>Other</v>
          </cell>
          <cell r="R4325">
            <v>0</v>
          </cell>
          <cell r="AZ4325">
            <v>0</v>
          </cell>
          <cell r="BA4325">
            <v>0</v>
          </cell>
          <cell r="BC4325" t="str">
            <v>OTHERS</v>
          </cell>
          <cell r="BE4325" t="str">
            <v>Apr</v>
          </cell>
        </row>
        <row r="4326">
          <cell r="C4326" t="str">
            <v>Other</v>
          </cell>
          <cell r="R4326">
            <v>30000</v>
          </cell>
          <cell r="AZ4326">
            <v>-9000</v>
          </cell>
          <cell r="BA4326">
            <v>-17896.551724137931</v>
          </cell>
          <cell r="BC4326" t="str">
            <v>OTHERS</v>
          </cell>
          <cell r="BE4326" t="str">
            <v>May</v>
          </cell>
        </row>
        <row r="4327">
          <cell r="C4327" t="str">
            <v>Other</v>
          </cell>
          <cell r="R4327">
            <v>30000</v>
          </cell>
          <cell r="AZ4327">
            <v>-9000</v>
          </cell>
          <cell r="BA4327">
            <v>-17896.551724137931</v>
          </cell>
          <cell r="BC4327" t="str">
            <v>OTHERS</v>
          </cell>
          <cell r="BE4327" t="str">
            <v>Jun</v>
          </cell>
        </row>
        <row r="4328">
          <cell r="C4328" t="str">
            <v>Other</v>
          </cell>
          <cell r="R4328">
            <v>0</v>
          </cell>
          <cell r="AZ4328">
            <v>0</v>
          </cell>
          <cell r="BA4328">
            <v>0</v>
          </cell>
          <cell r="BC4328" t="str">
            <v>OTHERS</v>
          </cell>
          <cell r="BE4328" t="str">
            <v>Jul</v>
          </cell>
        </row>
        <row r="4329">
          <cell r="C4329" t="str">
            <v>Other</v>
          </cell>
          <cell r="R4329">
            <v>20000</v>
          </cell>
          <cell r="AZ4329">
            <v>-6000</v>
          </cell>
          <cell r="BA4329">
            <v>-11931.034482758621</v>
          </cell>
          <cell r="BC4329" t="str">
            <v>OTHERS</v>
          </cell>
          <cell r="BE4329" t="str">
            <v>Aug</v>
          </cell>
        </row>
        <row r="4330">
          <cell r="C4330" t="str">
            <v>Other</v>
          </cell>
          <cell r="R4330">
            <v>0</v>
          </cell>
          <cell r="AZ4330">
            <v>0</v>
          </cell>
          <cell r="BA4330">
            <v>0</v>
          </cell>
          <cell r="BC4330" t="str">
            <v>OTHERS</v>
          </cell>
          <cell r="BE4330" t="str">
            <v>Sep</v>
          </cell>
        </row>
        <row r="4331">
          <cell r="C4331" t="str">
            <v>Other</v>
          </cell>
          <cell r="R4331">
            <v>0</v>
          </cell>
          <cell r="AZ4331">
            <v>0</v>
          </cell>
          <cell r="BA4331">
            <v>0</v>
          </cell>
          <cell r="BC4331" t="str">
            <v>OTHERS</v>
          </cell>
          <cell r="BE4331" t="str">
            <v>Oct</v>
          </cell>
        </row>
        <row r="4332">
          <cell r="C4332" t="str">
            <v>Other</v>
          </cell>
          <cell r="R4332">
            <v>0</v>
          </cell>
          <cell r="AZ4332">
            <v>0</v>
          </cell>
          <cell r="BA4332">
            <v>0</v>
          </cell>
          <cell r="BC4332" t="str">
            <v>OTHERS</v>
          </cell>
          <cell r="BE4332" t="str">
            <v>Nov</v>
          </cell>
        </row>
        <row r="4333">
          <cell r="C4333" t="str">
            <v>Other</v>
          </cell>
          <cell r="R4333">
            <v>0</v>
          </cell>
          <cell r="AZ4333">
            <v>0</v>
          </cell>
          <cell r="BA4333">
            <v>0</v>
          </cell>
          <cell r="BC4333" t="str">
            <v>OTHERS</v>
          </cell>
          <cell r="BE4333" t="str">
            <v>Dec</v>
          </cell>
        </row>
        <row r="4334">
          <cell r="C4334" t="str">
            <v>Other</v>
          </cell>
          <cell r="R4334">
            <v>30000</v>
          </cell>
          <cell r="AZ4334">
            <v>-9000</v>
          </cell>
          <cell r="BA4334">
            <v>-17896.551724137931</v>
          </cell>
          <cell r="BC4334" t="str">
            <v>OTHERS</v>
          </cell>
          <cell r="BE4334" t="str">
            <v>Jan</v>
          </cell>
        </row>
        <row r="4335">
          <cell r="C4335" t="str">
            <v>Other</v>
          </cell>
          <cell r="R4335">
            <v>30000</v>
          </cell>
          <cell r="AZ4335">
            <v>-9000</v>
          </cell>
          <cell r="BA4335">
            <v>-17896.551724137931</v>
          </cell>
          <cell r="BC4335" t="str">
            <v>OTHERS</v>
          </cell>
          <cell r="BE4335" t="str">
            <v>Feb</v>
          </cell>
        </row>
        <row r="4336">
          <cell r="C4336" t="str">
            <v>Other</v>
          </cell>
          <cell r="R4336">
            <v>0</v>
          </cell>
          <cell r="AZ4336">
            <v>0</v>
          </cell>
          <cell r="BA4336">
            <v>0</v>
          </cell>
          <cell r="BC4336" t="str">
            <v>OTHERS</v>
          </cell>
          <cell r="BE4336" t="str">
            <v>Mar</v>
          </cell>
        </row>
        <row r="4337">
          <cell r="C4337" t="str">
            <v>Other</v>
          </cell>
          <cell r="R4337">
            <v>0</v>
          </cell>
          <cell r="AZ4337">
            <v>0</v>
          </cell>
          <cell r="BA4337">
            <v>0</v>
          </cell>
          <cell r="BC4337" t="str">
            <v>OTHERS</v>
          </cell>
          <cell r="BE4337" t="str">
            <v>Apr</v>
          </cell>
        </row>
        <row r="4338">
          <cell r="C4338" t="str">
            <v>Other</v>
          </cell>
          <cell r="R4338">
            <v>0</v>
          </cell>
          <cell r="AZ4338">
            <v>0</v>
          </cell>
          <cell r="BA4338">
            <v>0</v>
          </cell>
          <cell r="BC4338" t="str">
            <v>OTHERS</v>
          </cell>
          <cell r="BE4338" t="str">
            <v>May</v>
          </cell>
        </row>
        <row r="4339">
          <cell r="C4339" t="str">
            <v>Other</v>
          </cell>
          <cell r="R4339">
            <v>55000</v>
          </cell>
          <cell r="AZ4339">
            <v>-16500</v>
          </cell>
          <cell r="BA4339">
            <v>-32810.344827586203</v>
          </cell>
          <cell r="BC4339" t="str">
            <v>OTHERS</v>
          </cell>
          <cell r="BE4339" t="str">
            <v>Jun</v>
          </cell>
        </row>
        <row r="4340">
          <cell r="C4340" t="str">
            <v>Other</v>
          </cell>
          <cell r="R4340">
            <v>30000</v>
          </cell>
          <cell r="AZ4340">
            <v>-9000</v>
          </cell>
          <cell r="BA4340">
            <v>-17896.551724137931</v>
          </cell>
          <cell r="BC4340" t="str">
            <v>OTHERS</v>
          </cell>
          <cell r="BE4340" t="str">
            <v>Jul</v>
          </cell>
        </row>
        <row r="4341">
          <cell r="C4341" t="str">
            <v>Other</v>
          </cell>
          <cell r="R4341">
            <v>40000</v>
          </cell>
          <cell r="AZ4341">
            <v>-12000</v>
          </cell>
          <cell r="BA4341">
            <v>-23862.068965517243</v>
          </cell>
          <cell r="BC4341" t="str">
            <v>OTHERS</v>
          </cell>
          <cell r="BE4341" t="str">
            <v>Aug</v>
          </cell>
        </row>
        <row r="4342">
          <cell r="C4342" t="str">
            <v>Other</v>
          </cell>
          <cell r="R4342">
            <v>28000</v>
          </cell>
          <cell r="AZ4342">
            <v>-8400</v>
          </cell>
          <cell r="BA4342">
            <v>-16703.448275862069</v>
          </cell>
          <cell r="BC4342" t="str">
            <v>OTHERS</v>
          </cell>
          <cell r="BE4342" t="str">
            <v>Sep</v>
          </cell>
        </row>
        <row r="4343">
          <cell r="C4343" t="str">
            <v>Other</v>
          </cell>
          <cell r="R4343">
            <v>0</v>
          </cell>
          <cell r="AZ4343">
            <v>0</v>
          </cell>
          <cell r="BA4343">
            <v>0</v>
          </cell>
          <cell r="BC4343" t="str">
            <v>OTHERS</v>
          </cell>
          <cell r="BE4343" t="str">
            <v>Oct</v>
          </cell>
        </row>
        <row r="4344">
          <cell r="C4344" t="str">
            <v>Other</v>
          </cell>
          <cell r="R4344">
            <v>60000</v>
          </cell>
          <cell r="AZ4344">
            <v>-18000</v>
          </cell>
          <cell r="BA4344">
            <v>-35793.103448275862</v>
          </cell>
          <cell r="BC4344" t="str">
            <v>OTHERS</v>
          </cell>
          <cell r="BE4344" t="str">
            <v>Nov</v>
          </cell>
        </row>
        <row r="4345">
          <cell r="C4345" t="str">
            <v>Other</v>
          </cell>
          <cell r="R4345">
            <v>0</v>
          </cell>
          <cell r="AZ4345">
            <v>0</v>
          </cell>
          <cell r="BA4345">
            <v>0</v>
          </cell>
          <cell r="BC4345" t="str">
            <v>OTHERS</v>
          </cell>
          <cell r="BE4345" t="str">
            <v>Dec</v>
          </cell>
        </row>
        <row r="4346">
          <cell r="C4346" t="str">
            <v>Other</v>
          </cell>
          <cell r="R4346">
            <v>0</v>
          </cell>
          <cell r="AZ4346">
            <v>0</v>
          </cell>
          <cell r="BA4346">
            <v>0</v>
          </cell>
          <cell r="BC4346" t="str">
            <v>OTHERS</v>
          </cell>
          <cell r="BE4346" t="str">
            <v>Jan</v>
          </cell>
        </row>
        <row r="4347">
          <cell r="C4347" t="str">
            <v>Other</v>
          </cell>
          <cell r="R4347">
            <v>0</v>
          </cell>
          <cell r="AZ4347">
            <v>0</v>
          </cell>
          <cell r="BA4347">
            <v>0</v>
          </cell>
          <cell r="BC4347" t="str">
            <v>OTHERS</v>
          </cell>
          <cell r="BE4347" t="str">
            <v>Feb</v>
          </cell>
        </row>
        <row r="4348">
          <cell r="C4348" t="str">
            <v>Other</v>
          </cell>
          <cell r="R4348">
            <v>0</v>
          </cell>
          <cell r="AZ4348">
            <v>0</v>
          </cell>
          <cell r="BA4348">
            <v>0</v>
          </cell>
          <cell r="BC4348" t="str">
            <v>OTHERS</v>
          </cell>
          <cell r="BE4348" t="str">
            <v>Mar</v>
          </cell>
        </row>
        <row r="4349">
          <cell r="C4349" t="str">
            <v>Other</v>
          </cell>
          <cell r="R4349">
            <v>0</v>
          </cell>
          <cell r="AZ4349">
            <v>0</v>
          </cell>
          <cell r="BA4349">
            <v>0</v>
          </cell>
          <cell r="BC4349" t="str">
            <v>OTHERS</v>
          </cell>
          <cell r="BE4349" t="str">
            <v>Apr</v>
          </cell>
        </row>
        <row r="4350">
          <cell r="C4350" t="str">
            <v>Other</v>
          </cell>
          <cell r="R4350">
            <v>0</v>
          </cell>
          <cell r="AZ4350">
            <v>0</v>
          </cell>
          <cell r="BA4350">
            <v>0</v>
          </cell>
          <cell r="BC4350" t="str">
            <v>OTHERS</v>
          </cell>
          <cell r="BE4350" t="str">
            <v>May</v>
          </cell>
        </row>
        <row r="4351">
          <cell r="C4351" t="str">
            <v>Other</v>
          </cell>
          <cell r="R4351">
            <v>0</v>
          </cell>
          <cell r="AZ4351">
            <v>0</v>
          </cell>
          <cell r="BA4351">
            <v>0</v>
          </cell>
          <cell r="BC4351" t="str">
            <v>OTHERS</v>
          </cell>
          <cell r="BE4351" t="str">
            <v>Jun</v>
          </cell>
        </row>
        <row r="4352">
          <cell r="C4352" t="str">
            <v>Other</v>
          </cell>
          <cell r="R4352">
            <v>60000</v>
          </cell>
          <cell r="AZ4352">
            <v>-18000</v>
          </cell>
          <cell r="BA4352">
            <v>-35793.103448275862</v>
          </cell>
          <cell r="BC4352" t="str">
            <v>OTHERS</v>
          </cell>
          <cell r="BE4352" t="str">
            <v>Jul</v>
          </cell>
        </row>
        <row r="4353">
          <cell r="C4353" t="str">
            <v>Other</v>
          </cell>
          <cell r="R4353">
            <v>0</v>
          </cell>
          <cell r="AZ4353">
            <v>0</v>
          </cell>
          <cell r="BA4353">
            <v>0</v>
          </cell>
          <cell r="BC4353" t="str">
            <v>OTHERS</v>
          </cell>
          <cell r="BE4353" t="str">
            <v>Aug</v>
          </cell>
        </row>
        <row r="4354">
          <cell r="C4354" t="str">
            <v>Other</v>
          </cell>
          <cell r="R4354">
            <v>60000</v>
          </cell>
          <cell r="AZ4354">
            <v>-18000</v>
          </cell>
          <cell r="BA4354">
            <v>-35793.103448275862</v>
          </cell>
          <cell r="BC4354" t="str">
            <v>OTHERS</v>
          </cell>
          <cell r="BE4354" t="str">
            <v>Sep</v>
          </cell>
        </row>
        <row r="4355">
          <cell r="C4355" t="str">
            <v>Other</v>
          </cell>
          <cell r="R4355">
            <v>60000</v>
          </cell>
          <cell r="AZ4355">
            <v>-18000</v>
          </cell>
          <cell r="BA4355">
            <v>-35793.103448275862</v>
          </cell>
          <cell r="BC4355" t="str">
            <v>OTHERS</v>
          </cell>
          <cell r="BE4355" t="str">
            <v>Oct</v>
          </cell>
        </row>
        <row r="4356">
          <cell r="C4356" t="str">
            <v>Other</v>
          </cell>
          <cell r="R4356">
            <v>0</v>
          </cell>
          <cell r="AZ4356">
            <v>0</v>
          </cell>
          <cell r="BA4356">
            <v>0</v>
          </cell>
          <cell r="BC4356" t="str">
            <v>OTHERS</v>
          </cell>
          <cell r="BE4356" t="str">
            <v>Nov</v>
          </cell>
        </row>
        <row r="4357">
          <cell r="C4357" t="str">
            <v>Other</v>
          </cell>
          <cell r="R4357">
            <v>30000</v>
          </cell>
          <cell r="AZ4357">
            <v>-9000</v>
          </cell>
          <cell r="BA4357">
            <v>-17896.551724137931</v>
          </cell>
          <cell r="BC4357" t="str">
            <v>OTHERS</v>
          </cell>
          <cell r="BE4357" t="str">
            <v>Dec</v>
          </cell>
        </row>
        <row r="4358">
          <cell r="C4358" t="str">
            <v>Other</v>
          </cell>
          <cell r="R4358">
            <v>0</v>
          </cell>
          <cell r="AZ4358">
            <v>0</v>
          </cell>
          <cell r="BA4358">
            <v>0</v>
          </cell>
          <cell r="BC4358" t="str">
            <v>OTHERS</v>
          </cell>
          <cell r="BE4358" t="str">
            <v>Jan</v>
          </cell>
        </row>
        <row r="4359">
          <cell r="C4359" t="str">
            <v>Other</v>
          </cell>
          <cell r="R4359">
            <v>0</v>
          </cell>
          <cell r="AZ4359">
            <v>0</v>
          </cell>
          <cell r="BA4359">
            <v>0</v>
          </cell>
          <cell r="BC4359" t="str">
            <v>OTHERS</v>
          </cell>
          <cell r="BE4359" t="str">
            <v>Feb</v>
          </cell>
        </row>
        <row r="4360">
          <cell r="C4360" t="str">
            <v>Other</v>
          </cell>
          <cell r="R4360">
            <v>0</v>
          </cell>
          <cell r="AZ4360">
            <v>0</v>
          </cell>
          <cell r="BA4360">
            <v>0</v>
          </cell>
          <cell r="BC4360" t="str">
            <v>OTHERS</v>
          </cell>
          <cell r="BE4360" t="str">
            <v>Mar</v>
          </cell>
        </row>
        <row r="4361">
          <cell r="C4361" t="str">
            <v>Other</v>
          </cell>
          <cell r="R4361">
            <v>0</v>
          </cell>
          <cell r="AZ4361">
            <v>0</v>
          </cell>
          <cell r="BA4361">
            <v>0</v>
          </cell>
          <cell r="BC4361" t="str">
            <v>OTHERS</v>
          </cell>
          <cell r="BE4361" t="str">
            <v>Apr</v>
          </cell>
        </row>
        <row r="4362">
          <cell r="C4362" t="str">
            <v>Other</v>
          </cell>
          <cell r="R4362">
            <v>0</v>
          </cell>
          <cell r="AZ4362">
            <v>0</v>
          </cell>
          <cell r="BA4362">
            <v>0</v>
          </cell>
          <cell r="BC4362" t="str">
            <v>OTHERS</v>
          </cell>
          <cell r="BE4362" t="str">
            <v>May</v>
          </cell>
        </row>
        <row r="4363">
          <cell r="C4363" t="str">
            <v>Other</v>
          </cell>
          <cell r="R4363">
            <v>24000</v>
          </cell>
          <cell r="AZ4363">
            <v>-7200</v>
          </cell>
          <cell r="BA4363">
            <v>-33600</v>
          </cell>
          <cell r="BC4363" t="str">
            <v>OTHERS</v>
          </cell>
          <cell r="BE4363" t="str">
            <v>Jun</v>
          </cell>
        </row>
        <row r="4364">
          <cell r="C4364" t="str">
            <v>Other</v>
          </cell>
          <cell r="R4364">
            <v>0</v>
          </cell>
          <cell r="AZ4364">
            <v>0</v>
          </cell>
          <cell r="BA4364">
            <v>0</v>
          </cell>
          <cell r="BC4364" t="str">
            <v>OTHERS</v>
          </cell>
          <cell r="BE4364" t="str">
            <v>Jul</v>
          </cell>
        </row>
        <row r="4365">
          <cell r="C4365" t="str">
            <v>Other</v>
          </cell>
          <cell r="R4365">
            <v>0</v>
          </cell>
          <cell r="AZ4365">
            <v>0</v>
          </cell>
          <cell r="BA4365">
            <v>0</v>
          </cell>
          <cell r="BC4365" t="str">
            <v>OTHERS</v>
          </cell>
          <cell r="BE4365" t="str">
            <v>Aug</v>
          </cell>
        </row>
        <row r="4366">
          <cell r="C4366" t="str">
            <v>Other</v>
          </cell>
          <cell r="R4366">
            <v>0</v>
          </cell>
          <cell r="AZ4366">
            <v>0</v>
          </cell>
          <cell r="BA4366">
            <v>0</v>
          </cell>
          <cell r="BC4366" t="str">
            <v>OTHERS</v>
          </cell>
          <cell r="BE4366" t="str">
            <v>Sep</v>
          </cell>
        </row>
        <row r="4367">
          <cell r="C4367" t="str">
            <v>Other</v>
          </cell>
          <cell r="R4367">
            <v>16000</v>
          </cell>
          <cell r="AZ4367">
            <v>-4800</v>
          </cell>
          <cell r="BA4367">
            <v>-22400</v>
          </cell>
          <cell r="BC4367" t="str">
            <v>OTHERS</v>
          </cell>
          <cell r="BE4367" t="str">
            <v>Oct</v>
          </cell>
        </row>
        <row r="4368">
          <cell r="C4368" t="str">
            <v>Other</v>
          </cell>
          <cell r="R4368">
            <v>0</v>
          </cell>
          <cell r="AZ4368">
            <v>0</v>
          </cell>
          <cell r="BA4368">
            <v>0</v>
          </cell>
          <cell r="BC4368" t="str">
            <v>OTHERS</v>
          </cell>
          <cell r="BE4368" t="str">
            <v>Nov</v>
          </cell>
        </row>
        <row r="4369">
          <cell r="C4369" t="str">
            <v>Other</v>
          </cell>
          <cell r="R4369">
            <v>32000</v>
          </cell>
          <cell r="AZ4369">
            <v>-9600</v>
          </cell>
          <cell r="BA4369">
            <v>-44800</v>
          </cell>
          <cell r="BC4369" t="str">
            <v>OTHERS</v>
          </cell>
          <cell r="BE4369" t="str">
            <v>Dec</v>
          </cell>
        </row>
        <row r="4370">
          <cell r="C4370" t="str">
            <v>Other</v>
          </cell>
          <cell r="R4370">
            <v>0</v>
          </cell>
          <cell r="AZ4370">
            <v>0</v>
          </cell>
          <cell r="BA4370">
            <v>0</v>
          </cell>
          <cell r="BC4370" t="str">
            <v>OTHERS</v>
          </cell>
          <cell r="BE4370" t="str">
            <v>Jan</v>
          </cell>
        </row>
        <row r="4371">
          <cell r="C4371" t="str">
            <v>Other</v>
          </cell>
          <cell r="R4371">
            <v>0</v>
          </cell>
          <cell r="AZ4371">
            <v>0</v>
          </cell>
          <cell r="BA4371">
            <v>0</v>
          </cell>
          <cell r="BC4371" t="str">
            <v>OTHERS</v>
          </cell>
          <cell r="BE4371" t="str">
            <v>Feb</v>
          </cell>
        </row>
        <row r="4372">
          <cell r="C4372" t="str">
            <v>Other</v>
          </cell>
          <cell r="R4372">
            <v>0</v>
          </cell>
          <cell r="AZ4372">
            <v>0</v>
          </cell>
          <cell r="BA4372">
            <v>0</v>
          </cell>
          <cell r="BC4372" t="str">
            <v>OTHERS</v>
          </cell>
          <cell r="BE4372" t="str">
            <v>Mar</v>
          </cell>
        </row>
        <row r="4373">
          <cell r="C4373" t="str">
            <v>Other</v>
          </cell>
          <cell r="R4373">
            <v>0</v>
          </cell>
          <cell r="AZ4373">
            <v>0</v>
          </cell>
          <cell r="BA4373">
            <v>0</v>
          </cell>
          <cell r="BC4373" t="str">
            <v>OTHERS</v>
          </cell>
          <cell r="BE4373" t="str">
            <v>Apr</v>
          </cell>
        </row>
        <row r="4374">
          <cell r="C4374" t="str">
            <v>Other</v>
          </cell>
          <cell r="R4374">
            <v>0</v>
          </cell>
          <cell r="AZ4374">
            <v>0</v>
          </cell>
          <cell r="BA4374">
            <v>0</v>
          </cell>
          <cell r="BC4374" t="str">
            <v>OTHERS</v>
          </cell>
          <cell r="BE4374" t="str">
            <v>May</v>
          </cell>
        </row>
        <row r="4375">
          <cell r="C4375" t="str">
            <v>Other</v>
          </cell>
          <cell r="R4375">
            <v>0</v>
          </cell>
          <cell r="AZ4375">
            <v>0</v>
          </cell>
          <cell r="BA4375">
            <v>0</v>
          </cell>
          <cell r="BC4375" t="str">
            <v>OTHERS</v>
          </cell>
          <cell r="BE4375" t="str">
            <v>Jun</v>
          </cell>
        </row>
        <row r="4376">
          <cell r="C4376" t="str">
            <v>Other</v>
          </cell>
          <cell r="R4376">
            <v>0</v>
          </cell>
          <cell r="AZ4376">
            <v>0</v>
          </cell>
          <cell r="BA4376">
            <v>0</v>
          </cell>
          <cell r="BC4376" t="str">
            <v>OTHERS</v>
          </cell>
          <cell r="BE4376" t="str">
            <v>Jul</v>
          </cell>
        </row>
        <row r="4377">
          <cell r="C4377" t="str">
            <v>Other</v>
          </cell>
          <cell r="R4377">
            <v>0</v>
          </cell>
          <cell r="AZ4377">
            <v>0</v>
          </cell>
          <cell r="BA4377">
            <v>0</v>
          </cell>
          <cell r="BC4377" t="str">
            <v>OTHERS</v>
          </cell>
          <cell r="BE4377" t="str">
            <v>Aug</v>
          </cell>
        </row>
        <row r="4378">
          <cell r="C4378" t="str">
            <v>Other</v>
          </cell>
          <cell r="R4378">
            <v>0</v>
          </cell>
          <cell r="AZ4378">
            <v>0</v>
          </cell>
          <cell r="BA4378">
            <v>0</v>
          </cell>
          <cell r="BC4378" t="str">
            <v>OTHERS</v>
          </cell>
          <cell r="BE4378" t="str">
            <v>Sep</v>
          </cell>
        </row>
        <row r="4379">
          <cell r="C4379" t="str">
            <v>Other</v>
          </cell>
          <cell r="R4379">
            <v>0</v>
          </cell>
          <cell r="AZ4379">
            <v>0</v>
          </cell>
          <cell r="BA4379">
            <v>0</v>
          </cell>
          <cell r="BC4379" t="str">
            <v>OTHERS</v>
          </cell>
          <cell r="BE4379" t="str">
            <v>Oct</v>
          </cell>
        </row>
        <row r="4380">
          <cell r="C4380" t="str">
            <v>Other</v>
          </cell>
          <cell r="R4380">
            <v>0</v>
          </cell>
          <cell r="AZ4380">
            <v>0</v>
          </cell>
          <cell r="BA4380">
            <v>0</v>
          </cell>
          <cell r="BC4380" t="str">
            <v>OTHERS</v>
          </cell>
          <cell r="BE4380" t="str">
            <v>Nov</v>
          </cell>
        </row>
        <row r="4381">
          <cell r="C4381" t="str">
            <v>Other</v>
          </cell>
          <cell r="R4381">
            <v>0</v>
          </cell>
          <cell r="AZ4381">
            <v>0</v>
          </cell>
          <cell r="BA4381">
            <v>0</v>
          </cell>
          <cell r="BC4381" t="str">
            <v>OTHERS</v>
          </cell>
          <cell r="BE4381" t="str">
            <v>Dec</v>
          </cell>
        </row>
      </sheetData>
      <sheetData sheetId="13">
        <row r="7">
          <cell r="C7" t="str">
            <v>ENEL</v>
          </cell>
          <cell r="F7">
            <v>590409</v>
          </cell>
          <cell r="G7">
            <v>-3.1971953848942003</v>
          </cell>
          <cell r="H7">
            <v>910000</v>
          </cell>
          <cell r="I7">
            <v>-0.82477810650887606</v>
          </cell>
          <cell r="J7">
            <v>-3.1</v>
          </cell>
        </row>
        <row r="8">
          <cell r="C8" t="str">
            <v>Chubu</v>
          </cell>
          <cell r="F8">
            <v>353998</v>
          </cell>
          <cell r="G8">
            <v>-1.49</v>
          </cell>
          <cell r="H8">
            <v>320000</v>
          </cell>
          <cell r="I8">
            <v>-1.6160740022966913</v>
          </cell>
          <cell r="J8">
            <v>-3.3</v>
          </cell>
        </row>
        <row r="9">
          <cell r="C9" t="str">
            <v>CET</v>
          </cell>
          <cell r="F9">
            <v>451982</v>
          </cell>
          <cell r="G9">
            <v>-7.1219464491948798</v>
          </cell>
          <cell r="H9">
            <v>700000</v>
          </cell>
          <cell r="I9">
            <v>-1.4067457985662246</v>
          </cell>
          <cell r="J9">
            <v>-3.3</v>
          </cell>
        </row>
        <row r="10">
          <cell r="C10" t="str">
            <v>Formosa</v>
          </cell>
          <cell r="F10">
            <v>962380</v>
          </cell>
          <cell r="G10">
            <v>-3.4986902159230242</v>
          </cell>
          <cell r="H10">
            <v>150000</v>
          </cell>
          <cell r="I10">
            <v>-0.79390699145839916</v>
          </cell>
          <cell r="J10">
            <v>-4</v>
          </cell>
        </row>
        <row r="11">
          <cell r="C11" t="str">
            <v>EPDC</v>
          </cell>
          <cell r="F11">
            <v>207573</v>
          </cell>
          <cell r="G11">
            <v>-4.4111914362657956</v>
          </cell>
          <cell r="H11">
            <v>700000</v>
          </cell>
          <cell r="I11">
            <v>-1.5041597847879604</v>
          </cell>
          <cell r="J11">
            <v>-3</v>
          </cell>
        </row>
        <row r="12">
          <cell r="C12" t="str">
            <v>Hoping</v>
          </cell>
          <cell r="F12">
            <v>365003</v>
          </cell>
          <cell r="G12">
            <v>-5.8628404972013932</v>
          </cell>
          <cell r="H12">
            <v>630000</v>
          </cell>
          <cell r="I12">
            <v>-0.6998512685914261</v>
          </cell>
          <cell r="J12">
            <v>-3.5</v>
          </cell>
        </row>
        <row r="13">
          <cell r="C13" t="str">
            <v>Huaneng</v>
          </cell>
          <cell r="F13">
            <v>2435633</v>
          </cell>
          <cell r="G13">
            <v>1.7354279318764367</v>
          </cell>
          <cell r="H13">
            <v>1335000</v>
          </cell>
          <cell r="I13">
            <v>0</v>
          </cell>
          <cell r="J13">
            <v>-0.3</v>
          </cell>
        </row>
        <row r="14">
          <cell r="C14" t="str">
            <v>Tj Jati B</v>
          </cell>
          <cell r="F14">
            <v>1468417</v>
          </cell>
          <cell r="G14">
            <v>-5.7720649175268335</v>
          </cell>
          <cell r="H14">
            <v>1910000</v>
          </cell>
          <cell r="I14">
            <v>-0.89130647120418871</v>
          </cell>
          <cell r="J14">
            <v>-4.5</v>
          </cell>
        </row>
        <row r="15">
          <cell r="C15" t="str">
            <v>Sub Total</v>
          </cell>
          <cell r="F15">
            <v>6835395</v>
          </cell>
          <cell r="G15">
            <v>-2.3854806284055274</v>
          </cell>
          <cell r="H15">
            <v>6655000</v>
          </cell>
          <cell r="I15">
            <v>-0.83662109300335186</v>
          </cell>
          <cell r="J15">
            <v>-3.0184072126220887</v>
          </cell>
        </row>
        <row r="16">
          <cell r="C16" t="str">
            <v>CLP</v>
          </cell>
          <cell r="F16">
            <v>894769</v>
          </cell>
          <cell r="G16">
            <v>-0.66713655703315589</v>
          </cell>
          <cell r="H16">
            <v>1040000</v>
          </cell>
          <cell r="I16">
            <v>-1.2559322033898308</v>
          </cell>
          <cell r="J16">
            <v>-0.8</v>
          </cell>
        </row>
        <row r="17">
          <cell r="C17" t="str">
            <v>Hongkong Electric</v>
          </cell>
          <cell r="F17">
            <v>442789</v>
          </cell>
          <cell r="G17">
            <v>-4.6451751285601048</v>
          </cell>
          <cell r="H17">
            <v>200000</v>
          </cell>
          <cell r="I17">
            <v>-0.90959835495096486</v>
          </cell>
          <cell r="J17">
            <v>-4.6500000000000004</v>
          </cell>
        </row>
        <row r="18">
          <cell r="C18" t="str">
            <v>Kobe Steel</v>
          </cell>
          <cell r="F18">
            <v>177321</v>
          </cell>
          <cell r="G18">
            <v>-0.23036199886082312</v>
          </cell>
          <cell r="H18">
            <v>420000</v>
          </cell>
          <cell r="I18">
            <v>-1.655890804597701</v>
          </cell>
          <cell r="J18">
            <v>-1</v>
          </cell>
        </row>
        <row r="19">
          <cell r="C19" t="str">
            <v>Kospo</v>
          </cell>
          <cell r="F19">
            <v>269386</v>
          </cell>
          <cell r="G19">
            <v>-0.82838562508816338</v>
          </cell>
          <cell r="H19">
            <v>420000</v>
          </cell>
          <cell r="I19">
            <v>-1.2176845258236177</v>
          </cell>
          <cell r="J19">
            <v>-1.5</v>
          </cell>
        </row>
        <row r="20">
          <cell r="C20" t="str">
            <v>Kowepo</v>
          </cell>
          <cell r="F20">
            <v>80417</v>
          </cell>
          <cell r="G20">
            <v>-0.13</v>
          </cell>
          <cell r="H20">
            <v>200000</v>
          </cell>
          <cell r="I20">
            <v>-1.1923827343966287</v>
          </cell>
          <cell r="J20">
            <v>-1.5</v>
          </cell>
        </row>
        <row r="21">
          <cell r="C21" t="str">
            <v>Shikoku</v>
          </cell>
          <cell r="F21">
            <v>147203</v>
          </cell>
          <cell r="G21">
            <v>-4.4648285700699031</v>
          </cell>
          <cell r="H21">
            <v>210000</v>
          </cell>
          <cell r="I21">
            <v>-1.6499482758620689</v>
          </cell>
          <cell r="J21">
            <v>-4.5</v>
          </cell>
        </row>
        <row r="22">
          <cell r="C22" t="str">
            <v>Tirreno</v>
          </cell>
          <cell r="F22">
            <v>129916</v>
          </cell>
          <cell r="G22">
            <v>-1.2942719141599188</v>
          </cell>
          <cell r="H22">
            <v>120000</v>
          </cell>
          <cell r="I22">
            <v>-1.6366379310344825</v>
          </cell>
          <cell r="J22">
            <v>-2</v>
          </cell>
        </row>
        <row r="23">
          <cell r="C23" t="str">
            <v>TCC (BPI)_JBG</v>
          </cell>
          <cell r="F23">
            <v>485574</v>
          </cell>
          <cell r="G23">
            <v>-4.3564018283516015</v>
          </cell>
          <cell r="H23">
            <v>364000</v>
          </cell>
          <cell r="I23">
            <v>-0.58047619047619037</v>
          </cell>
          <cell r="J23">
            <v>-3</v>
          </cell>
        </row>
        <row r="24">
          <cell r="C24" t="str">
            <v>TCC (BPI)_KTD</v>
          </cell>
          <cell r="H24">
            <v>52000</v>
          </cell>
          <cell r="I24">
            <v>-0.54933333333333334</v>
          </cell>
          <cell r="J24">
            <v>-3</v>
          </cell>
        </row>
        <row r="25">
          <cell r="C25" t="str">
            <v>TCC (CMMC)_KTD</v>
          </cell>
          <cell r="H25">
            <v>208000</v>
          </cell>
          <cell r="I25">
            <v>-0.7417352483391334</v>
          </cell>
          <cell r="J25">
            <v>-3</v>
          </cell>
        </row>
        <row r="26">
          <cell r="C26" t="str">
            <v>Sub Total</v>
          </cell>
          <cell r="F26">
            <v>2627375</v>
          </cell>
          <cell r="G26">
            <v>-2.2337738356344263</v>
          </cell>
          <cell r="H26">
            <v>3234000</v>
          </cell>
          <cell r="I26">
            <v>-1.1968128126618043</v>
          </cell>
          <cell r="J26">
            <v>-1.9075448361162648</v>
          </cell>
        </row>
        <row r="27">
          <cell r="C27" t="str">
            <v>Asahi Chemical</v>
          </cell>
          <cell r="H27">
            <v>0</v>
          </cell>
          <cell r="I27">
            <v>0</v>
          </cell>
          <cell r="J27">
            <v>-0.5</v>
          </cell>
        </row>
        <row r="28">
          <cell r="C28" t="str">
            <v>Hokuriku</v>
          </cell>
          <cell r="H28">
            <v>210000</v>
          </cell>
          <cell r="I28">
            <v>-1.6436574341744032</v>
          </cell>
          <cell r="J28">
            <v>-3.5</v>
          </cell>
        </row>
        <row r="29">
          <cell r="C29" t="str">
            <v>Joban JP</v>
          </cell>
          <cell r="H29">
            <v>300000</v>
          </cell>
          <cell r="I29">
            <v>-1.3246027495534902</v>
          </cell>
          <cell r="J29">
            <v>-0.5</v>
          </cell>
        </row>
        <row r="30">
          <cell r="C30" t="str">
            <v>Kaneka</v>
          </cell>
          <cell r="H30">
            <v>65000</v>
          </cell>
          <cell r="I30">
            <v>-1.9486618630983021</v>
          </cell>
          <cell r="J30">
            <v>-0.4</v>
          </cell>
        </row>
        <row r="31">
          <cell r="C31" t="str">
            <v>Kansai</v>
          </cell>
          <cell r="H31">
            <v>140000</v>
          </cell>
          <cell r="I31">
            <v>-1.6521119462413687</v>
          </cell>
          <cell r="J31">
            <v>-3</v>
          </cell>
        </row>
        <row r="32">
          <cell r="C32" t="str">
            <v>Nihon Yakin</v>
          </cell>
          <cell r="H32">
            <v>12000</v>
          </cell>
          <cell r="I32">
            <v>-0.82086206896551717</v>
          </cell>
          <cell r="J32">
            <v>-1</v>
          </cell>
        </row>
        <row r="33">
          <cell r="C33" t="str">
            <v>Tepco</v>
          </cell>
          <cell r="H33">
            <v>210000</v>
          </cell>
          <cell r="I33">
            <v>-1.4328358208955221</v>
          </cell>
          <cell r="J33">
            <v>-0.5</v>
          </cell>
        </row>
        <row r="34">
          <cell r="C34" t="str">
            <v>Tohoku</v>
          </cell>
          <cell r="H34">
            <v>225000</v>
          </cell>
          <cell r="I34">
            <v>-1.5724137931034485</v>
          </cell>
          <cell r="J34">
            <v>-2</v>
          </cell>
        </row>
        <row r="35">
          <cell r="C35" t="str">
            <v>Tokuyama</v>
          </cell>
          <cell r="H35">
            <v>150000</v>
          </cell>
          <cell r="I35">
            <v>-1.670689655172414</v>
          </cell>
          <cell r="J35">
            <v>-0.5</v>
          </cell>
        </row>
        <row r="36">
          <cell r="C36" t="str">
            <v>Tosoh (Itochu)</v>
          </cell>
          <cell r="H36">
            <v>322000</v>
          </cell>
          <cell r="I36">
            <v>-1.4414298181399703</v>
          </cell>
          <cell r="J36">
            <v>-4.5</v>
          </cell>
        </row>
        <row r="37">
          <cell r="C37" t="str">
            <v>Tosoh (Marubeni)</v>
          </cell>
          <cell r="H37">
            <v>40000</v>
          </cell>
          <cell r="I37">
            <v>-1.5086614173228348</v>
          </cell>
          <cell r="J37">
            <v>-4.5</v>
          </cell>
        </row>
        <row r="38">
          <cell r="C38" t="str">
            <v>UBE</v>
          </cell>
          <cell r="H38">
            <v>63000</v>
          </cell>
          <cell r="I38">
            <v>-1.9486618630983017</v>
          </cell>
          <cell r="J38">
            <v>-3</v>
          </cell>
        </row>
        <row r="39">
          <cell r="C39" t="str">
            <v>Glencore</v>
          </cell>
          <cell r="H39">
            <v>0</v>
          </cell>
          <cell r="I39">
            <v>0</v>
          </cell>
          <cell r="J39">
            <v>-1</v>
          </cell>
        </row>
        <row r="40">
          <cell r="C40" t="str">
            <v>NZ Steel</v>
          </cell>
          <cell r="H40">
            <v>30000</v>
          </cell>
          <cell r="I40">
            <v>-0.78460411916787565</v>
          </cell>
          <cell r="J40">
            <v>-1</v>
          </cell>
        </row>
        <row r="41">
          <cell r="C41" t="str">
            <v>PLN Cilacap</v>
          </cell>
          <cell r="H41">
            <v>495000</v>
          </cell>
          <cell r="I41">
            <v>-1.8078571428571404</v>
          </cell>
          <cell r="J41">
            <v>-3.5</v>
          </cell>
        </row>
        <row r="42">
          <cell r="C42" t="str">
            <v>AES</v>
          </cell>
          <cell r="H42">
            <v>810000</v>
          </cell>
          <cell r="I42">
            <v>-1.3274199368037087</v>
          </cell>
          <cell r="J42">
            <v>-1.5</v>
          </cell>
        </row>
        <row r="43">
          <cell r="C43" t="str">
            <v>San Miguel</v>
          </cell>
          <cell r="H43">
            <v>845000</v>
          </cell>
          <cell r="I43">
            <v>-1.6832171894365762</v>
          </cell>
          <cell r="J43">
            <v>-1.5</v>
          </cell>
        </row>
        <row r="44">
          <cell r="C44" t="str">
            <v>SPDC</v>
          </cell>
          <cell r="H44">
            <v>337500</v>
          </cell>
          <cell r="I44">
            <v>-1.7132142857142858</v>
          </cell>
          <cell r="J44">
            <v>-1</v>
          </cell>
        </row>
        <row r="45">
          <cell r="C45" t="str">
            <v>Therma Luzon</v>
          </cell>
          <cell r="H45">
            <v>272000</v>
          </cell>
          <cell r="I45">
            <v>-1.6394207692895089</v>
          </cell>
          <cell r="J45">
            <v>-1.5</v>
          </cell>
        </row>
        <row r="46">
          <cell r="C46" t="str">
            <v>Kosep</v>
          </cell>
          <cell r="H46">
            <v>120000</v>
          </cell>
          <cell r="I46">
            <v>-1.1059437386569873</v>
          </cell>
          <cell r="J46">
            <v>-1</v>
          </cell>
        </row>
        <row r="47">
          <cell r="C47" t="str">
            <v>Kewespo</v>
          </cell>
          <cell r="H47">
            <v>470000</v>
          </cell>
          <cell r="I47">
            <v>-0.83391646044990486</v>
          </cell>
          <cell r="J47">
            <v>-0.5</v>
          </cell>
        </row>
        <row r="48">
          <cell r="C48" t="str">
            <v>Adani</v>
          </cell>
          <cell r="H48">
            <v>1260000</v>
          </cell>
          <cell r="I48">
            <v>-1.1675290484131287</v>
          </cell>
          <cell r="J48">
            <v>-1</v>
          </cell>
        </row>
        <row r="49">
          <cell r="C49" t="str">
            <v>Udupi</v>
          </cell>
          <cell r="H49">
            <v>465000</v>
          </cell>
          <cell r="I49">
            <v>-1.4208949545078575</v>
          </cell>
          <cell r="J49">
            <v>-2.5</v>
          </cell>
        </row>
        <row r="50">
          <cell r="C50" t="str">
            <v>TNB (Tj Bin)</v>
          </cell>
          <cell r="H50">
            <v>0</v>
          </cell>
          <cell r="I50">
            <v>0</v>
          </cell>
          <cell r="J50">
            <v>-1.75</v>
          </cell>
        </row>
        <row r="51">
          <cell r="C51" t="str">
            <v>TNB</v>
          </cell>
          <cell r="H51">
            <v>845000</v>
          </cell>
          <cell r="I51">
            <v>-1.3526069443787101</v>
          </cell>
          <cell r="J51">
            <v>-1.75</v>
          </cell>
        </row>
        <row r="52">
          <cell r="C52" t="str">
            <v>Tamaka (Banpu)</v>
          </cell>
          <cell r="H52">
            <v>165000</v>
          </cell>
          <cell r="I52">
            <v>-1.1516874576271185</v>
          </cell>
          <cell r="J52">
            <v>-0.5</v>
          </cell>
        </row>
        <row r="53">
          <cell r="C53" t="str">
            <v>Ayudthaya (Banpu)</v>
          </cell>
          <cell r="H53">
            <v>400000</v>
          </cell>
          <cell r="I53">
            <v>-1.1646130508474577</v>
          </cell>
          <cell r="J53">
            <v>-0.5</v>
          </cell>
        </row>
        <row r="54">
          <cell r="C54" t="str">
            <v>SCC (CMMC)</v>
          </cell>
          <cell r="H54">
            <v>550000</v>
          </cell>
          <cell r="I54">
            <v>-1.0936378736517716</v>
          </cell>
          <cell r="J54">
            <v>-0.5</v>
          </cell>
        </row>
        <row r="55">
          <cell r="C55" t="str">
            <v>Minmetals</v>
          </cell>
          <cell r="H55">
            <v>60000</v>
          </cell>
          <cell r="I55">
            <v>-1.1355932203389831</v>
          </cell>
          <cell r="J55">
            <v>-0.5</v>
          </cell>
        </row>
        <row r="56">
          <cell r="C56" t="str">
            <v>Shenhua</v>
          </cell>
          <cell r="H56">
            <v>260000</v>
          </cell>
          <cell r="I56">
            <v>-1.1579999999999997</v>
          </cell>
          <cell r="J56">
            <v>-0.5</v>
          </cell>
        </row>
        <row r="57">
          <cell r="C57" t="str">
            <v>Qinfa</v>
          </cell>
          <cell r="H57">
            <v>60000</v>
          </cell>
          <cell r="I57">
            <v>-1.1694915254237288</v>
          </cell>
          <cell r="J57">
            <v>-0.5</v>
          </cell>
        </row>
        <row r="58">
          <cell r="C58" t="str">
            <v>Yudean</v>
          </cell>
          <cell r="H58">
            <v>70000</v>
          </cell>
          <cell r="I58">
            <v>0</v>
          </cell>
          <cell r="J58">
            <v>-0.5</v>
          </cell>
        </row>
        <row r="59">
          <cell r="C59" t="str">
            <v>Other</v>
          </cell>
          <cell r="H59">
            <v>9359500</v>
          </cell>
          <cell r="I59">
            <v>-0.80236125157141136</v>
          </cell>
          <cell r="J59">
            <v>-0.3</v>
          </cell>
        </row>
        <row r="60">
          <cell r="C60" t="str">
            <v>Shanxi</v>
          </cell>
          <cell r="F60">
            <v>193836</v>
          </cell>
          <cell r="G60">
            <v>0.59955947295652001</v>
          </cell>
        </row>
        <row r="61">
          <cell r="C61" t="str">
            <v>Qinfa</v>
          </cell>
          <cell r="F61">
            <v>58543</v>
          </cell>
          <cell r="G61">
            <v>-0.39</v>
          </cell>
        </row>
        <row r="62">
          <cell r="C62" t="str">
            <v>MINMETALS</v>
          </cell>
          <cell r="F62">
            <v>398004</v>
          </cell>
          <cell r="G62">
            <v>-6.0434065989284878E-4</v>
          </cell>
        </row>
        <row r="63">
          <cell r="C63" t="str">
            <v>CHAOZHOU</v>
          </cell>
          <cell r="F63">
            <v>245975</v>
          </cell>
          <cell r="G63">
            <v>-0.58176082935257656</v>
          </cell>
        </row>
        <row r="64">
          <cell r="C64" t="str">
            <v>DONGGUAN</v>
          </cell>
          <cell r="F64">
            <v>67800</v>
          </cell>
          <cell r="G64">
            <v>0.21</v>
          </cell>
        </row>
        <row r="65">
          <cell r="C65" t="str">
            <v>INDOCEMENT</v>
          </cell>
          <cell r="F65">
            <v>31081.135999999999</v>
          </cell>
          <cell r="G65">
            <v>-0.10123480813802965</v>
          </cell>
        </row>
        <row r="66">
          <cell r="C66" t="str">
            <v>Tokuyama</v>
          </cell>
          <cell r="F66">
            <v>235335</v>
          </cell>
          <cell r="G66">
            <v>-0.19375082329445256</v>
          </cell>
        </row>
        <row r="67">
          <cell r="C67" t="str">
            <v>JOBAN</v>
          </cell>
          <cell r="F67">
            <v>259375</v>
          </cell>
          <cell r="G67">
            <v>-3.7908562120481926</v>
          </cell>
        </row>
        <row r="68">
          <cell r="C68" t="str">
            <v>JOBAN KOSAN</v>
          </cell>
          <cell r="F68">
            <v>16145</v>
          </cell>
          <cell r="G68">
            <v>-1.3223908330752554</v>
          </cell>
        </row>
        <row r="69">
          <cell r="C69" t="str">
            <v>TPT</v>
          </cell>
          <cell r="F69">
            <v>102567</v>
          </cell>
          <cell r="G69">
            <v>-0.46757573098559968</v>
          </cell>
        </row>
        <row r="70">
          <cell r="C70" t="str">
            <v>AYUDTHAYA (SCCC)</v>
          </cell>
          <cell r="F70">
            <v>337301</v>
          </cell>
          <cell r="G70">
            <v>-0.12543229934094474</v>
          </cell>
        </row>
        <row r="71">
          <cell r="C71" t="str">
            <v>SCG</v>
          </cell>
          <cell r="F71">
            <v>377577</v>
          </cell>
          <cell r="G71">
            <v>0</v>
          </cell>
        </row>
        <row r="72">
          <cell r="C72" t="str">
            <v>SDIC</v>
          </cell>
          <cell r="F72">
            <v>65034</v>
          </cell>
          <cell r="G72">
            <v>0.56999999999999995</v>
          </cell>
        </row>
        <row r="73">
          <cell r="C73" t="str">
            <v>COAL &amp; OIL</v>
          </cell>
          <cell r="F73">
            <v>205196</v>
          </cell>
          <cell r="G73">
            <v>-0.20061541160646412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URLY"/>
      <sheetName val="SUM"/>
      <sheetName val="LIST"/>
      <sheetName val="dBase"/>
      <sheetName val="dBonus"/>
      <sheetName val="Exchange"/>
    </sheetNames>
    <sheetDataSet>
      <sheetData sheetId="0">
        <row r="1">
          <cell r="B1" t="str">
            <v>TIME</v>
          </cell>
          <cell r="C1" t="str">
            <v>MAT</v>
          </cell>
          <cell r="D1" t="str">
            <v>PROD</v>
          </cell>
          <cell r="E1" t="str">
            <v>PRODTY</v>
          </cell>
          <cell r="F1" t="str">
            <v>DT1</v>
          </cell>
          <cell r="G1" t="str">
            <v>D2</v>
          </cell>
          <cell r="H1" t="str">
            <v>D3</v>
          </cell>
          <cell r="I1" t="str">
            <v>TOT_DT</v>
          </cell>
          <cell r="J1" t="str">
            <v>WORK</v>
          </cell>
          <cell r="K1" t="str">
            <v>GEN</v>
          </cell>
          <cell r="L1" t="str">
            <v>DELAY</v>
          </cell>
          <cell r="M1" t="str">
            <v>IDLE</v>
          </cell>
          <cell r="N1" t="str">
            <v>RAIN</v>
          </cell>
          <cell r="O1" t="str">
            <v>SLIPP</v>
          </cell>
          <cell r="P1" t="str">
            <v>DOWN</v>
          </cell>
          <cell r="Q1" t="str">
            <v>REMARK</v>
          </cell>
          <cell r="R1" t="str">
            <v>G_LEADER</v>
          </cell>
          <cell r="T1">
            <v>1</v>
          </cell>
          <cell r="U1" t="str">
            <v>ROM</v>
          </cell>
          <cell r="V1" t="str">
            <v>CRUSH1</v>
          </cell>
          <cell r="W1" t="str">
            <v>CRUSH2</v>
          </cell>
          <cell r="X1" t="str">
            <v>CRUSH3</v>
          </cell>
          <cell r="Y1" t="str">
            <v>CRUSH4</v>
          </cell>
          <cell r="Z1" t="str">
            <v>CRUSH5</v>
          </cell>
          <cell r="AA1" t="str">
            <v>CRUSH6</v>
          </cell>
        </row>
        <row r="2">
          <cell r="T2">
            <v>2</v>
          </cell>
        </row>
        <row r="3">
          <cell r="T3">
            <v>3</v>
          </cell>
          <cell r="U3">
            <v>1</v>
          </cell>
          <cell r="V3" t="str">
            <v>Hiras Silaban</v>
          </cell>
          <cell r="X3">
            <v>1</v>
          </cell>
          <cell r="Y3" t="str">
            <v>Hiras Silaban</v>
          </cell>
        </row>
        <row r="4">
          <cell r="T4">
            <v>4</v>
          </cell>
          <cell r="U4">
            <v>2</v>
          </cell>
          <cell r="V4" t="str">
            <v>Yalii</v>
          </cell>
          <cell r="X4">
            <v>3</v>
          </cell>
          <cell r="Y4" t="str">
            <v>Fresye A L</v>
          </cell>
        </row>
        <row r="5">
          <cell r="T5">
            <v>5</v>
          </cell>
          <cell r="U5">
            <v>3</v>
          </cell>
          <cell r="V5" t="str">
            <v>Fresye A L</v>
          </cell>
        </row>
        <row r="6">
          <cell r="B6" t="str">
            <v>31 - Jan -07</v>
          </cell>
          <cell r="T6">
            <v>6</v>
          </cell>
          <cell r="U6">
            <v>4</v>
          </cell>
        </row>
        <row r="7">
          <cell r="B7" t="str">
            <v>TIME</v>
          </cell>
          <cell r="C7" t="str">
            <v>WASTE</v>
          </cell>
          <cell r="D7" t="str">
            <v>SH4001</v>
          </cell>
          <cell r="E7" t="str">
            <v>TYPE</v>
          </cell>
          <cell r="F7" t="str">
            <v>PC 5500</v>
          </cell>
          <cell r="H7" t="str">
            <v>Plan Prod'ty :</v>
          </cell>
          <cell r="J7">
            <v>1750</v>
          </cell>
          <cell r="M7" t="str">
            <v>Distance :</v>
          </cell>
          <cell r="O7">
            <v>3.6265301410346602</v>
          </cell>
          <cell r="T7">
            <v>7</v>
          </cell>
          <cell r="U7" t="str">
            <v>SH4001</v>
          </cell>
        </row>
        <row r="8">
          <cell r="C8" t="str">
            <v>MAT</v>
          </cell>
          <cell r="D8" t="str">
            <v>PROD</v>
          </cell>
          <cell r="E8" t="str">
            <v>PROD'TY</v>
          </cell>
          <cell r="F8" t="str">
            <v>Q'TY DT</v>
          </cell>
          <cell r="J8" t="str">
            <v>HOURS</v>
          </cell>
          <cell r="Q8" t="str">
            <v>REMARK PRODUKTIVITAS</v>
          </cell>
          <cell r="T8">
            <v>8</v>
          </cell>
          <cell r="U8" t="str">
            <v>ROM</v>
          </cell>
          <cell r="V8" t="str">
            <v>Crush1</v>
          </cell>
          <cell r="W8" t="str">
            <v>Crush2</v>
          </cell>
          <cell r="X8" t="str">
            <v>Crush3</v>
          </cell>
          <cell r="Y8" t="str">
            <v>Crush4</v>
          </cell>
          <cell r="Z8" t="str">
            <v>Crush5</v>
          </cell>
          <cell r="AA8" t="str">
            <v>Crush6</v>
          </cell>
        </row>
        <row r="9">
          <cell r="E9" t="str">
            <v>( By work )</v>
          </cell>
          <cell r="F9" t="str">
            <v>730E</v>
          </cell>
          <cell r="G9" t="str">
            <v>1500</v>
          </cell>
          <cell r="H9" t="str">
            <v>785</v>
          </cell>
          <cell r="I9" t="str">
            <v>Total</v>
          </cell>
          <cell r="J9" t="str">
            <v>Work</v>
          </cell>
          <cell r="K9" t="str">
            <v>General</v>
          </cell>
          <cell r="L9" t="str">
            <v>Delay</v>
          </cell>
          <cell r="M9" t="str">
            <v>Idle</v>
          </cell>
          <cell r="N9" t="str">
            <v>Rain</v>
          </cell>
          <cell r="O9" t="str">
            <v>Slipp</v>
          </cell>
          <cell r="P9" t="str">
            <v>B/D</v>
          </cell>
          <cell r="T9">
            <v>9</v>
          </cell>
        </row>
        <row r="10">
          <cell r="B10" t="str">
            <v>07  - 08</v>
          </cell>
          <cell r="C10" t="str">
            <v>OB</v>
          </cell>
          <cell r="D10">
            <v>1330</v>
          </cell>
          <cell r="E10">
            <v>1596</v>
          </cell>
          <cell r="F10">
            <v>10</v>
          </cell>
          <cell r="G10">
            <v>0</v>
          </cell>
          <cell r="H10">
            <v>0</v>
          </cell>
          <cell r="I10">
            <v>10</v>
          </cell>
          <cell r="J10">
            <v>50</v>
          </cell>
          <cell r="K10">
            <v>0</v>
          </cell>
          <cell r="L10">
            <v>10</v>
          </cell>
          <cell r="M10">
            <v>0</v>
          </cell>
          <cell r="N10">
            <v>0</v>
          </cell>
          <cell r="O10">
            <v>0</v>
          </cell>
          <cell r="Q10" t="str">
            <v>P2H Start 07:10</v>
          </cell>
          <cell r="T10">
            <v>10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</row>
        <row r="11">
          <cell r="B11" t="str">
            <v>08  - 09</v>
          </cell>
          <cell r="C11" t="str">
            <v>OB</v>
          </cell>
          <cell r="D11">
            <v>1610</v>
          </cell>
          <cell r="E11">
            <v>1610</v>
          </cell>
          <cell r="F11">
            <v>10</v>
          </cell>
          <cell r="G11">
            <v>0</v>
          </cell>
          <cell r="H11">
            <v>0</v>
          </cell>
          <cell r="I11">
            <v>10</v>
          </cell>
          <cell r="J11">
            <v>60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Q11">
            <v>0</v>
          </cell>
          <cell r="T11">
            <v>11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</row>
        <row r="12">
          <cell r="B12" t="str">
            <v>09  - 10</v>
          </cell>
          <cell r="C12" t="str">
            <v>OB</v>
          </cell>
          <cell r="D12">
            <v>1540</v>
          </cell>
          <cell r="E12">
            <v>1540</v>
          </cell>
          <cell r="F12">
            <v>10</v>
          </cell>
          <cell r="G12">
            <v>0</v>
          </cell>
          <cell r="H12">
            <v>0</v>
          </cell>
          <cell r="I12">
            <v>10</v>
          </cell>
          <cell r="J12">
            <v>60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Q12">
            <v>0</v>
          </cell>
          <cell r="T12">
            <v>12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</row>
        <row r="13">
          <cell r="B13" t="str">
            <v>10  - 11</v>
          </cell>
          <cell r="C13" t="str">
            <v>OB</v>
          </cell>
          <cell r="D13">
            <v>1470</v>
          </cell>
          <cell r="E13">
            <v>1470</v>
          </cell>
          <cell r="F13">
            <v>8</v>
          </cell>
          <cell r="G13">
            <v>0</v>
          </cell>
          <cell r="H13">
            <v>0</v>
          </cell>
          <cell r="I13">
            <v>8</v>
          </cell>
          <cell r="J13">
            <v>60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Q13">
            <v>0</v>
          </cell>
          <cell r="T13">
            <v>13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</row>
        <row r="14">
          <cell r="B14" t="str">
            <v>11  - 12</v>
          </cell>
          <cell r="C14" t="str">
            <v>OB</v>
          </cell>
          <cell r="D14">
            <v>1330</v>
          </cell>
          <cell r="E14">
            <v>1330</v>
          </cell>
          <cell r="F14">
            <v>8</v>
          </cell>
          <cell r="G14">
            <v>0</v>
          </cell>
          <cell r="H14">
            <v>0</v>
          </cell>
          <cell r="I14">
            <v>8</v>
          </cell>
          <cell r="J14">
            <v>60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Q14">
            <v>0</v>
          </cell>
          <cell r="T14">
            <v>14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</row>
        <row r="15">
          <cell r="B15" t="str">
            <v>12  - 13</v>
          </cell>
          <cell r="C15" t="str">
            <v>OB</v>
          </cell>
          <cell r="D15">
            <v>700</v>
          </cell>
          <cell r="E15">
            <v>1680</v>
          </cell>
          <cell r="F15">
            <v>8</v>
          </cell>
          <cell r="G15">
            <v>0</v>
          </cell>
          <cell r="H15">
            <v>0</v>
          </cell>
          <cell r="I15">
            <v>8</v>
          </cell>
          <cell r="J15">
            <v>25</v>
          </cell>
          <cell r="K15">
            <v>0</v>
          </cell>
          <cell r="L15">
            <v>35</v>
          </cell>
          <cell r="M15">
            <v>0</v>
          </cell>
          <cell r="N15">
            <v>0</v>
          </cell>
          <cell r="O15">
            <v>0</v>
          </cell>
          <cell r="Q15" t="str">
            <v>Rest Time</v>
          </cell>
          <cell r="T15">
            <v>15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</row>
        <row r="16">
          <cell r="B16" t="str">
            <v>13  -  14</v>
          </cell>
          <cell r="C16" t="str">
            <v>OB</v>
          </cell>
          <cell r="D16">
            <v>1540</v>
          </cell>
          <cell r="E16">
            <v>1540</v>
          </cell>
          <cell r="F16">
            <v>8</v>
          </cell>
          <cell r="G16">
            <v>0</v>
          </cell>
          <cell r="H16">
            <v>0</v>
          </cell>
          <cell r="I16">
            <v>8</v>
          </cell>
          <cell r="J16">
            <v>60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Q16">
            <v>0</v>
          </cell>
          <cell r="T16">
            <v>16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</row>
        <row r="17">
          <cell r="B17" t="str">
            <v>14  -  15</v>
          </cell>
          <cell r="C17" t="str">
            <v>OB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60</v>
          </cell>
          <cell r="O17">
            <v>0</v>
          </cell>
          <cell r="Q17" t="str">
            <v>Rain</v>
          </cell>
          <cell r="T17">
            <v>17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</row>
        <row r="18">
          <cell r="B18" t="str">
            <v>15  -  16</v>
          </cell>
          <cell r="C18" t="str">
            <v>OB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60</v>
          </cell>
          <cell r="Q18" t="str">
            <v>Slippery</v>
          </cell>
          <cell r="T18">
            <v>18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</row>
        <row r="19">
          <cell r="B19" t="str">
            <v>16  -  17</v>
          </cell>
          <cell r="C19" t="str">
            <v>OB</v>
          </cell>
          <cell r="D19">
            <v>504</v>
          </cell>
          <cell r="E19">
            <v>1512</v>
          </cell>
          <cell r="F19">
            <v>0</v>
          </cell>
          <cell r="G19">
            <v>9</v>
          </cell>
          <cell r="H19">
            <v>0</v>
          </cell>
          <cell r="I19">
            <v>9</v>
          </cell>
          <cell r="J19">
            <v>20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40</v>
          </cell>
          <cell r="Q19" t="str">
            <v>Slippery, Start 16:40</v>
          </cell>
          <cell r="T19">
            <v>19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</row>
        <row r="20">
          <cell r="B20" t="str">
            <v>17  -  18</v>
          </cell>
          <cell r="C20" t="str">
            <v>OB</v>
          </cell>
          <cell r="D20">
            <v>1176</v>
          </cell>
          <cell r="E20">
            <v>1176</v>
          </cell>
          <cell r="F20">
            <v>0</v>
          </cell>
          <cell r="G20">
            <v>9</v>
          </cell>
          <cell r="H20">
            <v>0</v>
          </cell>
          <cell r="I20">
            <v>9</v>
          </cell>
          <cell r="J20">
            <v>60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Q20">
            <v>0</v>
          </cell>
          <cell r="T20">
            <v>20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</row>
        <row r="21">
          <cell r="B21" t="str">
            <v>18  -  19</v>
          </cell>
          <cell r="C21" t="str">
            <v>OB</v>
          </cell>
          <cell r="D21">
            <v>504</v>
          </cell>
          <cell r="E21">
            <v>1008</v>
          </cell>
          <cell r="F21">
            <v>0</v>
          </cell>
          <cell r="G21">
            <v>9</v>
          </cell>
          <cell r="H21">
            <v>0</v>
          </cell>
          <cell r="I21">
            <v>9</v>
          </cell>
          <cell r="J21">
            <v>30</v>
          </cell>
          <cell r="K21">
            <v>0</v>
          </cell>
          <cell r="L21">
            <v>30</v>
          </cell>
          <cell r="M21">
            <v>0</v>
          </cell>
          <cell r="N21">
            <v>0</v>
          </cell>
          <cell r="O21">
            <v>0</v>
          </cell>
          <cell r="Q21" t="str">
            <v>Rest Time</v>
          </cell>
          <cell r="T21">
            <v>21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</row>
        <row r="22">
          <cell r="B22" t="str">
            <v>19  -  20</v>
          </cell>
          <cell r="C22" t="str">
            <v>OB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60</v>
          </cell>
          <cell r="O22">
            <v>0</v>
          </cell>
          <cell r="Q22" t="str">
            <v>Rain</v>
          </cell>
          <cell r="T22">
            <v>22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</row>
        <row r="23">
          <cell r="B23" t="str">
            <v>20  -  21</v>
          </cell>
          <cell r="C23" t="str">
            <v>OB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60</v>
          </cell>
          <cell r="O23">
            <v>0</v>
          </cell>
          <cell r="Q23" t="str">
            <v>Rain</v>
          </cell>
          <cell r="T23">
            <v>23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</row>
        <row r="24">
          <cell r="B24" t="str">
            <v>21  -  22</v>
          </cell>
          <cell r="C24" t="str">
            <v>OB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60</v>
          </cell>
          <cell r="O24">
            <v>0</v>
          </cell>
          <cell r="Q24" t="str">
            <v>Rain</v>
          </cell>
          <cell r="T24">
            <v>24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</row>
        <row r="25">
          <cell r="B25" t="str">
            <v>22  -  23</v>
          </cell>
          <cell r="C25" t="str">
            <v>OB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60</v>
          </cell>
          <cell r="O25">
            <v>0</v>
          </cell>
          <cell r="Q25" t="str">
            <v>Rain</v>
          </cell>
          <cell r="T25">
            <v>25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</row>
        <row r="26">
          <cell r="B26" t="str">
            <v>23  -  24</v>
          </cell>
          <cell r="C26" t="str">
            <v>OB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60</v>
          </cell>
          <cell r="Q26" t="str">
            <v>Slippery</v>
          </cell>
          <cell r="T26">
            <v>26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</row>
        <row r="27">
          <cell r="B27" t="str">
            <v>24  -  01</v>
          </cell>
          <cell r="C27" t="str">
            <v>OB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60</v>
          </cell>
          <cell r="Q27" t="str">
            <v>Slippery</v>
          </cell>
          <cell r="T27">
            <v>27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</row>
        <row r="28">
          <cell r="B28" t="str">
            <v>01  -  02</v>
          </cell>
          <cell r="C28" t="str">
            <v>OB</v>
          </cell>
          <cell r="D28">
            <v>70</v>
          </cell>
          <cell r="E28">
            <v>420</v>
          </cell>
          <cell r="F28">
            <v>1</v>
          </cell>
          <cell r="G28">
            <v>0</v>
          </cell>
          <cell r="H28">
            <v>0</v>
          </cell>
          <cell r="I28">
            <v>1</v>
          </cell>
          <cell r="J28">
            <v>10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50</v>
          </cell>
          <cell r="Q28" t="str">
            <v>Slippery</v>
          </cell>
          <cell r="T28">
            <v>28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</row>
        <row r="29">
          <cell r="B29" t="str">
            <v>02  -  03</v>
          </cell>
          <cell r="C29" t="str">
            <v>OB</v>
          </cell>
          <cell r="D29">
            <v>1750</v>
          </cell>
          <cell r="E29">
            <v>1750</v>
          </cell>
          <cell r="F29">
            <v>11</v>
          </cell>
          <cell r="G29">
            <v>0</v>
          </cell>
          <cell r="H29">
            <v>0</v>
          </cell>
          <cell r="I29">
            <v>11</v>
          </cell>
          <cell r="J29">
            <v>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Q29">
            <v>0</v>
          </cell>
          <cell r="T29">
            <v>29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</row>
        <row r="30">
          <cell r="B30" t="str">
            <v>03  -  04</v>
          </cell>
          <cell r="C30" t="str">
            <v>OB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30</v>
          </cell>
          <cell r="L30">
            <v>0</v>
          </cell>
          <cell r="M30">
            <v>0</v>
          </cell>
          <cell r="N30">
            <v>30</v>
          </cell>
          <cell r="O30">
            <v>0</v>
          </cell>
          <cell r="Q30" t="str">
            <v>Rain</v>
          </cell>
          <cell r="T30">
            <v>30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</row>
        <row r="31">
          <cell r="B31" t="str">
            <v>04  -  05</v>
          </cell>
          <cell r="C31" t="str">
            <v>OB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60</v>
          </cell>
          <cell r="O31">
            <v>0</v>
          </cell>
          <cell r="Q31" t="str">
            <v>Rain</v>
          </cell>
          <cell r="T31">
            <v>31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</row>
        <row r="32">
          <cell r="B32" t="str">
            <v>05  -  06</v>
          </cell>
          <cell r="C32" t="str">
            <v>OB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60</v>
          </cell>
          <cell r="Q32" t="str">
            <v>Slippery</v>
          </cell>
          <cell r="T32">
            <v>32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Q33" t="str">
            <v>Slippery</v>
          </cell>
          <cell r="T33">
            <v>33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</row>
        <row r="34">
          <cell r="B34" t="str">
            <v>RESUME</v>
          </cell>
          <cell r="C34" t="str">
            <v>PROD</v>
          </cell>
          <cell r="E34" t="str">
            <v>PROD'TY</v>
          </cell>
          <cell r="G34" t="str">
            <v>WORK HOURS</v>
          </cell>
          <cell r="J34" t="str">
            <v>LOST TIME</v>
          </cell>
          <cell r="L34" t="str">
            <v>DOWN</v>
          </cell>
          <cell r="M34" t="str">
            <v>PA</v>
          </cell>
          <cell r="O34" t="str">
            <v>UA PROD</v>
          </cell>
          <cell r="Q34" t="str">
            <v>OPERATOR</v>
          </cell>
          <cell r="R34" t="str">
            <v>GROUP LEADER</v>
          </cell>
          <cell r="T34">
            <v>34</v>
          </cell>
        </row>
        <row r="35">
          <cell r="B35" t="str">
            <v>GROUP</v>
          </cell>
          <cell r="C35" t="str">
            <v>WASTE</v>
          </cell>
          <cell r="D35" t="str">
            <v>CC</v>
          </cell>
          <cell r="E35" t="str">
            <v>WASTE</v>
          </cell>
          <cell r="F35" t="str">
            <v>CC</v>
          </cell>
          <cell r="G35" t="str">
            <v>WASTE</v>
          </cell>
          <cell r="H35" t="str">
            <v>CC</v>
          </cell>
          <cell r="I35" t="str">
            <v>GEN</v>
          </cell>
          <cell r="J35" t="str">
            <v>DELAY</v>
          </cell>
          <cell r="K35" t="str">
            <v>IDLE</v>
          </cell>
          <cell r="L35" t="str">
            <v>TIME</v>
          </cell>
          <cell r="M35" t="str">
            <v>PLAN</v>
          </cell>
          <cell r="N35" t="str">
            <v>ACT</v>
          </cell>
          <cell r="O35" t="str">
            <v>PLAN</v>
          </cell>
          <cell r="P35" t="str">
            <v>ACT</v>
          </cell>
          <cell r="T35">
            <v>35</v>
          </cell>
        </row>
        <row r="36">
          <cell r="B36" t="str">
            <v>Shift 1</v>
          </cell>
          <cell r="C36">
            <v>9520</v>
          </cell>
          <cell r="D36">
            <v>0</v>
          </cell>
          <cell r="E36">
            <v>1523.2</v>
          </cell>
          <cell r="F36">
            <v>0</v>
          </cell>
          <cell r="G36">
            <v>6.25</v>
          </cell>
          <cell r="H36">
            <v>0</v>
          </cell>
          <cell r="I36">
            <v>0</v>
          </cell>
          <cell r="J36">
            <v>0.75</v>
          </cell>
          <cell r="K36">
            <v>1</v>
          </cell>
          <cell r="L36">
            <v>0</v>
          </cell>
          <cell r="M36">
            <v>0.95</v>
          </cell>
          <cell r="N36">
            <v>1</v>
          </cell>
          <cell r="O36">
            <v>0.875</v>
          </cell>
          <cell r="P36">
            <v>0.78125</v>
          </cell>
          <cell r="Q36" t="str">
            <v>Warsinton Tamba</v>
          </cell>
          <cell r="R36" t="str">
            <v>Bardono</v>
          </cell>
          <cell r="T36">
            <v>36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</row>
        <row r="37">
          <cell r="B37" t="str">
            <v>Shift 2</v>
          </cell>
          <cell r="C37">
            <v>2184</v>
          </cell>
          <cell r="D37">
            <v>0</v>
          </cell>
          <cell r="E37">
            <v>1191.2727272727273</v>
          </cell>
          <cell r="F37">
            <v>0</v>
          </cell>
          <cell r="G37">
            <v>1.8333333333333333</v>
          </cell>
          <cell r="H37">
            <v>0</v>
          </cell>
          <cell r="I37">
            <v>0</v>
          </cell>
          <cell r="J37">
            <v>0.5</v>
          </cell>
          <cell r="K37">
            <v>5.666666666666667</v>
          </cell>
          <cell r="L37">
            <v>0</v>
          </cell>
          <cell r="M37">
            <v>0.95</v>
          </cell>
          <cell r="N37">
            <v>1</v>
          </cell>
          <cell r="O37">
            <v>0.875</v>
          </cell>
          <cell r="P37">
            <v>0.22916666666666666</v>
          </cell>
          <cell r="Q37" t="str">
            <v>Edy Susanto</v>
          </cell>
          <cell r="R37" t="str">
            <v>Saepudin</v>
          </cell>
          <cell r="T37">
            <v>37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</row>
        <row r="38">
          <cell r="B38" t="str">
            <v>Shift 3</v>
          </cell>
          <cell r="C38">
            <v>1820</v>
          </cell>
          <cell r="D38">
            <v>0</v>
          </cell>
          <cell r="E38">
            <v>1560</v>
          </cell>
          <cell r="F38">
            <v>0</v>
          </cell>
          <cell r="G38">
            <v>1.1666666666666667</v>
          </cell>
          <cell r="H38">
            <v>0</v>
          </cell>
          <cell r="I38">
            <v>0.5</v>
          </cell>
          <cell r="J38">
            <v>0</v>
          </cell>
          <cell r="K38">
            <v>6.333333333333333</v>
          </cell>
          <cell r="L38">
            <v>0</v>
          </cell>
          <cell r="M38">
            <v>0.95</v>
          </cell>
          <cell r="N38">
            <v>1</v>
          </cell>
          <cell r="O38">
            <v>0.875</v>
          </cell>
          <cell r="P38">
            <v>0.20833333333333334</v>
          </cell>
          <cell r="Q38" t="str">
            <v>Suyanto Tamin</v>
          </cell>
          <cell r="R38" t="str">
            <v>Saepudin</v>
          </cell>
          <cell r="T38">
            <v>38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</row>
        <row r="39">
          <cell r="B39" t="str">
            <v>Shift 6</v>
          </cell>
          <cell r="C39">
            <v>11200</v>
          </cell>
          <cell r="D39">
            <v>0</v>
          </cell>
          <cell r="E39">
            <v>1476.9230769230769</v>
          </cell>
          <cell r="F39">
            <v>0</v>
          </cell>
          <cell r="G39">
            <v>7.583333333333333</v>
          </cell>
          <cell r="H39">
            <v>0</v>
          </cell>
          <cell r="I39">
            <v>0</v>
          </cell>
          <cell r="J39">
            <v>0.75</v>
          </cell>
          <cell r="K39">
            <v>2.6666666666666665</v>
          </cell>
          <cell r="L39">
            <v>0</v>
          </cell>
          <cell r="M39">
            <v>0.95</v>
          </cell>
          <cell r="N39">
            <v>1</v>
          </cell>
          <cell r="O39">
            <v>0.875</v>
          </cell>
          <cell r="P39">
            <v>0.68939393939393934</v>
          </cell>
          <cell r="Q39">
            <v>0</v>
          </cell>
          <cell r="R39">
            <v>0</v>
          </cell>
          <cell r="T39">
            <v>39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</row>
        <row r="40">
          <cell r="B40" t="str">
            <v>Shift 7</v>
          </cell>
          <cell r="C40">
            <v>2324</v>
          </cell>
          <cell r="D40">
            <v>0</v>
          </cell>
          <cell r="E40">
            <v>1394.4</v>
          </cell>
          <cell r="F40">
            <v>0</v>
          </cell>
          <cell r="G40">
            <v>1.6666666666666667</v>
          </cell>
          <cell r="H40">
            <v>0</v>
          </cell>
          <cell r="I40">
            <v>0.5</v>
          </cell>
          <cell r="J40">
            <v>0.5</v>
          </cell>
          <cell r="K40">
            <v>10.333333333333334</v>
          </cell>
          <cell r="L40">
            <v>0</v>
          </cell>
          <cell r="M40">
            <v>0.95</v>
          </cell>
          <cell r="N40">
            <v>1</v>
          </cell>
          <cell r="O40">
            <v>0.875</v>
          </cell>
          <cell r="P40">
            <v>0.16666666666666666</v>
          </cell>
          <cell r="Q40">
            <v>0</v>
          </cell>
          <cell r="R40">
            <v>0</v>
          </cell>
          <cell r="T40">
            <v>40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</row>
        <row r="41">
          <cell r="B41" t="str">
            <v>TOTAL</v>
          </cell>
          <cell r="C41">
            <v>13524</v>
          </cell>
          <cell r="D41">
            <v>0</v>
          </cell>
          <cell r="E41">
            <v>1462.0540540540539</v>
          </cell>
          <cell r="F41">
            <v>0</v>
          </cell>
          <cell r="G41">
            <v>9.25</v>
          </cell>
          <cell r="H41">
            <v>0</v>
          </cell>
          <cell r="I41">
            <v>0.5</v>
          </cell>
          <cell r="J41">
            <v>1.25</v>
          </cell>
          <cell r="K41">
            <v>13</v>
          </cell>
          <cell r="L41">
            <v>0</v>
          </cell>
          <cell r="M41">
            <v>0.95</v>
          </cell>
          <cell r="N41">
            <v>1</v>
          </cell>
          <cell r="O41">
            <v>0.875</v>
          </cell>
          <cell r="P41">
            <v>0.40625</v>
          </cell>
          <cell r="Q41" t="str">
            <v>Hiras Silaban</v>
          </cell>
          <cell r="R41" t="str">
            <v>Fresye A L</v>
          </cell>
          <cell r="T41">
            <v>41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</row>
        <row r="42">
          <cell r="T42">
            <v>42</v>
          </cell>
        </row>
        <row r="43">
          <cell r="B43" t="str">
            <v>TIME</v>
          </cell>
          <cell r="C43" t="str">
            <v>WASTE</v>
          </cell>
          <cell r="D43" t="str">
            <v>SH4002</v>
          </cell>
          <cell r="E43" t="str">
            <v>TYPE</v>
          </cell>
          <cell r="F43" t="str">
            <v>PC 5500</v>
          </cell>
          <cell r="H43" t="str">
            <v>Plan Prod'ty :</v>
          </cell>
          <cell r="J43">
            <v>1700</v>
          </cell>
          <cell r="M43" t="str">
            <v>Distance :</v>
          </cell>
          <cell r="O43">
            <v>2.4234931308056349</v>
          </cell>
          <cell r="T43">
            <v>43</v>
          </cell>
          <cell r="U43" t="str">
            <v>SH4002</v>
          </cell>
        </row>
        <row r="44">
          <cell r="C44" t="str">
            <v>MAT</v>
          </cell>
          <cell r="D44" t="str">
            <v>PROD</v>
          </cell>
          <cell r="E44" t="str">
            <v>PROD'TY</v>
          </cell>
          <cell r="F44" t="str">
            <v>Q'TY DT</v>
          </cell>
          <cell r="J44" t="str">
            <v>HOURS</v>
          </cell>
          <cell r="Q44" t="str">
            <v>REMARK PRODUKTIVITAS</v>
          </cell>
          <cell r="T44">
            <v>44</v>
          </cell>
          <cell r="U44" t="str">
            <v>ROM</v>
          </cell>
          <cell r="V44" t="str">
            <v>Crush1</v>
          </cell>
          <cell r="W44" t="str">
            <v>Crush2</v>
          </cell>
          <cell r="X44" t="str">
            <v>Crush3</v>
          </cell>
          <cell r="Y44" t="str">
            <v>Crush4</v>
          </cell>
          <cell r="Z44" t="str">
            <v>Crush5</v>
          </cell>
          <cell r="AA44" t="str">
            <v>Crush6</v>
          </cell>
        </row>
        <row r="45">
          <cell r="E45" t="str">
            <v>( By work )</v>
          </cell>
          <cell r="F45" t="str">
            <v>730E</v>
          </cell>
          <cell r="G45" t="str">
            <v>1500</v>
          </cell>
          <cell r="H45" t="str">
            <v>785</v>
          </cell>
          <cell r="I45" t="str">
            <v>Total</v>
          </cell>
          <cell r="J45" t="str">
            <v>Work</v>
          </cell>
          <cell r="K45" t="str">
            <v>General</v>
          </cell>
          <cell r="L45" t="str">
            <v>Delay</v>
          </cell>
          <cell r="M45" t="str">
            <v>Idle</v>
          </cell>
          <cell r="N45" t="str">
            <v>Rain</v>
          </cell>
          <cell r="O45" t="str">
            <v>Slipp</v>
          </cell>
          <cell r="P45" t="str">
            <v>B/D</v>
          </cell>
          <cell r="T45">
            <v>45</v>
          </cell>
        </row>
        <row r="46">
          <cell r="B46" t="str">
            <v>07  - 08</v>
          </cell>
          <cell r="C46" t="str">
            <v>OB</v>
          </cell>
          <cell r="D46">
            <v>1232</v>
          </cell>
          <cell r="E46">
            <v>1478.4</v>
          </cell>
          <cell r="F46">
            <v>0</v>
          </cell>
          <cell r="G46">
            <v>11</v>
          </cell>
          <cell r="H46">
            <v>0</v>
          </cell>
          <cell r="I46">
            <v>11</v>
          </cell>
          <cell r="J46">
            <v>50</v>
          </cell>
          <cell r="K46">
            <v>0</v>
          </cell>
          <cell r="L46">
            <v>10</v>
          </cell>
          <cell r="M46">
            <v>0</v>
          </cell>
          <cell r="N46">
            <v>0</v>
          </cell>
          <cell r="O46">
            <v>0</v>
          </cell>
          <cell r="Q46" t="str">
            <v>P2H Start 07:10</v>
          </cell>
          <cell r="T46">
            <v>46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</row>
        <row r="47">
          <cell r="B47" t="str">
            <v>08  - 09</v>
          </cell>
          <cell r="C47" t="str">
            <v>OB</v>
          </cell>
          <cell r="D47">
            <v>1680</v>
          </cell>
          <cell r="E47">
            <v>1680</v>
          </cell>
          <cell r="F47">
            <v>0</v>
          </cell>
          <cell r="G47">
            <v>11</v>
          </cell>
          <cell r="H47">
            <v>0</v>
          </cell>
          <cell r="I47">
            <v>11</v>
          </cell>
          <cell r="J47">
            <v>60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Q47">
            <v>0</v>
          </cell>
          <cell r="T47">
            <v>47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</row>
        <row r="48">
          <cell r="B48" t="str">
            <v>09  - 10</v>
          </cell>
          <cell r="C48" t="str">
            <v>OB</v>
          </cell>
          <cell r="D48">
            <v>1512</v>
          </cell>
          <cell r="E48">
            <v>1512</v>
          </cell>
          <cell r="F48">
            <v>0</v>
          </cell>
          <cell r="G48">
            <v>11</v>
          </cell>
          <cell r="H48">
            <v>0</v>
          </cell>
          <cell r="I48">
            <v>11</v>
          </cell>
          <cell r="J48">
            <v>60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Q48">
            <v>0</v>
          </cell>
          <cell r="T48">
            <v>48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</row>
        <row r="49">
          <cell r="B49" t="str">
            <v>10  - 11</v>
          </cell>
          <cell r="C49" t="str">
            <v>OB</v>
          </cell>
          <cell r="D49">
            <v>1624</v>
          </cell>
          <cell r="E49">
            <v>1624</v>
          </cell>
          <cell r="F49">
            <v>0</v>
          </cell>
          <cell r="G49">
            <v>11</v>
          </cell>
          <cell r="H49">
            <v>0</v>
          </cell>
          <cell r="I49">
            <v>11</v>
          </cell>
          <cell r="J49">
            <v>60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Q49">
            <v>0</v>
          </cell>
          <cell r="T49">
            <v>49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</row>
        <row r="50">
          <cell r="B50" t="str">
            <v>11  - 12</v>
          </cell>
          <cell r="C50" t="str">
            <v>OB</v>
          </cell>
          <cell r="D50">
            <v>1512</v>
          </cell>
          <cell r="E50">
            <v>1512</v>
          </cell>
          <cell r="F50">
            <v>0</v>
          </cell>
          <cell r="G50">
            <v>11</v>
          </cell>
          <cell r="H50">
            <v>0</v>
          </cell>
          <cell r="I50">
            <v>11</v>
          </cell>
          <cell r="J50">
            <v>60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Q50">
            <v>0</v>
          </cell>
          <cell r="T50">
            <v>50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</row>
        <row r="51">
          <cell r="B51" t="str">
            <v>12  - 13</v>
          </cell>
          <cell r="C51" t="str">
            <v>OB</v>
          </cell>
          <cell r="D51">
            <v>784</v>
          </cell>
          <cell r="E51">
            <v>1881.6</v>
          </cell>
          <cell r="F51">
            <v>0</v>
          </cell>
          <cell r="G51">
            <v>10</v>
          </cell>
          <cell r="H51">
            <v>0</v>
          </cell>
          <cell r="I51">
            <v>10</v>
          </cell>
          <cell r="J51">
            <v>25</v>
          </cell>
          <cell r="K51">
            <v>0</v>
          </cell>
          <cell r="L51">
            <v>35</v>
          </cell>
          <cell r="M51">
            <v>0</v>
          </cell>
          <cell r="N51">
            <v>0</v>
          </cell>
          <cell r="O51">
            <v>0</v>
          </cell>
          <cell r="Q51" t="str">
            <v>Rest Time</v>
          </cell>
          <cell r="T51">
            <v>51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</row>
        <row r="52">
          <cell r="B52" t="str">
            <v>13  -  14</v>
          </cell>
          <cell r="C52" t="str">
            <v>OB</v>
          </cell>
          <cell r="D52">
            <v>1960</v>
          </cell>
          <cell r="E52">
            <v>1960</v>
          </cell>
          <cell r="F52">
            <v>0</v>
          </cell>
          <cell r="G52">
            <v>10</v>
          </cell>
          <cell r="H52">
            <v>0</v>
          </cell>
          <cell r="I52">
            <v>10</v>
          </cell>
          <cell r="J52">
            <v>60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Q52">
            <v>0</v>
          </cell>
          <cell r="T52">
            <v>52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</row>
        <row r="53">
          <cell r="B53" t="str">
            <v>14  -  15</v>
          </cell>
          <cell r="C53" t="str">
            <v>OB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60</v>
          </cell>
          <cell r="O53">
            <v>0</v>
          </cell>
          <cell r="Q53" t="str">
            <v>Rain</v>
          </cell>
          <cell r="T53">
            <v>53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</row>
        <row r="54">
          <cell r="B54" t="str">
            <v>15  -  16</v>
          </cell>
          <cell r="C54" t="str">
            <v>OB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60</v>
          </cell>
          <cell r="Q54" t="str">
            <v>Slipery</v>
          </cell>
          <cell r="T54">
            <v>54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</row>
        <row r="55">
          <cell r="B55" t="str">
            <v>16  -  17</v>
          </cell>
          <cell r="C55" t="str">
            <v>OB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60</v>
          </cell>
          <cell r="Q55" t="str">
            <v>Slipery</v>
          </cell>
          <cell r="T55">
            <v>55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</row>
        <row r="56">
          <cell r="B56" t="str">
            <v>17  -  18</v>
          </cell>
          <cell r="C56" t="str">
            <v>OB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60</v>
          </cell>
          <cell r="Q56" t="str">
            <v>Slipery</v>
          </cell>
          <cell r="T56">
            <v>56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</row>
        <row r="57">
          <cell r="B57" t="str">
            <v>18  -  19</v>
          </cell>
          <cell r="C57" t="str">
            <v>OB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30</v>
          </cell>
          <cell r="L57">
            <v>30</v>
          </cell>
          <cell r="M57">
            <v>0</v>
          </cell>
          <cell r="N57">
            <v>0</v>
          </cell>
          <cell r="O57">
            <v>0</v>
          </cell>
          <cell r="Q57" t="str">
            <v>Rest time</v>
          </cell>
          <cell r="T57">
            <v>57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</row>
        <row r="58">
          <cell r="B58" t="str">
            <v>19  -  20</v>
          </cell>
          <cell r="C58" t="str">
            <v>OB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60</v>
          </cell>
          <cell r="O58">
            <v>0</v>
          </cell>
          <cell r="Q58" t="str">
            <v>Rain</v>
          </cell>
          <cell r="T58">
            <v>58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</row>
        <row r="59">
          <cell r="B59" t="str">
            <v>20  -  21</v>
          </cell>
          <cell r="C59" t="str">
            <v>OB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60</v>
          </cell>
          <cell r="O59">
            <v>0</v>
          </cell>
          <cell r="Q59" t="str">
            <v>Rain</v>
          </cell>
          <cell r="T59">
            <v>59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</row>
        <row r="60">
          <cell r="B60" t="str">
            <v>21  -  22</v>
          </cell>
          <cell r="C60" t="str">
            <v>OB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60</v>
          </cell>
          <cell r="O60">
            <v>0</v>
          </cell>
          <cell r="Q60" t="str">
            <v>Rain</v>
          </cell>
          <cell r="T60">
            <v>60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</row>
        <row r="61">
          <cell r="B61" t="str">
            <v>22  -  23</v>
          </cell>
          <cell r="C61" t="str">
            <v>OB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60</v>
          </cell>
          <cell r="O61">
            <v>0</v>
          </cell>
          <cell r="Q61" t="str">
            <v>Rain</v>
          </cell>
          <cell r="T61">
            <v>61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</row>
        <row r="62">
          <cell r="B62" t="str">
            <v>23  -  24</v>
          </cell>
          <cell r="C62" t="str">
            <v>OB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60</v>
          </cell>
          <cell r="Q62" t="str">
            <v>Slippery</v>
          </cell>
          <cell r="T62">
            <v>62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</row>
        <row r="63">
          <cell r="B63" t="str">
            <v>24  -  01</v>
          </cell>
          <cell r="C63" t="str">
            <v>OB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60</v>
          </cell>
          <cell r="Q63" t="str">
            <v>Slippery</v>
          </cell>
          <cell r="T63">
            <v>63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</row>
        <row r="64">
          <cell r="B64" t="str">
            <v>01  -  02</v>
          </cell>
          <cell r="C64" t="str">
            <v>OB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60</v>
          </cell>
          <cell r="Q64" t="str">
            <v>Slippery</v>
          </cell>
          <cell r="T64">
            <v>64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</row>
        <row r="65">
          <cell r="B65" t="str">
            <v>02  -  03</v>
          </cell>
          <cell r="C65" t="str">
            <v>OB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60</v>
          </cell>
          <cell r="M65">
            <v>0</v>
          </cell>
          <cell r="N65">
            <v>0</v>
          </cell>
          <cell r="O65">
            <v>0</v>
          </cell>
          <cell r="Q65">
            <v>0</v>
          </cell>
          <cell r="T65">
            <v>65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</row>
        <row r="66">
          <cell r="B66" t="str">
            <v>03  -  04</v>
          </cell>
          <cell r="C66" t="str">
            <v>OB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60</v>
          </cell>
          <cell r="O66">
            <v>0</v>
          </cell>
          <cell r="Q66" t="str">
            <v>Rain</v>
          </cell>
          <cell r="T66">
            <v>66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</row>
        <row r="67">
          <cell r="B67" t="str">
            <v>04  -  05</v>
          </cell>
          <cell r="C67" t="str">
            <v>OB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60</v>
          </cell>
          <cell r="O67">
            <v>0</v>
          </cell>
          <cell r="Q67" t="str">
            <v>Rain</v>
          </cell>
          <cell r="T67">
            <v>67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</row>
        <row r="68">
          <cell r="B68" t="str">
            <v>05  -  06</v>
          </cell>
          <cell r="C68" t="str">
            <v>OB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60</v>
          </cell>
          <cell r="Q68" t="str">
            <v>Slippery</v>
          </cell>
          <cell r="T68">
            <v>68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</row>
        <row r="69">
          <cell r="B69" t="str">
            <v>06  -  07</v>
          </cell>
          <cell r="C69" t="str">
            <v>OB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60</v>
          </cell>
          <cell r="Q69" t="str">
            <v>Slippery</v>
          </cell>
          <cell r="T69">
            <v>69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</row>
        <row r="70">
          <cell r="B70" t="str">
            <v>RESUME</v>
          </cell>
          <cell r="C70" t="str">
            <v>PROD</v>
          </cell>
          <cell r="E70" t="str">
            <v>PROD'TY</v>
          </cell>
          <cell r="G70" t="str">
            <v>WORK HOURS</v>
          </cell>
          <cell r="J70" t="str">
            <v>LOST TIME</v>
          </cell>
          <cell r="L70" t="str">
            <v>DOWN</v>
          </cell>
          <cell r="M70" t="str">
            <v>PA</v>
          </cell>
          <cell r="O70" t="str">
            <v>UA PROD</v>
          </cell>
          <cell r="Q70" t="str">
            <v>OPERATOR</v>
          </cell>
          <cell r="R70" t="str">
            <v>GROUP LEADER</v>
          </cell>
          <cell r="T70">
            <v>70</v>
          </cell>
        </row>
        <row r="71">
          <cell r="B71" t="str">
            <v>GROUP</v>
          </cell>
          <cell r="C71" t="str">
            <v>WASTE</v>
          </cell>
          <cell r="D71" t="str">
            <v>CC</v>
          </cell>
          <cell r="E71" t="str">
            <v>WASTE</v>
          </cell>
          <cell r="F71" t="str">
            <v>CC</v>
          </cell>
          <cell r="G71" t="str">
            <v>WASTE</v>
          </cell>
          <cell r="H71" t="str">
            <v>CC</v>
          </cell>
          <cell r="I71" t="str">
            <v>GEN</v>
          </cell>
          <cell r="J71" t="str">
            <v>DELAY</v>
          </cell>
          <cell r="K71" t="str">
            <v>IDLE</v>
          </cell>
          <cell r="L71" t="str">
            <v>TIME</v>
          </cell>
          <cell r="M71" t="str">
            <v>PLAN</v>
          </cell>
          <cell r="N71" t="str">
            <v>ACT</v>
          </cell>
          <cell r="O71" t="str">
            <v>PLAN</v>
          </cell>
          <cell r="P71" t="str">
            <v>ACT</v>
          </cell>
          <cell r="T71">
            <v>71</v>
          </cell>
        </row>
        <row r="72">
          <cell r="B72" t="str">
            <v>Shift 1</v>
          </cell>
          <cell r="C72">
            <v>10304</v>
          </cell>
          <cell r="D72">
            <v>0</v>
          </cell>
          <cell r="E72">
            <v>1648.64</v>
          </cell>
          <cell r="F72">
            <v>0</v>
          </cell>
          <cell r="G72">
            <v>6.25</v>
          </cell>
          <cell r="H72">
            <v>0</v>
          </cell>
          <cell r="I72">
            <v>0</v>
          </cell>
          <cell r="J72">
            <v>0.75</v>
          </cell>
          <cell r="K72">
            <v>1</v>
          </cell>
          <cell r="L72">
            <v>0</v>
          </cell>
          <cell r="M72">
            <v>0.95</v>
          </cell>
          <cell r="N72">
            <v>1</v>
          </cell>
          <cell r="O72">
            <v>0.875</v>
          </cell>
          <cell r="P72">
            <v>0.78125</v>
          </cell>
          <cell r="Q72" t="str">
            <v>Edy Susanto</v>
          </cell>
          <cell r="R72" t="str">
            <v>Sutarno</v>
          </cell>
          <cell r="T72">
            <v>72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</row>
        <row r="73">
          <cell r="B73" t="str">
            <v>Shift 2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0.5</v>
          </cell>
          <cell r="J73">
            <v>0.5</v>
          </cell>
          <cell r="K73">
            <v>7</v>
          </cell>
          <cell r="L73">
            <v>0</v>
          </cell>
          <cell r="M73">
            <v>0.95</v>
          </cell>
          <cell r="N73">
            <v>1</v>
          </cell>
          <cell r="O73">
            <v>0.875</v>
          </cell>
          <cell r="P73">
            <v>6.25E-2</v>
          </cell>
          <cell r="Q73">
            <v>0</v>
          </cell>
          <cell r="R73">
            <v>0</v>
          </cell>
          <cell r="T73">
            <v>73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</row>
        <row r="74">
          <cell r="B74" t="str">
            <v>Shift 3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1</v>
          </cell>
          <cell r="K74">
            <v>7</v>
          </cell>
          <cell r="L74">
            <v>0</v>
          </cell>
          <cell r="M74">
            <v>0.95</v>
          </cell>
          <cell r="N74">
            <v>1</v>
          </cell>
          <cell r="O74">
            <v>0.875</v>
          </cell>
          <cell r="P74">
            <v>0</v>
          </cell>
          <cell r="Q74">
            <v>0</v>
          </cell>
          <cell r="R74">
            <v>0</v>
          </cell>
          <cell r="T74">
            <v>74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</row>
        <row r="75">
          <cell r="B75" t="str">
            <v>Shift 6</v>
          </cell>
          <cell r="C75">
            <v>10304</v>
          </cell>
          <cell r="D75">
            <v>0</v>
          </cell>
          <cell r="E75">
            <v>1648.64</v>
          </cell>
          <cell r="F75">
            <v>0</v>
          </cell>
          <cell r="G75">
            <v>6.25</v>
          </cell>
          <cell r="H75">
            <v>0</v>
          </cell>
          <cell r="I75">
            <v>0</v>
          </cell>
          <cell r="J75">
            <v>0.75</v>
          </cell>
          <cell r="K75">
            <v>4</v>
          </cell>
          <cell r="L75">
            <v>0</v>
          </cell>
          <cell r="M75">
            <v>0.95</v>
          </cell>
          <cell r="N75">
            <v>1</v>
          </cell>
          <cell r="O75">
            <v>0.875</v>
          </cell>
          <cell r="P75">
            <v>0.56818181818181823</v>
          </cell>
          <cell r="Q75">
            <v>0</v>
          </cell>
          <cell r="R75">
            <v>0</v>
          </cell>
          <cell r="T75">
            <v>75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</row>
        <row r="76">
          <cell r="B76" t="str">
            <v>Shift 7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0.5</v>
          </cell>
          <cell r="J76">
            <v>1.5</v>
          </cell>
          <cell r="K76">
            <v>11</v>
          </cell>
          <cell r="L76">
            <v>0</v>
          </cell>
          <cell r="M76">
            <v>0.95</v>
          </cell>
          <cell r="N76">
            <v>1</v>
          </cell>
          <cell r="O76">
            <v>0.875</v>
          </cell>
          <cell r="P76">
            <v>3.8461538461538464E-2</v>
          </cell>
          <cell r="Q76">
            <v>0</v>
          </cell>
          <cell r="R76">
            <v>0</v>
          </cell>
          <cell r="T76">
            <v>76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</row>
        <row r="77">
          <cell r="B77" t="str">
            <v>TOTAL</v>
          </cell>
          <cell r="C77">
            <v>10304</v>
          </cell>
          <cell r="D77">
            <v>0</v>
          </cell>
          <cell r="E77">
            <v>1648.64</v>
          </cell>
          <cell r="F77">
            <v>0</v>
          </cell>
          <cell r="G77">
            <v>6.25</v>
          </cell>
          <cell r="H77">
            <v>0</v>
          </cell>
          <cell r="I77">
            <v>0.5</v>
          </cell>
          <cell r="J77">
            <v>2.25</v>
          </cell>
          <cell r="K77">
            <v>15</v>
          </cell>
          <cell r="L77">
            <v>0</v>
          </cell>
          <cell r="M77">
            <v>0.95</v>
          </cell>
          <cell r="N77">
            <v>1</v>
          </cell>
          <cell r="O77">
            <v>0.875</v>
          </cell>
          <cell r="P77">
            <v>0.28125</v>
          </cell>
          <cell r="Q77" t="str">
            <v>Hiras Silaban</v>
          </cell>
          <cell r="R77" t="str">
            <v>Fresye A L</v>
          </cell>
          <cell r="T77">
            <v>77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</row>
        <row r="78">
          <cell r="T78">
            <v>78</v>
          </cell>
        </row>
        <row r="79">
          <cell r="B79" t="str">
            <v>TIME</v>
          </cell>
          <cell r="C79" t="str">
            <v>WASTE</v>
          </cell>
          <cell r="D79" t="str">
            <v>SH304</v>
          </cell>
          <cell r="E79" t="str">
            <v>TYPE</v>
          </cell>
          <cell r="F79" t="str">
            <v>PC 4000</v>
          </cell>
          <cell r="H79" t="str">
            <v>Plan Prod'ty :</v>
          </cell>
          <cell r="J79">
            <v>1300</v>
          </cell>
          <cell r="M79" t="str">
            <v>Distance :</v>
          </cell>
          <cell r="O79">
            <v>3.0420693678716133</v>
          </cell>
          <cell r="T79">
            <v>79</v>
          </cell>
          <cell r="U79" t="str">
            <v>SH304</v>
          </cell>
        </row>
        <row r="80">
          <cell r="C80" t="str">
            <v>MAT</v>
          </cell>
          <cell r="D80" t="str">
            <v>PROD</v>
          </cell>
          <cell r="E80" t="str">
            <v>PROD'TY</v>
          </cell>
          <cell r="F80" t="str">
            <v>Q'TY DT</v>
          </cell>
          <cell r="J80" t="str">
            <v>HOURS</v>
          </cell>
          <cell r="Q80" t="str">
            <v>REMARK PRODUKTIVITAS</v>
          </cell>
          <cell r="T80">
            <v>80</v>
          </cell>
          <cell r="U80" t="str">
            <v>ROM</v>
          </cell>
          <cell r="V80" t="str">
            <v>Crush1</v>
          </cell>
          <cell r="W80" t="str">
            <v>Crush2</v>
          </cell>
          <cell r="X80" t="str">
            <v>Crush3</v>
          </cell>
          <cell r="Y80" t="str">
            <v>Crush4</v>
          </cell>
          <cell r="Z80" t="str">
            <v>Crush5</v>
          </cell>
          <cell r="AA80" t="str">
            <v>Crush6</v>
          </cell>
        </row>
        <row r="81">
          <cell r="E81" t="str">
            <v>( By work )</v>
          </cell>
          <cell r="F81" t="str">
            <v>730E</v>
          </cell>
          <cell r="G81" t="str">
            <v>1500</v>
          </cell>
          <cell r="H81" t="str">
            <v>785</v>
          </cell>
          <cell r="I81" t="str">
            <v>Total</v>
          </cell>
          <cell r="J81" t="str">
            <v>Work</v>
          </cell>
          <cell r="K81" t="str">
            <v>General</v>
          </cell>
          <cell r="L81" t="str">
            <v>Delay</v>
          </cell>
          <cell r="M81" t="str">
            <v>Idle</v>
          </cell>
          <cell r="N81" t="str">
            <v>Rain</v>
          </cell>
          <cell r="O81" t="str">
            <v>Slipp</v>
          </cell>
          <cell r="P81" t="str">
            <v>B/D</v>
          </cell>
          <cell r="T81">
            <v>81</v>
          </cell>
        </row>
        <row r="82">
          <cell r="B82" t="str">
            <v>07  - 08</v>
          </cell>
          <cell r="C82" t="str">
            <v>OB</v>
          </cell>
          <cell r="D82">
            <v>1024</v>
          </cell>
          <cell r="E82">
            <v>1228.8</v>
          </cell>
          <cell r="F82">
            <v>0</v>
          </cell>
          <cell r="G82">
            <v>1</v>
          </cell>
          <cell r="H82">
            <v>10</v>
          </cell>
          <cell r="I82">
            <v>11</v>
          </cell>
          <cell r="J82">
            <v>50</v>
          </cell>
          <cell r="K82">
            <v>0</v>
          </cell>
          <cell r="L82">
            <v>10</v>
          </cell>
          <cell r="M82">
            <v>0</v>
          </cell>
          <cell r="N82">
            <v>0</v>
          </cell>
          <cell r="O82">
            <v>0</v>
          </cell>
          <cell r="Q82" t="str">
            <v>P2H Start 07:10</v>
          </cell>
          <cell r="T82">
            <v>82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</row>
        <row r="83">
          <cell r="B83" t="str">
            <v>08  - 09</v>
          </cell>
          <cell r="C83" t="str">
            <v>OB</v>
          </cell>
          <cell r="D83">
            <v>1102</v>
          </cell>
          <cell r="E83">
            <v>1102</v>
          </cell>
          <cell r="F83">
            <v>0</v>
          </cell>
          <cell r="G83">
            <v>0</v>
          </cell>
          <cell r="H83">
            <v>10</v>
          </cell>
          <cell r="I83">
            <v>10</v>
          </cell>
          <cell r="J83">
            <v>60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Q83">
            <v>0</v>
          </cell>
          <cell r="T83">
            <v>83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</row>
        <row r="84">
          <cell r="B84" t="str">
            <v>09  - 10</v>
          </cell>
          <cell r="C84" t="str">
            <v>OB</v>
          </cell>
          <cell r="D84">
            <v>1308</v>
          </cell>
          <cell r="E84">
            <v>1308</v>
          </cell>
          <cell r="F84">
            <v>0</v>
          </cell>
          <cell r="G84">
            <v>2</v>
          </cell>
          <cell r="H84">
            <v>10</v>
          </cell>
          <cell r="I84">
            <v>12</v>
          </cell>
          <cell r="J84">
            <v>60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Q84">
            <v>0</v>
          </cell>
          <cell r="T84">
            <v>84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</row>
        <row r="85">
          <cell r="B85" t="str">
            <v>10  - 11</v>
          </cell>
          <cell r="C85" t="str">
            <v>OB</v>
          </cell>
          <cell r="D85">
            <v>1476</v>
          </cell>
          <cell r="E85">
            <v>1476</v>
          </cell>
          <cell r="F85">
            <v>0</v>
          </cell>
          <cell r="G85">
            <v>2</v>
          </cell>
          <cell r="H85">
            <v>9</v>
          </cell>
          <cell r="I85">
            <v>11</v>
          </cell>
          <cell r="J85">
            <v>60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Q85">
            <v>0</v>
          </cell>
          <cell r="T85">
            <v>85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</row>
        <row r="86">
          <cell r="B86" t="str">
            <v>11  - 12</v>
          </cell>
          <cell r="C86" t="str">
            <v>OB</v>
          </cell>
          <cell r="D86">
            <v>1136</v>
          </cell>
          <cell r="E86">
            <v>1136</v>
          </cell>
          <cell r="F86">
            <v>0</v>
          </cell>
          <cell r="G86">
            <v>2</v>
          </cell>
          <cell r="H86">
            <v>9</v>
          </cell>
          <cell r="I86">
            <v>11</v>
          </cell>
          <cell r="J86">
            <v>60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Q86">
            <v>0</v>
          </cell>
          <cell r="T86">
            <v>86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</row>
        <row r="87">
          <cell r="B87" t="str">
            <v>12  - 13</v>
          </cell>
          <cell r="C87" t="str">
            <v>OB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60</v>
          </cell>
          <cell r="M87">
            <v>0</v>
          </cell>
          <cell r="N87">
            <v>0</v>
          </cell>
          <cell r="O87">
            <v>0</v>
          </cell>
          <cell r="Q87" t="str">
            <v>Rest Time</v>
          </cell>
          <cell r="T87">
            <v>87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</row>
        <row r="88">
          <cell r="B88" t="str">
            <v>13  -  14</v>
          </cell>
          <cell r="C88" t="str">
            <v>OB</v>
          </cell>
          <cell r="D88">
            <v>1154</v>
          </cell>
          <cell r="E88">
            <v>1154</v>
          </cell>
          <cell r="F88">
            <v>0</v>
          </cell>
          <cell r="G88">
            <v>2</v>
          </cell>
          <cell r="H88">
            <v>9</v>
          </cell>
          <cell r="I88">
            <v>11</v>
          </cell>
          <cell r="J88">
            <v>60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Q88">
            <v>0</v>
          </cell>
          <cell r="T88">
            <v>88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</row>
        <row r="89">
          <cell r="B89" t="str">
            <v>14  -  15</v>
          </cell>
          <cell r="C89" t="str">
            <v>OB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60</v>
          </cell>
          <cell r="O89">
            <v>0</v>
          </cell>
          <cell r="Q89" t="str">
            <v>Rain</v>
          </cell>
          <cell r="T89">
            <v>89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</row>
        <row r="90">
          <cell r="B90" t="str">
            <v>15  -  16</v>
          </cell>
          <cell r="C90" t="str">
            <v>OB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60</v>
          </cell>
          <cell r="Q90" t="str">
            <v>Slippery</v>
          </cell>
          <cell r="T90">
            <v>90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</row>
        <row r="91">
          <cell r="B91" t="str">
            <v>16  -  17</v>
          </cell>
          <cell r="C91" t="str">
            <v>OB</v>
          </cell>
          <cell r="D91">
            <v>680</v>
          </cell>
          <cell r="E91">
            <v>1360</v>
          </cell>
          <cell r="F91">
            <v>0</v>
          </cell>
          <cell r="G91">
            <v>4</v>
          </cell>
          <cell r="H91">
            <v>8</v>
          </cell>
          <cell r="I91">
            <v>12</v>
          </cell>
          <cell r="J91">
            <v>30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30</v>
          </cell>
          <cell r="Q91" t="str">
            <v>Slippery Start 16:30</v>
          </cell>
          <cell r="T91">
            <v>91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</row>
        <row r="92">
          <cell r="B92" t="str">
            <v>17  -  18</v>
          </cell>
          <cell r="C92" t="str">
            <v>OB</v>
          </cell>
          <cell r="D92">
            <v>1056</v>
          </cell>
          <cell r="E92">
            <v>1267.2</v>
          </cell>
          <cell r="F92">
            <v>0</v>
          </cell>
          <cell r="G92">
            <v>4</v>
          </cell>
          <cell r="H92">
            <v>7</v>
          </cell>
          <cell r="I92">
            <v>11</v>
          </cell>
          <cell r="J92">
            <v>50</v>
          </cell>
          <cell r="K92">
            <v>0</v>
          </cell>
          <cell r="L92">
            <v>10</v>
          </cell>
          <cell r="M92">
            <v>0</v>
          </cell>
          <cell r="N92">
            <v>0</v>
          </cell>
          <cell r="O92">
            <v>0</v>
          </cell>
          <cell r="Q92" t="str">
            <v>Shift Change</v>
          </cell>
          <cell r="T92">
            <v>92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</row>
        <row r="93">
          <cell r="B93" t="str">
            <v>18  -  19</v>
          </cell>
          <cell r="C93" t="str">
            <v>OB</v>
          </cell>
          <cell r="D93">
            <v>714</v>
          </cell>
          <cell r="E93">
            <v>856.8</v>
          </cell>
          <cell r="F93">
            <v>0</v>
          </cell>
          <cell r="G93">
            <v>8</v>
          </cell>
          <cell r="H93">
            <v>6</v>
          </cell>
          <cell r="I93">
            <v>14</v>
          </cell>
          <cell r="J93">
            <v>50</v>
          </cell>
          <cell r="K93">
            <v>0</v>
          </cell>
          <cell r="L93">
            <v>10</v>
          </cell>
          <cell r="M93">
            <v>0</v>
          </cell>
          <cell r="N93">
            <v>0</v>
          </cell>
          <cell r="O93">
            <v>0</v>
          </cell>
          <cell r="Q93" t="str">
            <v>P2H, Start 18:10</v>
          </cell>
          <cell r="T93">
            <v>93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</row>
        <row r="94">
          <cell r="B94" t="str">
            <v>19  -  20</v>
          </cell>
          <cell r="C94" t="str">
            <v>OB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60</v>
          </cell>
          <cell r="O94">
            <v>0</v>
          </cell>
          <cell r="Q94" t="str">
            <v>Rain</v>
          </cell>
          <cell r="T94">
            <v>94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</row>
        <row r="95">
          <cell r="B95" t="str">
            <v>20  -  21</v>
          </cell>
          <cell r="C95" t="str">
            <v>OB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60</v>
          </cell>
          <cell r="O95">
            <v>0</v>
          </cell>
          <cell r="Q95" t="str">
            <v>Rain</v>
          </cell>
          <cell r="T95">
            <v>95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</row>
        <row r="96">
          <cell r="B96" t="str">
            <v>21  -  22</v>
          </cell>
          <cell r="C96" t="str">
            <v>OB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60</v>
          </cell>
          <cell r="O96">
            <v>0</v>
          </cell>
          <cell r="Q96" t="str">
            <v>Rain</v>
          </cell>
          <cell r="T96">
            <v>96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</row>
        <row r="97">
          <cell r="B97" t="str">
            <v>22  -  23</v>
          </cell>
          <cell r="C97" t="str">
            <v>OB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60</v>
          </cell>
          <cell r="O97">
            <v>0</v>
          </cell>
          <cell r="Q97" t="str">
            <v>Rain</v>
          </cell>
          <cell r="T97">
            <v>97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</row>
        <row r="98">
          <cell r="B98" t="str">
            <v>23  -  24</v>
          </cell>
          <cell r="C98" t="str">
            <v>OB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60</v>
          </cell>
          <cell r="Q98" t="str">
            <v>Slippery</v>
          </cell>
          <cell r="T98">
            <v>98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</row>
        <row r="99">
          <cell r="B99" t="str">
            <v>24  -  01</v>
          </cell>
          <cell r="C99" t="str">
            <v>OB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60</v>
          </cell>
          <cell r="Q99" t="str">
            <v>Slippery</v>
          </cell>
          <cell r="T99">
            <v>99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</row>
        <row r="100">
          <cell r="B100" t="str">
            <v>01  -  02</v>
          </cell>
          <cell r="C100" t="str">
            <v>OB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60</v>
          </cell>
          <cell r="Q100" t="str">
            <v>Slippery</v>
          </cell>
          <cell r="T100">
            <v>100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</row>
        <row r="101">
          <cell r="B101" t="str">
            <v>02  -  03</v>
          </cell>
          <cell r="C101" t="str">
            <v>OB</v>
          </cell>
          <cell r="D101">
            <v>866</v>
          </cell>
          <cell r="E101">
            <v>1404.3243243243242</v>
          </cell>
          <cell r="F101">
            <v>0</v>
          </cell>
          <cell r="G101">
            <v>8</v>
          </cell>
          <cell r="H101">
            <v>6</v>
          </cell>
          <cell r="I101">
            <v>14</v>
          </cell>
          <cell r="J101">
            <v>37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23</v>
          </cell>
          <cell r="Q101" t="str">
            <v>Slippery, Start 02:23</v>
          </cell>
          <cell r="T101">
            <v>101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</row>
        <row r="102">
          <cell r="B102" t="str">
            <v>03  -  04</v>
          </cell>
          <cell r="C102" t="str">
            <v>OB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60</v>
          </cell>
          <cell r="M102">
            <v>0</v>
          </cell>
          <cell r="N102">
            <v>0</v>
          </cell>
          <cell r="O102">
            <v>0</v>
          </cell>
          <cell r="Q102" t="str">
            <v>03:00, Rain</v>
          </cell>
          <cell r="T102">
            <v>102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</row>
        <row r="103">
          <cell r="B103" t="str">
            <v>04  -  05</v>
          </cell>
          <cell r="C103" t="str">
            <v>OB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60</v>
          </cell>
          <cell r="Q103" t="str">
            <v>Slippery</v>
          </cell>
          <cell r="T103">
            <v>103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</row>
        <row r="104">
          <cell r="B104" t="str">
            <v>05  -  06</v>
          </cell>
          <cell r="C104" t="str">
            <v>OB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60</v>
          </cell>
          <cell r="Q104" t="str">
            <v>Slippery</v>
          </cell>
          <cell r="T104">
            <v>104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</row>
        <row r="105">
          <cell r="B105" t="str">
            <v>06  -  07</v>
          </cell>
          <cell r="C105" t="str">
            <v>OB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60</v>
          </cell>
          <cell r="Q105" t="str">
            <v>Slippery</v>
          </cell>
          <cell r="T105">
            <v>105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</row>
        <row r="106">
          <cell r="B106" t="str">
            <v>RESUME</v>
          </cell>
          <cell r="C106" t="str">
            <v>PROD</v>
          </cell>
          <cell r="E106" t="str">
            <v>PROD'TY</v>
          </cell>
          <cell r="G106" t="str">
            <v>WORK HOURS</v>
          </cell>
          <cell r="J106" t="str">
            <v>LOST TIME</v>
          </cell>
          <cell r="L106" t="str">
            <v>DOWN</v>
          </cell>
          <cell r="M106" t="str">
            <v>PA</v>
          </cell>
          <cell r="O106" t="str">
            <v>UA PROD</v>
          </cell>
          <cell r="Q106" t="str">
            <v>OPERATOR</v>
          </cell>
          <cell r="R106" t="str">
            <v>GROUP LEADER</v>
          </cell>
          <cell r="T106">
            <v>106</v>
          </cell>
        </row>
        <row r="107">
          <cell r="B107" t="str">
            <v>GROUP</v>
          </cell>
          <cell r="C107" t="str">
            <v>WASTE</v>
          </cell>
          <cell r="D107" t="str">
            <v>CC</v>
          </cell>
          <cell r="E107" t="str">
            <v>WASTE</v>
          </cell>
          <cell r="F107" t="str">
            <v>CC</v>
          </cell>
          <cell r="G107" t="str">
            <v>WASTE</v>
          </cell>
          <cell r="H107" t="str">
            <v>CC</v>
          </cell>
          <cell r="I107" t="str">
            <v>GEN</v>
          </cell>
          <cell r="J107" t="str">
            <v>DELAY</v>
          </cell>
          <cell r="K107" t="str">
            <v>IDLE</v>
          </cell>
          <cell r="L107" t="str">
            <v>TIME</v>
          </cell>
          <cell r="M107" t="str">
            <v>PLAN</v>
          </cell>
          <cell r="N107" t="str">
            <v>ACT</v>
          </cell>
          <cell r="O107" t="str">
            <v>PLAN</v>
          </cell>
          <cell r="P107" t="str">
            <v>ACT</v>
          </cell>
          <cell r="T107">
            <v>107</v>
          </cell>
        </row>
        <row r="108">
          <cell r="B108" t="str">
            <v>Shift 1</v>
          </cell>
          <cell r="C108">
            <v>7200</v>
          </cell>
          <cell r="D108">
            <v>0</v>
          </cell>
          <cell r="E108">
            <v>1234.2857142857144</v>
          </cell>
          <cell r="F108">
            <v>0</v>
          </cell>
          <cell r="G108">
            <v>5.833333333333333</v>
          </cell>
          <cell r="H108">
            <v>0</v>
          </cell>
          <cell r="I108">
            <v>0</v>
          </cell>
          <cell r="J108">
            <v>1.1666666666666667</v>
          </cell>
          <cell r="K108">
            <v>1</v>
          </cell>
          <cell r="L108">
            <v>0</v>
          </cell>
          <cell r="M108">
            <v>0.95</v>
          </cell>
          <cell r="N108">
            <v>1</v>
          </cell>
          <cell r="O108">
            <v>0.875</v>
          </cell>
          <cell r="P108">
            <v>0.72916666666666663</v>
          </cell>
          <cell r="Q108">
            <v>0</v>
          </cell>
          <cell r="R108">
            <v>0</v>
          </cell>
          <cell r="T108">
            <v>108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</row>
        <row r="109">
          <cell r="B109" t="str">
            <v>Shift 2</v>
          </cell>
          <cell r="C109">
            <v>2450</v>
          </cell>
          <cell r="D109">
            <v>0</v>
          </cell>
          <cell r="E109">
            <v>1130.7692307692309</v>
          </cell>
          <cell r="F109">
            <v>0</v>
          </cell>
          <cell r="G109">
            <v>2.1666666666666665</v>
          </cell>
          <cell r="H109">
            <v>0</v>
          </cell>
          <cell r="I109">
            <v>0</v>
          </cell>
          <cell r="J109">
            <v>0.33333333333333331</v>
          </cell>
          <cell r="K109">
            <v>5.5</v>
          </cell>
          <cell r="L109">
            <v>0</v>
          </cell>
          <cell r="M109">
            <v>0.95</v>
          </cell>
          <cell r="N109">
            <v>1</v>
          </cell>
          <cell r="O109">
            <v>0.875</v>
          </cell>
          <cell r="P109">
            <v>0.27083333333333331</v>
          </cell>
          <cell r="Q109">
            <v>0</v>
          </cell>
          <cell r="R109">
            <v>0</v>
          </cell>
          <cell r="T109">
            <v>109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</row>
        <row r="110">
          <cell r="B110" t="str">
            <v>Shift 3</v>
          </cell>
          <cell r="C110">
            <v>866</v>
          </cell>
          <cell r="D110">
            <v>0</v>
          </cell>
          <cell r="E110">
            <v>1404.3243243243242</v>
          </cell>
          <cell r="F110">
            <v>0</v>
          </cell>
          <cell r="G110">
            <v>0.6166666666666667</v>
          </cell>
          <cell r="H110">
            <v>0</v>
          </cell>
          <cell r="I110">
            <v>0</v>
          </cell>
          <cell r="J110">
            <v>1</v>
          </cell>
          <cell r="K110">
            <v>6.3833333333333337</v>
          </cell>
          <cell r="L110">
            <v>0</v>
          </cell>
          <cell r="M110">
            <v>0.95</v>
          </cell>
          <cell r="N110">
            <v>1</v>
          </cell>
          <cell r="O110">
            <v>0.875</v>
          </cell>
          <cell r="P110">
            <v>7.7083333333333337E-2</v>
          </cell>
          <cell r="Q110">
            <v>0</v>
          </cell>
          <cell r="R110">
            <v>0</v>
          </cell>
          <cell r="T110">
            <v>110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</row>
        <row r="111">
          <cell r="B111" t="str">
            <v>Shift 6</v>
          </cell>
          <cell r="C111">
            <v>8936</v>
          </cell>
          <cell r="D111">
            <v>0</v>
          </cell>
          <cell r="E111">
            <v>1246.8837209302326</v>
          </cell>
          <cell r="F111">
            <v>0</v>
          </cell>
          <cell r="G111">
            <v>7.166666666666667</v>
          </cell>
          <cell r="H111">
            <v>0</v>
          </cell>
          <cell r="I111">
            <v>0</v>
          </cell>
          <cell r="J111">
            <v>1.3333333333333333</v>
          </cell>
          <cell r="K111">
            <v>2.5</v>
          </cell>
          <cell r="L111">
            <v>0</v>
          </cell>
          <cell r="M111">
            <v>0.95</v>
          </cell>
          <cell r="N111">
            <v>1</v>
          </cell>
          <cell r="O111">
            <v>0.875</v>
          </cell>
          <cell r="P111">
            <v>0.65151515151515149</v>
          </cell>
          <cell r="Q111" t="str">
            <v>Hero Marten</v>
          </cell>
          <cell r="R111" t="str">
            <v>Sutarno</v>
          </cell>
          <cell r="T111">
            <v>111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</row>
        <row r="112">
          <cell r="B112" t="str">
            <v>Shift 7</v>
          </cell>
          <cell r="C112">
            <v>1580</v>
          </cell>
          <cell r="D112">
            <v>0</v>
          </cell>
          <cell r="E112">
            <v>1089.655172413793</v>
          </cell>
          <cell r="F112">
            <v>0</v>
          </cell>
          <cell r="G112">
            <v>1.45</v>
          </cell>
          <cell r="H112">
            <v>0</v>
          </cell>
          <cell r="I112">
            <v>0</v>
          </cell>
          <cell r="J112">
            <v>1.1666666666666667</v>
          </cell>
          <cell r="K112">
            <v>10.383333333333333</v>
          </cell>
          <cell r="L112">
            <v>0</v>
          </cell>
          <cell r="M112">
            <v>0.95</v>
          </cell>
          <cell r="N112">
            <v>1</v>
          </cell>
          <cell r="O112">
            <v>0.875</v>
          </cell>
          <cell r="P112">
            <v>0.11153846153846153</v>
          </cell>
          <cell r="Q112" t="str">
            <v>Juartono</v>
          </cell>
          <cell r="R112" t="str">
            <v>Sudarso</v>
          </cell>
          <cell r="T112">
            <v>112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</row>
        <row r="113">
          <cell r="B113" t="str">
            <v>TOTAL</v>
          </cell>
          <cell r="C113">
            <v>10516</v>
          </cell>
          <cell r="D113">
            <v>0</v>
          </cell>
          <cell r="E113">
            <v>1220.4255319148936</v>
          </cell>
          <cell r="F113">
            <v>0</v>
          </cell>
          <cell r="G113">
            <v>8.6166666666666671</v>
          </cell>
          <cell r="H113">
            <v>0</v>
          </cell>
          <cell r="I113">
            <v>0</v>
          </cell>
          <cell r="J113">
            <v>2.5</v>
          </cell>
          <cell r="K113">
            <v>12.883333333333333</v>
          </cell>
          <cell r="L113">
            <v>0</v>
          </cell>
          <cell r="M113">
            <v>0.95</v>
          </cell>
          <cell r="N113">
            <v>1</v>
          </cell>
          <cell r="O113">
            <v>0.875</v>
          </cell>
          <cell r="P113">
            <v>0.35902777777777778</v>
          </cell>
          <cell r="Q113" t="str">
            <v>Hiras Silaban</v>
          </cell>
          <cell r="R113" t="str">
            <v>Fresye A L</v>
          </cell>
          <cell r="T113">
            <v>113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</row>
        <row r="114">
          <cell r="T114">
            <v>114</v>
          </cell>
        </row>
        <row r="115">
          <cell r="B115" t="str">
            <v>TIME</v>
          </cell>
          <cell r="C115" t="str">
            <v>WASTE</v>
          </cell>
          <cell r="D115" t="str">
            <v>SH305</v>
          </cell>
          <cell r="E115" t="str">
            <v>TYPE</v>
          </cell>
          <cell r="F115" t="str">
            <v>PC 4000</v>
          </cell>
          <cell r="H115" t="str">
            <v>Plan Prod'ty :</v>
          </cell>
          <cell r="J115">
            <v>1450</v>
          </cell>
          <cell r="M115" t="str">
            <v>Distance :</v>
          </cell>
          <cell r="O115">
            <v>3.1456743072620683</v>
          </cell>
          <cell r="T115">
            <v>115</v>
          </cell>
          <cell r="U115" t="str">
            <v>SH305</v>
          </cell>
        </row>
        <row r="116">
          <cell r="C116" t="str">
            <v>MAT</v>
          </cell>
          <cell r="D116" t="str">
            <v>PROD</v>
          </cell>
          <cell r="E116" t="str">
            <v>PROD'TY</v>
          </cell>
          <cell r="F116" t="str">
            <v>Q'TY DT</v>
          </cell>
          <cell r="J116" t="str">
            <v>HOURS</v>
          </cell>
          <cell r="Q116" t="str">
            <v>REMARK PRODUKTIVITAS</v>
          </cell>
          <cell r="T116">
            <v>116</v>
          </cell>
          <cell r="U116" t="str">
            <v>ROM</v>
          </cell>
          <cell r="V116" t="str">
            <v>Crush1</v>
          </cell>
          <cell r="W116" t="str">
            <v>Crush2</v>
          </cell>
          <cell r="X116" t="str">
            <v>Crush3</v>
          </cell>
          <cell r="Y116" t="str">
            <v>Crush4</v>
          </cell>
          <cell r="Z116" t="str">
            <v>Crush5</v>
          </cell>
          <cell r="AA116" t="str">
            <v>Crush6</v>
          </cell>
        </row>
        <row r="117">
          <cell r="E117" t="str">
            <v>( By work )</v>
          </cell>
          <cell r="F117" t="str">
            <v>730E</v>
          </cell>
          <cell r="G117" t="str">
            <v>1500</v>
          </cell>
          <cell r="H117" t="str">
            <v>785</v>
          </cell>
          <cell r="I117" t="str">
            <v>Total</v>
          </cell>
          <cell r="J117" t="str">
            <v>Work</v>
          </cell>
          <cell r="K117" t="str">
            <v>General</v>
          </cell>
          <cell r="L117" t="str">
            <v>Delay</v>
          </cell>
          <cell r="M117" t="str">
            <v>Idle</v>
          </cell>
          <cell r="N117" t="str">
            <v>Rain</v>
          </cell>
          <cell r="O117" t="str">
            <v>Slipp</v>
          </cell>
          <cell r="P117" t="str">
            <v>B/D</v>
          </cell>
          <cell r="T117">
            <v>117</v>
          </cell>
        </row>
        <row r="118">
          <cell r="B118" t="str">
            <v>07  - 08</v>
          </cell>
          <cell r="C118" t="str">
            <v>OB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60</v>
          </cell>
          <cell r="Q118" t="str">
            <v>07:00, Control Valve Low Pressure</v>
          </cell>
          <cell r="T118">
            <v>118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</row>
        <row r="119">
          <cell r="B119" t="str">
            <v>08  - 09</v>
          </cell>
          <cell r="C119" t="str">
            <v>OB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60</v>
          </cell>
          <cell r="Q119" t="str">
            <v>Control Valve Low Pressure</v>
          </cell>
          <cell r="T119">
            <v>119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</row>
        <row r="120">
          <cell r="B120" t="str">
            <v>09  - 10</v>
          </cell>
          <cell r="C120" t="str">
            <v>OB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60</v>
          </cell>
          <cell r="Q120" t="str">
            <v>Control Valve Low Pressure</v>
          </cell>
          <cell r="T120">
            <v>120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</row>
        <row r="121">
          <cell r="B121" t="str">
            <v>10  - 11</v>
          </cell>
          <cell r="C121" t="str">
            <v>OB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5</v>
          </cell>
          <cell r="M121">
            <v>0</v>
          </cell>
          <cell r="N121">
            <v>0</v>
          </cell>
          <cell r="O121">
            <v>0</v>
          </cell>
          <cell r="P121">
            <v>55</v>
          </cell>
          <cell r="Q121" t="str">
            <v>Control Valve Low Pressure RFU 10:55</v>
          </cell>
          <cell r="T121">
            <v>121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</row>
        <row r="122">
          <cell r="B122" t="str">
            <v>11  - 12</v>
          </cell>
          <cell r="C122" t="str">
            <v>OB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60</v>
          </cell>
          <cell r="M122">
            <v>0</v>
          </cell>
          <cell r="N122">
            <v>0</v>
          </cell>
          <cell r="O122">
            <v>0</v>
          </cell>
          <cell r="Q122" t="str">
            <v>Stand By, No Operator</v>
          </cell>
          <cell r="T122">
            <v>122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</row>
        <row r="123">
          <cell r="B123" t="str">
            <v>12  - 13</v>
          </cell>
          <cell r="C123" t="str">
            <v>OB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60</v>
          </cell>
          <cell r="M123">
            <v>0</v>
          </cell>
          <cell r="N123">
            <v>0</v>
          </cell>
          <cell r="O123">
            <v>0</v>
          </cell>
          <cell r="Q123" t="str">
            <v>Stand By, No Operator</v>
          </cell>
          <cell r="T123">
            <v>123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</row>
        <row r="124">
          <cell r="B124" t="str">
            <v>13  -  14</v>
          </cell>
          <cell r="C124" t="str">
            <v>OB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60</v>
          </cell>
          <cell r="M124">
            <v>0</v>
          </cell>
          <cell r="N124">
            <v>0</v>
          </cell>
          <cell r="O124">
            <v>0</v>
          </cell>
          <cell r="Q124" t="str">
            <v>Stand By, No Operator</v>
          </cell>
          <cell r="T124">
            <v>124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</row>
        <row r="125">
          <cell r="B125" t="str">
            <v>14  -  15</v>
          </cell>
          <cell r="C125" t="str">
            <v>OB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60</v>
          </cell>
          <cell r="M125">
            <v>0</v>
          </cell>
          <cell r="N125">
            <v>0</v>
          </cell>
          <cell r="O125">
            <v>0</v>
          </cell>
          <cell r="Q125" t="str">
            <v>Stand By, No Operator</v>
          </cell>
          <cell r="T125">
            <v>125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</row>
        <row r="126">
          <cell r="B126" t="str">
            <v>15  -  16</v>
          </cell>
          <cell r="C126" t="str">
            <v>OB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60</v>
          </cell>
          <cell r="M126">
            <v>0</v>
          </cell>
          <cell r="N126">
            <v>0</v>
          </cell>
          <cell r="O126">
            <v>0</v>
          </cell>
          <cell r="Q126" t="str">
            <v>Stand By, No Operator</v>
          </cell>
          <cell r="T126">
            <v>126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</row>
        <row r="127">
          <cell r="B127" t="str">
            <v>16  -  17</v>
          </cell>
          <cell r="C127" t="str">
            <v>OB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60</v>
          </cell>
          <cell r="M127">
            <v>0</v>
          </cell>
          <cell r="N127">
            <v>0</v>
          </cell>
          <cell r="O127">
            <v>0</v>
          </cell>
          <cell r="Q127" t="str">
            <v>Stand By, No Operator</v>
          </cell>
          <cell r="T127">
            <v>127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</row>
        <row r="128">
          <cell r="B128" t="str">
            <v>17  -  18</v>
          </cell>
          <cell r="C128" t="str">
            <v>OB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60</v>
          </cell>
          <cell r="M128">
            <v>0</v>
          </cell>
          <cell r="N128">
            <v>0</v>
          </cell>
          <cell r="O128">
            <v>0</v>
          </cell>
          <cell r="Q128" t="str">
            <v>Stand By, No Operator</v>
          </cell>
          <cell r="T128">
            <v>128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</row>
        <row r="129">
          <cell r="B129" t="str">
            <v>18  -  19</v>
          </cell>
          <cell r="C129" t="str">
            <v>OB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60</v>
          </cell>
          <cell r="M129">
            <v>0</v>
          </cell>
          <cell r="N129">
            <v>0</v>
          </cell>
          <cell r="O129">
            <v>0</v>
          </cell>
          <cell r="Q129" t="str">
            <v>Stand By No Operator</v>
          </cell>
          <cell r="T129">
            <v>129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</row>
        <row r="130">
          <cell r="B130" t="str">
            <v>19  -  20</v>
          </cell>
          <cell r="C130" t="str">
            <v>OB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60</v>
          </cell>
          <cell r="M130">
            <v>0</v>
          </cell>
          <cell r="N130">
            <v>0</v>
          </cell>
          <cell r="O130">
            <v>0</v>
          </cell>
          <cell r="Q130" t="str">
            <v>Stand By No Operator</v>
          </cell>
          <cell r="T130">
            <v>130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</row>
        <row r="131">
          <cell r="B131" t="str">
            <v>20  -  21</v>
          </cell>
          <cell r="C131" t="str">
            <v>OB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60</v>
          </cell>
          <cell r="M131">
            <v>0</v>
          </cell>
          <cell r="N131">
            <v>0</v>
          </cell>
          <cell r="O131">
            <v>0</v>
          </cell>
          <cell r="Q131" t="str">
            <v>Stand By No Operator</v>
          </cell>
          <cell r="T131">
            <v>131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</row>
        <row r="132">
          <cell r="B132" t="str">
            <v>21  -  22</v>
          </cell>
          <cell r="C132" t="str">
            <v>OB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60</v>
          </cell>
          <cell r="M132">
            <v>0</v>
          </cell>
          <cell r="N132">
            <v>0</v>
          </cell>
          <cell r="O132">
            <v>0</v>
          </cell>
          <cell r="Q132" t="str">
            <v>Stand By No Operator</v>
          </cell>
          <cell r="T132">
            <v>132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</row>
        <row r="133">
          <cell r="B133" t="str">
            <v>22  -  23</v>
          </cell>
          <cell r="C133" t="str">
            <v>OB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60</v>
          </cell>
          <cell r="M133">
            <v>0</v>
          </cell>
          <cell r="N133">
            <v>0</v>
          </cell>
          <cell r="O133">
            <v>0</v>
          </cell>
          <cell r="Q133" t="str">
            <v>Stand By No Operator</v>
          </cell>
          <cell r="T133">
            <v>133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</row>
        <row r="134">
          <cell r="B134" t="str">
            <v>23  -  24</v>
          </cell>
          <cell r="C134" t="str">
            <v>OB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60</v>
          </cell>
          <cell r="M134">
            <v>0</v>
          </cell>
          <cell r="N134">
            <v>0</v>
          </cell>
          <cell r="O134">
            <v>0</v>
          </cell>
          <cell r="Q134" t="str">
            <v>Stand By No Operator</v>
          </cell>
          <cell r="T134">
            <v>134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</row>
        <row r="135">
          <cell r="B135" t="str">
            <v>24  -  01</v>
          </cell>
          <cell r="C135" t="str">
            <v>OB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60</v>
          </cell>
          <cell r="M135">
            <v>0</v>
          </cell>
          <cell r="N135">
            <v>0</v>
          </cell>
          <cell r="O135">
            <v>0</v>
          </cell>
          <cell r="Q135" t="str">
            <v>Stand By No Operator</v>
          </cell>
          <cell r="T135">
            <v>135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</row>
        <row r="136">
          <cell r="B136" t="str">
            <v>01  -  02</v>
          </cell>
          <cell r="C136" t="str">
            <v>OB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60</v>
          </cell>
          <cell r="M136">
            <v>0</v>
          </cell>
          <cell r="N136">
            <v>0</v>
          </cell>
          <cell r="O136">
            <v>0</v>
          </cell>
          <cell r="Q136" t="str">
            <v>Stand By No Operator</v>
          </cell>
          <cell r="T136">
            <v>136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</row>
        <row r="137">
          <cell r="B137" t="str">
            <v>02  -  03</v>
          </cell>
          <cell r="C137" t="str">
            <v>OB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60</v>
          </cell>
          <cell r="M137">
            <v>0</v>
          </cell>
          <cell r="N137">
            <v>0</v>
          </cell>
          <cell r="O137">
            <v>0</v>
          </cell>
          <cell r="Q137" t="str">
            <v>Stand By No Operator</v>
          </cell>
          <cell r="T137">
            <v>137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</row>
        <row r="138">
          <cell r="B138" t="str">
            <v>03  -  04</v>
          </cell>
          <cell r="C138" t="str">
            <v>OB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60</v>
          </cell>
          <cell r="M138">
            <v>0</v>
          </cell>
          <cell r="N138">
            <v>0</v>
          </cell>
          <cell r="O138">
            <v>0</v>
          </cell>
          <cell r="Q138" t="str">
            <v>Stand By No Operator</v>
          </cell>
          <cell r="T138">
            <v>138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</row>
        <row r="139">
          <cell r="B139" t="str">
            <v>04  -  05</v>
          </cell>
          <cell r="C139" t="str">
            <v>OB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60</v>
          </cell>
          <cell r="M139">
            <v>0</v>
          </cell>
          <cell r="N139">
            <v>0</v>
          </cell>
          <cell r="O139">
            <v>0</v>
          </cell>
          <cell r="Q139" t="str">
            <v>Stand By No Operator</v>
          </cell>
          <cell r="T139">
            <v>139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</row>
        <row r="140">
          <cell r="B140" t="str">
            <v>05  -  06</v>
          </cell>
          <cell r="C140" t="str">
            <v>OB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60</v>
          </cell>
          <cell r="M140">
            <v>0</v>
          </cell>
          <cell r="N140">
            <v>0</v>
          </cell>
          <cell r="O140">
            <v>0</v>
          </cell>
          <cell r="Q140" t="str">
            <v>Stand By No Operator</v>
          </cell>
          <cell r="T140">
            <v>140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</row>
        <row r="141">
          <cell r="B141" t="str">
            <v>06  -  07</v>
          </cell>
          <cell r="C141" t="str">
            <v>OB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60</v>
          </cell>
          <cell r="M141">
            <v>0</v>
          </cell>
          <cell r="N141">
            <v>0</v>
          </cell>
          <cell r="O141">
            <v>0</v>
          </cell>
          <cell r="Q141" t="str">
            <v>Stand By No Operator</v>
          </cell>
          <cell r="T141">
            <v>141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</row>
        <row r="142">
          <cell r="B142" t="str">
            <v>RESUME</v>
          </cell>
          <cell r="C142" t="str">
            <v>PROD</v>
          </cell>
          <cell r="E142" t="str">
            <v>PROD'TY</v>
          </cell>
          <cell r="G142" t="str">
            <v>WORK HOURS</v>
          </cell>
          <cell r="J142" t="str">
            <v>LOST TIME</v>
          </cell>
          <cell r="L142" t="str">
            <v>DOWN</v>
          </cell>
          <cell r="M142" t="str">
            <v>PA</v>
          </cell>
          <cell r="O142" t="str">
            <v>UA PROD</v>
          </cell>
          <cell r="Q142" t="str">
            <v>OPERATOR</v>
          </cell>
          <cell r="R142" t="str">
            <v>GROUP LEADER</v>
          </cell>
          <cell r="T142">
            <v>142</v>
          </cell>
        </row>
        <row r="143">
          <cell r="B143" t="str">
            <v>GROUP</v>
          </cell>
          <cell r="C143" t="str">
            <v>WASTE</v>
          </cell>
          <cell r="D143" t="str">
            <v>CC</v>
          </cell>
          <cell r="E143" t="str">
            <v>WASTE</v>
          </cell>
          <cell r="F143" t="str">
            <v>CC</v>
          </cell>
          <cell r="G143" t="str">
            <v>WASTE</v>
          </cell>
          <cell r="H143" t="str">
            <v>CC</v>
          </cell>
          <cell r="I143" t="str">
            <v>GEN</v>
          </cell>
          <cell r="J143" t="str">
            <v>DELAY</v>
          </cell>
          <cell r="K143" t="str">
            <v>IDLE</v>
          </cell>
          <cell r="L143" t="str">
            <v>TIME</v>
          </cell>
          <cell r="M143" t="str">
            <v>PLAN</v>
          </cell>
          <cell r="N143" t="str">
            <v>ACT</v>
          </cell>
          <cell r="O143" t="str">
            <v>PLAN</v>
          </cell>
          <cell r="P143" t="str">
            <v>ACT</v>
          </cell>
          <cell r="T143">
            <v>143</v>
          </cell>
        </row>
        <row r="144">
          <cell r="B144" t="str">
            <v>Shift 1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4.083333333333333</v>
          </cell>
          <cell r="K144">
            <v>0</v>
          </cell>
          <cell r="L144">
            <v>3.9166666666666665</v>
          </cell>
          <cell r="M144">
            <v>0.95</v>
          </cell>
          <cell r="N144">
            <v>0.51041666666666674</v>
          </cell>
          <cell r="O144">
            <v>0.875</v>
          </cell>
          <cell r="P144">
            <v>0</v>
          </cell>
          <cell r="Q144">
            <v>0</v>
          </cell>
          <cell r="R144">
            <v>0</v>
          </cell>
          <cell r="T144">
            <v>144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</row>
        <row r="145">
          <cell r="B145" t="str">
            <v>Shift 2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8</v>
          </cell>
          <cell r="K145">
            <v>0</v>
          </cell>
          <cell r="L145">
            <v>0</v>
          </cell>
          <cell r="M145">
            <v>0.95</v>
          </cell>
          <cell r="N145">
            <v>1</v>
          </cell>
          <cell r="O145">
            <v>0.875</v>
          </cell>
          <cell r="P145">
            <v>0</v>
          </cell>
          <cell r="Q145">
            <v>0</v>
          </cell>
          <cell r="R145">
            <v>0</v>
          </cell>
          <cell r="T145">
            <v>145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</row>
        <row r="146">
          <cell r="B146" t="str">
            <v>Shift 3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8</v>
          </cell>
          <cell r="K146">
            <v>0</v>
          </cell>
          <cell r="L146">
            <v>0</v>
          </cell>
          <cell r="M146">
            <v>0.95</v>
          </cell>
          <cell r="N146">
            <v>1</v>
          </cell>
          <cell r="O146">
            <v>0.875</v>
          </cell>
          <cell r="P146">
            <v>0</v>
          </cell>
          <cell r="Q146">
            <v>0</v>
          </cell>
          <cell r="R146">
            <v>0</v>
          </cell>
          <cell r="T146">
            <v>146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</row>
        <row r="147">
          <cell r="B147" t="str">
            <v>Shift 6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7.083333333333333</v>
          </cell>
          <cell r="K147">
            <v>0</v>
          </cell>
          <cell r="L147">
            <v>3.9166666666666665</v>
          </cell>
          <cell r="M147">
            <v>0.95</v>
          </cell>
          <cell r="N147">
            <v>0.64393939393939403</v>
          </cell>
          <cell r="O147">
            <v>0.875</v>
          </cell>
          <cell r="P147">
            <v>0</v>
          </cell>
          <cell r="Q147">
            <v>0</v>
          </cell>
          <cell r="R147">
            <v>0</v>
          </cell>
          <cell r="T147">
            <v>147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</row>
        <row r="148">
          <cell r="B148" t="str">
            <v>Shift 7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13</v>
          </cell>
          <cell r="K148">
            <v>0</v>
          </cell>
          <cell r="L148">
            <v>0</v>
          </cell>
          <cell r="M148">
            <v>0.95</v>
          </cell>
          <cell r="N148">
            <v>1</v>
          </cell>
          <cell r="O148">
            <v>0.875</v>
          </cell>
          <cell r="P148">
            <v>0</v>
          </cell>
          <cell r="Q148">
            <v>0</v>
          </cell>
          <cell r="R148">
            <v>0</v>
          </cell>
          <cell r="T148">
            <v>148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</row>
        <row r="149">
          <cell r="B149" t="str">
            <v>TOTAL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20.083333333333332</v>
          </cell>
          <cell r="K149">
            <v>0</v>
          </cell>
          <cell r="L149">
            <v>3.9166666666666665</v>
          </cell>
          <cell r="M149">
            <v>0.95</v>
          </cell>
          <cell r="N149">
            <v>0.83680555555555547</v>
          </cell>
          <cell r="O149">
            <v>0.875</v>
          </cell>
          <cell r="P149">
            <v>0</v>
          </cell>
          <cell r="Q149" t="str">
            <v>Hiras Silaban</v>
          </cell>
          <cell r="R149" t="str">
            <v>Fresye A L</v>
          </cell>
          <cell r="T149">
            <v>149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</row>
        <row r="150">
          <cell r="T150">
            <v>150</v>
          </cell>
        </row>
        <row r="151">
          <cell r="B151" t="str">
            <v>TIME</v>
          </cell>
          <cell r="C151" t="str">
            <v>WASTE</v>
          </cell>
          <cell r="D151" t="str">
            <v>SH306</v>
          </cell>
          <cell r="E151" t="str">
            <v>TYPE</v>
          </cell>
          <cell r="F151" t="str">
            <v>PC 4000</v>
          </cell>
          <cell r="H151" t="str">
            <v>Plan Prod'ty :</v>
          </cell>
          <cell r="J151">
            <v>1466.6666666666667</v>
          </cell>
          <cell r="M151" t="str">
            <v>Distance :</v>
          </cell>
          <cell r="O151">
            <v>3.2117226153400442</v>
          </cell>
          <cell r="T151">
            <v>151</v>
          </cell>
          <cell r="U151" t="str">
            <v>SH306</v>
          </cell>
        </row>
        <row r="152">
          <cell r="C152" t="str">
            <v>MAT</v>
          </cell>
          <cell r="D152" t="str">
            <v>PROD</v>
          </cell>
          <cell r="E152" t="str">
            <v>PROD'TY</v>
          </cell>
          <cell r="F152" t="str">
            <v>Q'TY DT</v>
          </cell>
          <cell r="J152" t="str">
            <v>HOURS</v>
          </cell>
          <cell r="Q152" t="str">
            <v>REMARK PRODUKTIVITAS</v>
          </cell>
          <cell r="T152">
            <v>152</v>
          </cell>
          <cell r="U152" t="str">
            <v>ROM</v>
          </cell>
          <cell r="V152" t="str">
            <v>Crush1</v>
          </cell>
          <cell r="W152" t="str">
            <v>Crush2</v>
          </cell>
          <cell r="X152" t="str">
            <v>Crush3</v>
          </cell>
          <cell r="Y152" t="str">
            <v>Crush4</v>
          </cell>
          <cell r="Z152" t="str">
            <v>Crush5</v>
          </cell>
          <cell r="AA152" t="str">
            <v>Crush6</v>
          </cell>
        </row>
        <row r="153">
          <cell r="E153" t="str">
            <v>( By work )</v>
          </cell>
          <cell r="F153" t="str">
            <v>730E</v>
          </cell>
          <cell r="G153" t="str">
            <v>1500</v>
          </cell>
          <cell r="H153" t="str">
            <v>785</v>
          </cell>
          <cell r="I153" t="str">
            <v>Total</v>
          </cell>
          <cell r="J153" t="str">
            <v>Work</v>
          </cell>
          <cell r="K153" t="str">
            <v>General</v>
          </cell>
          <cell r="L153" t="str">
            <v>Delay</v>
          </cell>
          <cell r="M153" t="str">
            <v>Idle</v>
          </cell>
          <cell r="N153" t="str">
            <v>Rain</v>
          </cell>
          <cell r="O153" t="str">
            <v>Slipp</v>
          </cell>
          <cell r="P153" t="str">
            <v>B/D</v>
          </cell>
          <cell r="T153">
            <v>153</v>
          </cell>
        </row>
        <row r="154">
          <cell r="B154" t="str">
            <v>07  - 08</v>
          </cell>
          <cell r="C154" t="str">
            <v>OB</v>
          </cell>
          <cell r="D154">
            <v>1036</v>
          </cell>
          <cell r="E154">
            <v>1243.2</v>
          </cell>
          <cell r="F154">
            <v>5</v>
          </cell>
          <cell r="G154">
            <v>3</v>
          </cell>
          <cell r="H154">
            <v>0</v>
          </cell>
          <cell r="I154">
            <v>8</v>
          </cell>
          <cell r="J154">
            <v>50</v>
          </cell>
          <cell r="K154">
            <v>0</v>
          </cell>
          <cell r="L154">
            <v>10</v>
          </cell>
          <cell r="M154">
            <v>0</v>
          </cell>
          <cell r="N154">
            <v>0</v>
          </cell>
          <cell r="O154">
            <v>0</v>
          </cell>
          <cell r="Q154" t="str">
            <v>P2H Start 07:10</v>
          </cell>
          <cell r="T154">
            <v>154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</row>
        <row r="155">
          <cell r="B155" t="str">
            <v>08  - 09</v>
          </cell>
          <cell r="C155" t="str">
            <v>OB</v>
          </cell>
          <cell r="D155">
            <v>1036</v>
          </cell>
          <cell r="E155">
            <v>1036</v>
          </cell>
          <cell r="F155">
            <v>5</v>
          </cell>
          <cell r="G155">
            <v>3</v>
          </cell>
          <cell r="H155">
            <v>0</v>
          </cell>
          <cell r="I155">
            <v>8</v>
          </cell>
          <cell r="J155">
            <v>60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Q155" t="str">
            <v>Move Front 10'</v>
          </cell>
          <cell r="T155">
            <v>155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</row>
        <row r="156">
          <cell r="B156" t="str">
            <v>09  - 10</v>
          </cell>
          <cell r="C156" t="str">
            <v>OB</v>
          </cell>
          <cell r="D156">
            <v>1218</v>
          </cell>
          <cell r="E156">
            <v>1218</v>
          </cell>
          <cell r="F156">
            <v>5</v>
          </cell>
          <cell r="G156">
            <v>3</v>
          </cell>
          <cell r="H156">
            <v>0</v>
          </cell>
          <cell r="I156">
            <v>8</v>
          </cell>
          <cell r="J156">
            <v>60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Q156">
            <v>0</v>
          </cell>
          <cell r="T156">
            <v>156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</row>
        <row r="157">
          <cell r="B157" t="str">
            <v>10  - 11</v>
          </cell>
          <cell r="C157" t="str">
            <v>OB</v>
          </cell>
          <cell r="D157">
            <v>1288</v>
          </cell>
          <cell r="E157">
            <v>1288</v>
          </cell>
          <cell r="F157">
            <v>5</v>
          </cell>
          <cell r="G157">
            <v>3</v>
          </cell>
          <cell r="H157">
            <v>0</v>
          </cell>
          <cell r="I157">
            <v>8</v>
          </cell>
          <cell r="J157">
            <v>60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Q157">
            <v>0</v>
          </cell>
          <cell r="T157">
            <v>157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</row>
        <row r="158">
          <cell r="B158" t="str">
            <v>11  - 12</v>
          </cell>
          <cell r="C158" t="str">
            <v>OB</v>
          </cell>
          <cell r="D158">
            <v>1036</v>
          </cell>
          <cell r="E158">
            <v>1036</v>
          </cell>
          <cell r="F158">
            <v>5</v>
          </cell>
          <cell r="G158">
            <v>3</v>
          </cell>
          <cell r="H158">
            <v>0</v>
          </cell>
          <cell r="I158">
            <v>8</v>
          </cell>
          <cell r="J158">
            <v>60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Q158">
            <v>0</v>
          </cell>
          <cell r="T158">
            <v>158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</row>
        <row r="159">
          <cell r="B159" t="str">
            <v>12  - 13</v>
          </cell>
          <cell r="C159" t="str">
            <v>OB</v>
          </cell>
          <cell r="D159">
            <v>588</v>
          </cell>
          <cell r="E159">
            <v>1176</v>
          </cell>
          <cell r="F159">
            <v>5</v>
          </cell>
          <cell r="G159">
            <v>3</v>
          </cell>
          <cell r="H159">
            <v>0</v>
          </cell>
          <cell r="I159">
            <v>8</v>
          </cell>
          <cell r="J159">
            <v>30</v>
          </cell>
          <cell r="K159">
            <v>0</v>
          </cell>
          <cell r="L159">
            <v>30</v>
          </cell>
          <cell r="M159">
            <v>0</v>
          </cell>
          <cell r="N159">
            <v>0</v>
          </cell>
          <cell r="O159">
            <v>0</v>
          </cell>
          <cell r="Q159" t="str">
            <v>Rest Time</v>
          </cell>
          <cell r="T159">
            <v>159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</row>
        <row r="160">
          <cell r="B160" t="str">
            <v>13  -  14</v>
          </cell>
          <cell r="C160" t="str">
            <v>OB</v>
          </cell>
          <cell r="D160">
            <v>1414</v>
          </cell>
          <cell r="E160">
            <v>1414</v>
          </cell>
          <cell r="F160">
            <v>5</v>
          </cell>
          <cell r="G160">
            <v>3</v>
          </cell>
          <cell r="H160">
            <v>0</v>
          </cell>
          <cell r="I160">
            <v>8</v>
          </cell>
          <cell r="J160">
            <v>60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Q160">
            <v>0</v>
          </cell>
          <cell r="T160">
            <v>160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</row>
        <row r="161">
          <cell r="B161" t="str">
            <v>14  -  15</v>
          </cell>
          <cell r="C161" t="str">
            <v>OB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60</v>
          </cell>
          <cell r="O161">
            <v>0</v>
          </cell>
          <cell r="Q161" t="str">
            <v>Rain</v>
          </cell>
          <cell r="T161">
            <v>161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</row>
        <row r="162">
          <cell r="B162" t="str">
            <v>15  -  16</v>
          </cell>
          <cell r="C162" t="str">
            <v>OB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60</v>
          </cell>
          <cell r="Q162" t="str">
            <v>Slippery</v>
          </cell>
          <cell r="T162">
            <v>162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</row>
        <row r="163">
          <cell r="B163" t="str">
            <v>16  -  17</v>
          </cell>
          <cell r="C163" t="str">
            <v>OB</v>
          </cell>
          <cell r="D163">
            <v>742</v>
          </cell>
          <cell r="E163">
            <v>1484</v>
          </cell>
          <cell r="F163">
            <v>4</v>
          </cell>
          <cell r="G163">
            <v>5</v>
          </cell>
          <cell r="H163">
            <v>0</v>
          </cell>
          <cell r="I163">
            <v>9</v>
          </cell>
          <cell r="J163">
            <v>30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30</v>
          </cell>
          <cell r="Q163" t="str">
            <v>Slippery, Start 16:30</v>
          </cell>
          <cell r="T163">
            <v>163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</row>
        <row r="164">
          <cell r="B164" t="str">
            <v>17  -  18</v>
          </cell>
          <cell r="C164" t="str">
            <v>OB</v>
          </cell>
          <cell r="D164">
            <v>1680</v>
          </cell>
          <cell r="E164">
            <v>1680</v>
          </cell>
          <cell r="F164">
            <v>4</v>
          </cell>
          <cell r="G164">
            <v>5</v>
          </cell>
          <cell r="H164">
            <v>0</v>
          </cell>
          <cell r="I164">
            <v>9</v>
          </cell>
          <cell r="J164">
            <v>60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Q164">
            <v>0</v>
          </cell>
          <cell r="T164">
            <v>164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</row>
        <row r="165">
          <cell r="B165" t="str">
            <v>18  -  19</v>
          </cell>
          <cell r="C165" t="str">
            <v>OB</v>
          </cell>
          <cell r="D165">
            <v>574</v>
          </cell>
          <cell r="E165">
            <v>1148</v>
          </cell>
          <cell r="F165">
            <v>5</v>
          </cell>
          <cell r="G165">
            <v>4</v>
          </cell>
          <cell r="H165">
            <v>0</v>
          </cell>
          <cell r="I165">
            <v>9</v>
          </cell>
          <cell r="J165">
            <v>30</v>
          </cell>
          <cell r="K165">
            <v>0</v>
          </cell>
          <cell r="L165">
            <v>30</v>
          </cell>
          <cell r="M165">
            <v>0</v>
          </cell>
          <cell r="N165">
            <v>0</v>
          </cell>
          <cell r="O165">
            <v>0</v>
          </cell>
          <cell r="Q165" t="str">
            <v>Rest Time</v>
          </cell>
          <cell r="T165">
            <v>165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</row>
        <row r="166">
          <cell r="B166" t="str">
            <v>19  -  20</v>
          </cell>
          <cell r="C166" t="str">
            <v>OB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60</v>
          </cell>
          <cell r="O166">
            <v>0</v>
          </cell>
          <cell r="Q166" t="str">
            <v>Rain</v>
          </cell>
          <cell r="T166">
            <v>166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</row>
        <row r="167">
          <cell r="B167" t="str">
            <v>20  -  21</v>
          </cell>
          <cell r="C167" t="str">
            <v>OB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60</v>
          </cell>
          <cell r="O167">
            <v>0</v>
          </cell>
          <cell r="Q167" t="str">
            <v>Rain</v>
          </cell>
          <cell r="T167">
            <v>167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</row>
        <row r="168">
          <cell r="B168" t="str">
            <v>21  -  22</v>
          </cell>
          <cell r="C168" t="str">
            <v>OB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60</v>
          </cell>
          <cell r="O168">
            <v>0</v>
          </cell>
          <cell r="Q168" t="str">
            <v>Rain</v>
          </cell>
          <cell r="T168">
            <v>168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</row>
        <row r="169">
          <cell r="B169" t="str">
            <v>22  -  23</v>
          </cell>
          <cell r="C169" t="str">
            <v>OB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60</v>
          </cell>
          <cell r="O169">
            <v>0</v>
          </cell>
          <cell r="Q169" t="str">
            <v>Rain</v>
          </cell>
          <cell r="T169">
            <v>169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</row>
        <row r="170">
          <cell r="B170" t="str">
            <v>23  -  24</v>
          </cell>
          <cell r="C170" t="str">
            <v>OB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60</v>
          </cell>
          <cell r="Q170" t="str">
            <v>Slippery</v>
          </cell>
          <cell r="T170">
            <v>170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</row>
        <row r="171">
          <cell r="B171" t="str">
            <v>24  -  01</v>
          </cell>
          <cell r="C171" t="str">
            <v>OB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60</v>
          </cell>
          <cell r="Q171" t="str">
            <v>Slippery</v>
          </cell>
          <cell r="T171">
            <v>171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</row>
        <row r="172">
          <cell r="B172" t="str">
            <v>01  -  02</v>
          </cell>
          <cell r="C172" t="str">
            <v>OB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60</v>
          </cell>
          <cell r="Q172" t="str">
            <v>Slippery</v>
          </cell>
          <cell r="T172">
            <v>172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</row>
        <row r="173">
          <cell r="B173" t="str">
            <v>02  -  03</v>
          </cell>
          <cell r="C173" t="str">
            <v>OB</v>
          </cell>
          <cell r="D173">
            <v>770</v>
          </cell>
          <cell r="E173">
            <v>1320</v>
          </cell>
          <cell r="F173">
            <v>4</v>
          </cell>
          <cell r="G173">
            <v>2</v>
          </cell>
          <cell r="H173">
            <v>0</v>
          </cell>
          <cell r="I173">
            <v>6</v>
          </cell>
          <cell r="J173">
            <v>35</v>
          </cell>
          <cell r="K173">
            <v>0</v>
          </cell>
          <cell r="L173">
            <v>0</v>
          </cell>
          <cell r="M173">
            <v>0</v>
          </cell>
          <cell r="N173">
            <v>25</v>
          </cell>
          <cell r="O173">
            <v>0</v>
          </cell>
          <cell r="Q173" t="str">
            <v>Rain</v>
          </cell>
          <cell r="T173">
            <v>173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</row>
        <row r="174">
          <cell r="B174" t="str">
            <v>03  -  04</v>
          </cell>
          <cell r="C174" t="str">
            <v>OB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60</v>
          </cell>
          <cell r="O174">
            <v>0</v>
          </cell>
          <cell r="Q174" t="str">
            <v>Rain</v>
          </cell>
          <cell r="T174">
            <v>174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</row>
        <row r="175">
          <cell r="B175" t="str">
            <v>04  -  05</v>
          </cell>
          <cell r="C175" t="str">
            <v>OB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60</v>
          </cell>
          <cell r="Q175" t="str">
            <v>Slippery</v>
          </cell>
          <cell r="T175">
            <v>175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</row>
        <row r="176">
          <cell r="B176" t="str">
            <v>05  -  06</v>
          </cell>
          <cell r="C176" t="str">
            <v>OB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60</v>
          </cell>
          <cell r="Q176" t="str">
            <v>Slippery</v>
          </cell>
          <cell r="T176">
            <v>176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</row>
        <row r="177">
          <cell r="B177" t="str">
            <v>06  -  07</v>
          </cell>
          <cell r="C177" t="str">
            <v>OB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60</v>
          </cell>
          <cell r="Q177" t="str">
            <v>Slippery</v>
          </cell>
          <cell r="T177">
            <v>177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</row>
        <row r="178">
          <cell r="B178" t="str">
            <v>RESUME</v>
          </cell>
          <cell r="C178" t="str">
            <v>PROD</v>
          </cell>
          <cell r="E178" t="str">
            <v>PROD'TY</v>
          </cell>
          <cell r="G178" t="str">
            <v>WORK HOURS</v>
          </cell>
          <cell r="J178" t="str">
            <v>LOST TIME</v>
          </cell>
          <cell r="L178" t="str">
            <v>DOWN</v>
          </cell>
          <cell r="M178" t="str">
            <v>PA</v>
          </cell>
          <cell r="O178" t="str">
            <v>UA PROD</v>
          </cell>
          <cell r="Q178" t="str">
            <v>OPERATOR</v>
          </cell>
          <cell r="R178" t="str">
            <v>GROUP LEADER</v>
          </cell>
          <cell r="T178">
            <v>178</v>
          </cell>
        </row>
        <row r="179">
          <cell r="B179" t="str">
            <v>GROUP</v>
          </cell>
          <cell r="C179" t="str">
            <v>WASTE</v>
          </cell>
          <cell r="D179" t="str">
            <v>CC</v>
          </cell>
          <cell r="E179" t="str">
            <v>WASTE</v>
          </cell>
          <cell r="F179" t="str">
            <v>CC</v>
          </cell>
          <cell r="G179" t="str">
            <v>WASTE</v>
          </cell>
          <cell r="H179" t="str">
            <v>CC</v>
          </cell>
          <cell r="I179" t="str">
            <v>GEN</v>
          </cell>
          <cell r="J179" t="str">
            <v>DELAY</v>
          </cell>
          <cell r="K179" t="str">
            <v>IDLE</v>
          </cell>
          <cell r="L179" t="str">
            <v>TIME</v>
          </cell>
          <cell r="M179" t="str">
            <v>PLAN</v>
          </cell>
          <cell r="N179" t="str">
            <v>ACT</v>
          </cell>
          <cell r="O179" t="str">
            <v>PLAN</v>
          </cell>
          <cell r="P179" t="str">
            <v>ACT</v>
          </cell>
          <cell r="T179">
            <v>179</v>
          </cell>
        </row>
        <row r="180">
          <cell r="B180" t="str">
            <v>Shift 1</v>
          </cell>
          <cell r="C180">
            <v>7616</v>
          </cell>
          <cell r="D180">
            <v>0</v>
          </cell>
          <cell r="E180">
            <v>1202.5263157894738</v>
          </cell>
          <cell r="F180">
            <v>0</v>
          </cell>
          <cell r="G180">
            <v>6.333333333333333</v>
          </cell>
          <cell r="H180">
            <v>0</v>
          </cell>
          <cell r="I180">
            <v>0</v>
          </cell>
          <cell r="J180">
            <v>0.66666666666666663</v>
          </cell>
          <cell r="K180">
            <v>1</v>
          </cell>
          <cell r="L180">
            <v>0</v>
          </cell>
          <cell r="M180">
            <v>0.95</v>
          </cell>
          <cell r="N180">
            <v>1</v>
          </cell>
          <cell r="O180">
            <v>0.875</v>
          </cell>
          <cell r="P180">
            <v>0.79166666666666663</v>
          </cell>
          <cell r="Q180" t="str">
            <v>Kristinus</v>
          </cell>
          <cell r="R180" t="str">
            <v>Bardono</v>
          </cell>
          <cell r="T180">
            <v>180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</row>
        <row r="181">
          <cell r="B181" t="str">
            <v>Shift 2</v>
          </cell>
          <cell r="C181">
            <v>2996</v>
          </cell>
          <cell r="D181">
            <v>0</v>
          </cell>
          <cell r="E181">
            <v>1498</v>
          </cell>
          <cell r="F181">
            <v>0</v>
          </cell>
          <cell r="G181">
            <v>2</v>
          </cell>
          <cell r="H181">
            <v>0</v>
          </cell>
          <cell r="I181">
            <v>0</v>
          </cell>
          <cell r="J181">
            <v>0.5</v>
          </cell>
          <cell r="K181">
            <v>5.5</v>
          </cell>
          <cell r="L181">
            <v>0</v>
          </cell>
          <cell r="M181">
            <v>0.95</v>
          </cell>
          <cell r="N181">
            <v>1</v>
          </cell>
          <cell r="O181">
            <v>0.875</v>
          </cell>
          <cell r="P181">
            <v>0.25</v>
          </cell>
          <cell r="Q181" t="str">
            <v>Suprapto</v>
          </cell>
          <cell r="R181" t="str">
            <v>Bardono</v>
          </cell>
          <cell r="T181">
            <v>181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</row>
        <row r="182">
          <cell r="B182" t="str">
            <v>Shift 3</v>
          </cell>
          <cell r="C182">
            <v>770</v>
          </cell>
          <cell r="D182">
            <v>0</v>
          </cell>
          <cell r="E182">
            <v>1320</v>
          </cell>
          <cell r="F182">
            <v>0</v>
          </cell>
          <cell r="G182">
            <v>0.58333333333333337</v>
          </cell>
          <cell r="H182">
            <v>0</v>
          </cell>
          <cell r="I182">
            <v>0</v>
          </cell>
          <cell r="J182">
            <v>0</v>
          </cell>
          <cell r="K182">
            <v>7.416666666666667</v>
          </cell>
          <cell r="L182">
            <v>0</v>
          </cell>
          <cell r="M182">
            <v>0.95</v>
          </cell>
          <cell r="N182">
            <v>1</v>
          </cell>
          <cell r="O182">
            <v>0.875</v>
          </cell>
          <cell r="P182">
            <v>7.2916666666666671E-2</v>
          </cell>
          <cell r="Q182" t="str">
            <v>Fadli</v>
          </cell>
          <cell r="R182" t="str">
            <v>Fresye A Lumansik</v>
          </cell>
          <cell r="T182">
            <v>182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</row>
        <row r="183">
          <cell r="B183" t="str">
            <v>Shift 6</v>
          </cell>
          <cell r="C183">
            <v>10038</v>
          </cell>
          <cell r="D183">
            <v>0</v>
          </cell>
          <cell r="E183">
            <v>1281.4468085106384</v>
          </cell>
          <cell r="F183">
            <v>0</v>
          </cell>
          <cell r="G183">
            <v>7.833333333333333</v>
          </cell>
          <cell r="H183">
            <v>0</v>
          </cell>
          <cell r="I183">
            <v>0</v>
          </cell>
          <cell r="J183">
            <v>0.66666666666666663</v>
          </cell>
          <cell r="K183">
            <v>2.5</v>
          </cell>
          <cell r="L183">
            <v>0</v>
          </cell>
          <cell r="M183">
            <v>0.95</v>
          </cell>
          <cell r="N183">
            <v>1</v>
          </cell>
          <cell r="O183">
            <v>0.875</v>
          </cell>
          <cell r="P183">
            <v>0.71212121212121204</v>
          </cell>
          <cell r="Q183">
            <v>0</v>
          </cell>
          <cell r="R183">
            <v>0</v>
          </cell>
          <cell r="T183">
            <v>183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</row>
        <row r="184">
          <cell r="B184" t="str">
            <v>Shift 7</v>
          </cell>
          <cell r="C184">
            <v>1344</v>
          </cell>
          <cell r="D184">
            <v>0</v>
          </cell>
          <cell r="E184">
            <v>1240.6153846153848</v>
          </cell>
          <cell r="F184">
            <v>0</v>
          </cell>
          <cell r="G184">
            <v>1.0833333333333333</v>
          </cell>
          <cell r="H184">
            <v>0</v>
          </cell>
          <cell r="I184">
            <v>0</v>
          </cell>
          <cell r="J184">
            <v>0.5</v>
          </cell>
          <cell r="K184">
            <v>11.416666666666666</v>
          </cell>
          <cell r="L184">
            <v>0</v>
          </cell>
          <cell r="M184">
            <v>0.95</v>
          </cell>
          <cell r="N184">
            <v>1</v>
          </cell>
          <cell r="O184">
            <v>0.875</v>
          </cell>
          <cell r="P184">
            <v>8.3333333333333329E-2</v>
          </cell>
          <cell r="Q184">
            <v>0</v>
          </cell>
          <cell r="R184">
            <v>0</v>
          </cell>
          <cell r="T184">
            <v>184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</row>
        <row r="185">
          <cell r="B185" t="str">
            <v>TOTAL</v>
          </cell>
          <cell r="C185">
            <v>11382</v>
          </cell>
          <cell r="D185">
            <v>0</v>
          </cell>
          <cell r="E185">
            <v>1276.4859813084113</v>
          </cell>
          <cell r="F185">
            <v>0</v>
          </cell>
          <cell r="G185">
            <v>8.9166666666666661</v>
          </cell>
          <cell r="H185">
            <v>0</v>
          </cell>
          <cell r="I185">
            <v>0</v>
          </cell>
          <cell r="J185">
            <v>1.1666666666666665</v>
          </cell>
          <cell r="K185">
            <v>13.916666666666666</v>
          </cell>
          <cell r="L185">
            <v>0</v>
          </cell>
          <cell r="M185">
            <v>0.95</v>
          </cell>
          <cell r="N185">
            <v>1</v>
          </cell>
          <cell r="O185">
            <v>0.875</v>
          </cell>
          <cell r="P185">
            <v>0.37152777777777773</v>
          </cell>
          <cell r="Q185" t="str">
            <v>Hiras Silaban</v>
          </cell>
          <cell r="R185" t="str">
            <v>Fresye A L</v>
          </cell>
          <cell r="T185">
            <v>185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</row>
        <row r="186">
          <cell r="T186">
            <v>186</v>
          </cell>
        </row>
        <row r="187">
          <cell r="B187" t="str">
            <v>TIME</v>
          </cell>
          <cell r="C187" t="str">
            <v>WASTE</v>
          </cell>
          <cell r="D187" t="str">
            <v>EX708</v>
          </cell>
          <cell r="E187" t="str">
            <v>TYPE</v>
          </cell>
          <cell r="F187" t="str">
            <v>PC 3000</v>
          </cell>
          <cell r="H187" t="str">
            <v>Plan Prod'ty :</v>
          </cell>
          <cell r="J187">
            <v>900</v>
          </cell>
          <cell r="M187" t="str">
            <v>Distance :</v>
          </cell>
          <cell r="O187">
            <v>0</v>
          </cell>
          <cell r="T187">
            <v>187</v>
          </cell>
          <cell r="U187" t="str">
            <v>EX708</v>
          </cell>
        </row>
        <row r="188">
          <cell r="C188" t="str">
            <v>MAT</v>
          </cell>
          <cell r="D188" t="str">
            <v>PROD</v>
          </cell>
          <cell r="E188" t="str">
            <v>PROD'TY</v>
          </cell>
          <cell r="F188" t="str">
            <v>Q'TY DT</v>
          </cell>
          <cell r="J188" t="str">
            <v>HOURS</v>
          </cell>
          <cell r="Q188" t="str">
            <v>REMARK PRODUKTIVITAS</v>
          </cell>
          <cell r="T188">
            <v>188</v>
          </cell>
          <cell r="U188" t="str">
            <v>ROM</v>
          </cell>
          <cell r="V188" t="str">
            <v>Crush1</v>
          </cell>
          <cell r="W188" t="str">
            <v>Crush2</v>
          </cell>
          <cell r="X188" t="str">
            <v>Crush3</v>
          </cell>
          <cell r="Y188" t="str">
            <v>Crush4</v>
          </cell>
          <cell r="Z188" t="str">
            <v>Crush5</v>
          </cell>
          <cell r="AA188" t="str">
            <v>Crush6</v>
          </cell>
        </row>
        <row r="189">
          <cell r="E189" t="str">
            <v>( By work )</v>
          </cell>
          <cell r="F189" t="str">
            <v>730E</v>
          </cell>
          <cell r="G189" t="str">
            <v>1500</v>
          </cell>
          <cell r="H189" t="str">
            <v>785</v>
          </cell>
          <cell r="I189" t="str">
            <v>Total</v>
          </cell>
          <cell r="J189" t="str">
            <v>Work</v>
          </cell>
          <cell r="K189" t="str">
            <v>General</v>
          </cell>
          <cell r="L189" t="str">
            <v>Delay</v>
          </cell>
          <cell r="M189" t="str">
            <v>Idle</v>
          </cell>
          <cell r="N189" t="str">
            <v>Rain</v>
          </cell>
          <cell r="O189" t="str">
            <v>Slipp</v>
          </cell>
          <cell r="P189" t="str">
            <v>B/D</v>
          </cell>
          <cell r="T189">
            <v>189</v>
          </cell>
        </row>
        <row r="190">
          <cell r="B190" t="str">
            <v>07  - 08</v>
          </cell>
          <cell r="C190" t="str">
            <v>OB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60</v>
          </cell>
          <cell r="M190">
            <v>0</v>
          </cell>
          <cell r="N190">
            <v>0</v>
          </cell>
          <cell r="O190">
            <v>0</v>
          </cell>
          <cell r="Q190" t="str">
            <v>Stand By, No Operator</v>
          </cell>
          <cell r="T190">
            <v>190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</row>
        <row r="191">
          <cell r="B191" t="str">
            <v>08  - 09</v>
          </cell>
          <cell r="C191" t="str">
            <v>OB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60</v>
          </cell>
          <cell r="M191">
            <v>0</v>
          </cell>
          <cell r="N191">
            <v>0</v>
          </cell>
          <cell r="O191">
            <v>0</v>
          </cell>
          <cell r="Q191" t="str">
            <v>Stand By, No Operator</v>
          </cell>
          <cell r="T191">
            <v>191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</row>
        <row r="192">
          <cell r="B192" t="str">
            <v>09  - 10</v>
          </cell>
          <cell r="C192" t="str">
            <v>OB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60</v>
          </cell>
          <cell r="M192">
            <v>0</v>
          </cell>
          <cell r="N192">
            <v>0</v>
          </cell>
          <cell r="O192">
            <v>0</v>
          </cell>
          <cell r="Q192" t="str">
            <v>Stand By, No Operator</v>
          </cell>
          <cell r="T192">
            <v>192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</row>
        <row r="193">
          <cell r="B193" t="str">
            <v>10  - 11</v>
          </cell>
          <cell r="C193" t="str">
            <v>OB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60</v>
          </cell>
          <cell r="M193">
            <v>0</v>
          </cell>
          <cell r="N193">
            <v>0</v>
          </cell>
          <cell r="O193">
            <v>0</v>
          </cell>
          <cell r="Q193" t="str">
            <v>Stand By, No Operator</v>
          </cell>
          <cell r="T193">
            <v>193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</row>
        <row r="194">
          <cell r="B194" t="str">
            <v>11  - 12</v>
          </cell>
          <cell r="C194" t="str">
            <v>OB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60</v>
          </cell>
          <cell r="M194">
            <v>0</v>
          </cell>
          <cell r="N194">
            <v>0</v>
          </cell>
          <cell r="O194">
            <v>0</v>
          </cell>
          <cell r="Q194" t="str">
            <v>Stand By, No Operator</v>
          </cell>
          <cell r="T194">
            <v>194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</row>
        <row r="195">
          <cell r="B195" t="str">
            <v>12  - 13</v>
          </cell>
          <cell r="C195" t="str">
            <v>OB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60</v>
          </cell>
          <cell r="M195">
            <v>0</v>
          </cell>
          <cell r="N195">
            <v>0</v>
          </cell>
          <cell r="O195">
            <v>0</v>
          </cell>
          <cell r="Q195" t="str">
            <v>Stand By, No Operator</v>
          </cell>
          <cell r="T195">
            <v>195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</row>
        <row r="196">
          <cell r="B196" t="str">
            <v>13  -  14</v>
          </cell>
          <cell r="C196" t="str">
            <v>OB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60</v>
          </cell>
          <cell r="M196">
            <v>0</v>
          </cell>
          <cell r="N196">
            <v>0</v>
          </cell>
          <cell r="O196">
            <v>0</v>
          </cell>
          <cell r="Q196" t="str">
            <v>Stand By, No Operator</v>
          </cell>
          <cell r="T196">
            <v>196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</row>
        <row r="197">
          <cell r="B197" t="str">
            <v>14  -  15</v>
          </cell>
          <cell r="C197" t="str">
            <v>OB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60</v>
          </cell>
          <cell r="M197">
            <v>0</v>
          </cell>
          <cell r="N197">
            <v>0</v>
          </cell>
          <cell r="O197">
            <v>0</v>
          </cell>
          <cell r="Q197" t="str">
            <v>Stand By, No Operator</v>
          </cell>
          <cell r="T197">
            <v>197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</row>
        <row r="198">
          <cell r="B198" t="str">
            <v>15  -  16</v>
          </cell>
          <cell r="C198" t="str">
            <v>OB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60</v>
          </cell>
          <cell r="M198">
            <v>0</v>
          </cell>
          <cell r="N198">
            <v>0</v>
          </cell>
          <cell r="O198">
            <v>0</v>
          </cell>
          <cell r="Q198" t="str">
            <v>Stand By, No Operator</v>
          </cell>
          <cell r="T198">
            <v>198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</row>
        <row r="199">
          <cell r="B199" t="str">
            <v>16  -  17</v>
          </cell>
          <cell r="C199" t="str">
            <v>OB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60</v>
          </cell>
          <cell r="M199">
            <v>0</v>
          </cell>
          <cell r="N199">
            <v>0</v>
          </cell>
          <cell r="O199">
            <v>0</v>
          </cell>
          <cell r="Q199" t="str">
            <v>Stand By, No Operator</v>
          </cell>
          <cell r="T199">
            <v>199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</row>
        <row r="200">
          <cell r="B200" t="str">
            <v>17  -  18</v>
          </cell>
          <cell r="C200" t="str">
            <v>OB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60</v>
          </cell>
          <cell r="M200">
            <v>0</v>
          </cell>
          <cell r="N200">
            <v>0</v>
          </cell>
          <cell r="O200">
            <v>0</v>
          </cell>
          <cell r="Q200" t="str">
            <v>Stand By, No Operator</v>
          </cell>
          <cell r="T200">
            <v>200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</row>
        <row r="201">
          <cell r="B201" t="str">
            <v>18  -  19</v>
          </cell>
          <cell r="C201" t="str">
            <v>OB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60</v>
          </cell>
          <cell r="M201">
            <v>0</v>
          </cell>
          <cell r="N201">
            <v>0</v>
          </cell>
          <cell r="O201">
            <v>0</v>
          </cell>
          <cell r="Q201" t="str">
            <v>Stand By No Operator</v>
          </cell>
          <cell r="T201">
            <v>201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</row>
        <row r="202">
          <cell r="B202" t="str">
            <v>19  -  20</v>
          </cell>
          <cell r="C202" t="str">
            <v>OB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60</v>
          </cell>
          <cell r="M202">
            <v>0</v>
          </cell>
          <cell r="N202">
            <v>0</v>
          </cell>
          <cell r="O202">
            <v>0</v>
          </cell>
          <cell r="Q202" t="str">
            <v>Stand By No Operator</v>
          </cell>
          <cell r="T202">
            <v>202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</row>
        <row r="203">
          <cell r="B203" t="str">
            <v>20  -  21</v>
          </cell>
          <cell r="C203" t="str">
            <v>OB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60</v>
          </cell>
          <cell r="M203">
            <v>0</v>
          </cell>
          <cell r="N203">
            <v>0</v>
          </cell>
          <cell r="O203">
            <v>0</v>
          </cell>
          <cell r="Q203" t="str">
            <v>Stand By No Operator</v>
          </cell>
          <cell r="T203">
            <v>203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</row>
        <row r="204">
          <cell r="B204" t="str">
            <v>21  -  22</v>
          </cell>
          <cell r="C204" t="str">
            <v>OB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60</v>
          </cell>
          <cell r="M204">
            <v>0</v>
          </cell>
          <cell r="N204">
            <v>0</v>
          </cell>
          <cell r="O204">
            <v>0</v>
          </cell>
          <cell r="Q204" t="str">
            <v>Stand By No Operator</v>
          </cell>
          <cell r="T204">
            <v>204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</row>
        <row r="205">
          <cell r="B205" t="str">
            <v>22  -  23</v>
          </cell>
          <cell r="C205" t="str">
            <v>OB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60</v>
          </cell>
          <cell r="M205">
            <v>0</v>
          </cell>
          <cell r="N205">
            <v>0</v>
          </cell>
          <cell r="O205">
            <v>0</v>
          </cell>
          <cell r="Q205" t="str">
            <v>Stand By No Operator</v>
          </cell>
          <cell r="T205">
            <v>205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</row>
        <row r="206">
          <cell r="B206" t="str">
            <v>23  -  24</v>
          </cell>
          <cell r="C206" t="str">
            <v>OB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60</v>
          </cell>
          <cell r="M206">
            <v>0</v>
          </cell>
          <cell r="N206">
            <v>0</v>
          </cell>
          <cell r="O206">
            <v>0</v>
          </cell>
          <cell r="Q206" t="str">
            <v>Stand By No Operator</v>
          </cell>
          <cell r="T206">
            <v>206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</row>
        <row r="207">
          <cell r="B207" t="str">
            <v>24  -  01</v>
          </cell>
          <cell r="C207" t="str">
            <v>OB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60</v>
          </cell>
          <cell r="M207">
            <v>0</v>
          </cell>
          <cell r="N207">
            <v>0</v>
          </cell>
          <cell r="O207">
            <v>0</v>
          </cell>
          <cell r="Q207" t="str">
            <v>Stand By No Operator</v>
          </cell>
          <cell r="T207">
            <v>207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</row>
        <row r="208">
          <cell r="B208" t="str">
            <v>01  -  02</v>
          </cell>
          <cell r="C208" t="str">
            <v>OB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60</v>
          </cell>
          <cell r="M208">
            <v>0</v>
          </cell>
          <cell r="N208">
            <v>0</v>
          </cell>
          <cell r="O208">
            <v>0</v>
          </cell>
          <cell r="Q208" t="str">
            <v>Stand By No Operator</v>
          </cell>
          <cell r="T208">
            <v>208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</row>
        <row r="209">
          <cell r="B209" t="str">
            <v>02  -  03</v>
          </cell>
          <cell r="C209" t="str">
            <v>OB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60</v>
          </cell>
          <cell r="M209">
            <v>0</v>
          </cell>
          <cell r="N209">
            <v>0</v>
          </cell>
          <cell r="O209">
            <v>0</v>
          </cell>
          <cell r="Q209" t="str">
            <v>Stand By No Operator</v>
          </cell>
          <cell r="T209">
            <v>209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</row>
        <row r="210">
          <cell r="B210" t="str">
            <v>03  -  04</v>
          </cell>
          <cell r="C210" t="str">
            <v>OB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60</v>
          </cell>
          <cell r="M210">
            <v>0</v>
          </cell>
          <cell r="N210">
            <v>0</v>
          </cell>
          <cell r="O210">
            <v>0</v>
          </cell>
          <cell r="Q210" t="str">
            <v>Stand By No Operator</v>
          </cell>
          <cell r="T210">
            <v>210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</row>
        <row r="211">
          <cell r="B211" t="str">
            <v>04  -  05</v>
          </cell>
          <cell r="C211" t="str">
            <v>OB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60</v>
          </cell>
          <cell r="M211">
            <v>0</v>
          </cell>
          <cell r="N211">
            <v>0</v>
          </cell>
          <cell r="O211">
            <v>0</v>
          </cell>
          <cell r="Q211" t="str">
            <v>Stand By No Operator</v>
          </cell>
          <cell r="T211">
            <v>211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</row>
        <row r="212">
          <cell r="B212" t="str">
            <v>05  -  06</v>
          </cell>
          <cell r="C212" t="str">
            <v>OB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60</v>
          </cell>
          <cell r="M212">
            <v>0</v>
          </cell>
          <cell r="N212">
            <v>0</v>
          </cell>
          <cell r="O212">
            <v>0</v>
          </cell>
          <cell r="Q212" t="str">
            <v>Stand By No Operator</v>
          </cell>
          <cell r="T212">
            <v>212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</row>
        <row r="213">
          <cell r="B213" t="str">
            <v>06  -  07</v>
          </cell>
          <cell r="C213" t="str">
            <v>OB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60</v>
          </cell>
          <cell r="M213">
            <v>0</v>
          </cell>
          <cell r="N213">
            <v>0</v>
          </cell>
          <cell r="O213">
            <v>0</v>
          </cell>
          <cell r="Q213" t="str">
            <v>Stand By No Operator</v>
          </cell>
          <cell r="T213">
            <v>213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</row>
        <row r="214">
          <cell r="B214" t="str">
            <v>RESUME</v>
          </cell>
          <cell r="C214" t="str">
            <v>PROD</v>
          </cell>
          <cell r="E214" t="str">
            <v>PROD'TY</v>
          </cell>
          <cell r="G214" t="str">
            <v>WORK HOURS</v>
          </cell>
          <cell r="J214" t="str">
            <v>LOST TIME</v>
          </cell>
          <cell r="L214" t="str">
            <v>DOWN</v>
          </cell>
          <cell r="M214" t="str">
            <v>PA</v>
          </cell>
          <cell r="O214" t="str">
            <v>UA PROD</v>
          </cell>
          <cell r="Q214" t="str">
            <v>OPERATOR</v>
          </cell>
          <cell r="R214" t="str">
            <v>GROUP LEADER</v>
          </cell>
          <cell r="T214">
            <v>214</v>
          </cell>
        </row>
        <row r="215">
          <cell r="B215" t="str">
            <v>GROUP</v>
          </cell>
          <cell r="C215" t="str">
            <v>WASTE</v>
          </cell>
          <cell r="D215" t="str">
            <v>CC</v>
          </cell>
          <cell r="E215" t="str">
            <v>WASTE</v>
          </cell>
          <cell r="F215" t="str">
            <v>CC</v>
          </cell>
          <cell r="G215" t="str">
            <v>WASTE</v>
          </cell>
          <cell r="H215" t="str">
            <v>CC</v>
          </cell>
          <cell r="I215" t="str">
            <v>GEN</v>
          </cell>
          <cell r="J215" t="str">
            <v>DELAY</v>
          </cell>
          <cell r="K215" t="str">
            <v>IDLE</v>
          </cell>
          <cell r="L215" t="str">
            <v>TIME</v>
          </cell>
          <cell r="M215" t="str">
            <v>PLAN</v>
          </cell>
          <cell r="N215" t="str">
            <v>ACT</v>
          </cell>
          <cell r="O215" t="str">
            <v>PLAN</v>
          </cell>
          <cell r="P215" t="str">
            <v>ACT</v>
          </cell>
          <cell r="T215">
            <v>215</v>
          </cell>
        </row>
        <row r="216">
          <cell r="B216" t="str">
            <v>Shift 1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8</v>
          </cell>
          <cell r="K216">
            <v>0</v>
          </cell>
          <cell r="L216">
            <v>0</v>
          </cell>
          <cell r="M216">
            <v>0.95</v>
          </cell>
          <cell r="N216">
            <v>1</v>
          </cell>
          <cell r="O216">
            <v>0.875</v>
          </cell>
          <cell r="P216">
            <v>0</v>
          </cell>
          <cell r="Q216">
            <v>0</v>
          </cell>
          <cell r="R216">
            <v>0</v>
          </cell>
          <cell r="T216">
            <v>216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</row>
        <row r="217">
          <cell r="B217" t="str">
            <v>Shift 2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8</v>
          </cell>
          <cell r="K217">
            <v>0</v>
          </cell>
          <cell r="L217">
            <v>0</v>
          </cell>
          <cell r="M217">
            <v>0.95</v>
          </cell>
          <cell r="N217">
            <v>1</v>
          </cell>
          <cell r="O217">
            <v>0.875</v>
          </cell>
          <cell r="P217">
            <v>0</v>
          </cell>
          <cell r="Q217">
            <v>0</v>
          </cell>
          <cell r="R217">
            <v>0</v>
          </cell>
          <cell r="T217">
            <v>217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</row>
        <row r="218">
          <cell r="B218" t="str">
            <v>Shift 3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8</v>
          </cell>
          <cell r="K218">
            <v>0</v>
          </cell>
          <cell r="L218">
            <v>0</v>
          </cell>
          <cell r="M218">
            <v>0.95</v>
          </cell>
          <cell r="N218">
            <v>1</v>
          </cell>
          <cell r="O218">
            <v>0.875</v>
          </cell>
          <cell r="P218">
            <v>0</v>
          </cell>
          <cell r="Q218">
            <v>0</v>
          </cell>
          <cell r="R218">
            <v>0</v>
          </cell>
          <cell r="T218">
            <v>218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</row>
        <row r="219">
          <cell r="B219" t="str">
            <v>Shift 6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11</v>
          </cell>
          <cell r="K219">
            <v>0</v>
          </cell>
          <cell r="L219">
            <v>0</v>
          </cell>
          <cell r="M219">
            <v>0.95</v>
          </cell>
          <cell r="N219">
            <v>1</v>
          </cell>
          <cell r="O219">
            <v>0.875</v>
          </cell>
          <cell r="P219">
            <v>0</v>
          </cell>
          <cell r="Q219">
            <v>0</v>
          </cell>
          <cell r="R219">
            <v>0</v>
          </cell>
          <cell r="T219">
            <v>219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</row>
        <row r="220">
          <cell r="B220" t="str">
            <v>Shift 7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13</v>
          </cell>
          <cell r="K220">
            <v>0</v>
          </cell>
          <cell r="L220">
            <v>0</v>
          </cell>
          <cell r="M220">
            <v>0.95</v>
          </cell>
          <cell r="N220">
            <v>1</v>
          </cell>
          <cell r="O220">
            <v>0.875</v>
          </cell>
          <cell r="P220">
            <v>0</v>
          </cell>
          <cell r="Q220">
            <v>0</v>
          </cell>
          <cell r="R220">
            <v>0</v>
          </cell>
          <cell r="T220">
            <v>220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</row>
        <row r="221">
          <cell r="B221" t="str">
            <v>TOTAL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24</v>
          </cell>
          <cell r="K221">
            <v>0</v>
          </cell>
          <cell r="L221">
            <v>0</v>
          </cell>
          <cell r="M221">
            <v>0.95</v>
          </cell>
          <cell r="N221">
            <v>1</v>
          </cell>
          <cell r="O221">
            <v>0.875</v>
          </cell>
          <cell r="P221">
            <v>0</v>
          </cell>
          <cell r="Q221" t="str">
            <v>Hiras Silaban</v>
          </cell>
          <cell r="R221" t="str">
            <v>Fresye A L</v>
          </cell>
          <cell r="T221">
            <v>221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</row>
        <row r="222">
          <cell r="T222">
            <v>222</v>
          </cell>
        </row>
        <row r="223">
          <cell r="B223" t="str">
            <v>TIME</v>
          </cell>
          <cell r="C223" t="str">
            <v>WASTE</v>
          </cell>
          <cell r="D223" t="str">
            <v>EX709</v>
          </cell>
          <cell r="E223" t="str">
            <v>TYPE</v>
          </cell>
          <cell r="F223" t="str">
            <v>PC 3000</v>
          </cell>
          <cell r="H223" t="str">
            <v>Plan Prod'ty :</v>
          </cell>
          <cell r="J223">
            <v>900</v>
          </cell>
          <cell r="M223" t="str">
            <v>Distance :</v>
          </cell>
          <cell r="O223">
            <v>2.4670022094317474</v>
          </cell>
          <cell r="T223">
            <v>223</v>
          </cell>
          <cell r="U223" t="str">
            <v>EX709</v>
          </cell>
        </row>
        <row r="224">
          <cell r="C224" t="str">
            <v>MAT</v>
          </cell>
          <cell r="D224" t="str">
            <v>PROD</v>
          </cell>
          <cell r="E224" t="str">
            <v>PROD'TY</v>
          </cell>
          <cell r="F224" t="str">
            <v>Q'TY DT</v>
          </cell>
          <cell r="J224" t="str">
            <v>HOURS</v>
          </cell>
          <cell r="Q224" t="str">
            <v>REMARK PRODUKTIVITAS</v>
          </cell>
          <cell r="T224">
            <v>224</v>
          </cell>
          <cell r="U224" t="str">
            <v>ROM</v>
          </cell>
          <cell r="V224" t="str">
            <v>Crush1</v>
          </cell>
          <cell r="W224" t="str">
            <v>Crush2</v>
          </cell>
          <cell r="X224" t="str">
            <v>Crush3</v>
          </cell>
          <cell r="Y224" t="str">
            <v>Crush4</v>
          </cell>
          <cell r="Z224" t="str">
            <v>Crush5</v>
          </cell>
          <cell r="AA224" t="str">
            <v>Crush6</v>
          </cell>
        </row>
        <row r="225">
          <cell r="E225" t="str">
            <v>( By work )</v>
          </cell>
          <cell r="F225" t="str">
            <v>730E</v>
          </cell>
          <cell r="G225" t="str">
            <v>1500</v>
          </cell>
          <cell r="H225" t="str">
            <v>785</v>
          </cell>
          <cell r="I225" t="str">
            <v>Total</v>
          </cell>
          <cell r="J225" t="str">
            <v>Work</v>
          </cell>
          <cell r="K225" t="str">
            <v>General</v>
          </cell>
          <cell r="L225" t="str">
            <v>Delay</v>
          </cell>
          <cell r="M225" t="str">
            <v>Idle</v>
          </cell>
          <cell r="N225" t="str">
            <v>Rain</v>
          </cell>
          <cell r="O225" t="str">
            <v>Slipp</v>
          </cell>
          <cell r="P225" t="str">
            <v>B/D</v>
          </cell>
          <cell r="T225">
            <v>225</v>
          </cell>
        </row>
        <row r="226">
          <cell r="B226" t="str">
            <v>07  - 08</v>
          </cell>
          <cell r="C226" t="str">
            <v>OB</v>
          </cell>
          <cell r="D226">
            <v>1096</v>
          </cell>
          <cell r="E226">
            <v>1096</v>
          </cell>
          <cell r="F226">
            <v>0</v>
          </cell>
          <cell r="G226">
            <v>2</v>
          </cell>
          <cell r="H226">
            <v>7</v>
          </cell>
          <cell r="I226">
            <v>9</v>
          </cell>
          <cell r="J226">
            <v>60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Q226">
            <v>0</v>
          </cell>
          <cell r="T226">
            <v>226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</row>
        <row r="227">
          <cell r="B227" t="str">
            <v>08  - 09</v>
          </cell>
          <cell r="C227" t="str">
            <v>OB</v>
          </cell>
          <cell r="D227">
            <v>1172</v>
          </cell>
          <cell r="E227">
            <v>1172</v>
          </cell>
          <cell r="F227">
            <v>0</v>
          </cell>
          <cell r="G227">
            <v>2</v>
          </cell>
          <cell r="H227">
            <v>7</v>
          </cell>
          <cell r="I227">
            <v>9</v>
          </cell>
          <cell r="J227">
            <v>60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Q227">
            <v>0</v>
          </cell>
          <cell r="T227">
            <v>227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</row>
        <row r="228">
          <cell r="B228" t="str">
            <v>09  - 10</v>
          </cell>
          <cell r="C228" t="str">
            <v>OB</v>
          </cell>
          <cell r="D228">
            <v>1134</v>
          </cell>
          <cell r="E228">
            <v>1134</v>
          </cell>
          <cell r="F228">
            <v>0</v>
          </cell>
          <cell r="G228">
            <v>2</v>
          </cell>
          <cell r="H228">
            <v>7</v>
          </cell>
          <cell r="I228">
            <v>9</v>
          </cell>
          <cell r="J228">
            <v>60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Q228">
            <v>0</v>
          </cell>
          <cell r="T228">
            <v>228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</row>
        <row r="229">
          <cell r="B229" t="str">
            <v>10  - 11</v>
          </cell>
          <cell r="C229" t="str">
            <v>OB</v>
          </cell>
          <cell r="D229">
            <v>966</v>
          </cell>
          <cell r="E229">
            <v>966</v>
          </cell>
          <cell r="F229">
            <v>0</v>
          </cell>
          <cell r="G229">
            <v>1</v>
          </cell>
          <cell r="H229">
            <v>7</v>
          </cell>
          <cell r="I229">
            <v>8</v>
          </cell>
          <cell r="J229">
            <v>60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Q229">
            <v>0</v>
          </cell>
          <cell r="T229">
            <v>229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</row>
        <row r="230">
          <cell r="B230" t="str">
            <v>11  - 12</v>
          </cell>
          <cell r="C230" t="str">
            <v>OB</v>
          </cell>
          <cell r="D230">
            <v>852</v>
          </cell>
          <cell r="E230">
            <v>852</v>
          </cell>
          <cell r="F230">
            <v>0</v>
          </cell>
          <cell r="G230">
            <v>1</v>
          </cell>
          <cell r="H230">
            <v>6</v>
          </cell>
          <cell r="I230">
            <v>7</v>
          </cell>
          <cell r="J230">
            <v>60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Q230">
            <v>0</v>
          </cell>
          <cell r="T230">
            <v>230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</row>
        <row r="231">
          <cell r="B231" t="str">
            <v>12  - 13</v>
          </cell>
          <cell r="C231" t="str">
            <v>OB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60</v>
          </cell>
          <cell r="M231">
            <v>0</v>
          </cell>
          <cell r="N231">
            <v>0</v>
          </cell>
          <cell r="O231">
            <v>0</v>
          </cell>
          <cell r="Q231" t="str">
            <v>Rest Time</v>
          </cell>
          <cell r="T231">
            <v>231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</row>
        <row r="232">
          <cell r="B232" t="str">
            <v>13  -  14</v>
          </cell>
          <cell r="C232" t="str">
            <v>OB</v>
          </cell>
          <cell r="D232">
            <v>872</v>
          </cell>
          <cell r="E232">
            <v>872</v>
          </cell>
          <cell r="F232">
            <v>0</v>
          </cell>
          <cell r="G232">
            <v>1</v>
          </cell>
          <cell r="H232">
            <v>7</v>
          </cell>
          <cell r="I232">
            <v>8</v>
          </cell>
          <cell r="J232">
            <v>60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Q232">
            <v>0</v>
          </cell>
          <cell r="T232">
            <v>232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</row>
        <row r="233">
          <cell r="B233" t="str">
            <v>14  -  15</v>
          </cell>
          <cell r="C233" t="str">
            <v>OB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60</v>
          </cell>
          <cell r="O233">
            <v>0</v>
          </cell>
          <cell r="Q233" t="str">
            <v>Rain</v>
          </cell>
          <cell r="T233">
            <v>233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</row>
        <row r="234">
          <cell r="B234" t="str">
            <v>15  -  16</v>
          </cell>
          <cell r="C234" t="str">
            <v>OB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60</v>
          </cell>
          <cell r="Q234" t="str">
            <v>Slippery</v>
          </cell>
          <cell r="T234">
            <v>234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</row>
        <row r="235">
          <cell r="B235" t="str">
            <v>16  -  17</v>
          </cell>
          <cell r="C235" t="str">
            <v>OB</v>
          </cell>
          <cell r="D235">
            <v>398</v>
          </cell>
          <cell r="E235">
            <v>955.2</v>
          </cell>
          <cell r="F235">
            <v>0</v>
          </cell>
          <cell r="G235">
            <v>1</v>
          </cell>
          <cell r="H235">
            <v>9</v>
          </cell>
          <cell r="I235">
            <v>10</v>
          </cell>
          <cell r="J235">
            <v>25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35</v>
          </cell>
          <cell r="Q235" t="str">
            <v>Slippery Start 16:35</v>
          </cell>
          <cell r="T235">
            <v>235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</row>
        <row r="236">
          <cell r="B236" t="str">
            <v>17  -  18</v>
          </cell>
          <cell r="C236" t="str">
            <v>OB</v>
          </cell>
          <cell r="D236">
            <v>814</v>
          </cell>
          <cell r="E236">
            <v>976.8</v>
          </cell>
          <cell r="F236">
            <v>0</v>
          </cell>
          <cell r="G236">
            <v>1</v>
          </cell>
          <cell r="H236">
            <v>9</v>
          </cell>
          <cell r="I236">
            <v>10</v>
          </cell>
          <cell r="J236">
            <v>50</v>
          </cell>
          <cell r="K236">
            <v>0</v>
          </cell>
          <cell r="L236">
            <v>10</v>
          </cell>
          <cell r="M236">
            <v>0</v>
          </cell>
          <cell r="N236">
            <v>0</v>
          </cell>
          <cell r="O236">
            <v>0</v>
          </cell>
          <cell r="Q236" t="str">
            <v>Shift Change</v>
          </cell>
          <cell r="T236">
            <v>236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</row>
        <row r="237">
          <cell r="B237" t="str">
            <v>18  -  19</v>
          </cell>
          <cell r="C237" t="str">
            <v>OB</v>
          </cell>
          <cell r="D237">
            <v>472</v>
          </cell>
          <cell r="E237">
            <v>944</v>
          </cell>
          <cell r="F237">
            <v>0</v>
          </cell>
          <cell r="G237">
            <v>2</v>
          </cell>
          <cell r="H237">
            <v>6</v>
          </cell>
          <cell r="I237">
            <v>8</v>
          </cell>
          <cell r="J237">
            <v>30</v>
          </cell>
          <cell r="K237">
            <v>0</v>
          </cell>
          <cell r="L237">
            <v>30</v>
          </cell>
          <cell r="M237">
            <v>0</v>
          </cell>
          <cell r="N237">
            <v>0</v>
          </cell>
          <cell r="O237">
            <v>0</v>
          </cell>
          <cell r="Q237" t="str">
            <v>Wait operator, P2H, Start 18:20</v>
          </cell>
          <cell r="T237">
            <v>237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</row>
        <row r="238">
          <cell r="B238" t="str">
            <v>19  -  20</v>
          </cell>
          <cell r="C238" t="str">
            <v>OB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60</v>
          </cell>
          <cell r="O238">
            <v>0</v>
          </cell>
          <cell r="Q238" t="str">
            <v>Rain</v>
          </cell>
          <cell r="T238">
            <v>238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</row>
        <row r="239">
          <cell r="B239" t="str">
            <v>20  -  21</v>
          </cell>
          <cell r="C239" t="str">
            <v>OB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60</v>
          </cell>
          <cell r="O239">
            <v>0</v>
          </cell>
          <cell r="Q239" t="str">
            <v>Rain</v>
          </cell>
          <cell r="T239">
            <v>239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</row>
        <row r="240">
          <cell r="B240" t="str">
            <v>21  -  22</v>
          </cell>
          <cell r="C240" t="str">
            <v>OB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60</v>
          </cell>
          <cell r="O240">
            <v>0</v>
          </cell>
          <cell r="Q240" t="str">
            <v>Rain</v>
          </cell>
          <cell r="T240">
            <v>240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</row>
        <row r="241">
          <cell r="B241" t="str">
            <v>22  -  23</v>
          </cell>
          <cell r="C241" t="str">
            <v>OB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60</v>
          </cell>
          <cell r="O241">
            <v>0</v>
          </cell>
          <cell r="Q241" t="str">
            <v>Rain</v>
          </cell>
          <cell r="T241">
            <v>241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</row>
        <row r="242">
          <cell r="B242" t="str">
            <v>23  -  24</v>
          </cell>
          <cell r="C242" t="str">
            <v>OB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60</v>
          </cell>
          <cell r="Q242" t="str">
            <v>Slippery</v>
          </cell>
          <cell r="T242">
            <v>242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</row>
        <row r="243">
          <cell r="B243" t="str">
            <v>24  -  01</v>
          </cell>
          <cell r="C243" t="str">
            <v>OB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60</v>
          </cell>
          <cell r="Q243" t="str">
            <v>Slippery</v>
          </cell>
          <cell r="T243">
            <v>243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</row>
        <row r="244">
          <cell r="B244" t="str">
            <v>01  -  02</v>
          </cell>
          <cell r="C244" t="str">
            <v>OB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60</v>
          </cell>
          <cell r="Q244" t="str">
            <v>Slippery</v>
          </cell>
          <cell r="T244">
            <v>244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</row>
        <row r="245">
          <cell r="B245" t="str">
            <v>02  -  03</v>
          </cell>
          <cell r="C245" t="str">
            <v>OB</v>
          </cell>
          <cell r="D245">
            <v>264</v>
          </cell>
          <cell r="E245">
            <v>633.6</v>
          </cell>
          <cell r="F245">
            <v>0</v>
          </cell>
          <cell r="G245">
            <v>2</v>
          </cell>
          <cell r="H245">
            <v>3</v>
          </cell>
          <cell r="I245">
            <v>5</v>
          </cell>
          <cell r="J245">
            <v>25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35</v>
          </cell>
          <cell r="Q245" t="str">
            <v>Slippery, Start 03:25</v>
          </cell>
          <cell r="T245">
            <v>245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</row>
        <row r="246">
          <cell r="B246" t="str">
            <v>03  -  04</v>
          </cell>
          <cell r="C246" t="str">
            <v>OB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60</v>
          </cell>
          <cell r="O246">
            <v>0</v>
          </cell>
          <cell r="Q246" t="str">
            <v>Rain 03:00</v>
          </cell>
          <cell r="T246">
            <v>246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</row>
        <row r="247">
          <cell r="B247" t="str">
            <v>04  -  05</v>
          </cell>
          <cell r="C247" t="str">
            <v>OB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60</v>
          </cell>
          <cell r="Q247" t="str">
            <v>Slippery</v>
          </cell>
          <cell r="T247">
            <v>247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</row>
        <row r="248">
          <cell r="B248" t="str">
            <v>05  -  06</v>
          </cell>
          <cell r="C248" t="str">
            <v>OB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60</v>
          </cell>
          <cell r="Q248" t="str">
            <v>Slippery</v>
          </cell>
          <cell r="T248">
            <v>248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</row>
        <row r="249">
          <cell r="B249" t="str">
            <v>06  -  07</v>
          </cell>
          <cell r="C249" t="str">
            <v>OB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60</v>
          </cell>
          <cell r="Q249" t="str">
            <v>Slippery</v>
          </cell>
          <cell r="T249">
            <v>249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</row>
        <row r="250">
          <cell r="B250" t="str">
            <v>RESUME</v>
          </cell>
          <cell r="C250" t="str">
            <v>PROD</v>
          </cell>
          <cell r="E250" t="str">
            <v>PROD'TY</v>
          </cell>
          <cell r="G250" t="str">
            <v>WORK HOURS</v>
          </cell>
          <cell r="J250" t="str">
            <v>LOST TIME</v>
          </cell>
          <cell r="L250" t="str">
            <v>DOWN</v>
          </cell>
          <cell r="M250" t="str">
            <v>PA</v>
          </cell>
          <cell r="O250" t="str">
            <v>UA PROD</v>
          </cell>
          <cell r="Q250" t="str">
            <v>OPERATOR</v>
          </cell>
          <cell r="R250" t="str">
            <v>GROUP LEADER</v>
          </cell>
          <cell r="T250">
            <v>250</v>
          </cell>
        </row>
        <row r="251">
          <cell r="B251" t="str">
            <v>GROUP</v>
          </cell>
          <cell r="C251" t="str">
            <v>WASTE</v>
          </cell>
          <cell r="D251" t="str">
            <v>CC</v>
          </cell>
          <cell r="E251" t="str">
            <v>WASTE</v>
          </cell>
          <cell r="F251" t="str">
            <v>CC</v>
          </cell>
          <cell r="G251" t="str">
            <v>WASTE</v>
          </cell>
          <cell r="H251" t="str">
            <v>CC</v>
          </cell>
          <cell r="I251" t="str">
            <v>GEN</v>
          </cell>
          <cell r="J251" t="str">
            <v>DELAY</v>
          </cell>
          <cell r="K251" t="str">
            <v>IDLE</v>
          </cell>
          <cell r="L251" t="str">
            <v>TIME</v>
          </cell>
          <cell r="M251" t="str">
            <v>PLAN</v>
          </cell>
          <cell r="N251" t="str">
            <v>ACT</v>
          </cell>
          <cell r="O251" t="str">
            <v>PLAN</v>
          </cell>
          <cell r="P251" t="str">
            <v>ACT</v>
          </cell>
          <cell r="T251">
            <v>251</v>
          </cell>
        </row>
        <row r="252">
          <cell r="B252" t="str">
            <v>Shift 1</v>
          </cell>
          <cell r="C252">
            <v>6092</v>
          </cell>
          <cell r="D252">
            <v>0</v>
          </cell>
          <cell r="E252">
            <v>1015.3333333333334</v>
          </cell>
          <cell r="F252">
            <v>0</v>
          </cell>
          <cell r="G252">
            <v>6</v>
          </cell>
          <cell r="H252">
            <v>0</v>
          </cell>
          <cell r="I252">
            <v>0</v>
          </cell>
          <cell r="J252">
            <v>1</v>
          </cell>
          <cell r="K252">
            <v>1</v>
          </cell>
          <cell r="L252">
            <v>0</v>
          </cell>
          <cell r="M252">
            <v>0.95</v>
          </cell>
          <cell r="N252">
            <v>1</v>
          </cell>
          <cell r="O252">
            <v>0.875</v>
          </cell>
          <cell r="P252">
            <v>0.75</v>
          </cell>
          <cell r="Q252">
            <v>0</v>
          </cell>
          <cell r="R252">
            <v>0</v>
          </cell>
          <cell r="T252">
            <v>252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</row>
        <row r="253">
          <cell r="B253" t="str">
            <v>Shift 2</v>
          </cell>
          <cell r="C253">
            <v>1684</v>
          </cell>
          <cell r="D253">
            <v>0</v>
          </cell>
          <cell r="E253">
            <v>962.28571428571433</v>
          </cell>
          <cell r="F253">
            <v>0</v>
          </cell>
          <cell r="G253">
            <v>1.75</v>
          </cell>
          <cell r="H253">
            <v>0</v>
          </cell>
          <cell r="I253">
            <v>0</v>
          </cell>
          <cell r="J253">
            <v>0.66666666666666663</v>
          </cell>
          <cell r="K253">
            <v>5.583333333333333</v>
          </cell>
          <cell r="L253">
            <v>0</v>
          </cell>
          <cell r="M253">
            <v>0.95</v>
          </cell>
          <cell r="N253">
            <v>1</v>
          </cell>
          <cell r="O253">
            <v>0.875</v>
          </cell>
          <cell r="P253">
            <v>0.21875</v>
          </cell>
          <cell r="Q253">
            <v>0</v>
          </cell>
          <cell r="R253">
            <v>0</v>
          </cell>
          <cell r="T253">
            <v>253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</row>
        <row r="254">
          <cell r="B254" t="str">
            <v>Shift 3</v>
          </cell>
          <cell r="C254">
            <v>264</v>
          </cell>
          <cell r="D254">
            <v>0</v>
          </cell>
          <cell r="E254">
            <v>633.6</v>
          </cell>
          <cell r="F254">
            <v>0</v>
          </cell>
          <cell r="G254">
            <v>0.41666666666666669</v>
          </cell>
          <cell r="H254">
            <v>0</v>
          </cell>
          <cell r="I254">
            <v>0</v>
          </cell>
          <cell r="J254">
            <v>0</v>
          </cell>
          <cell r="K254">
            <v>7.583333333333333</v>
          </cell>
          <cell r="L254">
            <v>0</v>
          </cell>
          <cell r="M254">
            <v>0.95</v>
          </cell>
          <cell r="N254">
            <v>1</v>
          </cell>
          <cell r="O254">
            <v>0.875</v>
          </cell>
          <cell r="P254">
            <v>5.2083333333333336E-2</v>
          </cell>
          <cell r="Q254">
            <v>0</v>
          </cell>
          <cell r="R254">
            <v>0</v>
          </cell>
          <cell r="T254">
            <v>254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</row>
        <row r="255">
          <cell r="B255" t="str">
            <v>Shift 6</v>
          </cell>
          <cell r="C255">
            <v>7304</v>
          </cell>
          <cell r="D255">
            <v>0</v>
          </cell>
          <cell r="E255">
            <v>1007.448275862069</v>
          </cell>
          <cell r="F255">
            <v>0</v>
          </cell>
          <cell r="G255">
            <v>7.25</v>
          </cell>
          <cell r="H255">
            <v>0</v>
          </cell>
          <cell r="I255">
            <v>0</v>
          </cell>
          <cell r="J255">
            <v>1.1666666666666667</v>
          </cell>
          <cell r="K255">
            <v>2.5833333333333335</v>
          </cell>
          <cell r="L255">
            <v>0</v>
          </cell>
          <cell r="M255">
            <v>0.95</v>
          </cell>
          <cell r="N255">
            <v>1</v>
          </cell>
          <cell r="O255">
            <v>0.875</v>
          </cell>
          <cell r="P255">
            <v>0.65909090909090906</v>
          </cell>
          <cell r="Q255" t="str">
            <v>Mohammad Ali Mochsin</v>
          </cell>
          <cell r="R255" t="str">
            <v>Sutarno</v>
          </cell>
          <cell r="T255">
            <v>255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</row>
        <row r="256">
          <cell r="B256" t="str">
            <v>Shift 7</v>
          </cell>
          <cell r="C256">
            <v>736</v>
          </cell>
          <cell r="D256">
            <v>0</v>
          </cell>
          <cell r="E256">
            <v>802.90909090909099</v>
          </cell>
          <cell r="F256">
            <v>0</v>
          </cell>
          <cell r="G256">
            <v>0.91666666666666663</v>
          </cell>
          <cell r="H256">
            <v>0</v>
          </cell>
          <cell r="I256">
            <v>0</v>
          </cell>
          <cell r="J256">
            <v>0.5</v>
          </cell>
          <cell r="K256">
            <v>11.583333333333334</v>
          </cell>
          <cell r="L256">
            <v>0</v>
          </cell>
          <cell r="M256">
            <v>0.95</v>
          </cell>
          <cell r="N256">
            <v>1</v>
          </cell>
          <cell r="O256">
            <v>0.875</v>
          </cell>
          <cell r="P256">
            <v>7.0512820512820512E-2</v>
          </cell>
          <cell r="Q256" t="str">
            <v>Mohamad Ali Muhson</v>
          </cell>
          <cell r="R256" t="str">
            <v>Sudarso</v>
          </cell>
          <cell r="T256">
            <v>256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</row>
        <row r="257">
          <cell r="B257" t="str">
            <v>TOTAL</v>
          </cell>
          <cell r="C257">
            <v>8040</v>
          </cell>
          <cell r="D257">
            <v>0</v>
          </cell>
          <cell r="E257">
            <v>984.48979591836746</v>
          </cell>
          <cell r="F257">
            <v>0</v>
          </cell>
          <cell r="G257">
            <v>8.1666666666666661</v>
          </cell>
          <cell r="H257">
            <v>0</v>
          </cell>
          <cell r="I257">
            <v>0</v>
          </cell>
          <cell r="J257">
            <v>1.6666666666666667</v>
          </cell>
          <cell r="K257">
            <v>14.166666666666668</v>
          </cell>
          <cell r="L257">
            <v>0</v>
          </cell>
          <cell r="M257">
            <v>0.95</v>
          </cell>
          <cell r="N257">
            <v>1</v>
          </cell>
          <cell r="O257">
            <v>0.875</v>
          </cell>
          <cell r="P257">
            <v>0.34027777777777773</v>
          </cell>
          <cell r="Q257" t="str">
            <v>Hiras Silaban</v>
          </cell>
          <cell r="R257" t="str">
            <v>Fresye A L</v>
          </cell>
          <cell r="T257">
            <v>257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</row>
        <row r="258">
          <cell r="T258">
            <v>258</v>
          </cell>
        </row>
        <row r="259">
          <cell r="B259" t="str">
            <v>TIME</v>
          </cell>
          <cell r="C259" t="str">
            <v>WASTE</v>
          </cell>
          <cell r="D259" t="str">
            <v>EX710</v>
          </cell>
          <cell r="E259" t="str">
            <v>TYPE</v>
          </cell>
          <cell r="F259" t="str">
            <v>PC 3000</v>
          </cell>
          <cell r="H259" t="str">
            <v>Plan Prod'ty :</v>
          </cell>
          <cell r="J259">
            <v>1000</v>
          </cell>
          <cell r="M259" t="str">
            <v>Distance :</v>
          </cell>
          <cell r="O259">
            <v>4.0243349162787787</v>
          </cell>
          <cell r="T259">
            <v>259</v>
          </cell>
          <cell r="U259" t="str">
            <v>EX710</v>
          </cell>
        </row>
        <row r="260">
          <cell r="C260" t="str">
            <v>MAT</v>
          </cell>
          <cell r="D260" t="str">
            <v>PROD</v>
          </cell>
          <cell r="E260" t="str">
            <v>PROD'TY</v>
          </cell>
          <cell r="F260" t="str">
            <v>Q'TY DT</v>
          </cell>
          <cell r="J260" t="str">
            <v>HOURS</v>
          </cell>
          <cell r="Q260" t="str">
            <v>REMARK PRODUKTIVITAS</v>
          </cell>
          <cell r="T260">
            <v>260</v>
          </cell>
          <cell r="U260" t="str">
            <v>ROM</v>
          </cell>
          <cell r="V260" t="str">
            <v>Crush1</v>
          </cell>
          <cell r="W260" t="str">
            <v>Crush2</v>
          </cell>
          <cell r="X260" t="str">
            <v>Crush3</v>
          </cell>
          <cell r="Y260" t="str">
            <v>Crush4</v>
          </cell>
          <cell r="Z260" t="str">
            <v>Crush5</v>
          </cell>
          <cell r="AA260" t="str">
            <v>Crush6</v>
          </cell>
        </row>
        <row r="261">
          <cell r="E261" t="str">
            <v>( By work )</v>
          </cell>
          <cell r="F261" t="str">
            <v>730E</v>
          </cell>
          <cell r="G261" t="str">
            <v>1500</v>
          </cell>
          <cell r="H261" t="str">
            <v>785</v>
          </cell>
          <cell r="I261" t="str">
            <v>Total</v>
          </cell>
          <cell r="J261" t="str">
            <v>Work</v>
          </cell>
          <cell r="K261" t="str">
            <v>General</v>
          </cell>
          <cell r="L261" t="str">
            <v>Delay</v>
          </cell>
          <cell r="M261" t="str">
            <v>Idle</v>
          </cell>
          <cell r="N261" t="str">
            <v>Rain</v>
          </cell>
          <cell r="O261" t="str">
            <v>Slipp</v>
          </cell>
          <cell r="P261" t="str">
            <v>B/D</v>
          </cell>
          <cell r="T261">
            <v>261</v>
          </cell>
        </row>
        <row r="262">
          <cell r="B262" t="str">
            <v>07  - 08</v>
          </cell>
          <cell r="C262" t="str">
            <v>OB</v>
          </cell>
          <cell r="D262">
            <v>532</v>
          </cell>
          <cell r="E262">
            <v>912</v>
          </cell>
          <cell r="F262">
            <v>0</v>
          </cell>
          <cell r="G262">
            <v>0</v>
          </cell>
          <cell r="H262">
            <v>10</v>
          </cell>
          <cell r="I262">
            <v>10</v>
          </cell>
          <cell r="J262">
            <v>35</v>
          </cell>
          <cell r="K262">
            <v>0</v>
          </cell>
          <cell r="L262">
            <v>25</v>
          </cell>
          <cell r="M262">
            <v>0</v>
          </cell>
          <cell r="N262">
            <v>0</v>
          </cell>
          <cell r="O262">
            <v>0</v>
          </cell>
          <cell r="Q262" t="str">
            <v>Waiting Operator, P2H Start 07:25</v>
          </cell>
          <cell r="T262">
            <v>262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</row>
        <row r="263">
          <cell r="B263" t="str">
            <v>08  - 09</v>
          </cell>
          <cell r="C263" t="str">
            <v>OB</v>
          </cell>
          <cell r="D263">
            <v>912</v>
          </cell>
          <cell r="E263">
            <v>912</v>
          </cell>
          <cell r="F263">
            <v>0</v>
          </cell>
          <cell r="G263">
            <v>0</v>
          </cell>
          <cell r="H263">
            <v>11</v>
          </cell>
          <cell r="I263">
            <v>11</v>
          </cell>
          <cell r="J263">
            <v>60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Q263">
            <v>0</v>
          </cell>
          <cell r="T263">
            <v>263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</row>
        <row r="264">
          <cell r="B264" t="str">
            <v>09  - 10</v>
          </cell>
          <cell r="C264" t="str">
            <v>OB</v>
          </cell>
          <cell r="D264">
            <v>912</v>
          </cell>
          <cell r="E264">
            <v>912</v>
          </cell>
          <cell r="F264">
            <v>0</v>
          </cell>
          <cell r="G264">
            <v>0</v>
          </cell>
          <cell r="H264">
            <v>11</v>
          </cell>
          <cell r="I264">
            <v>11</v>
          </cell>
          <cell r="J264">
            <v>60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Q264">
            <v>0</v>
          </cell>
          <cell r="T264">
            <v>264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</row>
        <row r="265">
          <cell r="B265" t="str">
            <v>10  - 11</v>
          </cell>
          <cell r="C265" t="str">
            <v>OB</v>
          </cell>
          <cell r="D265">
            <v>950</v>
          </cell>
          <cell r="E265">
            <v>950</v>
          </cell>
          <cell r="F265">
            <v>0</v>
          </cell>
          <cell r="G265">
            <v>0</v>
          </cell>
          <cell r="H265">
            <v>11</v>
          </cell>
          <cell r="I265">
            <v>11</v>
          </cell>
          <cell r="J265">
            <v>60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Q265">
            <v>0</v>
          </cell>
          <cell r="T265">
            <v>265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</row>
        <row r="266">
          <cell r="B266" t="str">
            <v>11  - 12</v>
          </cell>
          <cell r="C266" t="str">
            <v>OB</v>
          </cell>
          <cell r="D266">
            <v>836</v>
          </cell>
          <cell r="E266">
            <v>836</v>
          </cell>
          <cell r="F266">
            <v>0</v>
          </cell>
          <cell r="G266">
            <v>0</v>
          </cell>
          <cell r="H266">
            <v>11</v>
          </cell>
          <cell r="I266">
            <v>11</v>
          </cell>
          <cell r="J266">
            <v>60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Q266">
            <v>0</v>
          </cell>
          <cell r="T266">
            <v>266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</row>
        <row r="267">
          <cell r="B267" t="str">
            <v>12  - 13</v>
          </cell>
          <cell r="C267" t="str">
            <v>OB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60</v>
          </cell>
          <cell r="M267">
            <v>0</v>
          </cell>
          <cell r="N267">
            <v>0</v>
          </cell>
          <cell r="O267">
            <v>0</v>
          </cell>
          <cell r="Q267" t="str">
            <v>Rest Time</v>
          </cell>
          <cell r="T267">
            <v>267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</row>
        <row r="268">
          <cell r="B268" t="str">
            <v>13  -  14</v>
          </cell>
          <cell r="C268" t="str">
            <v>OB</v>
          </cell>
          <cell r="D268">
            <v>874</v>
          </cell>
          <cell r="E268">
            <v>874</v>
          </cell>
          <cell r="F268">
            <v>0</v>
          </cell>
          <cell r="G268">
            <v>0</v>
          </cell>
          <cell r="H268">
            <v>10</v>
          </cell>
          <cell r="I268">
            <v>10</v>
          </cell>
          <cell r="J268">
            <v>60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Q268">
            <v>0</v>
          </cell>
          <cell r="T268">
            <v>268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</row>
        <row r="269">
          <cell r="B269" t="str">
            <v>14  -  15</v>
          </cell>
          <cell r="C269" t="str">
            <v>OB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60</v>
          </cell>
          <cell r="O269">
            <v>0</v>
          </cell>
          <cell r="Q269" t="str">
            <v>Rain</v>
          </cell>
          <cell r="T269">
            <v>269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</row>
        <row r="270">
          <cell r="B270" t="str">
            <v>15  -  16</v>
          </cell>
          <cell r="C270" t="str">
            <v>OB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60</v>
          </cell>
          <cell r="Q270" t="str">
            <v>Slippery</v>
          </cell>
          <cell r="T270">
            <v>270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</row>
        <row r="271">
          <cell r="B271" t="str">
            <v>16  -  17</v>
          </cell>
          <cell r="C271" t="str">
            <v>OB</v>
          </cell>
          <cell r="D271">
            <v>304</v>
          </cell>
          <cell r="E271">
            <v>912</v>
          </cell>
          <cell r="F271">
            <v>0</v>
          </cell>
          <cell r="G271">
            <v>0</v>
          </cell>
          <cell r="H271">
            <v>8</v>
          </cell>
          <cell r="I271">
            <v>8</v>
          </cell>
          <cell r="J271">
            <v>20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40</v>
          </cell>
          <cell r="Q271" t="str">
            <v>Slippery Start 16:40</v>
          </cell>
          <cell r="T271">
            <v>271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</row>
        <row r="272">
          <cell r="B272" t="str">
            <v>17  -  18</v>
          </cell>
          <cell r="C272" t="str">
            <v>OB</v>
          </cell>
          <cell r="D272">
            <v>836</v>
          </cell>
          <cell r="E272">
            <v>1003.2</v>
          </cell>
          <cell r="F272">
            <v>0</v>
          </cell>
          <cell r="G272">
            <v>0</v>
          </cell>
          <cell r="H272">
            <v>11</v>
          </cell>
          <cell r="I272">
            <v>11</v>
          </cell>
          <cell r="J272">
            <v>50</v>
          </cell>
          <cell r="K272">
            <v>0</v>
          </cell>
          <cell r="L272">
            <v>10</v>
          </cell>
          <cell r="M272">
            <v>0</v>
          </cell>
          <cell r="N272">
            <v>0</v>
          </cell>
          <cell r="O272">
            <v>0</v>
          </cell>
          <cell r="Q272" t="str">
            <v>Shift Change</v>
          </cell>
          <cell r="T272">
            <v>272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</row>
        <row r="273">
          <cell r="B273" t="str">
            <v>18  -  19</v>
          </cell>
          <cell r="C273" t="str">
            <v>OB</v>
          </cell>
          <cell r="D273">
            <v>570</v>
          </cell>
          <cell r="E273">
            <v>760</v>
          </cell>
          <cell r="F273">
            <v>0</v>
          </cell>
          <cell r="G273">
            <v>0</v>
          </cell>
          <cell r="H273">
            <v>11</v>
          </cell>
          <cell r="I273">
            <v>11</v>
          </cell>
          <cell r="J273">
            <v>45</v>
          </cell>
          <cell r="K273">
            <v>0</v>
          </cell>
          <cell r="L273">
            <v>15</v>
          </cell>
          <cell r="M273">
            <v>0</v>
          </cell>
          <cell r="N273">
            <v>0</v>
          </cell>
          <cell r="O273">
            <v>0</v>
          </cell>
          <cell r="Q273" t="str">
            <v>P2H, Start 18:15</v>
          </cell>
          <cell r="T273">
            <v>273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</row>
        <row r="274">
          <cell r="B274" t="str">
            <v>19  -  20</v>
          </cell>
          <cell r="C274" t="str">
            <v>OB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60</v>
          </cell>
          <cell r="O274">
            <v>0</v>
          </cell>
          <cell r="Q274" t="str">
            <v>Rain</v>
          </cell>
          <cell r="T274">
            <v>274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</row>
        <row r="275">
          <cell r="B275" t="str">
            <v>20  -  21</v>
          </cell>
          <cell r="C275" t="str">
            <v>OB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60</v>
          </cell>
          <cell r="O275">
            <v>0</v>
          </cell>
          <cell r="Q275" t="str">
            <v>Rain</v>
          </cell>
          <cell r="T275">
            <v>275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</row>
        <row r="276">
          <cell r="B276" t="str">
            <v>21  -  22</v>
          </cell>
          <cell r="C276" t="str">
            <v>OB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60</v>
          </cell>
          <cell r="O276">
            <v>0</v>
          </cell>
          <cell r="Q276" t="str">
            <v>Rain</v>
          </cell>
          <cell r="T276">
            <v>276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</row>
        <row r="277">
          <cell r="B277" t="str">
            <v>22  -  23</v>
          </cell>
          <cell r="C277" t="str">
            <v>OB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60</v>
          </cell>
          <cell r="O277">
            <v>0</v>
          </cell>
          <cell r="Q277" t="str">
            <v>Rain</v>
          </cell>
          <cell r="T277">
            <v>277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</row>
        <row r="278">
          <cell r="B278" t="str">
            <v>23  -  24</v>
          </cell>
          <cell r="C278" t="str">
            <v>OB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60</v>
          </cell>
          <cell r="Q278" t="str">
            <v>Slippery</v>
          </cell>
          <cell r="T278">
            <v>278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</row>
        <row r="279">
          <cell r="B279" t="str">
            <v>24  -  01</v>
          </cell>
          <cell r="C279" t="str">
            <v>OB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60</v>
          </cell>
          <cell r="Q279" t="str">
            <v>Slippery</v>
          </cell>
          <cell r="T279">
            <v>279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</row>
        <row r="280">
          <cell r="B280" t="str">
            <v>01  -  02</v>
          </cell>
          <cell r="C280" t="str">
            <v>OB</v>
          </cell>
          <cell r="D280">
            <v>266</v>
          </cell>
          <cell r="E280">
            <v>638.4</v>
          </cell>
          <cell r="F280">
            <v>0</v>
          </cell>
          <cell r="G280">
            <v>0</v>
          </cell>
          <cell r="H280">
            <v>7</v>
          </cell>
          <cell r="I280">
            <v>7</v>
          </cell>
          <cell r="J280">
            <v>25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35</v>
          </cell>
          <cell r="Q280" t="str">
            <v>Slippery, Start 01:35</v>
          </cell>
          <cell r="T280">
            <v>280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</row>
        <row r="281">
          <cell r="B281" t="str">
            <v>02  -  03</v>
          </cell>
          <cell r="C281" t="str">
            <v>OB</v>
          </cell>
          <cell r="D281">
            <v>456</v>
          </cell>
          <cell r="E281">
            <v>547.20000000000005</v>
          </cell>
          <cell r="F281">
            <v>0</v>
          </cell>
          <cell r="G281">
            <v>0</v>
          </cell>
          <cell r="H281">
            <v>9</v>
          </cell>
          <cell r="I281">
            <v>9</v>
          </cell>
          <cell r="J281">
            <v>50</v>
          </cell>
          <cell r="K281">
            <v>0</v>
          </cell>
          <cell r="L281">
            <v>10</v>
          </cell>
          <cell r="M281">
            <v>0</v>
          </cell>
          <cell r="N281">
            <v>0</v>
          </cell>
          <cell r="O281">
            <v>0</v>
          </cell>
          <cell r="Q281" t="str">
            <v>02:50, Rain</v>
          </cell>
          <cell r="T281">
            <v>281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</row>
        <row r="282">
          <cell r="B282" t="str">
            <v>03  -  04</v>
          </cell>
          <cell r="C282" t="str">
            <v>OB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60</v>
          </cell>
          <cell r="O282">
            <v>0</v>
          </cell>
          <cell r="Q282" t="str">
            <v>Rain</v>
          </cell>
          <cell r="T282">
            <v>282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</row>
        <row r="283">
          <cell r="B283" t="str">
            <v>04  -  05</v>
          </cell>
          <cell r="C283" t="str">
            <v>OB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60</v>
          </cell>
          <cell r="Q283" t="str">
            <v>Slippery</v>
          </cell>
          <cell r="T283">
            <v>283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</row>
        <row r="284">
          <cell r="B284" t="str">
            <v>05  -  06</v>
          </cell>
          <cell r="C284" t="str">
            <v>OB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60</v>
          </cell>
          <cell r="Q284" t="str">
            <v>Slippery</v>
          </cell>
          <cell r="T284">
            <v>284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</row>
        <row r="285">
          <cell r="B285" t="str">
            <v>06  -  07</v>
          </cell>
          <cell r="C285" t="str">
            <v>OB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30</v>
          </cell>
          <cell r="L285">
            <v>0</v>
          </cell>
          <cell r="M285">
            <v>0</v>
          </cell>
          <cell r="N285">
            <v>0</v>
          </cell>
          <cell r="O285">
            <v>30</v>
          </cell>
          <cell r="Q285" t="str">
            <v>Slippery</v>
          </cell>
          <cell r="T285">
            <v>285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</row>
        <row r="286">
          <cell r="B286" t="str">
            <v>RESUME</v>
          </cell>
          <cell r="C286" t="str">
            <v>PROD</v>
          </cell>
          <cell r="E286" t="str">
            <v>PROD'TY</v>
          </cell>
          <cell r="G286" t="str">
            <v>WORK HOURS</v>
          </cell>
          <cell r="J286" t="str">
            <v>LOST TIME</v>
          </cell>
          <cell r="L286" t="str">
            <v>DOWN</v>
          </cell>
          <cell r="M286" t="str">
            <v>PA</v>
          </cell>
          <cell r="O286" t="str">
            <v>UA PROD</v>
          </cell>
          <cell r="Q286" t="str">
            <v>OPERATOR</v>
          </cell>
          <cell r="R286" t="str">
            <v>GROUP LEADER</v>
          </cell>
          <cell r="T286">
            <v>286</v>
          </cell>
        </row>
        <row r="287">
          <cell r="B287" t="str">
            <v>GROUP</v>
          </cell>
          <cell r="C287" t="str">
            <v>WASTE</v>
          </cell>
          <cell r="D287" t="str">
            <v>CC</v>
          </cell>
          <cell r="E287" t="str">
            <v>WASTE</v>
          </cell>
          <cell r="F287" t="str">
            <v>CC</v>
          </cell>
          <cell r="G287" t="str">
            <v>WASTE</v>
          </cell>
          <cell r="H287" t="str">
            <v>CC</v>
          </cell>
          <cell r="I287" t="str">
            <v>GEN</v>
          </cell>
          <cell r="J287" t="str">
            <v>DELAY</v>
          </cell>
          <cell r="K287" t="str">
            <v>IDLE</v>
          </cell>
          <cell r="L287" t="str">
            <v>TIME</v>
          </cell>
          <cell r="M287" t="str">
            <v>PLAN</v>
          </cell>
          <cell r="N287" t="str">
            <v>ACT</v>
          </cell>
          <cell r="O287" t="str">
            <v>PLAN</v>
          </cell>
          <cell r="P287" t="str">
            <v>ACT</v>
          </cell>
          <cell r="T287">
            <v>287</v>
          </cell>
        </row>
        <row r="288">
          <cell r="B288" t="str">
            <v>Shift 1</v>
          </cell>
          <cell r="C288">
            <v>5016</v>
          </cell>
          <cell r="D288">
            <v>0</v>
          </cell>
          <cell r="E288">
            <v>898.38805970149258</v>
          </cell>
          <cell r="F288">
            <v>0</v>
          </cell>
          <cell r="G288">
            <v>5.583333333333333</v>
          </cell>
          <cell r="H288">
            <v>0</v>
          </cell>
          <cell r="I288">
            <v>0</v>
          </cell>
          <cell r="J288">
            <v>1.4166666666666667</v>
          </cell>
          <cell r="K288">
            <v>1</v>
          </cell>
          <cell r="L288">
            <v>0</v>
          </cell>
          <cell r="M288">
            <v>0.95</v>
          </cell>
          <cell r="N288">
            <v>1</v>
          </cell>
          <cell r="O288">
            <v>0.875</v>
          </cell>
          <cell r="P288">
            <v>0.69791666666666663</v>
          </cell>
          <cell r="Q288">
            <v>0</v>
          </cell>
          <cell r="R288">
            <v>0</v>
          </cell>
          <cell r="T288">
            <v>288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</row>
        <row r="289">
          <cell r="B289" t="str">
            <v>Shift 2</v>
          </cell>
          <cell r="C289">
            <v>1710</v>
          </cell>
          <cell r="D289">
            <v>0</v>
          </cell>
          <cell r="E289">
            <v>892.17391304347825</v>
          </cell>
          <cell r="F289">
            <v>0</v>
          </cell>
          <cell r="G289">
            <v>1.9166666666666667</v>
          </cell>
          <cell r="H289">
            <v>0</v>
          </cell>
          <cell r="I289">
            <v>0</v>
          </cell>
          <cell r="J289">
            <v>0.41666666666666669</v>
          </cell>
          <cell r="K289">
            <v>5.666666666666667</v>
          </cell>
          <cell r="L289">
            <v>0</v>
          </cell>
          <cell r="M289">
            <v>0.95</v>
          </cell>
          <cell r="N289">
            <v>1</v>
          </cell>
          <cell r="O289">
            <v>0.875</v>
          </cell>
          <cell r="P289">
            <v>0.23958333333333334</v>
          </cell>
          <cell r="Q289">
            <v>0</v>
          </cell>
          <cell r="R289">
            <v>0</v>
          </cell>
          <cell r="T289">
            <v>289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</row>
        <row r="290">
          <cell r="B290" t="str">
            <v>Shift 3</v>
          </cell>
          <cell r="C290">
            <v>722</v>
          </cell>
          <cell r="D290">
            <v>0</v>
          </cell>
          <cell r="E290">
            <v>577.6</v>
          </cell>
          <cell r="F290">
            <v>0</v>
          </cell>
          <cell r="G290">
            <v>1.25</v>
          </cell>
          <cell r="H290">
            <v>0</v>
          </cell>
          <cell r="I290">
            <v>0.5</v>
          </cell>
          <cell r="J290">
            <v>0.16666666666666666</v>
          </cell>
          <cell r="K290">
            <v>6.083333333333333</v>
          </cell>
          <cell r="L290">
            <v>0</v>
          </cell>
          <cell r="M290">
            <v>0.95</v>
          </cell>
          <cell r="N290">
            <v>1</v>
          </cell>
          <cell r="O290">
            <v>0.875</v>
          </cell>
          <cell r="P290">
            <v>0.21875</v>
          </cell>
          <cell r="Q290">
            <v>0</v>
          </cell>
          <cell r="R290">
            <v>0</v>
          </cell>
          <cell r="T290">
            <v>290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</row>
        <row r="291">
          <cell r="B291" t="str">
            <v>Shift 6</v>
          </cell>
          <cell r="C291">
            <v>6156</v>
          </cell>
          <cell r="D291">
            <v>0</v>
          </cell>
          <cell r="E291">
            <v>912</v>
          </cell>
          <cell r="F291">
            <v>0</v>
          </cell>
          <cell r="G291">
            <v>6.75</v>
          </cell>
          <cell r="H291">
            <v>0</v>
          </cell>
          <cell r="I291">
            <v>0</v>
          </cell>
          <cell r="J291">
            <v>1.5833333333333333</v>
          </cell>
          <cell r="K291">
            <v>2.6666666666666665</v>
          </cell>
          <cell r="L291">
            <v>0</v>
          </cell>
          <cell r="M291">
            <v>0.95</v>
          </cell>
          <cell r="N291">
            <v>1</v>
          </cell>
          <cell r="O291">
            <v>0.875</v>
          </cell>
          <cell r="P291">
            <v>0.61363636363636365</v>
          </cell>
          <cell r="Q291" t="str">
            <v>Hariyanto</v>
          </cell>
          <cell r="R291" t="str">
            <v>Bardono</v>
          </cell>
          <cell r="T291">
            <v>291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</row>
        <row r="292">
          <cell r="B292" t="str">
            <v>Shift 7</v>
          </cell>
          <cell r="C292">
            <v>1292</v>
          </cell>
          <cell r="D292">
            <v>0</v>
          </cell>
          <cell r="E292">
            <v>646</v>
          </cell>
          <cell r="F292">
            <v>0</v>
          </cell>
          <cell r="G292">
            <v>2</v>
          </cell>
          <cell r="H292">
            <v>0</v>
          </cell>
          <cell r="I292">
            <v>0.5</v>
          </cell>
          <cell r="J292">
            <v>0.41666666666666669</v>
          </cell>
          <cell r="K292">
            <v>10.083333333333334</v>
          </cell>
          <cell r="L292">
            <v>0</v>
          </cell>
          <cell r="M292">
            <v>0.95</v>
          </cell>
          <cell r="N292">
            <v>1</v>
          </cell>
          <cell r="O292">
            <v>0.875</v>
          </cell>
          <cell r="P292">
            <v>0.19230769230769232</v>
          </cell>
          <cell r="Q292" t="str">
            <v>Kristinus</v>
          </cell>
          <cell r="R292" t="str">
            <v>Saepudin</v>
          </cell>
          <cell r="T292">
            <v>292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</row>
        <row r="293">
          <cell r="B293" t="str">
            <v>TOTAL</v>
          </cell>
          <cell r="C293">
            <v>7448</v>
          </cell>
          <cell r="D293">
            <v>0</v>
          </cell>
          <cell r="E293">
            <v>851.2</v>
          </cell>
          <cell r="F293">
            <v>0</v>
          </cell>
          <cell r="G293">
            <v>8.75</v>
          </cell>
          <cell r="H293">
            <v>0</v>
          </cell>
          <cell r="I293">
            <v>0.5</v>
          </cell>
          <cell r="J293">
            <v>2</v>
          </cell>
          <cell r="K293">
            <v>12.75</v>
          </cell>
          <cell r="L293">
            <v>0</v>
          </cell>
          <cell r="M293">
            <v>0.95</v>
          </cell>
          <cell r="N293">
            <v>1</v>
          </cell>
          <cell r="O293">
            <v>0.875</v>
          </cell>
          <cell r="P293">
            <v>0.38541666666666669</v>
          </cell>
          <cell r="Q293" t="str">
            <v>Hiras Silaban</v>
          </cell>
          <cell r="R293" t="str">
            <v>Fresye A L</v>
          </cell>
          <cell r="T293">
            <v>293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</row>
        <row r="294">
          <cell r="T294">
            <v>294</v>
          </cell>
        </row>
        <row r="295">
          <cell r="B295" t="str">
            <v>TIME</v>
          </cell>
          <cell r="C295" t="str">
            <v>WASTE</v>
          </cell>
          <cell r="D295" t="str">
            <v>EX711</v>
          </cell>
          <cell r="E295" t="str">
            <v>TYPE</v>
          </cell>
          <cell r="F295" t="str">
            <v>PC 3000</v>
          </cell>
          <cell r="H295" t="str">
            <v>Plan Prod'ty :</v>
          </cell>
          <cell r="J295">
            <v>1000</v>
          </cell>
          <cell r="M295" t="str">
            <v>Distance :</v>
          </cell>
          <cell r="O295">
            <v>3.8595494266187251</v>
          </cell>
          <cell r="T295">
            <v>295</v>
          </cell>
          <cell r="U295" t="str">
            <v>EX711</v>
          </cell>
        </row>
        <row r="296">
          <cell r="C296" t="str">
            <v>MAT</v>
          </cell>
          <cell r="D296" t="str">
            <v>PROD</v>
          </cell>
          <cell r="E296" t="str">
            <v>PROD'TY</v>
          </cell>
          <cell r="F296" t="str">
            <v>Q'TY DT</v>
          </cell>
          <cell r="J296" t="str">
            <v>HOURS</v>
          </cell>
          <cell r="Q296" t="str">
            <v>REMARK PRODUKTIVITAS</v>
          </cell>
          <cell r="T296">
            <v>296</v>
          </cell>
          <cell r="U296" t="str">
            <v>ROM</v>
          </cell>
          <cell r="V296" t="str">
            <v>Crush1</v>
          </cell>
          <cell r="W296" t="str">
            <v>Crush2</v>
          </cell>
          <cell r="X296" t="str">
            <v>Crush3</v>
          </cell>
          <cell r="Y296" t="str">
            <v>Crush4</v>
          </cell>
          <cell r="Z296" t="str">
            <v>Crush5</v>
          </cell>
          <cell r="AA296" t="str">
            <v>Crush6</v>
          </cell>
        </row>
        <row r="297">
          <cell r="E297" t="str">
            <v>( By work )</v>
          </cell>
          <cell r="F297" t="str">
            <v>730E</v>
          </cell>
          <cell r="G297" t="str">
            <v>1500</v>
          </cell>
          <cell r="H297" t="str">
            <v>785</v>
          </cell>
          <cell r="I297" t="str">
            <v>Total</v>
          </cell>
          <cell r="J297" t="str">
            <v>Work</v>
          </cell>
          <cell r="K297" t="str">
            <v>General</v>
          </cell>
          <cell r="L297" t="str">
            <v>Delay</v>
          </cell>
          <cell r="M297" t="str">
            <v>Idle</v>
          </cell>
          <cell r="N297" t="str">
            <v>Rain</v>
          </cell>
          <cell r="O297" t="str">
            <v>Slipp</v>
          </cell>
          <cell r="P297" t="str">
            <v>B/D</v>
          </cell>
          <cell r="T297">
            <v>297</v>
          </cell>
        </row>
        <row r="298">
          <cell r="B298" t="str">
            <v>07  - 08</v>
          </cell>
          <cell r="C298" t="str">
            <v>OB</v>
          </cell>
          <cell r="D298">
            <v>756</v>
          </cell>
          <cell r="E298">
            <v>756</v>
          </cell>
          <cell r="F298">
            <v>0</v>
          </cell>
          <cell r="G298">
            <v>2</v>
          </cell>
          <cell r="H298">
            <v>7</v>
          </cell>
          <cell r="I298">
            <v>9</v>
          </cell>
          <cell r="J298">
            <v>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Q298">
            <v>0</v>
          </cell>
          <cell r="T298">
            <v>298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</row>
        <row r="299">
          <cell r="B299" t="str">
            <v>08  - 09</v>
          </cell>
          <cell r="C299" t="str">
            <v>OB</v>
          </cell>
          <cell r="D299">
            <v>756</v>
          </cell>
          <cell r="E299">
            <v>756</v>
          </cell>
          <cell r="F299">
            <v>0</v>
          </cell>
          <cell r="G299">
            <v>2</v>
          </cell>
          <cell r="H299">
            <v>7</v>
          </cell>
          <cell r="I299">
            <v>9</v>
          </cell>
          <cell r="J299">
            <v>60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Q299">
            <v>0</v>
          </cell>
          <cell r="T299">
            <v>299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</row>
        <row r="300">
          <cell r="B300" t="str">
            <v>09  - 10</v>
          </cell>
          <cell r="C300" t="str">
            <v>OB</v>
          </cell>
          <cell r="D300">
            <v>1096</v>
          </cell>
          <cell r="E300">
            <v>1096</v>
          </cell>
          <cell r="F300">
            <v>0</v>
          </cell>
          <cell r="G300">
            <v>2</v>
          </cell>
          <cell r="H300">
            <v>7</v>
          </cell>
          <cell r="I300">
            <v>9</v>
          </cell>
          <cell r="J300">
            <v>60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Q300">
            <v>0</v>
          </cell>
          <cell r="T300">
            <v>300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</row>
        <row r="301">
          <cell r="B301" t="str">
            <v>10  - 11</v>
          </cell>
          <cell r="C301" t="str">
            <v>OB</v>
          </cell>
          <cell r="D301">
            <v>1248</v>
          </cell>
          <cell r="E301">
            <v>1248</v>
          </cell>
          <cell r="F301">
            <v>0</v>
          </cell>
          <cell r="G301">
            <v>2</v>
          </cell>
          <cell r="H301">
            <v>7</v>
          </cell>
          <cell r="I301">
            <v>9</v>
          </cell>
          <cell r="J301">
            <v>60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Q301">
            <v>0</v>
          </cell>
          <cell r="T301">
            <v>301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</row>
        <row r="302">
          <cell r="B302" t="str">
            <v>11  - 12</v>
          </cell>
          <cell r="C302" t="str">
            <v>OB</v>
          </cell>
          <cell r="D302">
            <v>1020</v>
          </cell>
          <cell r="E302">
            <v>1020</v>
          </cell>
          <cell r="F302">
            <v>0</v>
          </cell>
          <cell r="G302">
            <v>2</v>
          </cell>
          <cell r="H302">
            <v>7</v>
          </cell>
          <cell r="I302">
            <v>9</v>
          </cell>
          <cell r="J302">
            <v>60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Q302">
            <v>0</v>
          </cell>
          <cell r="T302">
            <v>302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</row>
        <row r="303">
          <cell r="B303" t="str">
            <v>12  - 13</v>
          </cell>
          <cell r="C303" t="str">
            <v>OB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60</v>
          </cell>
          <cell r="M303">
            <v>0</v>
          </cell>
          <cell r="N303">
            <v>0</v>
          </cell>
          <cell r="O303">
            <v>0</v>
          </cell>
          <cell r="Q303" t="str">
            <v>Rest Time</v>
          </cell>
          <cell r="T303">
            <v>303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</row>
        <row r="304">
          <cell r="B304" t="str">
            <v>13  -  14</v>
          </cell>
          <cell r="C304" t="str">
            <v>OB</v>
          </cell>
          <cell r="D304">
            <v>1040</v>
          </cell>
          <cell r="E304">
            <v>1040</v>
          </cell>
          <cell r="F304">
            <v>0</v>
          </cell>
          <cell r="G304">
            <v>2</v>
          </cell>
          <cell r="H304">
            <v>7</v>
          </cell>
          <cell r="I304">
            <v>9</v>
          </cell>
          <cell r="J304">
            <v>60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Q304">
            <v>0</v>
          </cell>
          <cell r="T304">
            <v>304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</row>
        <row r="305">
          <cell r="B305" t="str">
            <v>14  -  15</v>
          </cell>
          <cell r="C305" t="str">
            <v>OB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60</v>
          </cell>
          <cell r="O305">
            <v>0</v>
          </cell>
          <cell r="Q305" t="str">
            <v>Rain</v>
          </cell>
          <cell r="T305">
            <v>305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</row>
        <row r="306">
          <cell r="B306" t="str">
            <v>15  -  16</v>
          </cell>
          <cell r="C306" t="str">
            <v>OB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60</v>
          </cell>
          <cell r="Q306" t="str">
            <v>Slippery</v>
          </cell>
          <cell r="T306">
            <v>306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</row>
        <row r="307">
          <cell r="B307" t="str">
            <v>16  -  17</v>
          </cell>
          <cell r="C307" t="str">
            <v>OB</v>
          </cell>
          <cell r="D307">
            <v>340</v>
          </cell>
          <cell r="E307">
            <v>1020</v>
          </cell>
          <cell r="F307">
            <v>0</v>
          </cell>
          <cell r="G307">
            <v>2</v>
          </cell>
          <cell r="H307">
            <v>7</v>
          </cell>
          <cell r="I307">
            <v>9</v>
          </cell>
          <cell r="J307">
            <v>20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40</v>
          </cell>
          <cell r="Q307" t="str">
            <v>Slippery Start 16:40</v>
          </cell>
          <cell r="T307">
            <v>307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</row>
        <row r="308">
          <cell r="B308" t="str">
            <v>17  -  18</v>
          </cell>
          <cell r="C308" t="str">
            <v>OB</v>
          </cell>
          <cell r="D308">
            <v>756</v>
          </cell>
          <cell r="E308">
            <v>907.2</v>
          </cell>
          <cell r="F308">
            <v>0</v>
          </cell>
          <cell r="G308">
            <v>2</v>
          </cell>
          <cell r="H308">
            <v>7</v>
          </cell>
          <cell r="I308">
            <v>9</v>
          </cell>
          <cell r="J308">
            <v>50</v>
          </cell>
          <cell r="K308">
            <v>0</v>
          </cell>
          <cell r="L308">
            <v>10</v>
          </cell>
          <cell r="M308">
            <v>0</v>
          </cell>
          <cell r="N308">
            <v>0</v>
          </cell>
          <cell r="O308">
            <v>0</v>
          </cell>
          <cell r="Q308" t="str">
            <v>Shift Change</v>
          </cell>
          <cell r="T308">
            <v>308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</row>
        <row r="309">
          <cell r="B309" t="str">
            <v>18  -  19</v>
          </cell>
          <cell r="C309" t="str">
            <v>OB</v>
          </cell>
          <cell r="D309">
            <v>284</v>
          </cell>
          <cell r="E309">
            <v>568</v>
          </cell>
          <cell r="F309">
            <v>0</v>
          </cell>
          <cell r="G309">
            <v>1</v>
          </cell>
          <cell r="H309">
            <v>6</v>
          </cell>
          <cell r="I309">
            <v>7</v>
          </cell>
          <cell r="J309">
            <v>30</v>
          </cell>
          <cell r="K309">
            <v>0</v>
          </cell>
          <cell r="L309">
            <v>30</v>
          </cell>
          <cell r="M309">
            <v>0</v>
          </cell>
          <cell r="N309">
            <v>0</v>
          </cell>
          <cell r="O309">
            <v>0</v>
          </cell>
          <cell r="Q309" t="str">
            <v>P2h, Start 18:10</v>
          </cell>
          <cell r="T309">
            <v>309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</row>
        <row r="310">
          <cell r="B310" t="str">
            <v>19  -  20</v>
          </cell>
          <cell r="C310" t="str">
            <v>OB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60</v>
          </cell>
          <cell r="O310">
            <v>0</v>
          </cell>
          <cell r="Q310" t="str">
            <v>Rain</v>
          </cell>
          <cell r="T310">
            <v>310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</row>
        <row r="311">
          <cell r="B311" t="str">
            <v>20  -  21</v>
          </cell>
          <cell r="C311" t="str">
            <v>OB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60</v>
          </cell>
          <cell r="O311">
            <v>0</v>
          </cell>
          <cell r="Q311" t="str">
            <v>Rain</v>
          </cell>
          <cell r="T311">
            <v>311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</row>
        <row r="312">
          <cell r="B312" t="str">
            <v>21  -  22</v>
          </cell>
          <cell r="C312" t="str">
            <v>OB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60</v>
          </cell>
          <cell r="O312">
            <v>0</v>
          </cell>
          <cell r="Q312" t="str">
            <v>Rain</v>
          </cell>
          <cell r="T312">
            <v>312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</row>
        <row r="313">
          <cell r="B313" t="str">
            <v>22  -  23</v>
          </cell>
          <cell r="C313" t="str">
            <v>OB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60</v>
          </cell>
          <cell r="O313">
            <v>0</v>
          </cell>
          <cell r="Q313" t="str">
            <v>Rain</v>
          </cell>
          <cell r="T313">
            <v>313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</row>
        <row r="314">
          <cell r="B314" t="str">
            <v>23  -  24</v>
          </cell>
          <cell r="C314" t="str">
            <v>OB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60</v>
          </cell>
          <cell r="Q314" t="str">
            <v>Slippery</v>
          </cell>
          <cell r="T314">
            <v>314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</row>
        <row r="315">
          <cell r="B315" t="str">
            <v>24  -  01</v>
          </cell>
          <cell r="C315" t="str">
            <v>OB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60</v>
          </cell>
          <cell r="Q315" t="str">
            <v>Slippery</v>
          </cell>
          <cell r="T315">
            <v>315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</row>
        <row r="316">
          <cell r="B316" t="str">
            <v>01  -  02</v>
          </cell>
          <cell r="C316" t="str">
            <v>OB</v>
          </cell>
          <cell r="D316">
            <v>378</v>
          </cell>
          <cell r="E316">
            <v>648</v>
          </cell>
          <cell r="F316">
            <v>0</v>
          </cell>
          <cell r="G316">
            <v>2</v>
          </cell>
          <cell r="H316">
            <v>5</v>
          </cell>
          <cell r="I316">
            <v>7</v>
          </cell>
          <cell r="J316">
            <v>35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25</v>
          </cell>
          <cell r="Q316" t="str">
            <v>Slippery, Start 01:25</v>
          </cell>
          <cell r="T316">
            <v>316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</row>
        <row r="317">
          <cell r="B317" t="str">
            <v>02  -  03</v>
          </cell>
          <cell r="C317" t="str">
            <v>OB</v>
          </cell>
          <cell r="D317">
            <v>850</v>
          </cell>
          <cell r="E317">
            <v>1020</v>
          </cell>
          <cell r="F317">
            <v>0</v>
          </cell>
          <cell r="G317">
            <v>2</v>
          </cell>
          <cell r="H317">
            <v>5</v>
          </cell>
          <cell r="I317">
            <v>7</v>
          </cell>
          <cell r="J317">
            <v>50</v>
          </cell>
          <cell r="K317">
            <v>0</v>
          </cell>
          <cell r="L317">
            <v>0</v>
          </cell>
          <cell r="M317">
            <v>0</v>
          </cell>
          <cell r="N317">
            <v>10</v>
          </cell>
          <cell r="O317">
            <v>0</v>
          </cell>
          <cell r="Q317" t="str">
            <v>Rain 02:50</v>
          </cell>
          <cell r="T317">
            <v>317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</row>
        <row r="318">
          <cell r="B318" t="str">
            <v>03  -  04</v>
          </cell>
          <cell r="C318" t="str">
            <v>OB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60</v>
          </cell>
          <cell r="O318">
            <v>0</v>
          </cell>
          <cell r="Q318" t="str">
            <v>Rain</v>
          </cell>
          <cell r="T318">
            <v>318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</row>
        <row r="319">
          <cell r="B319" t="str">
            <v>04  -  05</v>
          </cell>
          <cell r="C319" t="str">
            <v>OB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60</v>
          </cell>
          <cell r="Q319" t="str">
            <v>Slippery</v>
          </cell>
          <cell r="T319">
            <v>319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</row>
        <row r="320">
          <cell r="B320" t="str">
            <v>05  -  06</v>
          </cell>
          <cell r="C320" t="str">
            <v>OB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60</v>
          </cell>
          <cell r="Q320" t="str">
            <v>Slippery</v>
          </cell>
          <cell r="T320">
            <v>320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</row>
        <row r="321">
          <cell r="B321" t="str">
            <v>06  -  07</v>
          </cell>
          <cell r="C321" t="str">
            <v>OB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60</v>
          </cell>
          <cell r="Q321" t="str">
            <v>Slippery</v>
          </cell>
          <cell r="T321">
            <v>321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</row>
        <row r="322">
          <cell r="B322" t="str">
            <v>RESUME</v>
          </cell>
          <cell r="C322" t="str">
            <v>PROD</v>
          </cell>
          <cell r="E322" t="str">
            <v>PROD'TY</v>
          </cell>
          <cell r="G322" t="str">
            <v>WORK HOURS</v>
          </cell>
          <cell r="J322" t="str">
            <v>LOST TIME</v>
          </cell>
          <cell r="L322" t="str">
            <v>DOWN</v>
          </cell>
          <cell r="M322" t="str">
            <v>PA</v>
          </cell>
          <cell r="O322" t="str">
            <v>UA PROD</v>
          </cell>
          <cell r="Q322" t="str">
            <v>OPERATOR</v>
          </cell>
          <cell r="R322" t="str">
            <v>GROUP LEADER</v>
          </cell>
          <cell r="T322">
            <v>322</v>
          </cell>
        </row>
        <row r="323">
          <cell r="B323" t="str">
            <v>GROUP</v>
          </cell>
          <cell r="C323" t="str">
            <v>WASTE</v>
          </cell>
          <cell r="D323" t="str">
            <v>CC</v>
          </cell>
          <cell r="E323" t="str">
            <v>WASTE</v>
          </cell>
          <cell r="F323" t="str">
            <v>CC</v>
          </cell>
          <cell r="G323" t="str">
            <v>WASTE</v>
          </cell>
          <cell r="H323" t="str">
            <v>CC</v>
          </cell>
          <cell r="I323" t="str">
            <v>GEN</v>
          </cell>
          <cell r="J323" t="str">
            <v>DELAY</v>
          </cell>
          <cell r="K323" t="str">
            <v>IDLE</v>
          </cell>
          <cell r="L323" t="str">
            <v>TIME</v>
          </cell>
          <cell r="M323" t="str">
            <v>PLAN</v>
          </cell>
          <cell r="N323" t="str">
            <v>ACT</v>
          </cell>
          <cell r="O323" t="str">
            <v>PLAN</v>
          </cell>
          <cell r="P323" t="str">
            <v>ACT</v>
          </cell>
          <cell r="T323">
            <v>323</v>
          </cell>
        </row>
        <row r="324">
          <cell r="B324" t="str">
            <v>Shift 1</v>
          </cell>
          <cell r="C324">
            <v>5916</v>
          </cell>
          <cell r="D324">
            <v>0</v>
          </cell>
          <cell r="E324">
            <v>986</v>
          </cell>
          <cell r="F324">
            <v>0</v>
          </cell>
          <cell r="G324">
            <v>6</v>
          </cell>
          <cell r="H324">
            <v>0</v>
          </cell>
          <cell r="I324">
            <v>0</v>
          </cell>
          <cell r="J324">
            <v>1</v>
          </cell>
          <cell r="K324">
            <v>1</v>
          </cell>
          <cell r="L324">
            <v>0</v>
          </cell>
          <cell r="M324">
            <v>0.95</v>
          </cell>
          <cell r="N324">
            <v>1</v>
          </cell>
          <cell r="O324">
            <v>0.875</v>
          </cell>
          <cell r="P324">
            <v>0.75</v>
          </cell>
          <cell r="Q324">
            <v>0</v>
          </cell>
          <cell r="R324">
            <v>0</v>
          </cell>
          <cell r="T324">
            <v>324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</row>
        <row r="325">
          <cell r="B325" t="str">
            <v>Shift 2</v>
          </cell>
          <cell r="C325">
            <v>1380</v>
          </cell>
          <cell r="D325">
            <v>0</v>
          </cell>
          <cell r="E325">
            <v>828</v>
          </cell>
          <cell r="F325">
            <v>0</v>
          </cell>
          <cell r="G325">
            <v>1.6666666666666667</v>
          </cell>
          <cell r="H325">
            <v>0</v>
          </cell>
          <cell r="I325">
            <v>0</v>
          </cell>
          <cell r="J325">
            <v>0.66666666666666663</v>
          </cell>
          <cell r="K325">
            <v>5.666666666666667</v>
          </cell>
          <cell r="L325">
            <v>0</v>
          </cell>
          <cell r="M325">
            <v>0.95</v>
          </cell>
          <cell r="N325">
            <v>1</v>
          </cell>
          <cell r="O325">
            <v>0.875</v>
          </cell>
          <cell r="P325">
            <v>0.20833333333333334</v>
          </cell>
          <cell r="Q325">
            <v>0</v>
          </cell>
          <cell r="R325">
            <v>0</v>
          </cell>
          <cell r="T325">
            <v>325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</row>
        <row r="326">
          <cell r="B326" t="str">
            <v>Shift 3</v>
          </cell>
          <cell r="C326">
            <v>1228</v>
          </cell>
          <cell r="D326">
            <v>0</v>
          </cell>
          <cell r="E326">
            <v>866.82352941176464</v>
          </cell>
          <cell r="F326">
            <v>0</v>
          </cell>
          <cell r="G326">
            <v>1.4166666666666667</v>
          </cell>
          <cell r="H326">
            <v>0</v>
          </cell>
          <cell r="I326">
            <v>0</v>
          </cell>
          <cell r="J326">
            <v>0</v>
          </cell>
          <cell r="K326">
            <v>6.583333333333333</v>
          </cell>
          <cell r="L326">
            <v>0</v>
          </cell>
          <cell r="M326">
            <v>0.95</v>
          </cell>
          <cell r="N326">
            <v>1</v>
          </cell>
          <cell r="O326">
            <v>0.875</v>
          </cell>
          <cell r="P326">
            <v>0.17708333333333334</v>
          </cell>
          <cell r="Q326">
            <v>0</v>
          </cell>
          <cell r="R326">
            <v>0</v>
          </cell>
          <cell r="T326">
            <v>326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</row>
        <row r="327">
          <cell r="B327" t="str">
            <v>Shift 6</v>
          </cell>
          <cell r="C327">
            <v>7012</v>
          </cell>
          <cell r="D327">
            <v>0</v>
          </cell>
          <cell r="E327">
            <v>978.4186046511627</v>
          </cell>
          <cell r="F327">
            <v>0</v>
          </cell>
          <cell r="G327">
            <v>7.166666666666667</v>
          </cell>
          <cell r="H327">
            <v>0</v>
          </cell>
          <cell r="I327">
            <v>0</v>
          </cell>
          <cell r="J327">
            <v>1.1666666666666667</v>
          </cell>
          <cell r="K327">
            <v>2.6666666666666665</v>
          </cell>
          <cell r="L327">
            <v>0</v>
          </cell>
          <cell r="M327">
            <v>0.95</v>
          </cell>
          <cell r="N327">
            <v>1</v>
          </cell>
          <cell r="O327">
            <v>0.875</v>
          </cell>
          <cell r="P327">
            <v>0.65151515151515149</v>
          </cell>
          <cell r="Q327" t="str">
            <v>Ramses Pangaribuan</v>
          </cell>
          <cell r="R327" t="str">
            <v>Bardono</v>
          </cell>
          <cell r="T327">
            <v>327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</row>
        <row r="328">
          <cell r="B328" t="str">
            <v>Shift 7</v>
          </cell>
          <cell r="C328">
            <v>1512</v>
          </cell>
          <cell r="D328">
            <v>0</v>
          </cell>
          <cell r="E328">
            <v>788.86956521739125</v>
          </cell>
          <cell r="F328">
            <v>0</v>
          </cell>
          <cell r="G328">
            <v>1.9166666666666667</v>
          </cell>
          <cell r="H328">
            <v>0</v>
          </cell>
          <cell r="I328">
            <v>0</v>
          </cell>
          <cell r="J328">
            <v>0.5</v>
          </cell>
          <cell r="K328">
            <v>10.583333333333334</v>
          </cell>
          <cell r="L328">
            <v>0</v>
          </cell>
          <cell r="M328">
            <v>0.95</v>
          </cell>
          <cell r="N328">
            <v>1</v>
          </cell>
          <cell r="O328">
            <v>0.875</v>
          </cell>
          <cell r="P328">
            <v>0.14743589743589744</v>
          </cell>
          <cell r="Q328" t="str">
            <v>Edi manik</v>
          </cell>
          <cell r="R328" t="str">
            <v>Saepudin</v>
          </cell>
          <cell r="T328">
            <v>328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</row>
        <row r="329">
          <cell r="B329" t="str">
            <v>TOTAL</v>
          </cell>
          <cell r="C329">
            <v>8524</v>
          </cell>
          <cell r="D329">
            <v>0</v>
          </cell>
          <cell r="E329">
            <v>938.42201834862374</v>
          </cell>
          <cell r="F329">
            <v>0</v>
          </cell>
          <cell r="G329">
            <v>9.0833333333333339</v>
          </cell>
          <cell r="H329">
            <v>0</v>
          </cell>
          <cell r="I329">
            <v>0</v>
          </cell>
          <cell r="J329">
            <v>1.6666666666666667</v>
          </cell>
          <cell r="K329">
            <v>13.25</v>
          </cell>
          <cell r="L329">
            <v>0</v>
          </cell>
          <cell r="M329">
            <v>0.95</v>
          </cell>
          <cell r="N329">
            <v>1</v>
          </cell>
          <cell r="O329">
            <v>0.875</v>
          </cell>
          <cell r="P329">
            <v>0.37847222222222227</v>
          </cell>
          <cell r="Q329" t="str">
            <v>Hiras Silaban</v>
          </cell>
          <cell r="R329" t="str">
            <v>Fresye A L</v>
          </cell>
          <cell r="T329">
            <v>329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</row>
        <row r="330">
          <cell r="T330">
            <v>330</v>
          </cell>
        </row>
        <row r="331">
          <cell r="B331" t="str">
            <v>TIME</v>
          </cell>
          <cell r="C331" t="str">
            <v>WASTE</v>
          </cell>
          <cell r="D331" t="str">
            <v>EX1001</v>
          </cell>
          <cell r="E331" t="str">
            <v>TYPE</v>
          </cell>
          <cell r="F331" t="str">
            <v>PC 1250</v>
          </cell>
          <cell r="H331" t="str">
            <v>Plan Prod'ty :</v>
          </cell>
          <cell r="J331">
            <v>500</v>
          </cell>
          <cell r="M331" t="str">
            <v>Distance :</v>
          </cell>
          <cell r="O331">
            <v>3.7960891787474975</v>
          </cell>
          <cell r="T331">
            <v>331</v>
          </cell>
          <cell r="U331" t="str">
            <v>EX1001</v>
          </cell>
        </row>
        <row r="332">
          <cell r="C332" t="str">
            <v>MAT</v>
          </cell>
          <cell r="D332" t="str">
            <v>PROD</v>
          </cell>
          <cell r="E332" t="str">
            <v>PROD'TY</v>
          </cell>
          <cell r="F332" t="str">
            <v>Q'TY DT</v>
          </cell>
          <cell r="J332" t="str">
            <v>HOURS</v>
          </cell>
          <cell r="Q332" t="str">
            <v>REMARK PRODUKTIVITAS</v>
          </cell>
          <cell r="T332">
            <v>332</v>
          </cell>
          <cell r="U332" t="str">
            <v>ROM</v>
          </cell>
          <cell r="V332" t="str">
            <v>Crush1</v>
          </cell>
          <cell r="W332" t="str">
            <v>Crush2</v>
          </cell>
          <cell r="X332" t="str">
            <v>Crush3</v>
          </cell>
          <cell r="Y332" t="str">
            <v>Crush4</v>
          </cell>
          <cell r="Z332" t="str">
            <v>Crush5</v>
          </cell>
          <cell r="AA332" t="str">
            <v>Crush6</v>
          </cell>
        </row>
        <row r="333">
          <cell r="E333" t="str">
            <v>( By work )</v>
          </cell>
          <cell r="F333" t="str">
            <v>785</v>
          </cell>
          <cell r="G333" t="str">
            <v>785-CB</v>
          </cell>
          <cell r="H333" t="str">
            <v>A40/HM</v>
          </cell>
          <cell r="I333" t="str">
            <v>Total</v>
          </cell>
          <cell r="J333" t="str">
            <v>Work</v>
          </cell>
          <cell r="K333" t="str">
            <v>General</v>
          </cell>
          <cell r="L333" t="str">
            <v>Delay</v>
          </cell>
          <cell r="M333" t="str">
            <v>Idle</v>
          </cell>
          <cell r="N333" t="str">
            <v>Rain</v>
          </cell>
          <cell r="O333" t="str">
            <v>Slipp</v>
          </cell>
          <cell r="P333" t="str">
            <v>B/D</v>
          </cell>
          <cell r="T333">
            <v>333</v>
          </cell>
        </row>
        <row r="334">
          <cell r="B334" t="str">
            <v>07  - 08</v>
          </cell>
          <cell r="C334" t="str">
            <v>OB</v>
          </cell>
          <cell r="D334">
            <v>266</v>
          </cell>
          <cell r="E334">
            <v>532</v>
          </cell>
          <cell r="F334">
            <v>5</v>
          </cell>
          <cell r="G334">
            <v>0</v>
          </cell>
          <cell r="H334">
            <v>0</v>
          </cell>
          <cell r="I334">
            <v>5</v>
          </cell>
          <cell r="J334">
            <v>30</v>
          </cell>
          <cell r="K334">
            <v>0</v>
          </cell>
          <cell r="L334">
            <v>30</v>
          </cell>
          <cell r="M334">
            <v>0</v>
          </cell>
          <cell r="N334">
            <v>0</v>
          </cell>
          <cell r="O334">
            <v>0</v>
          </cell>
          <cell r="Q334" t="str">
            <v>Waiting Operator, P2H Start 07:30</v>
          </cell>
          <cell r="T334">
            <v>334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</row>
        <row r="335">
          <cell r="B335" t="str">
            <v>08  - 09</v>
          </cell>
          <cell r="C335" t="str">
            <v>OB</v>
          </cell>
          <cell r="D335">
            <v>380</v>
          </cell>
          <cell r="E335">
            <v>380</v>
          </cell>
          <cell r="F335">
            <v>5</v>
          </cell>
          <cell r="G335">
            <v>0</v>
          </cell>
          <cell r="H335">
            <v>0</v>
          </cell>
          <cell r="I335">
            <v>5</v>
          </cell>
          <cell r="J335">
            <v>60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Q335">
            <v>0</v>
          </cell>
          <cell r="T335">
            <v>335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</row>
        <row r="336">
          <cell r="B336" t="str">
            <v>09  - 10</v>
          </cell>
          <cell r="C336" t="str">
            <v>OB</v>
          </cell>
          <cell r="D336">
            <v>418</v>
          </cell>
          <cell r="E336">
            <v>418</v>
          </cell>
          <cell r="F336">
            <v>5</v>
          </cell>
          <cell r="G336">
            <v>0</v>
          </cell>
          <cell r="H336">
            <v>0</v>
          </cell>
          <cell r="I336">
            <v>5</v>
          </cell>
          <cell r="J336">
            <v>60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Q336">
            <v>0</v>
          </cell>
          <cell r="T336">
            <v>336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</row>
        <row r="337">
          <cell r="B337" t="str">
            <v>10  - 11</v>
          </cell>
          <cell r="C337" t="str">
            <v>OB</v>
          </cell>
          <cell r="D337">
            <v>266</v>
          </cell>
          <cell r="E337">
            <v>399</v>
          </cell>
          <cell r="F337">
            <v>5</v>
          </cell>
          <cell r="G337">
            <v>0</v>
          </cell>
          <cell r="H337">
            <v>0</v>
          </cell>
          <cell r="I337">
            <v>5</v>
          </cell>
          <cell r="J337">
            <v>40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20</v>
          </cell>
          <cell r="Q337" t="str">
            <v>10:05 RFU 10:25 Repair Radio Komunikasi</v>
          </cell>
          <cell r="T337">
            <v>337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</row>
        <row r="338">
          <cell r="B338" t="str">
            <v>11  - 12</v>
          </cell>
          <cell r="C338" t="str">
            <v>OB</v>
          </cell>
          <cell r="D338">
            <v>380</v>
          </cell>
          <cell r="E338">
            <v>380</v>
          </cell>
          <cell r="F338">
            <v>5</v>
          </cell>
          <cell r="G338">
            <v>0</v>
          </cell>
          <cell r="H338">
            <v>0</v>
          </cell>
          <cell r="I338">
            <v>5</v>
          </cell>
          <cell r="J338">
            <v>60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Q338">
            <v>0</v>
          </cell>
          <cell r="T338">
            <v>338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</row>
        <row r="339">
          <cell r="B339" t="str">
            <v>12  - 13</v>
          </cell>
          <cell r="C339" t="str">
            <v>OB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60</v>
          </cell>
          <cell r="M339">
            <v>0</v>
          </cell>
          <cell r="N339">
            <v>0</v>
          </cell>
          <cell r="O339">
            <v>0</v>
          </cell>
          <cell r="Q339" t="str">
            <v>Rest Time</v>
          </cell>
          <cell r="T339">
            <v>339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</row>
        <row r="340">
          <cell r="B340" t="str">
            <v>13  -  14</v>
          </cell>
          <cell r="C340" t="str">
            <v>OB</v>
          </cell>
          <cell r="D340">
            <v>380</v>
          </cell>
          <cell r="E340">
            <v>380</v>
          </cell>
          <cell r="F340">
            <v>5</v>
          </cell>
          <cell r="G340">
            <v>0</v>
          </cell>
          <cell r="H340">
            <v>0</v>
          </cell>
          <cell r="I340">
            <v>5</v>
          </cell>
          <cell r="J340">
            <v>60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Q340">
            <v>0</v>
          </cell>
          <cell r="T340">
            <v>340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</row>
        <row r="341">
          <cell r="B341" t="str">
            <v>14  -  15</v>
          </cell>
          <cell r="C341" t="str">
            <v>OB</v>
          </cell>
          <cell r="D341">
            <v>76</v>
          </cell>
          <cell r="E341">
            <v>456</v>
          </cell>
          <cell r="F341">
            <v>5</v>
          </cell>
          <cell r="G341">
            <v>0</v>
          </cell>
          <cell r="H341">
            <v>0</v>
          </cell>
          <cell r="I341">
            <v>5</v>
          </cell>
          <cell r="J341">
            <v>10</v>
          </cell>
          <cell r="K341">
            <v>0</v>
          </cell>
          <cell r="L341">
            <v>0</v>
          </cell>
          <cell r="M341">
            <v>0</v>
          </cell>
          <cell r="N341">
            <v>50</v>
          </cell>
          <cell r="O341">
            <v>0</v>
          </cell>
          <cell r="Q341" t="str">
            <v>Rain Stop 14:10</v>
          </cell>
          <cell r="T341">
            <v>341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</row>
        <row r="342">
          <cell r="B342" t="str">
            <v>15  -  16</v>
          </cell>
          <cell r="C342" t="str">
            <v>OB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60</v>
          </cell>
          <cell r="Q342" t="str">
            <v>Slippery</v>
          </cell>
          <cell r="T342">
            <v>342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</row>
        <row r="343">
          <cell r="B343" t="str">
            <v>16  -  17</v>
          </cell>
          <cell r="C343" t="str">
            <v>OB</v>
          </cell>
          <cell r="D343">
            <v>114</v>
          </cell>
          <cell r="E343">
            <v>342</v>
          </cell>
          <cell r="F343">
            <v>4</v>
          </cell>
          <cell r="G343">
            <v>0</v>
          </cell>
          <cell r="H343">
            <v>0</v>
          </cell>
          <cell r="I343">
            <v>4</v>
          </cell>
          <cell r="J343">
            <v>20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40</v>
          </cell>
          <cell r="Q343" t="str">
            <v>Slippery Start 16:40</v>
          </cell>
          <cell r="T343">
            <v>343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</row>
        <row r="344">
          <cell r="B344" t="str">
            <v>17  -  18</v>
          </cell>
          <cell r="C344" t="str">
            <v>OB</v>
          </cell>
          <cell r="D344">
            <v>304</v>
          </cell>
          <cell r="E344">
            <v>364.8</v>
          </cell>
          <cell r="F344">
            <v>4</v>
          </cell>
          <cell r="G344">
            <v>0</v>
          </cell>
          <cell r="H344">
            <v>0</v>
          </cell>
          <cell r="I344">
            <v>4</v>
          </cell>
          <cell r="J344">
            <v>50</v>
          </cell>
          <cell r="K344">
            <v>0</v>
          </cell>
          <cell r="L344">
            <v>10</v>
          </cell>
          <cell r="M344">
            <v>0</v>
          </cell>
          <cell r="N344">
            <v>0</v>
          </cell>
          <cell r="O344">
            <v>0</v>
          </cell>
          <cell r="Q344" t="str">
            <v>Shift Change</v>
          </cell>
          <cell r="T344">
            <v>344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</row>
        <row r="345">
          <cell r="B345" t="str">
            <v>18  -  19</v>
          </cell>
          <cell r="C345" t="str">
            <v>OB</v>
          </cell>
          <cell r="D345">
            <v>76</v>
          </cell>
          <cell r="E345">
            <v>228</v>
          </cell>
          <cell r="F345">
            <v>2</v>
          </cell>
          <cell r="G345">
            <v>0</v>
          </cell>
          <cell r="H345">
            <v>0</v>
          </cell>
          <cell r="I345">
            <v>2</v>
          </cell>
          <cell r="J345">
            <v>20</v>
          </cell>
          <cell r="K345">
            <v>0</v>
          </cell>
          <cell r="L345">
            <v>40</v>
          </cell>
          <cell r="M345">
            <v>0</v>
          </cell>
          <cell r="N345">
            <v>0</v>
          </cell>
          <cell r="O345">
            <v>0</v>
          </cell>
          <cell r="Q345" t="str">
            <v>Wait DT, Start 18:30</v>
          </cell>
          <cell r="T345">
            <v>345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</row>
        <row r="346">
          <cell r="B346" t="str">
            <v>19  -  20</v>
          </cell>
          <cell r="C346" t="str">
            <v>OB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60</v>
          </cell>
          <cell r="O346">
            <v>0</v>
          </cell>
          <cell r="Q346" t="str">
            <v>Rain</v>
          </cell>
          <cell r="T346">
            <v>346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</row>
        <row r="347">
          <cell r="B347" t="str">
            <v>20  -  21</v>
          </cell>
          <cell r="C347" t="str">
            <v>OB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60</v>
          </cell>
          <cell r="O347">
            <v>0</v>
          </cell>
          <cell r="Q347" t="str">
            <v>Rain</v>
          </cell>
          <cell r="T347">
            <v>347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</row>
        <row r="348">
          <cell r="B348" t="str">
            <v>21  -  22</v>
          </cell>
          <cell r="C348" t="str">
            <v>OB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60</v>
          </cell>
          <cell r="O348">
            <v>0</v>
          </cell>
          <cell r="Q348" t="str">
            <v>Rain</v>
          </cell>
          <cell r="T348">
            <v>348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</row>
        <row r="349">
          <cell r="B349" t="str">
            <v>22  -  23</v>
          </cell>
          <cell r="C349" t="str">
            <v>OB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60</v>
          </cell>
          <cell r="O349">
            <v>0</v>
          </cell>
          <cell r="Q349" t="str">
            <v>Rain</v>
          </cell>
          <cell r="T349">
            <v>349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</row>
        <row r="350">
          <cell r="B350" t="str">
            <v>23  -  24</v>
          </cell>
          <cell r="C350" t="str">
            <v>OB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60</v>
          </cell>
          <cell r="Q350" t="str">
            <v>Slippery</v>
          </cell>
          <cell r="T350">
            <v>350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</row>
        <row r="351">
          <cell r="B351" t="str">
            <v>24  -  01</v>
          </cell>
          <cell r="C351" t="str">
            <v>OB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60</v>
          </cell>
          <cell r="Q351" t="str">
            <v>Slippery</v>
          </cell>
          <cell r="T351">
            <v>351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</row>
        <row r="352">
          <cell r="B352" t="str">
            <v>01  -  02</v>
          </cell>
          <cell r="C352" t="str">
            <v>OB</v>
          </cell>
          <cell r="D352">
            <v>152</v>
          </cell>
          <cell r="E352">
            <v>228</v>
          </cell>
          <cell r="F352">
            <v>2</v>
          </cell>
          <cell r="G352">
            <v>0</v>
          </cell>
          <cell r="H352">
            <v>0</v>
          </cell>
          <cell r="I352">
            <v>2</v>
          </cell>
          <cell r="J352">
            <v>40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20</v>
          </cell>
          <cell r="Q352" t="str">
            <v>Slippery, Start 01:20</v>
          </cell>
          <cell r="T352">
            <v>352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</row>
        <row r="353">
          <cell r="B353" t="str">
            <v>02  -  03</v>
          </cell>
          <cell r="C353" t="str">
            <v>OB</v>
          </cell>
          <cell r="D353">
            <v>152</v>
          </cell>
          <cell r="E353">
            <v>202.66666666666666</v>
          </cell>
          <cell r="F353">
            <v>2</v>
          </cell>
          <cell r="G353">
            <v>0</v>
          </cell>
          <cell r="H353">
            <v>0</v>
          </cell>
          <cell r="I353">
            <v>2</v>
          </cell>
          <cell r="J353">
            <v>45</v>
          </cell>
          <cell r="K353">
            <v>0</v>
          </cell>
          <cell r="L353">
            <v>0</v>
          </cell>
          <cell r="M353">
            <v>0</v>
          </cell>
          <cell r="N353">
            <v>15</v>
          </cell>
          <cell r="O353">
            <v>0</v>
          </cell>
          <cell r="Q353" t="str">
            <v>Rain</v>
          </cell>
          <cell r="T353">
            <v>353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</row>
        <row r="354">
          <cell r="B354" t="str">
            <v>03  -  04</v>
          </cell>
          <cell r="C354" t="str">
            <v>OB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60</v>
          </cell>
          <cell r="O354">
            <v>0</v>
          </cell>
          <cell r="Q354" t="str">
            <v>Rain</v>
          </cell>
          <cell r="T354">
            <v>354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</row>
        <row r="355">
          <cell r="B355" t="str">
            <v>04  -  05</v>
          </cell>
          <cell r="C355" t="str">
            <v>OB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60</v>
          </cell>
          <cell r="Q355" t="str">
            <v>Slippery</v>
          </cell>
          <cell r="T355">
            <v>355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</row>
        <row r="356">
          <cell r="B356" t="str">
            <v>05  -  06</v>
          </cell>
          <cell r="C356" t="str">
            <v>OB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60</v>
          </cell>
          <cell r="Q356" t="str">
            <v>Slippery</v>
          </cell>
          <cell r="T356">
            <v>356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</row>
        <row r="357">
          <cell r="B357" t="str">
            <v>06  -  07</v>
          </cell>
          <cell r="C357" t="str">
            <v>OB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60</v>
          </cell>
          <cell r="Q357" t="str">
            <v>Slippery</v>
          </cell>
          <cell r="T357">
            <v>357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</row>
        <row r="358">
          <cell r="B358" t="str">
            <v>RESUME</v>
          </cell>
          <cell r="C358" t="str">
            <v>PROD</v>
          </cell>
          <cell r="E358" t="str">
            <v>PROD'TY</v>
          </cell>
          <cell r="G358" t="str">
            <v>WORK HOURS</v>
          </cell>
          <cell r="J358" t="str">
            <v>LOST TIME</v>
          </cell>
          <cell r="L358" t="str">
            <v>DOWN</v>
          </cell>
          <cell r="M358" t="str">
            <v>PA</v>
          </cell>
          <cell r="O358" t="str">
            <v>UA PROD</v>
          </cell>
          <cell r="Q358" t="str">
            <v>OPERATOR</v>
          </cell>
          <cell r="R358" t="str">
            <v>GROUP LEADER</v>
          </cell>
          <cell r="T358">
            <v>358</v>
          </cell>
        </row>
        <row r="359">
          <cell r="B359" t="str">
            <v>GROUP</v>
          </cell>
          <cell r="C359" t="str">
            <v>WASTE</v>
          </cell>
          <cell r="D359" t="str">
            <v>CC</v>
          </cell>
          <cell r="E359" t="str">
            <v>WASTE</v>
          </cell>
          <cell r="F359" t="str">
            <v>CC</v>
          </cell>
          <cell r="G359" t="str">
            <v>WASTE</v>
          </cell>
          <cell r="H359" t="str">
            <v>CC</v>
          </cell>
          <cell r="I359" t="str">
            <v>GEN</v>
          </cell>
          <cell r="J359" t="str">
            <v>DELAY</v>
          </cell>
          <cell r="K359" t="str">
            <v>IDLE</v>
          </cell>
          <cell r="L359" t="str">
            <v>TIME</v>
          </cell>
          <cell r="M359" t="str">
            <v>PLAN</v>
          </cell>
          <cell r="N359" t="str">
            <v>ACT</v>
          </cell>
          <cell r="O359" t="str">
            <v>PLAN</v>
          </cell>
          <cell r="P359" t="str">
            <v>ACT</v>
          </cell>
          <cell r="T359">
            <v>359</v>
          </cell>
        </row>
        <row r="360">
          <cell r="B360" t="str">
            <v>Shift 1</v>
          </cell>
          <cell r="C360">
            <v>2166</v>
          </cell>
          <cell r="D360">
            <v>0</v>
          </cell>
          <cell r="E360">
            <v>406.125</v>
          </cell>
          <cell r="F360">
            <v>0</v>
          </cell>
          <cell r="G360">
            <v>5.333333333333333</v>
          </cell>
          <cell r="H360">
            <v>0</v>
          </cell>
          <cell r="I360">
            <v>0</v>
          </cell>
          <cell r="J360">
            <v>1.5</v>
          </cell>
          <cell r="K360">
            <v>0.83333333333333337</v>
          </cell>
          <cell r="L360">
            <v>0.33333333333333331</v>
          </cell>
          <cell r="M360">
            <v>0.95</v>
          </cell>
          <cell r="N360">
            <v>0.95833333333333337</v>
          </cell>
          <cell r="O360">
            <v>0.875</v>
          </cell>
          <cell r="P360">
            <v>0.69565217391304346</v>
          </cell>
          <cell r="Q360">
            <v>0</v>
          </cell>
          <cell r="R360">
            <v>0</v>
          </cell>
          <cell r="T360">
            <v>360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</row>
        <row r="361">
          <cell r="B361" t="str">
            <v>Shift 2</v>
          </cell>
          <cell r="C361">
            <v>494</v>
          </cell>
          <cell r="D361">
            <v>0</v>
          </cell>
          <cell r="E361">
            <v>329.33333333333331</v>
          </cell>
          <cell r="F361">
            <v>0</v>
          </cell>
          <cell r="G361">
            <v>1.5</v>
          </cell>
          <cell r="H361">
            <v>0</v>
          </cell>
          <cell r="I361">
            <v>0</v>
          </cell>
          <cell r="J361">
            <v>0.83333333333333337</v>
          </cell>
          <cell r="K361">
            <v>5.666666666666667</v>
          </cell>
          <cell r="L361">
            <v>0</v>
          </cell>
          <cell r="M361">
            <v>0.95</v>
          </cell>
          <cell r="N361">
            <v>1</v>
          </cell>
          <cell r="O361">
            <v>0.875</v>
          </cell>
          <cell r="P361">
            <v>0.1875</v>
          </cell>
          <cell r="Q361">
            <v>0</v>
          </cell>
          <cell r="R361">
            <v>0</v>
          </cell>
          <cell r="T361">
            <v>361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</row>
        <row r="362">
          <cell r="B362" t="str">
            <v>Shift 3</v>
          </cell>
          <cell r="C362">
            <v>304</v>
          </cell>
          <cell r="D362">
            <v>0</v>
          </cell>
          <cell r="E362">
            <v>214.58823529411762</v>
          </cell>
          <cell r="F362">
            <v>0</v>
          </cell>
          <cell r="G362">
            <v>1.4166666666666667</v>
          </cell>
          <cell r="H362">
            <v>0</v>
          </cell>
          <cell r="I362">
            <v>0</v>
          </cell>
          <cell r="J362">
            <v>0</v>
          </cell>
          <cell r="K362">
            <v>6.583333333333333</v>
          </cell>
          <cell r="L362">
            <v>0</v>
          </cell>
          <cell r="M362">
            <v>0.95</v>
          </cell>
          <cell r="N362">
            <v>1</v>
          </cell>
          <cell r="O362">
            <v>0.875</v>
          </cell>
          <cell r="P362">
            <v>0.17708333333333334</v>
          </cell>
          <cell r="Q362">
            <v>0</v>
          </cell>
          <cell r="R362">
            <v>0</v>
          </cell>
          <cell r="T362">
            <v>362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</row>
        <row r="363">
          <cell r="B363" t="str">
            <v>Shift 6</v>
          </cell>
          <cell r="C363">
            <v>2584</v>
          </cell>
          <cell r="D363">
            <v>0</v>
          </cell>
          <cell r="E363">
            <v>397.53846153846155</v>
          </cell>
          <cell r="F363">
            <v>0</v>
          </cell>
          <cell r="G363">
            <v>6.5</v>
          </cell>
          <cell r="H363">
            <v>0</v>
          </cell>
          <cell r="I363">
            <v>0</v>
          </cell>
          <cell r="J363">
            <v>1.6666666666666667</v>
          </cell>
          <cell r="K363">
            <v>2.5</v>
          </cell>
          <cell r="L363">
            <v>0.33333333333333331</v>
          </cell>
          <cell r="M363">
            <v>0.95</v>
          </cell>
          <cell r="N363">
            <v>0.96969696969696961</v>
          </cell>
          <cell r="O363">
            <v>0.875</v>
          </cell>
          <cell r="P363">
            <v>0.609375</v>
          </cell>
          <cell r="Q363" t="str">
            <v>Edy Santoso</v>
          </cell>
          <cell r="R363" t="str">
            <v>Sutarno</v>
          </cell>
          <cell r="T363">
            <v>363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</row>
        <row r="364">
          <cell r="B364" t="str">
            <v>Shift 7</v>
          </cell>
          <cell r="C364">
            <v>380</v>
          </cell>
          <cell r="D364">
            <v>0</v>
          </cell>
          <cell r="E364">
            <v>217.14285714285714</v>
          </cell>
          <cell r="F364">
            <v>0</v>
          </cell>
          <cell r="G364">
            <v>1.75</v>
          </cell>
          <cell r="H364">
            <v>0</v>
          </cell>
          <cell r="I364">
            <v>0</v>
          </cell>
          <cell r="J364">
            <v>0.66666666666666663</v>
          </cell>
          <cell r="K364">
            <v>10.583333333333334</v>
          </cell>
          <cell r="L364">
            <v>0</v>
          </cell>
          <cell r="M364">
            <v>0.95</v>
          </cell>
          <cell r="N364">
            <v>1</v>
          </cell>
          <cell r="O364">
            <v>0.875</v>
          </cell>
          <cell r="P364">
            <v>0.13461538461538461</v>
          </cell>
          <cell r="Q364" t="str">
            <v>Mudihanto</v>
          </cell>
          <cell r="R364" t="str">
            <v>Fresye A Lumansik</v>
          </cell>
          <cell r="T364">
            <v>364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</row>
        <row r="365">
          <cell r="B365" t="str">
            <v>TOTAL</v>
          </cell>
          <cell r="C365">
            <v>2964</v>
          </cell>
          <cell r="D365">
            <v>0</v>
          </cell>
          <cell r="E365">
            <v>359.27272727272725</v>
          </cell>
          <cell r="F365">
            <v>0</v>
          </cell>
          <cell r="G365">
            <v>8.25</v>
          </cell>
          <cell r="H365">
            <v>0</v>
          </cell>
          <cell r="I365">
            <v>0</v>
          </cell>
          <cell r="J365">
            <v>2.3333333333333335</v>
          </cell>
          <cell r="K365">
            <v>13.083333333333334</v>
          </cell>
          <cell r="L365">
            <v>0.33333333333333331</v>
          </cell>
          <cell r="M365">
            <v>0.95</v>
          </cell>
          <cell r="N365">
            <v>0.98611111111111116</v>
          </cell>
          <cell r="O365">
            <v>0.875</v>
          </cell>
          <cell r="P365">
            <v>0.34859154929577463</v>
          </cell>
          <cell r="Q365" t="str">
            <v>Hiras Silaban</v>
          </cell>
          <cell r="R365" t="str">
            <v>Fresye A L</v>
          </cell>
          <cell r="T365">
            <v>365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</row>
        <row r="366">
          <cell r="T366">
            <v>366</v>
          </cell>
        </row>
        <row r="367">
          <cell r="B367" t="str">
            <v>TIME</v>
          </cell>
          <cell r="C367" t="str">
            <v>WASTE</v>
          </cell>
          <cell r="D367" t="str">
            <v>EX1002</v>
          </cell>
          <cell r="E367" t="str">
            <v>TYPE</v>
          </cell>
          <cell r="F367" t="str">
            <v>PC 1250</v>
          </cell>
          <cell r="H367" t="str">
            <v>Plan Prod'ty :</v>
          </cell>
          <cell r="J367">
            <v>400</v>
          </cell>
          <cell r="M367" t="str">
            <v>Distance :</v>
          </cell>
          <cell r="O367">
            <v>12.821088587394385</v>
          </cell>
          <cell r="T367">
            <v>367</v>
          </cell>
          <cell r="U367" t="str">
            <v>EX1002</v>
          </cell>
        </row>
        <row r="368">
          <cell r="C368" t="str">
            <v>MAT</v>
          </cell>
          <cell r="D368" t="str">
            <v>PROD</v>
          </cell>
          <cell r="E368" t="str">
            <v>PROD'TY</v>
          </cell>
          <cell r="F368" t="str">
            <v>Q'TY DT</v>
          </cell>
          <cell r="J368" t="str">
            <v>HOURS</v>
          </cell>
          <cell r="Q368" t="str">
            <v>REMARK PRODUKTIVITAS</v>
          </cell>
          <cell r="T368">
            <v>368</v>
          </cell>
          <cell r="U368" t="str">
            <v>ROM</v>
          </cell>
          <cell r="V368" t="str">
            <v>Crush1</v>
          </cell>
          <cell r="W368" t="str">
            <v>Crush2</v>
          </cell>
          <cell r="X368" t="str">
            <v>Crush3</v>
          </cell>
          <cell r="Y368" t="str">
            <v>Crush4</v>
          </cell>
          <cell r="Z368" t="str">
            <v>Crush5</v>
          </cell>
          <cell r="AA368" t="str">
            <v>Crush6</v>
          </cell>
        </row>
        <row r="369">
          <cell r="E369" t="str">
            <v>( By work )</v>
          </cell>
          <cell r="F369" t="str">
            <v>785</v>
          </cell>
          <cell r="G369" t="str">
            <v>785-CB</v>
          </cell>
          <cell r="H369" t="str">
            <v>A40/HM</v>
          </cell>
          <cell r="I369" t="str">
            <v>Total</v>
          </cell>
          <cell r="J369" t="str">
            <v>Work</v>
          </cell>
          <cell r="K369" t="str">
            <v>General</v>
          </cell>
          <cell r="L369" t="str">
            <v>Delay</v>
          </cell>
          <cell r="M369" t="str">
            <v>Idle</v>
          </cell>
          <cell r="N369" t="str">
            <v>Rain</v>
          </cell>
          <cell r="O369" t="str">
            <v>Slipp</v>
          </cell>
          <cell r="P369" t="str">
            <v>B/D</v>
          </cell>
          <cell r="T369">
            <v>369</v>
          </cell>
        </row>
        <row r="370">
          <cell r="B370" t="str">
            <v>07  - 08</v>
          </cell>
          <cell r="C370" t="str">
            <v>CC</v>
          </cell>
          <cell r="D370">
            <v>90</v>
          </cell>
          <cell r="E370">
            <v>270</v>
          </cell>
          <cell r="F370">
            <v>0</v>
          </cell>
          <cell r="G370">
            <v>1</v>
          </cell>
          <cell r="H370">
            <v>0</v>
          </cell>
          <cell r="I370">
            <v>1</v>
          </cell>
          <cell r="J370">
            <v>20</v>
          </cell>
          <cell r="K370">
            <v>0</v>
          </cell>
          <cell r="L370">
            <v>40</v>
          </cell>
          <cell r="M370">
            <v>0</v>
          </cell>
          <cell r="N370">
            <v>0</v>
          </cell>
          <cell r="O370">
            <v>0</v>
          </cell>
          <cell r="Q370" t="str">
            <v>Coal P4, Crusher 6, Waiting DT</v>
          </cell>
          <cell r="T370">
            <v>370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90</v>
          </cell>
        </row>
        <row r="371">
          <cell r="B371" t="str">
            <v>08  - 09</v>
          </cell>
          <cell r="C371" t="str">
            <v>CC</v>
          </cell>
          <cell r="D371">
            <v>270</v>
          </cell>
          <cell r="E371">
            <v>270</v>
          </cell>
          <cell r="F371">
            <v>0</v>
          </cell>
          <cell r="G371">
            <v>3</v>
          </cell>
          <cell r="H371">
            <v>0</v>
          </cell>
          <cell r="I371">
            <v>3</v>
          </cell>
          <cell r="J371">
            <v>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Q371" t="str">
            <v>Coal P4, Crusher 6</v>
          </cell>
          <cell r="T371">
            <v>371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270</v>
          </cell>
        </row>
        <row r="372">
          <cell r="B372" t="str">
            <v>09  - 10</v>
          </cell>
          <cell r="C372" t="str">
            <v>CC</v>
          </cell>
          <cell r="D372">
            <v>450</v>
          </cell>
          <cell r="E372">
            <v>450</v>
          </cell>
          <cell r="F372">
            <v>0</v>
          </cell>
          <cell r="G372">
            <v>5</v>
          </cell>
          <cell r="H372">
            <v>0</v>
          </cell>
          <cell r="I372">
            <v>5</v>
          </cell>
          <cell r="J372">
            <v>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Q372" t="str">
            <v>Coal P4, Crusher 6</v>
          </cell>
          <cell r="T372">
            <v>372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450</v>
          </cell>
        </row>
        <row r="373">
          <cell r="B373" t="str">
            <v>10  - 11</v>
          </cell>
          <cell r="C373" t="str">
            <v>CC</v>
          </cell>
          <cell r="D373">
            <v>360</v>
          </cell>
          <cell r="E373">
            <v>360</v>
          </cell>
          <cell r="F373">
            <v>0</v>
          </cell>
          <cell r="G373">
            <v>5</v>
          </cell>
          <cell r="H373">
            <v>0</v>
          </cell>
          <cell r="I373">
            <v>5</v>
          </cell>
          <cell r="J373">
            <v>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Q373" t="str">
            <v>Coal P4, Crusher 6</v>
          </cell>
          <cell r="T373">
            <v>373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360</v>
          </cell>
        </row>
        <row r="374">
          <cell r="B374" t="str">
            <v>11  - 12</v>
          </cell>
          <cell r="C374" t="str">
            <v>CC</v>
          </cell>
          <cell r="D374">
            <v>180</v>
          </cell>
          <cell r="E374">
            <v>432</v>
          </cell>
          <cell r="F374">
            <v>0</v>
          </cell>
          <cell r="G374">
            <v>5</v>
          </cell>
          <cell r="H374">
            <v>0</v>
          </cell>
          <cell r="I374">
            <v>5</v>
          </cell>
          <cell r="J374">
            <v>25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35</v>
          </cell>
          <cell r="Q374" t="str">
            <v>11:25 Oring Hydrolik Pump Bocor</v>
          </cell>
          <cell r="T374">
            <v>374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180</v>
          </cell>
        </row>
        <row r="375">
          <cell r="B375" t="str">
            <v>12  - 13</v>
          </cell>
          <cell r="C375" t="str">
            <v>CC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60</v>
          </cell>
          <cell r="Q375" t="str">
            <v>Oring Hydrolik Pump Bocor</v>
          </cell>
          <cell r="T375">
            <v>375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</row>
        <row r="376">
          <cell r="B376" t="str">
            <v>13  -  14</v>
          </cell>
          <cell r="C376" t="str">
            <v>CC</v>
          </cell>
          <cell r="D376">
            <v>360</v>
          </cell>
          <cell r="E376">
            <v>432</v>
          </cell>
          <cell r="F376">
            <v>0</v>
          </cell>
          <cell r="G376">
            <v>4</v>
          </cell>
          <cell r="H376">
            <v>0</v>
          </cell>
          <cell r="I376">
            <v>4</v>
          </cell>
          <cell r="J376">
            <v>50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10</v>
          </cell>
          <cell r="Q376" t="str">
            <v>Oring Hydrolik Pump Bocor RFU 13:10</v>
          </cell>
          <cell r="T376">
            <v>376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360</v>
          </cell>
        </row>
        <row r="377">
          <cell r="B377" t="str">
            <v>14  -  15</v>
          </cell>
          <cell r="C377" t="str">
            <v>CC</v>
          </cell>
          <cell r="D377">
            <v>90</v>
          </cell>
          <cell r="E377">
            <v>360</v>
          </cell>
          <cell r="F377">
            <v>0</v>
          </cell>
          <cell r="G377">
            <v>4</v>
          </cell>
          <cell r="H377">
            <v>0</v>
          </cell>
          <cell r="I377">
            <v>4</v>
          </cell>
          <cell r="J377">
            <v>15</v>
          </cell>
          <cell r="K377">
            <v>0</v>
          </cell>
          <cell r="L377">
            <v>0</v>
          </cell>
          <cell r="M377">
            <v>0</v>
          </cell>
          <cell r="N377">
            <v>45</v>
          </cell>
          <cell r="O377">
            <v>0</v>
          </cell>
          <cell r="Q377" t="str">
            <v>Rain Stop 14:15,</v>
          </cell>
          <cell r="T377">
            <v>377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90</v>
          </cell>
        </row>
        <row r="378">
          <cell r="B378" t="str">
            <v>15  -  16</v>
          </cell>
          <cell r="C378" t="str">
            <v>CC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60</v>
          </cell>
          <cell r="Q378" t="str">
            <v>Slippery</v>
          </cell>
          <cell r="T378">
            <v>378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</row>
        <row r="379">
          <cell r="B379" t="str">
            <v>16  -  17</v>
          </cell>
          <cell r="C379" t="str">
            <v>CC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60</v>
          </cell>
          <cell r="Q379" t="str">
            <v>Slippery</v>
          </cell>
          <cell r="T379">
            <v>379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</row>
        <row r="380">
          <cell r="B380" t="str">
            <v>17  -  18</v>
          </cell>
          <cell r="C380" t="str">
            <v>CC</v>
          </cell>
          <cell r="D380">
            <v>450</v>
          </cell>
          <cell r="E380">
            <v>540</v>
          </cell>
          <cell r="F380">
            <v>0</v>
          </cell>
          <cell r="G380">
            <v>5</v>
          </cell>
          <cell r="H380">
            <v>0</v>
          </cell>
          <cell r="I380">
            <v>5</v>
          </cell>
          <cell r="J380">
            <v>50</v>
          </cell>
          <cell r="K380">
            <v>0</v>
          </cell>
          <cell r="L380">
            <v>10</v>
          </cell>
          <cell r="M380">
            <v>0</v>
          </cell>
          <cell r="N380">
            <v>0</v>
          </cell>
          <cell r="O380">
            <v>0</v>
          </cell>
          <cell r="Q380" t="str">
            <v>Shift Change</v>
          </cell>
          <cell r="T380">
            <v>380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450</v>
          </cell>
        </row>
        <row r="381">
          <cell r="B381" t="str">
            <v>18  -  19</v>
          </cell>
          <cell r="C381" t="str">
            <v>CC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60</v>
          </cell>
          <cell r="O381">
            <v>0</v>
          </cell>
          <cell r="Q381" t="str">
            <v>Rain</v>
          </cell>
          <cell r="T381">
            <v>381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</row>
        <row r="382">
          <cell r="B382" t="str">
            <v>19  -  20</v>
          </cell>
          <cell r="C382" t="str">
            <v>CC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60</v>
          </cell>
          <cell r="O382">
            <v>0</v>
          </cell>
          <cell r="Q382" t="str">
            <v>Rain</v>
          </cell>
          <cell r="T382">
            <v>382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</row>
        <row r="383">
          <cell r="B383" t="str">
            <v>20  -  21</v>
          </cell>
          <cell r="C383" t="str">
            <v>CC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60</v>
          </cell>
          <cell r="O383">
            <v>0</v>
          </cell>
          <cell r="Q383" t="str">
            <v>Rain</v>
          </cell>
          <cell r="T383">
            <v>383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</row>
        <row r="384">
          <cell r="B384" t="str">
            <v>21  -  22</v>
          </cell>
          <cell r="C384" t="str">
            <v>CC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60</v>
          </cell>
          <cell r="O384">
            <v>0</v>
          </cell>
          <cell r="Q384" t="str">
            <v>Rain</v>
          </cell>
          <cell r="T384">
            <v>384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</row>
        <row r="385">
          <cell r="B385" t="str">
            <v>22  -  23</v>
          </cell>
          <cell r="C385" t="str">
            <v>CC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60</v>
          </cell>
          <cell r="O385">
            <v>0</v>
          </cell>
          <cell r="Q385" t="str">
            <v>Rain</v>
          </cell>
          <cell r="T385">
            <v>385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</row>
        <row r="386">
          <cell r="B386" t="str">
            <v>23  -  24</v>
          </cell>
          <cell r="C386" t="str">
            <v>CC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60</v>
          </cell>
          <cell r="Q386" t="str">
            <v>Slippery</v>
          </cell>
          <cell r="T386">
            <v>386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</row>
        <row r="387">
          <cell r="B387" t="str">
            <v>24  -  01</v>
          </cell>
          <cell r="C387" t="str">
            <v>CC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60</v>
          </cell>
          <cell r="Q387" t="str">
            <v>Slippery</v>
          </cell>
          <cell r="T387">
            <v>387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</row>
        <row r="388">
          <cell r="B388" t="str">
            <v>01  -  02</v>
          </cell>
          <cell r="C388" t="str">
            <v>CC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60</v>
          </cell>
          <cell r="Q388" t="str">
            <v>Slippery</v>
          </cell>
          <cell r="T388">
            <v>388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</row>
        <row r="389">
          <cell r="B389" t="str">
            <v>02  -  03</v>
          </cell>
          <cell r="C389" t="str">
            <v>CC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60</v>
          </cell>
          <cell r="Q389" t="str">
            <v>Slippery</v>
          </cell>
          <cell r="T389">
            <v>389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</row>
        <row r="390">
          <cell r="B390" t="str">
            <v>03  -  04</v>
          </cell>
          <cell r="C390" t="str">
            <v>CC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60</v>
          </cell>
          <cell r="O390">
            <v>0</v>
          </cell>
          <cell r="Q390" t="str">
            <v>Rain</v>
          </cell>
          <cell r="T390">
            <v>390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</row>
        <row r="391">
          <cell r="B391" t="str">
            <v>04  -  05</v>
          </cell>
          <cell r="C391" t="str">
            <v>CC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60</v>
          </cell>
          <cell r="O391">
            <v>0</v>
          </cell>
          <cell r="Q391" t="str">
            <v>Rain</v>
          </cell>
          <cell r="T391">
            <v>391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</row>
        <row r="392">
          <cell r="B392" t="str">
            <v>05  -  06</v>
          </cell>
          <cell r="C392" t="str">
            <v>CC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60</v>
          </cell>
          <cell r="O392">
            <v>0</v>
          </cell>
          <cell r="Q392" t="str">
            <v>Rain</v>
          </cell>
          <cell r="T392">
            <v>392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</row>
        <row r="393">
          <cell r="B393" t="str">
            <v>06  -  07</v>
          </cell>
          <cell r="C393" t="str">
            <v>CC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60</v>
          </cell>
          <cell r="O393">
            <v>0</v>
          </cell>
          <cell r="Q393" t="str">
            <v>Rain</v>
          </cell>
          <cell r="T393">
            <v>393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</row>
        <row r="394">
          <cell r="B394" t="str">
            <v>RESUME</v>
          </cell>
          <cell r="C394" t="str">
            <v>PROD</v>
          </cell>
          <cell r="E394" t="str">
            <v>PROD'TY</v>
          </cell>
          <cell r="G394" t="str">
            <v>WORK HOURS</v>
          </cell>
          <cell r="J394" t="str">
            <v>LOST TIME</v>
          </cell>
          <cell r="L394" t="str">
            <v>DOWN</v>
          </cell>
          <cell r="M394" t="str">
            <v>PA</v>
          </cell>
          <cell r="O394" t="str">
            <v>UA PROD</v>
          </cell>
          <cell r="Q394" t="str">
            <v>OPERATOR</v>
          </cell>
          <cell r="R394" t="str">
            <v>GROUP LEADER</v>
          </cell>
          <cell r="T394">
            <v>394</v>
          </cell>
        </row>
        <row r="395">
          <cell r="B395" t="str">
            <v>GROUP</v>
          </cell>
          <cell r="C395" t="str">
            <v>WASTE</v>
          </cell>
          <cell r="D395" t="str">
            <v>CC</v>
          </cell>
          <cell r="E395" t="str">
            <v>WASTE</v>
          </cell>
          <cell r="F395" t="str">
            <v>CC</v>
          </cell>
          <cell r="G395" t="str">
            <v>WASTE</v>
          </cell>
          <cell r="H395" t="str">
            <v>CC</v>
          </cell>
          <cell r="I395" t="str">
            <v>GEN</v>
          </cell>
          <cell r="J395" t="str">
            <v>DELAY</v>
          </cell>
          <cell r="K395" t="str">
            <v>IDLE</v>
          </cell>
          <cell r="L395" t="str">
            <v>TIME</v>
          </cell>
          <cell r="M395" t="str">
            <v>PLAN</v>
          </cell>
          <cell r="N395" t="str">
            <v>ACT</v>
          </cell>
          <cell r="O395" t="str">
            <v>PLAN</v>
          </cell>
          <cell r="P395" t="str">
            <v>ACT</v>
          </cell>
          <cell r="T395">
            <v>395</v>
          </cell>
        </row>
        <row r="396">
          <cell r="B396" t="str">
            <v>Shift 1</v>
          </cell>
          <cell r="C396">
            <v>1800</v>
          </cell>
          <cell r="D396">
            <v>1800</v>
          </cell>
          <cell r="E396" t="e">
            <v>#DIV/0!</v>
          </cell>
          <cell r="F396">
            <v>372.41379310344831</v>
          </cell>
          <cell r="G396">
            <v>0</v>
          </cell>
          <cell r="H396">
            <v>4.833333333333333</v>
          </cell>
          <cell r="I396">
            <v>0</v>
          </cell>
          <cell r="J396">
            <v>0.66666666666666663</v>
          </cell>
          <cell r="K396">
            <v>0.75</v>
          </cell>
          <cell r="L396">
            <v>1.75</v>
          </cell>
          <cell r="M396">
            <v>0.95</v>
          </cell>
          <cell r="N396">
            <v>0.78125</v>
          </cell>
          <cell r="O396">
            <v>0.875</v>
          </cell>
          <cell r="P396">
            <v>0.77333333333333332</v>
          </cell>
          <cell r="Q396">
            <v>0</v>
          </cell>
          <cell r="R396">
            <v>0</v>
          </cell>
          <cell r="T396">
            <v>396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1800</v>
          </cell>
        </row>
        <row r="397">
          <cell r="B397" t="str">
            <v>Shift 2</v>
          </cell>
          <cell r="C397">
            <v>450</v>
          </cell>
          <cell r="D397">
            <v>450</v>
          </cell>
          <cell r="E397" t="e">
            <v>#DIV/0!</v>
          </cell>
          <cell r="F397">
            <v>540</v>
          </cell>
          <cell r="G397">
            <v>0</v>
          </cell>
          <cell r="H397">
            <v>0.83333333333333337</v>
          </cell>
          <cell r="I397">
            <v>0</v>
          </cell>
          <cell r="J397">
            <v>0.16666666666666666</v>
          </cell>
          <cell r="K397">
            <v>7</v>
          </cell>
          <cell r="L397">
            <v>0</v>
          </cell>
          <cell r="M397">
            <v>0.95</v>
          </cell>
          <cell r="N397">
            <v>1</v>
          </cell>
          <cell r="O397">
            <v>0.875</v>
          </cell>
          <cell r="P397">
            <v>0.10416666666666667</v>
          </cell>
          <cell r="Q397">
            <v>0</v>
          </cell>
          <cell r="R397">
            <v>0</v>
          </cell>
          <cell r="T397">
            <v>397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450</v>
          </cell>
        </row>
        <row r="398">
          <cell r="B398" t="str">
            <v>Shift 3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8</v>
          </cell>
          <cell r="L398">
            <v>0</v>
          </cell>
          <cell r="M398">
            <v>0.95</v>
          </cell>
          <cell r="N398">
            <v>1</v>
          </cell>
          <cell r="O398">
            <v>0.875</v>
          </cell>
          <cell r="P398">
            <v>0</v>
          </cell>
          <cell r="Q398">
            <v>0</v>
          </cell>
          <cell r="R398">
            <v>0</v>
          </cell>
          <cell r="T398">
            <v>398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</row>
        <row r="399">
          <cell r="B399" t="str">
            <v>Shift 6</v>
          </cell>
          <cell r="C399">
            <v>0</v>
          </cell>
          <cell r="D399">
            <v>2250</v>
          </cell>
          <cell r="E399">
            <v>0</v>
          </cell>
          <cell r="F399">
            <v>397.05882352941177</v>
          </cell>
          <cell r="G399">
            <v>0</v>
          </cell>
          <cell r="H399">
            <v>5.666666666666667</v>
          </cell>
          <cell r="I399">
            <v>0</v>
          </cell>
          <cell r="J399">
            <v>0.83333333333333337</v>
          </cell>
          <cell r="K399">
            <v>2.75</v>
          </cell>
          <cell r="L399">
            <v>1.75</v>
          </cell>
          <cell r="M399">
            <v>0.95</v>
          </cell>
          <cell r="N399">
            <v>0.84090909090909094</v>
          </cell>
          <cell r="O399">
            <v>0.875</v>
          </cell>
          <cell r="P399">
            <v>0.61261261261261268</v>
          </cell>
          <cell r="Q399" t="str">
            <v>Dwi Hariyanto</v>
          </cell>
          <cell r="R399" t="str">
            <v>Parjo Yoseph</v>
          </cell>
          <cell r="T399">
            <v>399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2250</v>
          </cell>
        </row>
        <row r="400">
          <cell r="B400" t="str">
            <v>Shift 7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13</v>
          </cell>
          <cell r="L400">
            <v>0</v>
          </cell>
          <cell r="M400">
            <v>0.95</v>
          </cell>
          <cell r="N400">
            <v>1</v>
          </cell>
          <cell r="O400">
            <v>0.875</v>
          </cell>
          <cell r="P400">
            <v>0</v>
          </cell>
          <cell r="Q400" t="str">
            <v>Sri Wargo S</v>
          </cell>
          <cell r="R400" t="str">
            <v>Bidrun Abidin</v>
          </cell>
          <cell r="T400">
            <v>400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</row>
        <row r="401">
          <cell r="B401" t="str">
            <v>TOTAL</v>
          </cell>
          <cell r="C401">
            <v>0</v>
          </cell>
          <cell r="D401">
            <v>2250</v>
          </cell>
          <cell r="E401">
            <v>0</v>
          </cell>
          <cell r="F401">
            <v>397.05882352941177</v>
          </cell>
          <cell r="G401">
            <v>0</v>
          </cell>
          <cell r="H401">
            <v>5.666666666666667</v>
          </cell>
          <cell r="I401">
            <v>0</v>
          </cell>
          <cell r="J401">
            <v>0.83333333333333337</v>
          </cell>
          <cell r="K401">
            <v>15.75</v>
          </cell>
          <cell r="L401">
            <v>1.75</v>
          </cell>
          <cell r="M401">
            <v>0.95</v>
          </cell>
          <cell r="N401">
            <v>0.92708333333333337</v>
          </cell>
          <cell r="O401">
            <v>0.875</v>
          </cell>
          <cell r="P401">
            <v>0.25468164794007492</v>
          </cell>
          <cell r="Q401" t="str">
            <v>Hiras Silaban</v>
          </cell>
          <cell r="R401" t="str">
            <v>Fresye A L</v>
          </cell>
          <cell r="T401">
            <v>401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2250</v>
          </cell>
        </row>
        <row r="402">
          <cell r="T402">
            <v>402</v>
          </cell>
        </row>
        <row r="403">
          <cell r="B403" t="str">
            <v>TIME</v>
          </cell>
          <cell r="C403" t="str">
            <v>WASTE</v>
          </cell>
          <cell r="D403" t="str">
            <v>EX1004</v>
          </cell>
          <cell r="E403" t="str">
            <v>TYPE</v>
          </cell>
          <cell r="F403" t="str">
            <v>PC 1250</v>
          </cell>
          <cell r="H403" t="str">
            <v>Plan Prod'ty :</v>
          </cell>
          <cell r="J403">
            <v>500</v>
          </cell>
          <cell r="M403" t="str">
            <v>Distance :</v>
          </cell>
          <cell r="O403">
            <v>8.2023630273662462</v>
          </cell>
          <cell r="T403">
            <v>403</v>
          </cell>
          <cell r="U403" t="str">
            <v>EX1004</v>
          </cell>
        </row>
        <row r="404">
          <cell r="C404" t="str">
            <v>MAT</v>
          </cell>
          <cell r="D404" t="str">
            <v>PROD</v>
          </cell>
          <cell r="E404" t="str">
            <v>PROD'TY</v>
          </cell>
          <cell r="F404" t="str">
            <v>Q'TY DT</v>
          </cell>
          <cell r="J404" t="str">
            <v>HOURS</v>
          </cell>
          <cell r="Q404" t="str">
            <v>REMARK PRODUKTIVITAS</v>
          </cell>
          <cell r="T404">
            <v>404</v>
          </cell>
          <cell r="U404" t="str">
            <v>ROM</v>
          </cell>
          <cell r="V404" t="str">
            <v>Crush1</v>
          </cell>
          <cell r="W404" t="str">
            <v>Crush2</v>
          </cell>
          <cell r="X404" t="str">
            <v>Crush3</v>
          </cell>
          <cell r="Y404" t="str">
            <v>Crush4</v>
          </cell>
          <cell r="Z404" t="str">
            <v>Crush5</v>
          </cell>
          <cell r="AA404" t="str">
            <v>Crush6</v>
          </cell>
        </row>
        <row r="405">
          <cell r="E405" t="str">
            <v>( By work )</v>
          </cell>
          <cell r="F405" t="str">
            <v>785</v>
          </cell>
          <cell r="G405" t="str">
            <v>785-CB</v>
          </cell>
          <cell r="H405" t="str">
            <v>A40/HM</v>
          </cell>
          <cell r="I405" t="str">
            <v>Total</v>
          </cell>
          <cell r="J405" t="str">
            <v>Work</v>
          </cell>
          <cell r="K405" t="str">
            <v>General</v>
          </cell>
          <cell r="L405" t="str">
            <v>Delay</v>
          </cell>
          <cell r="M405" t="str">
            <v>Idle</v>
          </cell>
          <cell r="N405" t="str">
            <v>Rain</v>
          </cell>
          <cell r="O405" t="str">
            <v>Slipp</v>
          </cell>
          <cell r="P405" t="str">
            <v>B/D</v>
          </cell>
          <cell r="T405">
            <v>405</v>
          </cell>
        </row>
        <row r="406">
          <cell r="B406" t="str">
            <v>07  - 08</v>
          </cell>
          <cell r="C406" t="str">
            <v>OB</v>
          </cell>
          <cell r="D406">
            <v>304</v>
          </cell>
          <cell r="E406">
            <v>364.8</v>
          </cell>
          <cell r="F406">
            <v>4</v>
          </cell>
          <cell r="G406">
            <v>0</v>
          </cell>
          <cell r="H406">
            <v>0</v>
          </cell>
          <cell r="I406">
            <v>4</v>
          </cell>
          <cell r="J406">
            <v>50</v>
          </cell>
          <cell r="K406">
            <v>0</v>
          </cell>
          <cell r="L406">
            <v>10</v>
          </cell>
          <cell r="M406">
            <v>0</v>
          </cell>
          <cell r="N406">
            <v>0</v>
          </cell>
          <cell r="O406">
            <v>0</v>
          </cell>
          <cell r="Q406" t="str">
            <v>P2H Start 07:10</v>
          </cell>
          <cell r="T406">
            <v>406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</row>
        <row r="407">
          <cell r="B407" t="str">
            <v>08  - 09</v>
          </cell>
          <cell r="C407" t="str">
            <v>OB</v>
          </cell>
          <cell r="D407">
            <v>380</v>
          </cell>
          <cell r="E407">
            <v>506.66666666666669</v>
          </cell>
          <cell r="F407">
            <v>4</v>
          </cell>
          <cell r="G407">
            <v>0</v>
          </cell>
          <cell r="H407">
            <v>0</v>
          </cell>
          <cell r="I407">
            <v>4</v>
          </cell>
          <cell r="J407">
            <v>45</v>
          </cell>
          <cell r="K407">
            <v>0</v>
          </cell>
          <cell r="L407">
            <v>15</v>
          </cell>
          <cell r="M407">
            <v>0</v>
          </cell>
          <cell r="N407">
            <v>0</v>
          </cell>
          <cell r="O407">
            <v>0</v>
          </cell>
          <cell r="Q407" t="str">
            <v>DT Low, Move Front 15'</v>
          </cell>
          <cell r="T407">
            <v>407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</row>
        <row r="408">
          <cell r="B408" t="str">
            <v>09  - 10</v>
          </cell>
          <cell r="C408" t="str">
            <v>OB</v>
          </cell>
          <cell r="D408">
            <v>418</v>
          </cell>
          <cell r="E408">
            <v>501.6</v>
          </cell>
          <cell r="F408">
            <v>5</v>
          </cell>
          <cell r="G408">
            <v>0</v>
          </cell>
          <cell r="H408">
            <v>0</v>
          </cell>
          <cell r="I408">
            <v>5</v>
          </cell>
          <cell r="J408">
            <v>50</v>
          </cell>
          <cell r="K408">
            <v>0</v>
          </cell>
          <cell r="L408">
            <v>10</v>
          </cell>
          <cell r="M408">
            <v>0</v>
          </cell>
          <cell r="N408">
            <v>0</v>
          </cell>
          <cell r="O408">
            <v>0</v>
          </cell>
          <cell r="Q408" t="str">
            <v>Move Front 10'</v>
          </cell>
          <cell r="T408">
            <v>408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</row>
        <row r="409">
          <cell r="B409" t="str">
            <v>10  - 11</v>
          </cell>
          <cell r="C409" t="str">
            <v>OB</v>
          </cell>
          <cell r="D409">
            <v>494</v>
          </cell>
          <cell r="E409">
            <v>494</v>
          </cell>
          <cell r="F409">
            <v>5</v>
          </cell>
          <cell r="G409">
            <v>0</v>
          </cell>
          <cell r="H409">
            <v>0</v>
          </cell>
          <cell r="I409">
            <v>5</v>
          </cell>
          <cell r="J409">
            <v>60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Q409">
            <v>0</v>
          </cell>
          <cell r="T409">
            <v>409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</row>
        <row r="410">
          <cell r="B410" t="str">
            <v>11  - 12</v>
          </cell>
          <cell r="C410" t="str">
            <v>OB</v>
          </cell>
          <cell r="D410">
            <v>380</v>
          </cell>
          <cell r="E410">
            <v>380</v>
          </cell>
          <cell r="F410">
            <v>5</v>
          </cell>
          <cell r="G410">
            <v>0</v>
          </cell>
          <cell r="H410">
            <v>0</v>
          </cell>
          <cell r="I410">
            <v>5</v>
          </cell>
          <cell r="J410">
            <v>60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Q410">
            <v>0</v>
          </cell>
          <cell r="T410">
            <v>410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</row>
        <row r="411">
          <cell r="B411" t="str">
            <v>12  - 13</v>
          </cell>
          <cell r="C411" t="str">
            <v>OB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60</v>
          </cell>
          <cell r="M411">
            <v>0</v>
          </cell>
          <cell r="N411">
            <v>0</v>
          </cell>
          <cell r="O411">
            <v>0</v>
          </cell>
          <cell r="Q411" t="str">
            <v>Rest Time</v>
          </cell>
          <cell r="T411">
            <v>411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</row>
        <row r="412">
          <cell r="B412" t="str">
            <v>13  -  14</v>
          </cell>
          <cell r="C412" t="str">
            <v>OB</v>
          </cell>
          <cell r="D412">
            <v>494</v>
          </cell>
          <cell r="E412">
            <v>494</v>
          </cell>
          <cell r="F412">
            <v>5</v>
          </cell>
          <cell r="G412">
            <v>0</v>
          </cell>
          <cell r="H412">
            <v>0</v>
          </cell>
          <cell r="I412">
            <v>5</v>
          </cell>
          <cell r="J412">
            <v>60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Q412">
            <v>0</v>
          </cell>
          <cell r="T412">
            <v>412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</row>
        <row r="413">
          <cell r="B413" t="str">
            <v>14  -  15</v>
          </cell>
          <cell r="C413" t="str">
            <v>OB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60</v>
          </cell>
          <cell r="O413">
            <v>0</v>
          </cell>
          <cell r="Q413" t="str">
            <v>Rain</v>
          </cell>
          <cell r="T413">
            <v>413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</row>
        <row r="414">
          <cell r="B414" t="str">
            <v>15  -  16</v>
          </cell>
          <cell r="C414" t="str">
            <v>OB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60</v>
          </cell>
          <cell r="Q414" t="str">
            <v>Slippery</v>
          </cell>
          <cell r="T414">
            <v>414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</row>
        <row r="415">
          <cell r="B415" t="str">
            <v>16  -  17</v>
          </cell>
          <cell r="C415" t="str">
            <v>OB</v>
          </cell>
          <cell r="D415">
            <v>190</v>
          </cell>
          <cell r="E415">
            <v>570</v>
          </cell>
          <cell r="F415">
            <v>5</v>
          </cell>
          <cell r="G415">
            <v>0</v>
          </cell>
          <cell r="H415">
            <v>0</v>
          </cell>
          <cell r="I415">
            <v>5</v>
          </cell>
          <cell r="J415">
            <v>20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40</v>
          </cell>
          <cell r="Q415" t="str">
            <v>Slippery Start 16:40</v>
          </cell>
          <cell r="T415">
            <v>415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</row>
        <row r="416">
          <cell r="B416" t="str">
            <v>17  -  18</v>
          </cell>
          <cell r="C416" t="str">
            <v>OB</v>
          </cell>
          <cell r="D416">
            <v>380</v>
          </cell>
          <cell r="E416">
            <v>456</v>
          </cell>
          <cell r="F416">
            <v>5</v>
          </cell>
          <cell r="G416">
            <v>0</v>
          </cell>
          <cell r="H416">
            <v>0</v>
          </cell>
          <cell r="I416">
            <v>5</v>
          </cell>
          <cell r="J416">
            <v>50</v>
          </cell>
          <cell r="K416">
            <v>0</v>
          </cell>
          <cell r="L416">
            <v>10</v>
          </cell>
          <cell r="M416">
            <v>0</v>
          </cell>
          <cell r="N416">
            <v>0</v>
          </cell>
          <cell r="O416">
            <v>0</v>
          </cell>
          <cell r="Q416" t="str">
            <v>Shift Change</v>
          </cell>
          <cell r="T416">
            <v>416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</row>
        <row r="417">
          <cell r="B417" t="str">
            <v>18  -  19</v>
          </cell>
          <cell r="C417" t="str">
            <v>OB</v>
          </cell>
          <cell r="D417">
            <v>114</v>
          </cell>
          <cell r="E417">
            <v>171</v>
          </cell>
          <cell r="F417">
            <v>3</v>
          </cell>
          <cell r="G417">
            <v>0</v>
          </cell>
          <cell r="H417">
            <v>0</v>
          </cell>
          <cell r="I417">
            <v>3</v>
          </cell>
          <cell r="J417">
            <v>40</v>
          </cell>
          <cell r="K417">
            <v>0</v>
          </cell>
          <cell r="L417">
            <v>20</v>
          </cell>
          <cell r="M417">
            <v>0</v>
          </cell>
          <cell r="N417">
            <v>0</v>
          </cell>
          <cell r="O417">
            <v>0</v>
          </cell>
          <cell r="Q417" t="str">
            <v>Wait Operator, P2H, Start 18:20</v>
          </cell>
          <cell r="T417">
            <v>417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</row>
        <row r="418">
          <cell r="B418" t="str">
            <v>19  -  20</v>
          </cell>
          <cell r="C418" t="str">
            <v>OB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60</v>
          </cell>
          <cell r="O418">
            <v>0</v>
          </cell>
          <cell r="Q418" t="str">
            <v>Rain</v>
          </cell>
          <cell r="T418">
            <v>418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</row>
        <row r="419">
          <cell r="B419" t="str">
            <v>20  -  21</v>
          </cell>
          <cell r="C419" t="str">
            <v>OB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60</v>
          </cell>
          <cell r="O419">
            <v>0</v>
          </cell>
          <cell r="Q419" t="str">
            <v>Rain</v>
          </cell>
          <cell r="T419">
            <v>419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</row>
        <row r="420">
          <cell r="B420" t="str">
            <v>21  -  22</v>
          </cell>
          <cell r="C420" t="str">
            <v>OB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60</v>
          </cell>
          <cell r="O420">
            <v>0</v>
          </cell>
          <cell r="Q420" t="str">
            <v>Rain</v>
          </cell>
          <cell r="T420">
            <v>420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</row>
        <row r="421">
          <cell r="B421" t="str">
            <v>22  -  23</v>
          </cell>
          <cell r="C421" t="str">
            <v>OB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60</v>
          </cell>
          <cell r="O421">
            <v>0</v>
          </cell>
          <cell r="Q421" t="str">
            <v>Rain</v>
          </cell>
          <cell r="T421">
            <v>421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</row>
        <row r="422">
          <cell r="B422" t="str">
            <v>23  -  24</v>
          </cell>
          <cell r="C422" t="str">
            <v>OB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60</v>
          </cell>
          <cell r="Q422" t="str">
            <v>Slippery</v>
          </cell>
          <cell r="T422">
            <v>422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</row>
        <row r="423">
          <cell r="B423" t="str">
            <v>24  -  01</v>
          </cell>
          <cell r="C423" t="str">
            <v>OB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60</v>
          </cell>
          <cell r="M423">
            <v>0</v>
          </cell>
          <cell r="N423">
            <v>0</v>
          </cell>
          <cell r="O423">
            <v>0</v>
          </cell>
          <cell r="Q423" t="str">
            <v>Rest Time</v>
          </cell>
          <cell r="T423">
            <v>423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</row>
        <row r="424">
          <cell r="B424" t="str">
            <v>01  -  02</v>
          </cell>
          <cell r="C424" t="str">
            <v>OB</v>
          </cell>
          <cell r="D424">
            <v>190</v>
          </cell>
          <cell r="E424">
            <v>285</v>
          </cell>
          <cell r="F424">
            <v>3</v>
          </cell>
          <cell r="G424">
            <v>0</v>
          </cell>
          <cell r="H424">
            <v>0</v>
          </cell>
          <cell r="I424">
            <v>3</v>
          </cell>
          <cell r="J424">
            <v>40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20</v>
          </cell>
          <cell r="Q424" t="str">
            <v>Slippery</v>
          </cell>
          <cell r="T424">
            <v>424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</row>
        <row r="425">
          <cell r="B425" t="str">
            <v>02  -  03</v>
          </cell>
          <cell r="C425" t="str">
            <v>OB</v>
          </cell>
          <cell r="D425">
            <v>228</v>
          </cell>
          <cell r="E425">
            <v>273.60000000000002</v>
          </cell>
          <cell r="F425">
            <v>3</v>
          </cell>
          <cell r="G425">
            <v>0</v>
          </cell>
          <cell r="H425">
            <v>0</v>
          </cell>
          <cell r="I425">
            <v>3</v>
          </cell>
          <cell r="J425">
            <v>50</v>
          </cell>
          <cell r="K425">
            <v>0</v>
          </cell>
          <cell r="L425">
            <v>0</v>
          </cell>
          <cell r="M425">
            <v>0</v>
          </cell>
          <cell r="N425">
            <v>10</v>
          </cell>
          <cell r="O425">
            <v>0</v>
          </cell>
          <cell r="Q425" t="str">
            <v>Rain</v>
          </cell>
          <cell r="T425">
            <v>425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</row>
        <row r="426">
          <cell r="B426" t="str">
            <v>03  -  04</v>
          </cell>
          <cell r="C426" t="str">
            <v>OB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60</v>
          </cell>
          <cell r="M426">
            <v>0</v>
          </cell>
          <cell r="N426">
            <v>0</v>
          </cell>
          <cell r="O426">
            <v>0</v>
          </cell>
          <cell r="Q426">
            <v>0</v>
          </cell>
          <cell r="T426">
            <v>426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</row>
        <row r="427">
          <cell r="B427" t="str">
            <v>04  -  05</v>
          </cell>
          <cell r="C427" t="str">
            <v>OB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60</v>
          </cell>
          <cell r="M427">
            <v>0</v>
          </cell>
          <cell r="N427">
            <v>0</v>
          </cell>
          <cell r="O427">
            <v>0</v>
          </cell>
          <cell r="Q427">
            <v>0</v>
          </cell>
          <cell r="T427">
            <v>427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</row>
        <row r="428">
          <cell r="B428" t="str">
            <v>05  -  06</v>
          </cell>
          <cell r="C428" t="str">
            <v>OB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60</v>
          </cell>
          <cell r="M428">
            <v>0</v>
          </cell>
          <cell r="N428">
            <v>0</v>
          </cell>
          <cell r="O428">
            <v>0</v>
          </cell>
          <cell r="Q428">
            <v>0</v>
          </cell>
          <cell r="T428">
            <v>428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</row>
        <row r="429">
          <cell r="B429" t="str">
            <v>06  -  07</v>
          </cell>
          <cell r="C429" t="str">
            <v>OB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30</v>
          </cell>
          <cell r="L429">
            <v>30</v>
          </cell>
          <cell r="M429">
            <v>0</v>
          </cell>
          <cell r="N429">
            <v>0</v>
          </cell>
          <cell r="O429">
            <v>0</v>
          </cell>
          <cell r="Q429" t="str">
            <v>Change Shift</v>
          </cell>
          <cell r="T429">
            <v>429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</row>
        <row r="430">
          <cell r="B430" t="str">
            <v>RESUME</v>
          </cell>
          <cell r="C430" t="str">
            <v>PROD</v>
          </cell>
          <cell r="E430" t="str">
            <v>PROD'TY</v>
          </cell>
          <cell r="G430" t="str">
            <v>WORK HOURS</v>
          </cell>
          <cell r="J430" t="str">
            <v>LOST TIME</v>
          </cell>
          <cell r="L430" t="str">
            <v>DOWN</v>
          </cell>
          <cell r="M430" t="str">
            <v>PA</v>
          </cell>
          <cell r="O430" t="str">
            <v>UA PROD</v>
          </cell>
          <cell r="Q430" t="str">
            <v>OPERATOR</v>
          </cell>
          <cell r="R430" t="str">
            <v>GROUP LEADER</v>
          </cell>
          <cell r="T430">
            <v>430</v>
          </cell>
        </row>
        <row r="431">
          <cell r="B431" t="str">
            <v>GROUP</v>
          </cell>
          <cell r="C431" t="str">
            <v>WASTE</v>
          </cell>
          <cell r="D431" t="str">
            <v>CC</v>
          </cell>
          <cell r="E431" t="str">
            <v>WASTE</v>
          </cell>
          <cell r="F431" t="str">
            <v>CC</v>
          </cell>
          <cell r="G431" t="str">
            <v>WASTE</v>
          </cell>
          <cell r="H431" t="str">
            <v>CC</v>
          </cell>
          <cell r="I431" t="str">
            <v>GEN</v>
          </cell>
          <cell r="J431" t="str">
            <v>DELAY</v>
          </cell>
          <cell r="K431" t="str">
            <v>IDLE</v>
          </cell>
          <cell r="L431" t="str">
            <v>TIME</v>
          </cell>
          <cell r="M431" t="str">
            <v>PLAN</v>
          </cell>
          <cell r="N431" t="str">
            <v>ACT</v>
          </cell>
          <cell r="O431" t="str">
            <v>PLAN</v>
          </cell>
          <cell r="P431" t="str">
            <v>ACT</v>
          </cell>
          <cell r="T431">
            <v>431</v>
          </cell>
        </row>
        <row r="432">
          <cell r="B432" t="str">
            <v>Shift 1</v>
          </cell>
          <cell r="C432">
            <v>2470</v>
          </cell>
          <cell r="D432">
            <v>0</v>
          </cell>
          <cell r="E432">
            <v>456</v>
          </cell>
          <cell r="F432">
            <v>0</v>
          </cell>
          <cell r="G432">
            <v>5.416666666666667</v>
          </cell>
          <cell r="H432">
            <v>0</v>
          </cell>
          <cell r="I432">
            <v>0</v>
          </cell>
          <cell r="J432">
            <v>1.5833333333333333</v>
          </cell>
          <cell r="K432">
            <v>1</v>
          </cell>
          <cell r="L432">
            <v>0</v>
          </cell>
          <cell r="M432">
            <v>0.95</v>
          </cell>
          <cell r="N432">
            <v>1</v>
          </cell>
          <cell r="O432">
            <v>0.875</v>
          </cell>
          <cell r="P432">
            <v>0.67708333333333337</v>
          </cell>
          <cell r="Q432">
            <v>0</v>
          </cell>
          <cell r="R432">
            <v>0</v>
          </cell>
          <cell r="T432">
            <v>432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</row>
        <row r="433">
          <cell r="B433" t="str">
            <v>Shift 2</v>
          </cell>
          <cell r="C433">
            <v>684</v>
          </cell>
          <cell r="D433">
            <v>0</v>
          </cell>
          <cell r="E433">
            <v>373.09090909090912</v>
          </cell>
          <cell r="F433">
            <v>0</v>
          </cell>
          <cell r="G433">
            <v>1.8333333333333333</v>
          </cell>
          <cell r="H433">
            <v>0</v>
          </cell>
          <cell r="I433">
            <v>0</v>
          </cell>
          <cell r="J433">
            <v>0.5</v>
          </cell>
          <cell r="K433">
            <v>5.666666666666667</v>
          </cell>
          <cell r="L433">
            <v>0</v>
          </cell>
          <cell r="M433">
            <v>0.95</v>
          </cell>
          <cell r="N433">
            <v>1</v>
          </cell>
          <cell r="O433">
            <v>0.875</v>
          </cell>
          <cell r="P433">
            <v>0.22916666666666666</v>
          </cell>
          <cell r="Q433">
            <v>0</v>
          </cell>
          <cell r="R433">
            <v>0</v>
          </cell>
          <cell r="T433">
            <v>433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</row>
        <row r="434">
          <cell r="B434" t="str">
            <v>Shift 3</v>
          </cell>
          <cell r="C434">
            <v>418</v>
          </cell>
          <cell r="D434">
            <v>0</v>
          </cell>
          <cell r="E434">
            <v>278.66666666666669</v>
          </cell>
          <cell r="F434">
            <v>0</v>
          </cell>
          <cell r="G434">
            <v>1.5</v>
          </cell>
          <cell r="H434">
            <v>0</v>
          </cell>
          <cell r="I434">
            <v>0.5</v>
          </cell>
          <cell r="J434">
            <v>4.5</v>
          </cell>
          <cell r="K434">
            <v>1.5</v>
          </cell>
          <cell r="L434">
            <v>0</v>
          </cell>
          <cell r="M434">
            <v>0.95</v>
          </cell>
          <cell r="N434">
            <v>1</v>
          </cell>
          <cell r="O434">
            <v>0.875</v>
          </cell>
          <cell r="P434">
            <v>0.25</v>
          </cell>
          <cell r="Q434">
            <v>0</v>
          </cell>
          <cell r="R434">
            <v>0</v>
          </cell>
          <cell r="T434">
            <v>434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</row>
        <row r="435">
          <cell r="B435" t="str">
            <v>Shift 6</v>
          </cell>
          <cell r="C435">
            <v>3040</v>
          </cell>
          <cell r="D435">
            <v>0</v>
          </cell>
          <cell r="E435">
            <v>461.77215189873419</v>
          </cell>
          <cell r="F435">
            <v>0</v>
          </cell>
          <cell r="G435">
            <v>6.583333333333333</v>
          </cell>
          <cell r="H435">
            <v>0</v>
          </cell>
          <cell r="I435">
            <v>0</v>
          </cell>
          <cell r="J435">
            <v>1.75</v>
          </cell>
          <cell r="K435">
            <v>2.6666666666666665</v>
          </cell>
          <cell r="L435">
            <v>0</v>
          </cell>
          <cell r="M435">
            <v>0.95</v>
          </cell>
          <cell r="N435">
            <v>1</v>
          </cell>
          <cell r="O435">
            <v>0.875</v>
          </cell>
          <cell r="P435">
            <v>0.59848484848484851</v>
          </cell>
          <cell r="Q435" t="str">
            <v>Saiful</v>
          </cell>
          <cell r="R435" t="str">
            <v>Bardono</v>
          </cell>
          <cell r="T435">
            <v>435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</row>
        <row r="436">
          <cell r="B436" t="str">
            <v>Shift 7</v>
          </cell>
          <cell r="C436">
            <v>532</v>
          </cell>
          <cell r="D436">
            <v>0</v>
          </cell>
          <cell r="E436">
            <v>245.53846153846155</v>
          </cell>
          <cell r="F436">
            <v>0</v>
          </cell>
          <cell r="G436">
            <v>2.1666666666666665</v>
          </cell>
          <cell r="H436">
            <v>0</v>
          </cell>
          <cell r="I436">
            <v>0.5</v>
          </cell>
          <cell r="J436">
            <v>4.833333333333333</v>
          </cell>
          <cell r="K436">
            <v>5.5</v>
          </cell>
          <cell r="L436">
            <v>0</v>
          </cell>
          <cell r="M436">
            <v>0.95</v>
          </cell>
          <cell r="N436">
            <v>1</v>
          </cell>
          <cell r="O436">
            <v>0.875</v>
          </cell>
          <cell r="P436">
            <v>0.20512820512820512</v>
          </cell>
          <cell r="Q436" t="str">
            <v>Jonson Panjaitan</v>
          </cell>
          <cell r="R436" t="str">
            <v>Saepudin</v>
          </cell>
          <cell r="T436">
            <v>436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</row>
        <row r="437">
          <cell r="B437" t="str">
            <v>TOTAL</v>
          </cell>
          <cell r="C437">
            <v>3572</v>
          </cell>
          <cell r="D437">
            <v>0</v>
          </cell>
          <cell r="E437">
            <v>408.22857142857146</v>
          </cell>
          <cell r="F437">
            <v>0</v>
          </cell>
          <cell r="G437">
            <v>8.75</v>
          </cell>
          <cell r="H437">
            <v>0</v>
          </cell>
          <cell r="I437">
            <v>0.5</v>
          </cell>
          <cell r="J437">
            <v>6.583333333333333</v>
          </cell>
          <cell r="K437">
            <v>8.1666666666666661</v>
          </cell>
          <cell r="L437">
            <v>0</v>
          </cell>
          <cell r="M437">
            <v>0.95</v>
          </cell>
          <cell r="N437">
            <v>1</v>
          </cell>
          <cell r="O437">
            <v>0.875</v>
          </cell>
          <cell r="P437">
            <v>0.38541666666666669</v>
          </cell>
          <cell r="Q437" t="str">
            <v>Hiras Silaban</v>
          </cell>
          <cell r="R437" t="str">
            <v>Fresye A L</v>
          </cell>
          <cell r="T437">
            <v>437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</row>
        <row r="438">
          <cell r="T438">
            <v>438</v>
          </cell>
        </row>
        <row r="439">
          <cell r="B439" t="str">
            <v>TIME</v>
          </cell>
          <cell r="C439" t="str">
            <v>WASTE</v>
          </cell>
          <cell r="D439" t="str">
            <v>EX1006</v>
          </cell>
          <cell r="E439" t="str">
            <v>TYPE</v>
          </cell>
          <cell r="F439" t="str">
            <v>PC 1250</v>
          </cell>
          <cell r="H439" t="str">
            <v>Plan Prod'ty :</v>
          </cell>
          <cell r="J439">
            <v>400</v>
          </cell>
          <cell r="M439" t="str">
            <v>Distance :</v>
          </cell>
          <cell r="O439">
            <v>8.9146664494480383</v>
          </cell>
          <cell r="T439">
            <v>439</v>
          </cell>
          <cell r="U439" t="str">
            <v>EX1006</v>
          </cell>
        </row>
        <row r="440">
          <cell r="C440" t="str">
            <v>MAT</v>
          </cell>
          <cell r="D440" t="str">
            <v>PROD</v>
          </cell>
          <cell r="E440" t="str">
            <v>PROD'TY</v>
          </cell>
          <cell r="F440" t="str">
            <v>Q'TY DT</v>
          </cell>
          <cell r="J440" t="str">
            <v>HOURS</v>
          </cell>
          <cell r="Q440" t="str">
            <v>REMARK PRODUKTIVITAS</v>
          </cell>
          <cell r="T440">
            <v>440</v>
          </cell>
          <cell r="U440" t="str">
            <v>ROM</v>
          </cell>
          <cell r="V440" t="str">
            <v>Crush1</v>
          </cell>
          <cell r="W440" t="str">
            <v>Crush2</v>
          </cell>
          <cell r="X440" t="str">
            <v>Crush3</v>
          </cell>
          <cell r="Y440" t="str">
            <v>Crush4</v>
          </cell>
          <cell r="Z440" t="str">
            <v>Crush5</v>
          </cell>
          <cell r="AA440" t="str">
            <v>Crush6</v>
          </cell>
        </row>
        <row r="441">
          <cell r="E441" t="str">
            <v>( By work )</v>
          </cell>
          <cell r="F441" t="str">
            <v>785</v>
          </cell>
          <cell r="G441" t="str">
            <v>785-CB</v>
          </cell>
          <cell r="H441" t="str">
            <v>A40/HM</v>
          </cell>
          <cell r="I441" t="str">
            <v>Total</v>
          </cell>
          <cell r="J441" t="str">
            <v>Work</v>
          </cell>
          <cell r="K441" t="str">
            <v>General</v>
          </cell>
          <cell r="L441" t="str">
            <v>Delay</v>
          </cell>
          <cell r="M441" t="str">
            <v>Idle</v>
          </cell>
          <cell r="N441" t="str">
            <v>Rain</v>
          </cell>
          <cell r="O441" t="str">
            <v>Slipp</v>
          </cell>
          <cell r="P441" t="str">
            <v>B/D</v>
          </cell>
          <cell r="T441">
            <v>441</v>
          </cell>
        </row>
        <row r="442">
          <cell r="B442" t="str">
            <v>07  - 08</v>
          </cell>
          <cell r="C442" t="str">
            <v>CC</v>
          </cell>
          <cell r="D442">
            <v>270</v>
          </cell>
          <cell r="E442">
            <v>405</v>
          </cell>
          <cell r="F442">
            <v>0</v>
          </cell>
          <cell r="G442">
            <v>3</v>
          </cell>
          <cell r="H442">
            <v>0</v>
          </cell>
          <cell r="I442">
            <v>3</v>
          </cell>
          <cell r="J442">
            <v>40</v>
          </cell>
          <cell r="K442">
            <v>0</v>
          </cell>
          <cell r="L442">
            <v>20</v>
          </cell>
          <cell r="M442">
            <v>0</v>
          </cell>
          <cell r="N442">
            <v>0</v>
          </cell>
          <cell r="O442">
            <v>0</v>
          </cell>
          <cell r="Q442" t="str">
            <v>Coal MD, Crusher 3 &amp; 4, Waiting DT</v>
          </cell>
          <cell r="T442">
            <v>442</v>
          </cell>
          <cell r="U442">
            <v>0</v>
          </cell>
          <cell r="V442">
            <v>0</v>
          </cell>
          <cell r="W442">
            <v>0</v>
          </cell>
          <cell r="X442">
            <v>90</v>
          </cell>
          <cell r="Y442">
            <v>180</v>
          </cell>
          <cell r="Z442">
            <v>0</v>
          </cell>
          <cell r="AA442">
            <v>0</v>
          </cell>
        </row>
        <row r="443">
          <cell r="B443" t="str">
            <v>08  - 09</v>
          </cell>
          <cell r="C443" t="str">
            <v>CC</v>
          </cell>
          <cell r="D443">
            <v>450</v>
          </cell>
          <cell r="E443">
            <v>450</v>
          </cell>
          <cell r="F443">
            <v>0</v>
          </cell>
          <cell r="G443">
            <v>5</v>
          </cell>
          <cell r="H443">
            <v>0</v>
          </cell>
          <cell r="I443">
            <v>5</v>
          </cell>
          <cell r="J443">
            <v>60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Q443" t="str">
            <v>Coal MD, Crusher 3 &amp; 4</v>
          </cell>
          <cell r="T443">
            <v>443</v>
          </cell>
          <cell r="U443">
            <v>0</v>
          </cell>
          <cell r="V443">
            <v>0</v>
          </cell>
          <cell r="W443">
            <v>0</v>
          </cell>
          <cell r="X443">
            <v>90</v>
          </cell>
          <cell r="Y443">
            <v>360</v>
          </cell>
          <cell r="Z443">
            <v>0</v>
          </cell>
          <cell r="AA443">
            <v>0</v>
          </cell>
        </row>
        <row r="444">
          <cell r="B444" t="str">
            <v>09  - 10</v>
          </cell>
          <cell r="C444" t="str">
            <v>CC</v>
          </cell>
          <cell r="D444">
            <v>270</v>
          </cell>
          <cell r="E444">
            <v>270</v>
          </cell>
          <cell r="F444">
            <v>0</v>
          </cell>
          <cell r="G444">
            <v>5</v>
          </cell>
          <cell r="H444">
            <v>0</v>
          </cell>
          <cell r="I444">
            <v>5</v>
          </cell>
          <cell r="J444">
            <v>60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Q444" t="str">
            <v>Coal MD, Crusher 3 &amp; 4</v>
          </cell>
          <cell r="T444">
            <v>444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270</v>
          </cell>
          <cell r="Z444">
            <v>0</v>
          </cell>
          <cell r="AA444">
            <v>0</v>
          </cell>
        </row>
        <row r="445">
          <cell r="B445" t="str">
            <v>10  - 11</v>
          </cell>
          <cell r="C445" t="str">
            <v>CC</v>
          </cell>
          <cell r="D445">
            <v>180</v>
          </cell>
          <cell r="E445">
            <v>216</v>
          </cell>
          <cell r="F445">
            <v>0</v>
          </cell>
          <cell r="G445">
            <v>5</v>
          </cell>
          <cell r="H445">
            <v>0</v>
          </cell>
          <cell r="I445">
            <v>5</v>
          </cell>
          <cell r="J445">
            <v>50</v>
          </cell>
          <cell r="K445">
            <v>0</v>
          </cell>
          <cell r="L445">
            <v>10</v>
          </cell>
          <cell r="M445">
            <v>0</v>
          </cell>
          <cell r="N445">
            <v>0</v>
          </cell>
          <cell r="O445">
            <v>0</v>
          </cell>
          <cell r="Q445" t="str">
            <v xml:space="preserve"> MD, Crs 3 &amp; 4, 10:30 RFU 10:40 Error 11</v>
          </cell>
          <cell r="T445">
            <v>445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180</v>
          </cell>
          <cell r="Z445">
            <v>0</v>
          </cell>
          <cell r="AA445">
            <v>0</v>
          </cell>
        </row>
        <row r="446">
          <cell r="B446" t="str">
            <v>11  - 12</v>
          </cell>
          <cell r="C446" t="str">
            <v>CC</v>
          </cell>
          <cell r="D446">
            <v>450</v>
          </cell>
          <cell r="E446">
            <v>450</v>
          </cell>
          <cell r="F446">
            <v>0</v>
          </cell>
          <cell r="G446">
            <v>5</v>
          </cell>
          <cell r="H446">
            <v>0</v>
          </cell>
          <cell r="I446">
            <v>5</v>
          </cell>
          <cell r="J446">
            <v>60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Q446" t="str">
            <v>Coal MD, Crusher 3 &amp; 4</v>
          </cell>
          <cell r="T446">
            <v>446</v>
          </cell>
          <cell r="U446">
            <v>0</v>
          </cell>
          <cell r="V446">
            <v>0</v>
          </cell>
          <cell r="W446">
            <v>0</v>
          </cell>
          <cell r="X446">
            <v>90</v>
          </cell>
          <cell r="Y446">
            <v>360</v>
          </cell>
          <cell r="Z446">
            <v>0</v>
          </cell>
          <cell r="AA446">
            <v>0</v>
          </cell>
        </row>
        <row r="447">
          <cell r="B447" t="str">
            <v>12  - 13</v>
          </cell>
          <cell r="C447" t="str">
            <v>CC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60</v>
          </cell>
          <cell r="M447">
            <v>0</v>
          </cell>
          <cell r="N447">
            <v>0</v>
          </cell>
          <cell r="O447">
            <v>0</v>
          </cell>
          <cell r="Q447" t="str">
            <v>Rest Time</v>
          </cell>
          <cell r="T447">
            <v>447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</row>
        <row r="448">
          <cell r="B448" t="str">
            <v>13  -  14</v>
          </cell>
          <cell r="C448" t="str">
            <v>CC</v>
          </cell>
          <cell r="D448">
            <v>450</v>
          </cell>
          <cell r="E448">
            <v>450</v>
          </cell>
          <cell r="F448">
            <v>0</v>
          </cell>
          <cell r="G448">
            <v>5</v>
          </cell>
          <cell r="H448">
            <v>0</v>
          </cell>
          <cell r="I448">
            <v>5</v>
          </cell>
          <cell r="J448">
            <v>60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Q448" t="str">
            <v>Coal MD, Crusher 3 &amp; 4</v>
          </cell>
          <cell r="T448">
            <v>448</v>
          </cell>
          <cell r="U448">
            <v>0</v>
          </cell>
          <cell r="V448">
            <v>0</v>
          </cell>
          <cell r="W448">
            <v>0</v>
          </cell>
          <cell r="X448">
            <v>90</v>
          </cell>
          <cell r="Y448">
            <v>360</v>
          </cell>
          <cell r="Z448">
            <v>0</v>
          </cell>
          <cell r="AA448">
            <v>0</v>
          </cell>
        </row>
        <row r="449">
          <cell r="B449" t="str">
            <v>14  -  15</v>
          </cell>
          <cell r="C449" t="str">
            <v>CC</v>
          </cell>
          <cell r="D449">
            <v>270</v>
          </cell>
          <cell r="E449">
            <v>405</v>
          </cell>
          <cell r="F449">
            <v>0</v>
          </cell>
          <cell r="G449">
            <v>3</v>
          </cell>
          <cell r="H449">
            <v>0</v>
          </cell>
          <cell r="I449">
            <v>3</v>
          </cell>
          <cell r="J449">
            <v>40</v>
          </cell>
          <cell r="K449">
            <v>0</v>
          </cell>
          <cell r="L449">
            <v>0</v>
          </cell>
          <cell r="M449">
            <v>0</v>
          </cell>
          <cell r="N449">
            <v>20</v>
          </cell>
          <cell r="O449">
            <v>0</v>
          </cell>
          <cell r="Q449" t="str">
            <v>Rain Stop 14:40, Coal MD, Room A1</v>
          </cell>
          <cell r="T449">
            <v>449</v>
          </cell>
          <cell r="U449">
            <v>270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</row>
        <row r="450">
          <cell r="B450" t="str">
            <v>15  -  16</v>
          </cell>
          <cell r="C450" t="str">
            <v>CC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60</v>
          </cell>
          <cell r="Q450" t="str">
            <v>Slippery</v>
          </cell>
          <cell r="T450">
            <v>450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</row>
        <row r="451">
          <cell r="B451" t="str">
            <v>16  -  17</v>
          </cell>
          <cell r="C451" t="str">
            <v>CC</v>
          </cell>
          <cell r="D451">
            <v>180</v>
          </cell>
          <cell r="E451">
            <v>432</v>
          </cell>
          <cell r="F451">
            <v>0</v>
          </cell>
          <cell r="G451">
            <v>2</v>
          </cell>
          <cell r="H451">
            <v>0</v>
          </cell>
          <cell r="I451">
            <v>2</v>
          </cell>
          <cell r="J451">
            <v>25</v>
          </cell>
          <cell r="K451">
            <v>0</v>
          </cell>
          <cell r="L451">
            <v>35</v>
          </cell>
          <cell r="M451">
            <v>0</v>
          </cell>
          <cell r="N451">
            <v>0</v>
          </cell>
          <cell r="O451">
            <v>0</v>
          </cell>
          <cell r="Q451" t="str">
            <v>Coal MD, Room A1, Slippery</v>
          </cell>
          <cell r="T451">
            <v>451</v>
          </cell>
          <cell r="U451">
            <v>180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</row>
        <row r="452">
          <cell r="B452" t="str">
            <v>17  -  18</v>
          </cell>
          <cell r="C452" t="str">
            <v>CC</v>
          </cell>
          <cell r="D452">
            <v>270</v>
          </cell>
          <cell r="E452">
            <v>324</v>
          </cell>
          <cell r="F452">
            <v>0</v>
          </cell>
          <cell r="G452">
            <v>3</v>
          </cell>
          <cell r="H452">
            <v>0</v>
          </cell>
          <cell r="I452">
            <v>3</v>
          </cell>
          <cell r="J452">
            <v>50</v>
          </cell>
          <cell r="K452">
            <v>0</v>
          </cell>
          <cell r="L452">
            <v>10</v>
          </cell>
          <cell r="M452">
            <v>0</v>
          </cell>
          <cell r="N452">
            <v>0</v>
          </cell>
          <cell r="O452">
            <v>0</v>
          </cell>
          <cell r="Q452" t="str">
            <v>Shift Change</v>
          </cell>
          <cell r="T452">
            <v>452</v>
          </cell>
          <cell r="U452">
            <v>270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</row>
        <row r="453">
          <cell r="B453" t="str">
            <v>18  -  19</v>
          </cell>
          <cell r="C453" t="str">
            <v>CC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60</v>
          </cell>
          <cell r="M453">
            <v>0</v>
          </cell>
          <cell r="N453">
            <v>0</v>
          </cell>
          <cell r="O453">
            <v>0</v>
          </cell>
          <cell r="Q453" t="str">
            <v>Wait DT Antar Gantungan</v>
          </cell>
          <cell r="T453">
            <v>453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</row>
        <row r="454">
          <cell r="B454" t="str">
            <v>19  -  20</v>
          </cell>
          <cell r="C454" t="str">
            <v>CC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60</v>
          </cell>
          <cell r="O454">
            <v>0</v>
          </cell>
          <cell r="Q454" t="str">
            <v>Rain</v>
          </cell>
          <cell r="T454">
            <v>454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</row>
        <row r="455">
          <cell r="B455" t="str">
            <v>20  -  21</v>
          </cell>
          <cell r="C455" t="str">
            <v>CC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60</v>
          </cell>
          <cell r="O455">
            <v>0</v>
          </cell>
          <cell r="Q455" t="str">
            <v>Rain</v>
          </cell>
          <cell r="T455">
            <v>455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</row>
        <row r="456">
          <cell r="B456" t="str">
            <v>21  -  22</v>
          </cell>
          <cell r="C456" t="str">
            <v>CC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60</v>
          </cell>
          <cell r="O456">
            <v>0</v>
          </cell>
          <cell r="Q456" t="str">
            <v>Rain</v>
          </cell>
          <cell r="T456">
            <v>456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</row>
        <row r="457">
          <cell r="B457" t="str">
            <v>22  -  23</v>
          </cell>
          <cell r="C457" t="str">
            <v>CC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60</v>
          </cell>
          <cell r="O457">
            <v>0</v>
          </cell>
          <cell r="Q457" t="str">
            <v>Rain</v>
          </cell>
          <cell r="T457">
            <v>457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</row>
        <row r="458">
          <cell r="B458" t="str">
            <v>23  -  24</v>
          </cell>
          <cell r="C458" t="str">
            <v>CC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60</v>
          </cell>
          <cell r="Q458" t="str">
            <v>Slippery</v>
          </cell>
          <cell r="T458">
            <v>458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</row>
        <row r="459">
          <cell r="B459" t="str">
            <v>24  -  01</v>
          </cell>
          <cell r="C459" t="str">
            <v>CC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60</v>
          </cell>
          <cell r="Q459" t="str">
            <v>Slippery</v>
          </cell>
          <cell r="T459">
            <v>459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</row>
        <row r="460">
          <cell r="B460" t="str">
            <v>01  -  02</v>
          </cell>
          <cell r="C460" t="str">
            <v>CC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60</v>
          </cell>
          <cell r="Q460" t="str">
            <v>Slippery</v>
          </cell>
          <cell r="T460">
            <v>460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</row>
        <row r="461">
          <cell r="B461" t="str">
            <v>02  -  03</v>
          </cell>
          <cell r="C461" t="str">
            <v>CC</v>
          </cell>
          <cell r="D461">
            <v>540</v>
          </cell>
          <cell r="E461">
            <v>540</v>
          </cell>
          <cell r="F461">
            <v>0</v>
          </cell>
          <cell r="G461">
            <v>5</v>
          </cell>
          <cell r="H461">
            <v>0</v>
          </cell>
          <cell r="I461">
            <v>5</v>
          </cell>
          <cell r="J461">
            <v>60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Q461" t="str">
            <v>Start 02:00</v>
          </cell>
          <cell r="T461">
            <v>461</v>
          </cell>
          <cell r="U461">
            <v>0</v>
          </cell>
          <cell r="V461">
            <v>0</v>
          </cell>
          <cell r="W461">
            <v>0</v>
          </cell>
          <cell r="X461">
            <v>540</v>
          </cell>
          <cell r="Y461">
            <v>0</v>
          </cell>
          <cell r="Z461">
            <v>0</v>
          </cell>
          <cell r="AA461">
            <v>0</v>
          </cell>
        </row>
        <row r="462">
          <cell r="B462" t="str">
            <v>03  -  04</v>
          </cell>
          <cell r="C462" t="str">
            <v>CC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60</v>
          </cell>
          <cell r="O462">
            <v>0</v>
          </cell>
          <cell r="Q462" t="str">
            <v>Rain</v>
          </cell>
          <cell r="T462">
            <v>462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</row>
        <row r="463">
          <cell r="B463" t="str">
            <v>04  -  05</v>
          </cell>
          <cell r="C463" t="str">
            <v>CC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60</v>
          </cell>
          <cell r="Q463" t="str">
            <v>Slippery</v>
          </cell>
          <cell r="T463">
            <v>463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</row>
        <row r="464">
          <cell r="B464" t="str">
            <v>05  -  06</v>
          </cell>
          <cell r="C464" t="str">
            <v>CC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60</v>
          </cell>
          <cell r="Q464" t="str">
            <v>Slippery</v>
          </cell>
          <cell r="T464">
            <v>464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</row>
        <row r="465">
          <cell r="B465" t="str">
            <v>06  -  07</v>
          </cell>
          <cell r="C465" t="str">
            <v>CC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30</v>
          </cell>
          <cell r="L465">
            <v>0</v>
          </cell>
          <cell r="M465">
            <v>0</v>
          </cell>
          <cell r="N465">
            <v>0</v>
          </cell>
          <cell r="O465">
            <v>30</v>
          </cell>
          <cell r="Q465" t="str">
            <v>Slippery</v>
          </cell>
          <cell r="T465">
            <v>465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</row>
        <row r="466">
          <cell r="B466" t="str">
            <v>RESUME</v>
          </cell>
          <cell r="C466" t="str">
            <v>PROD</v>
          </cell>
          <cell r="E466" t="str">
            <v>PROD'TY</v>
          </cell>
          <cell r="G466" t="str">
            <v>WORK HOURS</v>
          </cell>
          <cell r="J466" t="str">
            <v>LOST TIME</v>
          </cell>
          <cell r="L466" t="str">
            <v>DOWN</v>
          </cell>
          <cell r="M466" t="str">
            <v>PA</v>
          </cell>
          <cell r="O466" t="str">
            <v>UA PROD</v>
          </cell>
          <cell r="Q466" t="str">
            <v>OPERATOR</v>
          </cell>
          <cell r="R466" t="str">
            <v>GROUP LEADER</v>
          </cell>
          <cell r="T466">
            <v>466</v>
          </cell>
        </row>
        <row r="467">
          <cell r="B467" t="str">
            <v>GROUP</v>
          </cell>
          <cell r="C467" t="str">
            <v>WASTE</v>
          </cell>
          <cell r="D467" t="str">
            <v>CC</v>
          </cell>
          <cell r="E467" t="str">
            <v>WASTE</v>
          </cell>
          <cell r="F467" t="str">
            <v>CC</v>
          </cell>
          <cell r="G467" t="str">
            <v>WASTE</v>
          </cell>
          <cell r="H467" t="str">
            <v>CC</v>
          </cell>
          <cell r="I467" t="str">
            <v>GEN</v>
          </cell>
          <cell r="J467" t="str">
            <v>DELAY</v>
          </cell>
          <cell r="K467" t="str">
            <v>IDLE</v>
          </cell>
          <cell r="L467" t="str">
            <v>TIME</v>
          </cell>
          <cell r="M467" t="str">
            <v>PLAN</v>
          </cell>
          <cell r="N467" t="str">
            <v>ACT</v>
          </cell>
          <cell r="O467" t="str">
            <v>PLAN</v>
          </cell>
          <cell r="P467" t="str">
            <v>ACT</v>
          </cell>
          <cell r="T467">
            <v>467</v>
          </cell>
        </row>
        <row r="468">
          <cell r="B468" t="str">
            <v>Shift 1</v>
          </cell>
          <cell r="C468">
            <v>0</v>
          </cell>
          <cell r="D468">
            <v>2340</v>
          </cell>
          <cell r="E468">
            <v>0</v>
          </cell>
          <cell r="F468">
            <v>379.45945945945942</v>
          </cell>
          <cell r="G468">
            <v>0</v>
          </cell>
          <cell r="H468">
            <v>6.166666666666667</v>
          </cell>
          <cell r="I468">
            <v>0</v>
          </cell>
          <cell r="J468">
            <v>1.5</v>
          </cell>
          <cell r="K468">
            <v>0.33333333333333331</v>
          </cell>
          <cell r="L468">
            <v>0</v>
          </cell>
          <cell r="M468">
            <v>0.95</v>
          </cell>
          <cell r="N468">
            <v>1</v>
          </cell>
          <cell r="O468">
            <v>0.875</v>
          </cell>
          <cell r="P468">
            <v>0.77083333333333337</v>
          </cell>
          <cell r="Q468">
            <v>0</v>
          </cell>
          <cell r="R468">
            <v>0</v>
          </cell>
          <cell r="T468">
            <v>468</v>
          </cell>
          <cell r="U468">
            <v>270</v>
          </cell>
          <cell r="V468">
            <v>0</v>
          </cell>
          <cell r="W468">
            <v>0</v>
          </cell>
          <cell r="X468">
            <v>360</v>
          </cell>
          <cell r="Y468">
            <v>1710</v>
          </cell>
          <cell r="Z468">
            <v>0</v>
          </cell>
          <cell r="AA468">
            <v>0</v>
          </cell>
        </row>
        <row r="469">
          <cell r="B469" t="str">
            <v>Shift 2</v>
          </cell>
          <cell r="C469">
            <v>0</v>
          </cell>
          <cell r="D469">
            <v>450</v>
          </cell>
          <cell r="E469">
            <v>0</v>
          </cell>
          <cell r="F469">
            <v>360</v>
          </cell>
          <cell r="G469">
            <v>0</v>
          </cell>
          <cell r="H469">
            <v>1.25</v>
          </cell>
          <cell r="I469">
            <v>0</v>
          </cell>
          <cell r="J469">
            <v>1.75</v>
          </cell>
          <cell r="K469">
            <v>5</v>
          </cell>
          <cell r="L469">
            <v>0</v>
          </cell>
          <cell r="M469">
            <v>0.95</v>
          </cell>
          <cell r="N469">
            <v>1</v>
          </cell>
          <cell r="O469">
            <v>0.875</v>
          </cell>
          <cell r="P469">
            <v>0.15625</v>
          </cell>
          <cell r="Q469">
            <v>0</v>
          </cell>
          <cell r="R469">
            <v>0</v>
          </cell>
          <cell r="T469">
            <v>469</v>
          </cell>
          <cell r="U469">
            <v>450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</row>
        <row r="470">
          <cell r="B470" t="str">
            <v>Shift 3</v>
          </cell>
          <cell r="C470">
            <v>0</v>
          </cell>
          <cell r="D470">
            <v>540</v>
          </cell>
          <cell r="E470">
            <v>0</v>
          </cell>
          <cell r="F470">
            <v>540</v>
          </cell>
          <cell r="G470">
            <v>0</v>
          </cell>
          <cell r="H470">
            <v>1</v>
          </cell>
          <cell r="I470">
            <v>0.5</v>
          </cell>
          <cell r="J470">
            <v>0</v>
          </cell>
          <cell r="K470">
            <v>6.5</v>
          </cell>
          <cell r="L470">
            <v>0</v>
          </cell>
          <cell r="M470">
            <v>0.95</v>
          </cell>
          <cell r="N470">
            <v>1</v>
          </cell>
          <cell r="O470">
            <v>0.875</v>
          </cell>
          <cell r="P470">
            <v>0.1875</v>
          </cell>
          <cell r="Q470">
            <v>0</v>
          </cell>
          <cell r="R470">
            <v>0</v>
          </cell>
          <cell r="T470">
            <v>470</v>
          </cell>
          <cell r="U470">
            <v>0</v>
          </cell>
          <cell r="V470">
            <v>0</v>
          </cell>
          <cell r="W470">
            <v>0</v>
          </cell>
          <cell r="X470">
            <v>540</v>
          </cell>
          <cell r="Y470">
            <v>0</v>
          </cell>
          <cell r="Z470">
            <v>0</v>
          </cell>
          <cell r="AA470">
            <v>0</v>
          </cell>
        </row>
        <row r="471">
          <cell r="B471" t="str">
            <v>Shift 6</v>
          </cell>
          <cell r="C471">
            <v>0</v>
          </cell>
          <cell r="D471">
            <v>2790</v>
          </cell>
          <cell r="E471">
            <v>0</v>
          </cell>
          <cell r="F471">
            <v>376.17977528089887</v>
          </cell>
          <cell r="G471">
            <v>0</v>
          </cell>
          <cell r="H471">
            <v>7.416666666666667</v>
          </cell>
          <cell r="I471">
            <v>0</v>
          </cell>
          <cell r="J471">
            <v>2.25</v>
          </cell>
          <cell r="K471">
            <v>1.3333333333333333</v>
          </cell>
          <cell r="L471">
            <v>0</v>
          </cell>
          <cell r="M471">
            <v>0.95</v>
          </cell>
          <cell r="N471">
            <v>1</v>
          </cell>
          <cell r="O471">
            <v>0.875</v>
          </cell>
          <cell r="P471">
            <v>0.67424242424242431</v>
          </cell>
          <cell r="Q471" t="str">
            <v>Dedi Rapsody</v>
          </cell>
          <cell r="R471" t="str">
            <v>Parjo Yoseph</v>
          </cell>
          <cell r="T471">
            <v>471</v>
          </cell>
          <cell r="U471">
            <v>720</v>
          </cell>
          <cell r="V471">
            <v>0</v>
          </cell>
          <cell r="W471">
            <v>0</v>
          </cell>
          <cell r="X471">
            <v>360</v>
          </cell>
          <cell r="Y471">
            <v>1710</v>
          </cell>
          <cell r="Z471">
            <v>0</v>
          </cell>
          <cell r="AA471">
            <v>0</v>
          </cell>
        </row>
        <row r="472">
          <cell r="B472" t="str">
            <v>Shift 7</v>
          </cell>
          <cell r="C472">
            <v>0</v>
          </cell>
          <cell r="D472">
            <v>540</v>
          </cell>
          <cell r="E472">
            <v>0</v>
          </cell>
          <cell r="F472">
            <v>540</v>
          </cell>
          <cell r="G472">
            <v>0</v>
          </cell>
          <cell r="H472">
            <v>1</v>
          </cell>
          <cell r="I472">
            <v>0.5</v>
          </cell>
          <cell r="J472">
            <v>1</v>
          </cell>
          <cell r="K472">
            <v>10.5</v>
          </cell>
          <cell r="L472">
            <v>0</v>
          </cell>
          <cell r="M472">
            <v>0.95</v>
          </cell>
          <cell r="N472">
            <v>1</v>
          </cell>
          <cell r="O472">
            <v>0.875</v>
          </cell>
          <cell r="P472">
            <v>0.11538461538461539</v>
          </cell>
          <cell r="Q472" t="str">
            <v>Rudi Sarwedi</v>
          </cell>
          <cell r="R472" t="str">
            <v>Bidrun Abidin</v>
          </cell>
          <cell r="T472">
            <v>472</v>
          </cell>
          <cell r="U472">
            <v>0</v>
          </cell>
          <cell r="V472">
            <v>0</v>
          </cell>
          <cell r="W472">
            <v>0</v>
          </cell>
          <cell r="X472">
            <v>540</v>
          </cell>
          <cell r="Y472">
            <v>0</v>
          </cell>
          <cell r="Z472">
            <v>0</v>
          </cell>
          <cell r="AA472">
            <v>0</v>
          </cell>
        </row>
        <row r="473">
          <cell r="B473" t="str">
            <v>TOTAL</v>
          </cell>
          <cell r="C473">
            <v>0</v>
          </cell>
          <cell r="D473">
            <v>3330</v>
          </cell>
          <cell r="E473">
            <v>0</v>
          </cell>
          <cell r="F473">
            <v>395.6435643564356</v>
          </cell>
          <cell r="G473">
            <v>0</v>
          </cell>
          <cell r="H473">
            <v>8.4166666666666679</v>
          </cell>
          <cell r="I473">
            <v>0.5</v>
          </cell>
          <cell r="J473">
            <v>3.25</v>
          </cell>
          <cell r="K473">
            <v>11.833333333333334</v>
          </cell>
          <cell r="L473">
            <v>0</v>
          </cell>
          <cell r="M473">
            <v>0.95</v>
          </cell>
          <cell r="N473">
            <v>1</v>
          </cell>
          <cell r="O473">
            <v>0.875</v>
          </cell>
          <cell r="P473">
            <v>0.37152777777777773</v>
          </cell>
          <cell r="Q473" t="str">
            <v>Hiras Silaban</v>
          </cell>
          <cell r="R473" t="str">
            <v>Fresye A L</v>
          </cell>
          <cell r="T473">
            <v>473</v>
          </cell>
          <cell r="U473">
            <v>720</v>
          </cell>
          <cell r="V473">
            <v>0</v>
          </cell>
          <cell r="W473">
            <v>0</v>
          </cell>
          <cell r="X473">
            <v>900</v>
          </cell>
          <cell r="Y473">
            <v>1710</v>
          </cell>
          <cell r="Z473">
            <v>0</v>
          </cell>
          <cell r="AA473">
            <v>0</v>
          </cell>
        </row>
        <row r="474">
          <cell r="T474">
            <v>474</v>
          </cell>
        </row>
        <row r="475">
          <cell r="B475" t="str">
            <v>TIME</v>
          </cell>
          <cell r="C475" t="str">
            <v>WASTE</v>
          </cell>
          <cell r="D475" t="str">
            <v>EX1008</v>
          </cell>
          <cell r="E475" t="str">
            <v>TYPE</v>
          </cell>
          <cell r="F475" t="str">
            <v>PC 1250</v>
          </cell>
          <cell r="H475" t="str">
            <v>Plan Prod'ty :</v>
          </cell>
          <cell r="J475">
            <v>0</v>
          </cell>
          <cell r="M475" t="str">
            <v>Distance :</v>
          </cell>
          <cell r="O475">
            <v>2.2211916644542598</v>
          </cell>
          <cell r="T475">
            <v>475</v>
          </cell>
          <cell r="U475" t="str">
            <v>EX1008</v>
          </cell>
        </row>
        <row r="476">
          <cell r="C476" t="str">
            <v>MAT</v>
          </cell>
          <cell r="D476" t="str">
            <v>PROD</v>
          </cell>
          <cell r="E476" t="str">
            <v>PROD'TY</v>
          </cell>
          <cell r="F476" t="str">
            <v>Q'TY DT</v>
          </cell>
          <cell r="J476" t="str">
            <v>HOURS</v>
          </cell>
          <cell r="Q476" t="str">
            <v>REMARK PRODUKTIVITAS</v>
          </cell>
          <cell r="T476">
            <v>476</v>
          </cell>
          <cell r="U476" t="str">
            <v>ROM</v>
          </cell>
          <cell r="V476" t="str">
            <v>Crush1</v>
          </cell>
          <cell r="W476" t="str">
            <v>Crush2</v>
          </cell>
          <cell r="X476" t="str">
            <v>Crush3</v>
          </cell>
          <cell r="Y476" t="str">
            <v>Crush4</v>
          </cell>
          <cell r="Z476" t="str">
            <v>Crush5</v>
          </cell>
          <cell r="AA476" t="str">
            <v>Crush6</v>
          </cell>
        </row>
        <row r="477">
          <cell r="E477" t="str">
            <v>( By work )</v>
          </cell>
          <cell r="F477" t="str">
            <v>785</v>
          </cell>
          <cell r="G477" t="str">
            <v>785-CB</v>
          </cell>
          <cell r="H477" t="str">
            <v>A40/HM</v>
          </cell>
          <cell r="I477" t="str">
            <v>Total</v>
          </cell>
          <cell r="J477" t="str">
            <v>Work</v>
          </cell>
          <cell r="K477" t="str">
            <v>General</v>
          </cell>
          <cell r="L477" t="str">
            <v>Delay</v>
          </cell>
          <cell r="M477" t="str">
            <v>Idle</v>
          </cell>
          <cell r="N477" t="str">
            <v>Rain</v>
          </cell>
          <cell r="O477" t="str">
            <v>Slipp</v>
          </cell>
          <cell r="P477" t="str">
            <v>B/D</v>
          </cell>
          <cell r="T477">
            <v>477</v>
          </cell>
        </row>
        <row r="478">
          <cell r="B478" t="str">
            <v>07  - 08</v>
          </cell>
          <cell r="C478" t="str">
            <v>OB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60</v>
          </cell>
          <cell r="M478">
            <v>0</v>
          </cell>
          <cell r="N478">
            <v>0</v>
          </cell>
          <cell r="O478">
            <v>0</v>
          </cell>
          <cell r="Q478" t="str">
            <v>Stand By No operator</v>
          </cell>
          <cell r="T478">
            <v>478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</row>
        <row r="479">
          <cell r="B479" t="str">
            <v>08  - 09</v>
          </cell>
          <cell r="C479" t="str">
            <v>OB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60</v>
          </cell>
          <cell r="M479">
            <v>0</v>
          </cell>
          <cell r="N479">
            <v>0</v>
          </cell>
          <cell r="O479">
            <v>0</v>
          </cell>
          <cell r="Q479" t="str">
            <v>Stand By No operator</v>
          </cell>
          <cell r="T479">
            <v>479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</row>
        <row r="480">
          <cell r="B480" t="str">
            <v>09  - 10</v>
          </cell>
          <cell r="C480" t="str">
            <v>OB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60</v>
          </cell>
          <cell r="M480">
            <v>0</v>
          </cell>
          <cell r="N480">
            <v>0</v>
          </cell>
          <cell r="O480">
            <v>0</v>
          </cell>
          <cell r="Q480" t="str">
            <v>Stand By No operator</v>
          </cell>
          <cell r="T480">
            <v>480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</row>
        <row r="481">
          <cell r="B481" t="str">
            <v>10  - 11</v>
          </cell>
          <cell r="C481" t="str">
            <v>OB</v>
          </cell>
          <cell r="D481">
            <v>114</v>
          </cell>
          <cell r="E481">
            <v>380</v>
          </cell>
          <cell r="F481">
            <v>3</v>
          </cell>
          <cell r="G481">
            <v>0</v>
          </cell>
          <cell r="H481">
            <v>0</v>
          </cell>
          <cell r="I481">
            <v>3</v>
          </cell>
          <cell r="J481">
            <v>18</v>
          </cell>
          <cell r="K481">
            <v>0</v>
          </cell>
          <cell r="L481">
            <v>42</v>
          </cell>
          <cell r="M481">
            <v>0</v>
          </cell>
          <cell r="N481">
            <v>0</v>
          </cell>
          <cell r="O481">
            <v>0</v>
          </cell>
          <cell r="Q481" t="str">
            <v>Stand By Start 10:42</v>
          </cell>
          <cell r="T481">
            <v>481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</row>
        <row r="482">
          <cell r="B482" t="str">
            <v>11  - 12</v>
          </cell>
          <cell r="C482" t="str">
            <v>OB</v>
          </cell>
          <cell r="D482">
            <v>380</v>
          </cell>
          <cell r="E482">
            <v>380</v>
          </cell>
          <cell r="F482">
            <v>5</v>
          </cell>
          <cell r="G482">
            <v>0</v>
          </cell>
          <cell r="H482">
            <v>0</v>
          </cell>
          <cell r="I482">
            <v>5</v>
          </cell>
          <cell r="J482">
            <v>60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Q482">
            <v>0</v>
          </cell>
          <cell r="T482">
            <v>482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</row>
        <row r="483">
          <cell r="B483" t="str">
            <v>12  - 13</v>
          </cell>
          <cell r="C483" t="str">
            <v>OB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60</v>
          </cell>
          <cell r="M483">
            <v>0</v>
          </cell>
          <cell r="N483">
            <v>0</v>
          </cell>
          <cell r="O483">
            <v>0</v>
          </cell>
          <cell r="Q483" t="str">
            <v>Rest Time</v>
          </cell>
          <cell r="T483">
            <v>483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</row>
        <row r="484">
          <cell r="B484" t="str">
            <v>13  -  14</v>
          </cell>
          <cell r="C484" t="str">
            <v>OB</v>
          </cell>
          <cell r="D484">
            <v>570</v>
          </cell>
          <cell r="E484">
            <v>570</v>
          </cell>
          <cell r="F484">
            <v>5</v>
          </cell>
          <cell r="G484">
            <v>0</v>
          </cell>
          <cell r="H484">
            <v>0</v>
          </cell>
          <cell r="I484">
            <v>5</v>
          </cell>
          <cell r="J484">
            <v>60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Q484">
            <v>0</v>
          </cell>
          <cell r="T484">
            <v>484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</row>
        <row r="485">
          <cell r="B485" t="str">
            <v>14  -  15</v>
          </cell>
          <cell r="C485" t="str">
            <v>OB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60</v>
          </cell>
          <cell r="O485">
            <v>0</v>
          </cell>
          <cell r="Q485" t="str">
            <v>Rain</v>
          </cell>
          <cell r="T485">
            <v>485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</row>
        <row r="486">
          <cell r="B486" t="str">
            <v>15  -  16</v>
          </cell>
          <cell r="C486" t="str">
            <v>OB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60</v>
          </cell>
          <cell r="Q486" t="str">
            <v>Slippery</v>
          </cell>
          <cell r="T486">
            <v>486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</row>
        <row r="487">
          <cell r="B487" t="str">
            <v>16  -  17</v>
          </cell>
          <cell r="C487" t="str">
            <v>OB</v>
          </cell>
          <cell r="D487">
            <v>114</v>
          </cell>
          <cell r="E487">
            <v>380</v>
          </cell>
          <cell r="F487">
            <v>4</v>
          </cell>
          <cell r="G487">
            <v>0</v>
          </cell>
          <cell r="H487">
            <v>0</v>
          </cell>
          <cell r="I487">
            <v>4</v>
          </cell>
          <cell r="J487">
            <v>18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42</v>
          </cell>
          <cell r="Q487" t="str">
            <v>Slippery Start 16:42</v>
          </cell>
          <cell r="T487">
            <v>487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</row>
        <row r="488">
          <cell r="B488" t="str">
            <v>17  -  18</v>
          </cell>
          <cell r="C488" t="str">
            <v>OB</v>
          </cell>
          <cell r="D488">
            <v>304</v>
          </cell>
          <cell r="E488">
            <v>364.8</v>
          </cell>
          <cell r="F488">
            <v>4</v>
          </cell>
          <cell r="G488">
            <v>0</v>
          </cell>
          <cell r="H488">
            <v>0</v>
          </cell>
          <cell r="I488">
            <v>4</v>
          </cell>
          <cell r="J488">
            <v>50</v>
          </cell>
          <cell r="K488">
            <v>0</v>
          </cell>
          <cell r="L488">
            <v>10</v>
          </cell>
          <cell r="M488">
            <v>0</v>
          </cell>
          <cell r="N488">
            <v>0</v>
          </cell>
          <cell r="O488">
            <v>0</v>
          </cell>
          <cell r="Q488" t="str">
            <v>Shift Change</v>
          </cell>
          <cell r="T488">
            <v>488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</row>
        <row r="489">
          <cell r="B489" t="str">
            <v>18  -  19</v>
          </cell>
          <cell r="C489" t="str">
            <v>OB</v>
          </cell>
          <cell r="D489">
            <v>342</v>
          </cell>
          <cell r="E489">
            <v>456</v>
          </cell>
          <cell r="F489">
            <v>5</v>
          </cell>
          <cell r="G489">
            <v>0</v>
          </cell>
          <cell r="H489">
            <v>0</v>
          </cell>
          <cell r="I489">
            <v>5</v>
          </cell>
          <cell r="J489">
            <v>45</v>
          </cell>
          <cell r="K489">
            <v>0</v>
          </cell>
          <cell r="L489">
            <v>15</v>
          </cell>
          <cell r="M489">
            <v>0</v>
          </cell>
          <cell r="N489">
            <v>0</v>
          </cell>
          <cell r="O489">
            <v>0</v>
          </cell>
          <cell r="Q489" t="str">
            <v>P2H, Start 18:15</v>
          </cell>
          <cell r="T489">
            <v>489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</row>
        <row r="490">
          <cell r="B490" t="str">
            <v>19  -  20</v>
          </cell>
          <cell r="C490" t="str">
            <v>OB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60</v>
          </cell>
          <cell r="O490">
            <v>0</v>
          </cell>
          <cell r="Q490" t="str">
            <v>Rain</v>
          </cell>
          <cell r="T490">
            <v>490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</row>
        <row r="491">
          <cell r="B491" t="str">
            <v>20  -  21</v>
          </cell>
          <cell r="C491" t="str">
            <v>OB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60</v>
          </cell>
          <cell r="O491">
            <v>0</v>
          </cell>
          <cell r="Q491" t="str">
            <v>Rain</v>
          </cell>
          <cell r="T491">
            <v>491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</row>
        <row r="492">
          <cell r="B492" t="str">
            <v>21  -  22</v>
          </cell>
          <cell r="C492" t="str">
            <v>OB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60</v>
          </cell>
          <cell r="O492">
            <v>0</v>
          </cell>
          <cell r="Q492" t="str">
            <v>Rain</v>
          </cell>
          <cell r="T492">
            <v>492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</row>
        <row r="493">
          <cell r="B493" t="str">
            <v>22  -  23</v>
          </cell>
          <cell r="C493" t="str">
            <v>OB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60</v>
          </cell>
          <cell r="O493">
            <v>0</v>
          </cell>
          <cell r="Q493" t="str">
            <v>Rain</v>
          </cell>
          <cell r="T493">
            <v>493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</row>
        <row r="494">
          <cell r="B494" t="str">
            <v>23  -  24</v>
          </cell>
          <cell r="C494" t="str">
            <v>OB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60</v>
          </cell>
          <cell r="Q494" t="str">
            <v>Slippery</v>
          </cell>
          <cell r="T494">
            <v>494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</row>
        <row r="495">
          <cell r="B495" t="str">
            <v>24  -  01</v>
          </cell>
          <cell r="C495" t="str">
            <v>OB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60</v>
          </cell>
          <cell r="M495">
            <v>0</v>
          </cell>
          <cell r="N495">
            <v>0</v>
          </cell>
          <cell r="O495">
            <v>0</v>
          </cell>
          <cell r="Q495" t="str">
            <v>Rest Time</v>
          </cell>
          <cell r="T495">
            <v>495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</row>
        <row r="496">
          <cell r="B496" t="str">
            <v>01  -  02</v>
          </cell>
          <cell r="C496" t="str">
            <v>OB</v>
          </cell>
          <cell r="D496">
            <v>266</v>
          </cell>
          <cell r="E496">
            <v>532</v>
          </cell>
          <cell r="F496">
            <v>5</v>
          </cell>
          <cell r="G496">
            <v>0</v>
          </cell>
          <cell r="H496">
            <v>0</v>
          </cell>
          <cell r="I496">
            <v>5</v>
          </cell>
          <cell r="J496">
            <v>30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30</v>
          </cell>
          <cell r="Q496" t="str">
            <v>Slippery</v>
          </cell>
          <cell r="T496">
            <v>496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</row>
        <row r="497">
          <cell r="B497" t="str">
            <v>02  -  03</v>
          </cell>
          <cell r="C497" t="str">
            <v>OB</v>
          </cell>
          <cell r="D497">
            <v>494</v>
          </cell>
          <cell r="E497">
            <v>494</v>
          </cell>
          <cell r="F497">
            <v>5</v>
          </cell>
          <cell r="G497">
            <v>0</v>
          </cell>
          <cell r="H497">
            <v>0</v>
          </cell>
          <cell r="I497">
            <v>5</v>
          </cell>
          <cell r="J497">
            <v>60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Q497">
            <v>0</v>
          </cell>
          <cell r="T497">
            <v>497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</row>
        <row r="498">
          <cell r="B498" t="str">
            <v>03  -  04</v>
          </cell>
          <cell r="C498" t="str">
            <v>OB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60</v>
          </cell>
          <cell r="O498">
            <v>0</v>
          </cell>
          <cell r="Q498" t="str">
            <v>Rain</v>
          </cell>
          <cell r="T498">
            <v>498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</row>
        <row r="499">
          <cell r="B499" t="str">
            <v>04  -  05</v>
          </cell>
          <cell r="C499" t="str">
            <v>OB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60</v>
          </cell>
          <cell r="O499">
            <v>0</v>
          </cell>
          <cell r="Q499" t="str">
            <v>Rain</v>
          </cell>
          <cell r="T499">
            <v>499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</row>
        <row r="500">
          <cell r="B500" t="str">
            <v>05  -  06</v>
          </cell>
          <cell r="C500" t="str">
            <v>OB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60</v>
          </cell>
          <cell r="O500">
            <v>0</v>
          </cell>
          <cell r="Q500" t="str">
            <v>Rain</v>
          </cell>
          <cell r="T500">
            <v>500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</row>
        <row r="501">
          <cell r="B501" t="str">
            <v>06  -  07</v>
          </cell>
          <cell r="C501" t="str">
            <v>OB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30</v>
          </cell>
          <cell r="L501">
            <v>30</v>
          </cell>
          <cell r="M501">
            <v>0</v>
          </cell>
          <cell r="N501">
            <v>0</v>
          </cell>
          <cell r="O501">
            <v>0</v>
          </cell>
          <cell r="Q501" t="str">
            <v>Change Shift</v>
          </cell>
          <cell r="T501">
            <v>501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</row>
        <row r="502">
          <cell r="B502" t="str">
            <v>RESUME</v>
          </cell>
          <cell r="C502" t="str">
            <v>PROD</v>
          </cell>
          <cell r="E502" t="str">
            <v>PROD'TY</v>
          </cell>
          <cell r="G502" t="str">
            <v>WORK HOURS</v>
          </cell>
          <cell r="J502" t="str">
            <v>LOST TIME</v>
          </cell>
          <cell r="L502" t="str">
            <v>DOWN</v>
          </cell>
          <cell r="M502" t="str">
            <v>PA</v>
          </cell>
          <cell r="O502" t="str">
            <v>UA PROD</v>
          </cell>
          <cell r="Q502" t="str">
            <v>OPERATOR</v>
          </cell>
          <cell r="R502" t="str">
            <v>GROUP LEADER</v>
          </cell>
          <cell r="T502">
            <v>502</v>
          </cell>
        </row>
        <row r="503">
          <cell r="B503" t="str">
            <v>GROUP</v>
          </cell>
          <cell r="C503" t="str">
            <v>WASTE</v>
          </cell>
          <cell r="D503" t="str">
            <v>CC</v>
          </cell>
          <cell r="E503" t="str">
            <v>WASTE</v>
          </cell>
          <cell r="F503" t="str">
            <v>CC</v>
          </cell>
          <cell r="G503" t="str">
            <v>WASTE</v>
          </cell>
          <cell r="H503" t="str">
            <v>CC</v>
          </cell>
          <cell r="I503" t="str">
            <v>GEN</v>
          </cell>
          <cell r="J503" t="str">
            <v>DELAY</v>
          </cell>
          <cell r="K503" t="str">
            <v>IDLE</v>
          </cell>
          <cell r="L503" t="str">
            <v>TIME</v>
          </cell>
          <cell r="M503" t="str">
            <v>PLAN</v>
          </cell>
          <cell r="N503" t="str">
            <v>ACT</v>
          </cell>
          <cell r="O503" t="str">
            <v>PLAN</v>
          </cell>
          <cell r="P503" t="str">
            <v>ACT</v>
          </cell>
          <cell r="T503">
            <v>503</v>
          </cell>
        </row>
        <row r="504">
          <cell r="B504" t="str">
            <v>Shift 1</v>
          </cell>
          <cell r="C504">
            <v>1064</v>
          </cell>
          <cell r="D504">
            <v>0</v>
          </cell>
          <cell r="E504">
            <v>462.60869565217394</v>
          </cell>
          <cell r="F504">
            <v>0</v>
          </cell>
          <cell r="G504">
            <v>2.2999999999999998</v>
          </cell>
          <cell r="H504">
            <v>0</v>
          </cell>
          <cell r="I504">
            <v>0</v>
          </cell>
          <cell r="J504">
            <v>4.7</v>
          </cell>
          <cell r="K504">
            <v>1</v>
          </cell>
          <cell r="L504">
            <v>0</v>
          </cell>
          <cell r="M504">
            <v>0.95</v>
          </cell>
          <cell r="N504">
            <v>1</v>
          </cell>
          <cell r="O504">
            <v>0.875</v>
          </cell>
          <cell r="P504">
            <v>0.28749999999999998</v>
          </cell>
          <cell r="Q504">
            <v>0</v>
          </cell>
          <cell r="R504">
            <v>0</v>
          </cell>
          <cell r="T504">
            <v>504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</row>
        <row r="505">
          <cell r="B505" t="str">
            <v>Shift 2</v>
          </cell>
          <cell r="C505">
            <v>760</v>
          </cell>
          <cell r="D505">
            <v>0</v>
          </cell>
          <cell r="E505">
            <v>403.53982300884957</v>
          </cell>
          <cell r="F505">
            <v>0</v>
          </cell>
          <cell r="G505">
            <v>1.8833333333333333</v>
          </cell>
          <cell r="H505">
            <v>0</v>
          </cell>
          <cell r="I505">
            <v>0</v>
          </cell>
          <cell r="J505">
            <v>0.41666666666666669</v>
          </cell>
          <cell r="K505">
            <v>5.7</v>
          </cell>
          <cell r="L505">
            <v>0</v>
          </cell>
          <cell r="M505">
            <v>0.95</v>
          </cell>
          <cell r="N505">
            <v>1</v>
          </cell>
          <cell r="O505">
            <v>0.875</v>
          </cell>
          <cell r="P505">
            <v>0.23541666666666666</v>
          </cell>
          <cell r="Q505">
            <v>0</v>
          </cell>
          <cell r="R505">
            <v>0</v>
          </cell>
          <cell r="T505">
            <v>505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</row>
        <row r="506">
          <cell r="B506" t="str">
            <v>Shift 3</v>
          </cell>
          <cell r="C506">
            <v>760</v>
          </cell>
          <cell r="D506">
            <v>0</v>
          </cell>
          <cell r="E506">
            <v>506.66666666666669</v>
          </cell>
          <cell r="F506">
            <v>0</v>
          </cell>
          <cell r="G506">
            <v>1.5</v>
          </cell>
          <cell r="H506">
            <v>0</v>
          </cell>
          <cell r="I506">
            <v>0.5</v>
          </cell>
          <cell r="J506">
            <v>1.5</v>
          </cell>
          <cell r="K506">
            <v>4.5</v>
          </cell>
          <cell r="L506">
            <v>0</v>
          </cell>
          <cell r="M506">
            <v>0.95</v>
          </cell>
          <cell r="N506">
            <v>1</v>
          </cell>
          <cell r="O506">
            <v>0.875</v>
          </cell>
          <cell r="P506">
            <v>0.25</v>
          </cell>
          <cell r="Q506">
            <v>0</v>
          </cell>
          <cell r="R506">
            <v>0</v>
          </cell>
          <cell r="T506">
            <v>506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</row>
        <row r="507">
          <cell r="B507" t="str">
            <v>Shift 6</v>
          </cell>
          <cell r="C507">
            <v>1482</v>
          </cell>
          <cell r="D507">
            <v>0</v>
          </cell>
          <cell r="E507">
            <v>431.65048543689323</v>
          </cell>
          <cell r="F507">
            <v>0</v>
          </cell>
          <cell r="G507">
            <v>3.4333333333333331</v>
          </cell>
          <cell r="H507">
            <v>0</v>
          </cell>
          <cell r="I507">
            <v>0</v>
          </cell>
          <cell r="J507">
            <v>4.8666666666666663</v>
          </cell>
          <cell r="K507">
            <v>2.7</v>
          </cell>
          <cell r="L507">
            <v>0</v>
          </cell>
          <cell r="M507">
            <v>0.95</v>
          </cell>
          <cell r="N507">
            <v>1</v>
          </cell>
          <cell r="O507">
            <v>0.875</v>
          </cell>
          <cell r="P507">
            <v>0.31212121212121208</v>
          </cell>
          <cell r="Q507" t="str">
            <v>Iwan Caniago</v>
          </cell>
          <cell r="R507" t="str">
            <v>Bardono</v>
          </cell>
          <cell r="T507">
            <v>507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</row>
        <row r="508">
          <cell r="B508" t="str">
            <v>Shift 7</v>
          </cell>
          <cell r="C508">
            <v>1102</v>
          </cell>
          <cell r="D508">
            <v>0</v>
          </cell>
          <cell r="E508">
            <v>489.77777777777777</v>
          </cell>
          <cell r="F508">
            <v>0</v>
          </cell>
          <cell r="G508">
            <v>2.25</v>
          </cell>
          <cell r="H508">
            <v>0</v>
          </cell>
          <cell r="I508">
            <v>0.5</v>
          </cell>
          <cell r="J508">
            <v>1.75</v>
          </cell>
          <cell r="K508">
            <v>8.5</v>
          </cell>
          <cell r="L508">
            <v>0</v>
          </cell>
          <cell r="M508">
            <v>0.95</v>
          </cell>
          <cell r="N508">
            <v>1</v>
          </cell>
          <cell r="O508">
            <v>0.875</v>
          </cell>
          <cell r="P508">
            <v>0.21153846153846154</v>
          </cell>
          <cell r="Q508" t="str">
            <v>Endang Suparman</v>
          </cell>
          <cell r="R508" t="str">
            <v>Saepudin</v>
          </cell>
          <cell r="T508">
            <v>508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</row>
        <row r="509">
          <cell r="B509" t="str">
            <v>TOTAL</v>
          </cell>
          <cell r="C509">
            <v>2584</v>
          </cell>
          <cell r="D509">
            <v>0</v>
          </cell>
          <cell r="E509">
            <v>454.66275659824043</v>
          </cell>
          <cell r="F509">
            <v>0</v>
          </cell>
          <cell r="G509">
            <v>5.6833333333333336</v>
          </cell>
          <cell r="H509">
            <v>0</v>
          </cell>
          <cell r="I509">
            <v>0.5</v>
          </cell>
          <cell r="J509">
            <v>6.6166666666666663</v>
          </cell>
          <cell r="K509">
            <v>11.2</v>
          </cell>
          <cell r="L509">
            <v>0</v>
          </cell>
          <cell r="M509">
            <v>0.95</v>
          </cell>
          <cell r="N509">
            <v>1</v>
          </cell>
          <cell r="O509">
            <v>0.875</v>
          </cell>
          <cell r="P509">
            <v>0.25763888888888892</v>
          </cell>
          <cell r="Q509" t="str">
            <v>Hiras Silaban</v>
          </cell>
          <cell r="R509" t="str">
            <v>Fresye A L</v>
          </cell>
          <cell r="T509">
            <v>509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</row>
        <row r="510">
          <cell r="T510">
            <v>510</v>
          </cell>
        </row>
        <row r="511">
          <cell r="B511" t="str">
            <v>TIME</v>
          </cell>
          <cell r="C511" t="str">
            <v>WASTE</v>
          </cell>
          <cell r="D511" t="str">
            <v>EX1013</v>
          </cell>
          <cell r="E511" t="str">
            <v>TYPE</v>
          </cell>
          <cell r="F511" t="str">
            <v>PC 1250</v>
          </cell>
          <cell r="H511" t="str">
            <v>Plan Prod'ty :</v>
          </cell>
          <cell r="J511">
            <v>500</v>
          </cell>
          <cell r="M511" t="str">
            <v>Distance :</v>
          </cell>
          <cell r="O511">
            <v>2.6658815787846946</v>
          </cell>
          <cell r="T511">
            <v>511</v>
          </cell>
          <cell r="U511" t="str">
            <v>EX1013</v>
          </cell>
        </row>
        <row r="512">
          <cell r="C512" t="str">
            <v>MAT</v>
          </cell>
          <cell r="D512" t="str">
            <v>PROD</v>
          </cell>
          <cell r="E512" t="str">
            <v>PROD'TY</v>
          </cell>
          <cell r="F512" t="str">
            <v>Q'TY DT</v>
          </cell>
          <cell r="J512" t="str">
            <v>HOURS</v>
          </cell>
          <cell r="Q512" t="str">
            <v>REMARK PRODUKTIVITAS</v>
          </cell>
          <cell r="T512">
            <v>512</v>
          </cell>
          <cell r="U512" t="str">
            <v>ROM</v>
          </cell>
          <cell r="V512" t="str">
            <v>Crush1</v>
          </cell>
          <cell r="W512" t="str">
            <v>Crush2</v>
          </cell>
          <cell r="X512" t="str">
            <v>Crush3</v>
          </cell>
          <cell r="Y512" t="str">
            <v>Crush4</v>
          </cell>
          <cell r="Z512" t="str">
            <v>Crush5</v>
          </cell>
          <cell r="AA512" t="str">
            <v>Crush6</v>
          </cell>
        </row>
        <row r="513">
          <cell r="E513" t="str">
            <v>( By work )</v>
          </cell>
          <cell r="F513" t="str">
            <v>785</v>
          </cell>
          <cell r="G513" t="str">
            <v>785-CB</v>
          </cell>
          <cell r="H513" t="str">
            <v>A40/HM</v>
          </cell>
          <cell r="I513" t="str">
            <v>Total</v>
          </cell>
          <cell r="J513" t="str">
            <v>Work</v>
          </cell>
          <cell r="K513" t="str">
            <v>General</v>
          </cell>
          <cell r="L513" t="str">
            <v>Delay</v>
          </cell>
          <cell r="M513" t="str">
            <v>Idle</v>
          </cell>
          <cell r="N513" t="str">
            <v>Rain</v>
          </cell>
          <cell r="O513" t="str">
            <v>Slipp</v>
          </cell>
          <cell r="P513" t="str">
            <v>B/D</v>
          </cell>
          <cell r="T513">
            <v>513</v>
          </cell>
        </row>
        <row r="514">
          <cell r="B514" t="str">
            <v>07  - 08</v>
          </cell>
          <cell r="C514" t="str">
            <v>OB</v>
          </cell>
          <cell r="D514">
            <v>342</v>
          </cell>
          <cell r="E514">
            <v>410.4</v>
          </cell>
          <cell r="F514">
            <v>5</v>
          </cell>
          <cell r="G514">
            <v>0</v>
          </cell>
          <cell r="H514">
            <v>0</v>
          </cell>
          <cell r="I514">
            <v>5</v>
          </cell>
          <cell r="J514">
            <v>50</v>
          </cell>
          <cell r="K514">
            <v>0</v>
          </cell>
          <cell r="L514">
            <v>10</v>
          </cell>
          <cell r="M514">
            <v>0</v>
          </cell>
          <cell r="N514">
            <v>0</v>
          </cell>
          <cell r="O514">
            <v>0</v>
          </cell>
          <cell r="Q514" t="str">
            <v>P2H Start 07:10</v>
          </cell>
          <cell r="T514">
            <v>514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</row>
        <row r="515">
          <cell r="B515" t="str">
            <v>08  - 09</v>
          </cell>
          <cell r="C515" t="str">
            <v>OB</v>
          </cell>
          <cell r="D515">
            <v>494</v>
          </cell>
          <cell r="E515">
            <v>494</v>
          </cell>
          <cell r="F515">
            <v>5</v>
          </cell>
          <cell r="G515">
            <v>0</v>
          </cell>
          <cell r="H515">
            <v>0</v>
          </cell>
          <cell r="I515">
            <v>5</v>
          </cell>
          <cell r="J515">
            <v>60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Q515">
            <v>0</v>
          </cell>
          <cell r="T515">
            <v>515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</row>
        <row r="516">
          <cell r="B516" t="str">
            <v>09  - 10</v>
          </cell>
          <cell r="C516" t="str">
            <v>OB</v>
          </cell>
          <cell r="D516">
            <v>418</v>
          </cell>
          <cell r="E516">
            <v>418</v>
          </cell>
          <cell r="F516">
            <v>5</v>
          </cell>
          <cell r="G516">
            <v>0</v>
          </cell>
          <cell r="H516">
            <v>0</v>
          </cell>
          <cell r="I516">
            <v>5</v>
          </cell>
          <cell r="J516">
            <v>60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Q516">
            <v>0</v>
          </cell>
          <cell r="T516">
            <v>516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</row>
        <row r="517">
          <cell r="B517" t="str">
            <v>10  - 11</v>
          </cell>
          <cell r="C517" t="str">
            <v>OB</v>
          </cell>
          <cell r="D517">
            <v>418</v>
          </cell>
          <cell r="E517">
            <v>418</v>
          </cell>
          <cell r="F517">
            <v>5</v>
          </cell>
          <cell r="G517">
            <v>0</v>
          </cell>
          <cell r="H517">
            <v>0</v>
          </cell>
          <cell r="I517">
            <v>5</v>
          </cell>
          <cell r="J517">
            <v>60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Q517">
            <v>0</v>
          </cell>
          <cell r="T517">
            <v>517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</row>
        <row r="518">
          <cell r="B518" t="str">
            <v>11  - 12</v>
          </cell>
          <cell r="C518" t="str">
            <v>OB</v>
          </cell>
          <cell r="D518">
            <v>380</v>
          </cell>
          <cell r="E518">
            <v>380</v>
          </cell>
          <cell r="F518">
            <v>5</v>
          </cell>
          <cell r="G518">
            <v>0</v>
          </cell>
          <cell r="H518">
            <v>0</v>
          </cell>
          <cell r="I518">
            <v>5</v>
          </cell>
          <cell r="J518">
            <v>60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Q518">
            <v>0</v>
          </cell>
          <cell r="T518">
            <v>518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</row>
        <row r="519">
          <cell r="B519" t="str">
            <v>12  - 13</v>
          </cell>
          <cell r="C519" t="str">
            <v>OB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60</v>
          </cell>
          <cell r="M519">
            <v>0</v>
          </cell>
          <cell r="N519">
            <v>0</v>
          </cell>
          <cell r="O519">
            <v>0</v>
          </cell>
          <cell r="Q519" t="str">
            <v>Rest Time</v>
          </cell>
          <cell r="T519">
            <v>519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</row>
        <row r="520">
          <cell r="B520" t="str">
            <v>13  -  14</v>
          </cell>
          <cell r="C520" t="str">
            <v>OB</v>
          </cell>
          <cell r="D520">
            <v>608</v>
          </cell>
          <cell r="E520">
            <v>608</v>
          </cell>
          <cell r="F520">
            <v>5</v>
          </cell>
          <cell r="G520">
            <v>0</v>
          </cell>
          <cell r="H520">
            <v>0</v>
          </cell>
          <cell r="I520">
            <v>5</v>
          </cell>
          <cell r="J520">
            <v>60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Q520">
            <v>0</v>
          </cell>
          <cell r="T520">
            <v>520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</row>
        <row r="521">
          <cell r="B521" t="str">
            <v>14  -  15</v>
          </cell>
          <cell r="C521" t="str">
            <v>OB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60</v>
          </cell>
          <cell r="O521">
            <v>0</v>
          </cell>
          <cell r="Q521" t="str">
            <v>Rain</v>
          </cell>
          <cell r="T521">
            <v>521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</row>
        <row r="522">
          <cell r="B522" t="str">
            <v>15  -  16</v>
          </cell>
          <cell r="C522" t="str">
            <v>OB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60</v>
          </cell>
          <cell r="Q522" t="str">
            <v>Slippery</v>
          </cell>
          <cell r="T522">
            <v>522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</row>
        <row r="523">
          <cell r="B523" t="str">
            <v>16  -  17</v>
          </cell>
          <cell r="C523" t="str">
            <v>OB</v>
          </cell>
          <cell r="D523">
            <v>304</v>
          </cell>
          <cell r="E523">
            <v>456</v>
          </cell>
          <cell r="F523">
            <v>5</v>
          </cell>
          <cell r="G523">
            <v>0</v>
          </cell>
          <cell r="H523">
            <v>0</v>
          </cell>
          <cell r="I523">
            <v>5</v>
          </cell>
          <cell r="J523">
            <v>40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20</v>
          </cell>
          <cell r="Q523" t="str">
            <v>Slippery Start 16:20</v>
          </cell>
          <cell r="T523">
            <v>523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</row>
        <row r="524">
          <cell r="B524" t="str">
            <v>17  -  18</v>
          </cell>
          <cell r="C524" t="str">
            <v>OB</v>
          </cell>
          <cell r="D524">
            <v>494</v>
          </cell>
          <cell r="E524">
            <v>592.79999999999995</v>
          </cell>
          <cell r="F524">
            <v>5</v>
          </cell>
          <cell r="G524">
            <v>0</v>
          </cell>
          <cell r="H524">
            <v>0</v>
          </cell>
          <cell r="I524">
            <v>5</v>
          </cell>
          <cell r="J524">
            <v>50</v>
          </cell>
          <cell r="K524">
            <v>0</v>
          </cell>
          <cell r="L524">
            <v>10</v>
          </cell>
          <cell r="M524">
            <v>0</v>
          </cell>
          <cell r="N524">
            <v>0</v>
          </cell>
          <cell r="O524">
            <v>0</v>
          </cell>
          <cell r="Q524" t="str">
            <v>Shift Change</v>
          </cell>
          <cell r="T524">
            <v>524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</row>
        <row r="525">
          <cell r="B525" t="str">
            <v>18  -  19</v>
          </cell>
          <cell r="C525" t="str">
            <v>OB</v>
          </cell>
          <cell r="D525">
            <v>342</v>
          </cell>
          <cell r="E525">
            <v>456</v>
          </cell>
          <cell r="F525">
            <v>6</v>
          </cell>
          <cell r="G525">
            <v>0</v>
          </cell>
          <cell r="H525">
            <v>0</v>
          </cell>
          <cell r="I525">
            <v>6</v>
          </cell>
          <cell r="J525">
            <v>45</v>
          </cell>
          <cell r="K525">
            <v>0</v>
          </cell>
          <cell r="L525">
            <v>15</v>
          </cell>
          <cell r="M525">
            <v>0</v>
          </cell>
          <cell r="N525">
            <v>0</v>
          </cell>
          <cell r="O525">
            <v>0</v>
          </cell>
          <cell r="Q525" t="str">
            <v>P2H, Start 18:15</v>
          </cell>
          <cell r="T525">
            <v>525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</row>
        <row r="526">
          <cell r="B526" t="str">
            <v>19  -  20</v>
          </cell>
          <cell r="C526" t="str">
            <v>OB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60</v>
          </cell>
          <cell r="O526">
            <v>0</v>
          </cell>
          <cell r="Q526" t="str">
            <v>Rain</v>
          </cell>
          <cell r="T526">
            <v>526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</row>
        <row r="527">
          <cell r="B527" t="str">
            <v>20  -  21</v>
          </cell>
          <cell r="C527" t="str">
            <v>OB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60</v>
          </cell>
          <cell r="O527">
            <v>0</v>
          </cell>
          <cell r="Q527" t="str">
            <v>Rain</v>
          </cell>
          <cell r="T527">
            <v>527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</row>
        <row r="528">
          <cell r="B528" t="str">
            <v>21  -  22</v>
          </cell>
          <cell r="C528" t="str">
            <v>OB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60</v>
          </cell>
          <cell r="O528">
            <v>0</v>
          </cell>
          <cell r="Q528" t="str">
            <v>Rain</v>
          </cell>
          <cell r="T528">
            <v>528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</row>
        <row r="529">
          <cell r="B529" t="str">
            <v>22  -  23</v>
          </cell>
          <cell r="C529" t="str">
            <v>OB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60</v>
          </cell>
          <cell r="O529">
            <v>0</v>
          </cell>
          <cell r="Q529" t="str">
            <v>Rain</v>
          </cell>
          <cell r="T529">
            <v>529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</row>
        <row r="530">
          <cell r="B530" t="str">
            <v>23  -  24</v>
          </cell>
          <cell r="C530" t="str">
            <v>OB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60</v>
          </cell>
          <cell r="Q530" t="str">
            <v>Slippery</v>
          </cell>
          <cell r="T530">
            <v>530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</row>
        <row r="531">
          <cell r="B531" t="str">
            <v>24  -  01</v>
          </cell>
          <cell r="C531" t="str">
            <v>OB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60</v>
          </cell>
          <cell r="M531">
            <v>0</v>
          </cell>
          <cell r="N531">
            <v>0</v>
          </cell>
          <cell r="O531">
            <v>0</v>
          </cell>
          <cell r="Q531" t="str">
            <v>Rest Time</v>
          </cell>
          <cell r="T531">
            <v>531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</row>
        <row r="532">
          <cell r="B532" t="str">
            <v>01  -  02</v>
          </cell>
          <cell r="C532" t="str">
            <v>OB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60</v>
          </cell>
          <cell r="Q532" t="str">
            <v>Slippery</v>
          </cell>
          <cell r="T532">
            <v>532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</row>
        <row r="533">
          <cell r="B533" t="str">
            <v>02  -  03</v>
          </cell>
          <cell r="C533" t="str">
            <v>OB</v>
          </cell>
          <cell r="D533">
            <v>494</v>
          </cell>
          <cell r="E533">
            <v>494</v>
          </cell>
          <cell r="F533">
            <v>7</v>
          </cell>
          <cell r="G533">
            <v>0</v>
          </cell>
          <cell r="H533">
            <v>0</v>
          </cell>
          <cell r="I533">
            <v>7</v>
          </cell>
          <cell r="J533">
            <v>60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Q533" t="str">
            <v>Start 02:00</v>
          </cell>
          <cell r="T533">
            <v>533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</row>
        <row r="534">
          <cell r="B534" t="str">
            <v>03  -  04</v>
          </cell>
          <cell r="C534" t="str">
            <v>OB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60</v>
          </cell>
          <cell r="O534">
            <v>0</v>
          </cell>
          <cell r="Q534" t="str">
            <v>Rain</v>
          </cell>
          <cell r="T534">
            <v>534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</row>
        <row r="535">
          <cell r="B535" t="str">
            <v>04  -  05</v>
          </cell>
          <cell r="C535" t="str">
            <v>OB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60</v>
          </cell>
          <cell r="Q535" t="str">
            <v>Slippery</v>
          </cell>
          <cell r="T535">
            <v>535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</row>
        <row r="536">
          <cell r="B536" t="str">
            <v>05  -  06</v>
          </cell>
          <cell r="C536" t="str">
            <v>OB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60</v>
          </cell>
          <cell r="Q536" t="str">
            <v>Slippery</v>
          </cell>
          <cell r="T536">
            <v>536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</row>
        <row r="537">
          <cell r="B537" t="str">
            <v>06  -  07</v>
          </cell>
          <cell r="C537" t="str">
            <v>OB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30</v>
          </cell>
          <cell r="L537">
            <v>0</v>
          </cell>
          <cell r="M537">
            <v>0</v>
          </cell>
          <cell r="N537">
            <v>0</v>
          </cell>
          <cell r="O537">
            <v>30</v>
          </cell>
          <cell r="Q537" t="str">
            <v>Slippery</v>
          </cell>
          <cell r="T537">
            <v>537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</row>
        <row r="538">
          <cell r="B538" t="str">
            <v>RESUME</v>
          </cell>
          <cell r="C538" t="str">
            <v>PROD</v>
          </cell>
          <cell r="E538" t="str">
            <v>PROD'TY</v>
          </cell>
          <cell r="G538" t="str">
            <v>WORK HOURS</v>
          </cell>
          <cell r="J538" t="str">
            <v>LOST TIME</v>
          </cell>
          <cell r="L538" t="str">
            <v>DOWN</v>
          </cell>
          <cell r="M538" t="str">
            <v>PA</v>
          </cell>
          <cell r="O538" t="str">
            <v>UA PROD</v>
          </cell>
          <cell r="Q538" t="str">
            <v>OPERATOR</v>
          </cell>
          <cell r="R538" t="str">
            <v>GROUP LEADER</v>
          </cell>
          <cell r="T538">
            <v>538</v>
          </cell>
        </row>
        <row r="539">
          <cell r="B539" t="str">
            <v>GROUP</v>
          </cell>
          <cell r="C539" t="str">
            <v>WASTE</v>
          </cell>
          <cell r="D539" t="str">
            <v>CC</v>
          </cell>
          <cell r="E539" t="str">
            <v>WASTE</v>
          </cell>
          <cell r="F539" t="str">
            <v>CC</v>
          </cell>
          <cell r="G539" t="str">
            <v>WASTE</v>
          </cell>
          <cell r="H539" t="str">
            <v>CC</v>
          </cell>
          <cell r="I539" t="str">
            <v>GEN</v>
          </cell>
          <cell r="J539" t="str">
            <v>DELAY</v>
          </cell>
          <cell r="K539" t="str">
            <v>IDLE</v>
          </cell>
          <cell r="L539" t="str">
            <v>TIME</v>
          </cell>
          <cell r="M539" t="str">
            <v>PLAN</v>
          </cell>
          <cell r="N539" t="str">
            <v>ACT</v>
          </cell>
          <cell r="O539" t="str">
            <v>PLAN</v>
          </cell>
          <cell r="P539" t="str">
            <v>ACT</v>
          </cell>
          <cell r="T539">
            <v>539</v>
          </cell>
        </row>
        <row r="540">
          <cell r="B540" t="str">
            <v>Shift 1</v>
          </cell>
          <cell r="C540">
            <v>2660</v>
          </cell>
          <cell r="D540">
            <v>0</v>
          </cell>
          <cell r="E540">
            <v>456</v>
          </cell>
          <cell r="F540">
            <v>0</v>
          </cell>
          <cell r="G540">
            <v>5.833333333333333</v>
          </cell>
          <cell r="H540">
            <v>0</v>
          </cell>
          <cell r="I540">
            <v>0</v>
          </cell>
          <cell r="J540">
            <v>1.1666666666666667</v>
          </cell>
          <cell r="K540">
            <v>1</v>
          </cell>
          <cell r="L540">
            <v>0</v>
          </cell>
          <cell r="M540">
            <v>0.95</v>
          </cell>
          <cell r="N540">
            <v>1</v>
          </cell>
          <cell r="O540">
            <v>0.875</v>
          </cell>
          <cell r="P540">
            <v>0.72916666666666663</v>
          </cell>
          <cell r="Q540">
            <v>0</v>
          </cell>
          <cell r="R540">
            <v>0</v>
          </cell>
          <cell r="T540">
            <v>540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</row>
        <row r="541">
          <cell r="B541" t="str">
            <v>Shift 2</v>
          </cell>
          <cell r="C541">
            <v>1140</v>
          </cell>
          <cell r="D541">
            <v>0</v>
          </cell>
          <cell r="E541">
            <v>506.66666666666669</v>
          </cell>
          <cell r="F541">
            <v>0</v>
          </cell>
          <cell r="G541">
            <v>2.25</v>
          </cell>
          <cell r="H541">
            <v>0</v>
          </cell>
          <cell r="I541">
            <v>0</v>
          </cell>
          <cell r="J541">
            <v>0.41666666666666669</v>
          </cell>
          <cell r="K541">
            <v>5.333333333333333</v>
          </cell>
          <cell r="L541">
            <v>0</v>
          </cell>
          <cell r="M541">
            <v>0.95</v>
          </cell>
          <cell r="N541">
            <v>1</v>
          </cell>
          <cell r="O541">
            <v>0.875</v>
          </cell>
          <cell r="P541">
            <v>0.28125</v>
          </cell>
          <cell r="Q541">
            <v>0</v>
          </cell>
          <cell r="R541">
            <v>0</v>
          </cell>
          <cell r="T541">
            <v>541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</row>
        <row r="542">
          <cell r="B542" t="str">
            <v>Shift 3</v>
          </cell>
          <cell r="C542">
            <v>494</v>
          </cell>
          <cell r="D542">
            <v>0</v>
          </cell>
          <cell r="E542">
            <v>494</v>
          </cell>
          <cell r="F542">
            <v>0</v>
          </cell>
          <cell r="G542">
            <v>1</v>
          </cell>
          <cell r="H542">
            <v>0</v>
          </cell>
          <cell r="I542">
            <v>0.5</v>
          </cell>
          <cell r="J542">
            <v>1</v>
          </cell>
          <cell r="K542">
            <v>5.5</v>
          </cell>
          <cell r="L542">
            <v>0</v>
          </cell>
          <cell r="M542">
            <v>0.95</v>
          </cell>
          <cell r="N542">
            <v>1</v>
          </cell>
          <cell r="O542">
            <v>0.875</v>
          </cell>
          <cell r="P542">
            <v>0.1875</v>
          </cell>
          <cell r="Q542">
            <v>0</v>
          </cell>
          <cell r="R542">
            <v>0</v>
          </cell>
          <cell r="T542">
            <v>542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</row>
        <row r="543">
          <cell r="B543" t="str">
            <v>Shift 6</v>
          </cell>
          <cell r="C543">
            <v>3458</v>
          </cell>
          <cell r="D543">
            <v>0</v>
          </cell>
          <cell r="E543">
            <v>471.54545454545456</v>
          </cell>
          <cell r="F543">
            <v>0</v>
          </cell>
          <cell r="G543">
            <v>7.333333333333333</v>
          </cell>
          <cell r="H543">
            <v>0</v>
          </cell>
          <cell r="I543">
            <v>0</v>
          </cell>
          <cell r="J543">
            <v>1.3333333333333333</v>
          </cell>
          <cell r="K543">
            <v>2.3333333333333335</v>
          </cell>
          <cell r="L543">
            <v>0</v>
          </cell>
          <cell r="M543">
            <v>0.95</v>
          </cell>
          <cell r="N543">
            <v>1</v>
          </cell>
          <cell r="O543">
            <v>0.875</v>
          </cell>
          <cell r="P543">
            <v>0.66666666666666663</v>
          </cell>
          <cell r="Q543" t="str">
            <v>Minarto</v>
          </cell>
          <cell r="R543" t="str">
            <v>Sutarno</v>
          </cell>
          <cell r="T543">
            <v>543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</row>
        <row r="544">
          <cell r="B544" t="str">
            <v>Shift 7</v>
          </cell>
          <cell r="C544">
            <v>836</v>
          </cell>
          <cell r="D544">
            <v>0</v>
          </cell>
          <cell r="E544">
            <v>477.71428571428572</v>
          </cell>
          <cell r="F544">
            <v>0</v>
          </cell>
          <cell r="G544">
            <v>1.75</v>
          </cell>
          <cell r="H544">
            <v>0</v>
          </cell>
          <cell r="I544">
            <v>0.5</v>
          </cell>
          <cell r="J544">
            <v>1.25</v>
          </cell>
          <cell r="K544">
            <v>9.5</v>
          </cell>
          <cell r="L544">
            <v>0</v>
          </cell>
          <cell r="M544">
            <v>0.95</v>
          </cell>
          <cell r="N544">
            <v>1</v>
          </cell>
          <cell r="O544">
            <v>0.875</v>
          </cell>
          <cell r="P544">
            <v>0.17307692307692307</v>
          </cell>
          <cell r="Q544" t="str">
            <v>Asmuliadi</v>
          </cell>
          <cell r="R544" t="str">
            <v>Sudarso</v>
          </cell>
          <cell r="T544">
            <v>544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</row>
        <row r="545">
          <cell r="B545" t="str">
            <v>TOTAL</v>
          </cell>
          <cell r="C545">
            <v>4294</v>
          </cell>
          <cell r="D545">
            <v>0</v>
          </cell>
          <cell r="E545">
            <v>472.7339449541285</v>
          </cell>
          <cell r="F545">
            <v>0</v>
          </cell>
          <cell r="G545">
            <v>9.0833333333333321</v>
          </cell>
          <cell r="H545">
            <v>0</v>
          </cell>
          <cell r="I545">
            <v>0.5</v>
          </cell>
          <cell r="J545">
            <v>2.583333333333333</v>
          </cell>
          <cell r="K545">
            <v>11.833333333333334</v>
          </cell>
          <cell r="L545">
            <v>0</v>
          </cell>
          <cell r="M545">
            <v>0.95</v>
          </cell>
          <cell r="N545">
            <v>1</v>
          </cell>
          <cell r="O545">
            <v>0.875</v>
          </cell>
          <cell r="P545">
            <v>0.39930555555555558</v>
          </cell>
          <cell r="Q545" t="str">
            <v>Hiras Silaban</v>
          </cell>
          <cell r="R545" t="str">
            <v>Fresye A L</v>
          </cell>
          <cell r="T545">
            <v>545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</row>
        <row r="546">
          <cell r="T546">
            <v>546</v>
          </cell>
        </row>
        <row r="547">
          <cell r="B547" t="str">
            <v>TIME</v>
          </cell>
          <cell r="C547" t="str">
            <v>WASTE</v>
          </cell>
          <cell r="D547" t="str">
            <v>EX1014</v>
          </cell>
          <cell r="E547" t="str">
            <v>TYPE</v>
          </cell>
          <cell r="F547" t="str">
            <v>PC 1250</v>
          </cell>
          <cell r="H547" t="str">
            <v>Plan Prod'ty :</v>
          </cell>
          <cell r="J547">
            <v>400</v>
          </cell>
          <cell r="M547" t="str">
            <v>Distance :</v>
          </cell>
          <cell r="O547">
            <v>3.6583558356579697</v>
          </cell>
          <cell r="T547">
            <v>547</v>
          </cell>
          <cell r="U547" t="str">
            <v>EX1014</v>
          </cell>
        </row>
        <row r="548">
          <cell r="C548" t="str">
            <v>MAT</v>
          </cell>
          <cell r="D548" t="str">
            <v>PROD</v>
          </cell>
          <cell r="E548" t="str">
            <v>PROD'TY</v>
          </cell>
          <cell r="F548" t="str">
            <v>Q'TY DT</v>
          </cell>
          <cell r="J548" t="str">
            <v>HOURS</v>
          </cell>
          <cell r="Q548" t="str">
            <v>REMARK PRODUKTIVITAS</v>
          </cell>
          <cell r="T548">
            <v>548</v>
          </cell>
          <cell r="U548" t="str">
            <v>ROM</v>
          </cell>
          <cell r="V548" t="str">
            <v>Crush1</v>
          </cell>
          <cell r="W548" t="str">
            <v>Crush2</v>
          </cell>
          <cell r="X548" t="str">
            <v>Crush3</v>
          </cell>
          <cell r="Y548" t="str">
            <v>Crush4</v>
          </cell>
          <cell r="Z548" t="str">
            <v>Crush5</v>
          </cell>
          <cell r="AA548" t="str">
            <v>Crush6</v>
          </cell>
        </row>
        <row r="549">
          <cell r="E549" t="str">
            <v>( By work )</v>
          </cell>
          <cell r="F549" t="str">
            <v>785</v>
          </cell>
          <cell r="G549" t="str">
            <v>785-CB</v>
          </cell>
          <cell r="H549" t="str">
            <v>A40/HM</v>
          </cell>
          <cell r="I549" t="str">
            <v>Total</v>
          </cell>
          <cell r="J549" t="str">
            <v>Work</v>
          </cell>
          <cell r="K549" t="str">
            <v>General</v>
          </cell>
          <cell r="L549" t="str">
            <v>Delay</v>
          </cell>
          <cell r="M549" t="str">
            <v>Idle</v>
          </cell>
          <cell r="N549" t="str">
            <v>Rain</v>
          </cell>
          <cell r="O549" t="str">
            <v>Slipp</v>
          </cell>
          <cell r="P549" t="str">
            <v>B/D</v>
          </cell>
          <cell r="T549">
            <v>549</v>
          </cell>
        </row>
        <row r="550">
          <cell r="B550" t="str">
            <v>07  - 08</v>
          </cell>
          <cell r="C550" t="str">
            <v>OB</v>
          </cell>
          <cell r="D550">
            <v>266</v>
          </cell>
          <cell r="E550">
            <v>532</v>
          </cell>
          <cell r="F550">
            <v>5</v>
          </cell>
          <cell r="G550">
            <v>0</v>
          </cell>
          <cell r="H550">
            <v>0</v>
          </cell>
          <cell r="I550">
            <v>5</v>
          </cell>
          <cell r="J550">
            <v>30</v>
          </cell>
          <cell r="K550">
            <v>0</v>
          </cell>
          <cell r="L550">
            <v>30</v>
          </cell>
          <cell r="M550">
            <v>0</v>
          </cell>
          <cell r="N550">
            <v>0</v>
          </cell>
          <cell r="O550">
            <v>0</v>
          </cell>
          <cell r="Q550" t="str">
            <v>Waiting Operator, P2H Start 07:30</v>
          </cell>
          <cell r="T550">
            <v>550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</row>
        <row r="551">
          <cell r="B551" t="str">
            <v>08  - 09</v>
          </cell>
          <cell r="C551" t="str">
            <v>OB</v>
          </cell>
          <cell r="D551">
            <v>304</v>
          </cell>
          <cell r="E551">
            <v>405.33333333333331</v>
          </cell>
          <cell r="F551">
            <v>5</v>
          </cell>
          <cell r="G551">
            <v>0</v>
          </cell>
          <cell r="H551">
            <v>0</v>
          </cell>
          <cell r="I551">
            <v>5</v>
          </cell>
          <cell r="J551">
            <v>45</v>
          </cell>
          <cell r="K551">
            <v>0</v>
          </cell>
          <cell r="L551">
            <v>15</v>
          </cell>
          <cell r="M551">
            <v>0</v>
          </cell>
          <cell r="N551">
            <v>0</v>
          </cell>
          <cell r="O551">
            <v>0</v>
          </cell>
          <cell r="Q551" t="str">
            <v>Move Front 15'</v>
          </cell>
          <cell r="T551">
            <v>551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</row>
        <row r="552">
          <cell r="B552" t="str">
            <v>09  - 10</v>
          </cell>
          <cell r="C552" t="str">
            <v>OB</v>
          </cell>
          <cell r="D552">
            <v>190</v>
          </cell>
          <cell r="E552">
            <v>456</v>
          </cell>
          <cell r="F552">
            <v>4</v>
          </cell>
          <cell r="G552">
            <v>0</v>
          </cell>
          <cell r="H552">
            <v>0</v>
          </cell>
          <cell r="I552">
            <v>4</v>
          </cell>
          <cell r="J552">
            <v>25</v>
          </cell>
          <cell r="K552">
            <v>0</v>
          </cell>
          <cell r="L552">
            <v>15</v>
          </cell>
          <cell r="M552">
            <v>0</v>
          </cell>
          <cell r="N552">
            <v>0</v>
          </cell>
          <cell r="O552">
            <v>0</v>
          </cell>
          <cell r="P552">
            <v>20</v>
          </cell>
          <cell r="Q552" t="str">
            <v>09:40 Fiire Alarm On Terus,Move Front 15</v>
          </cell>
          <cell r="T552">
            <v>552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</row>
        <row r="553">
          <cell r="B553" t="str">
            <v>10  - 11</v>
          </cell>
          <cell r="C553" t="str">
            <v>OB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60</v>
          </cell>
          <cell r="Q553" t="str">
            <v>Fiire Alarm On Terus</v>
          </cell>
          <cell r="T553">
            <v>553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</row>
        <row r="554">
          <cell r="B554" t="str">
            <v>11  - 12</v>
          </cell>
          <cell r="C554" t="str">
            <v>OB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60</v>
          </cell>
          <cell r="Q554" t="str">
            <v>Fiire Alarm On Terus</v>
          </cell>
          <cell r="T554">
            <v>554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</row>
        <row r="555">
          <cell r="B555" t="str">
            <v>12  - 13</v>
          </cell>
          <cell r="C555" t="str">
            <v>OB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60</v>
          </cell>
          <cell r="Q555" t="str">
            <v>Fiire Alarm On Terus</v>
          </cell>
          <cell r="T555">
            <v>555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</row>
        <row r="556">
          <cell r="B556" t="str">
            <v>13  -  14</v>
          </cell>
          <cell r="C556" t="str">
            <v>OB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60</v>
          </cell>
          <cell r="Q556" t="str">
            <v>Fiire Alarm On Terus RFU 14:00</v>
          </cell>
          <cell r="T556">
            <v>556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</row>
        <row r="557">
          <cell r="B557" t="str">
            <v>14  -  15</v>
          </cell>
          <cell r="C557" t="str">
            <v>OB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60</v>
          </cell>
          <cell r="O557">
            <v>0</v>
          </cell>
          <cell r="Q557" t="str">
            <v>Rain</v>
          </cell>
          <cell r="T557">
            <v>557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</row>
        <row r="558">
          <cell r="B558" t="str">
            <v>15  -  16</v>
          </cell>
          <cell r="C558" t="str">
            <v>OB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60</v>
          </cell>
          <cell r="Q558" t="str">
            <v>Slippery</v>
          </cell>
          <cell r="T558">
            <v>558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</row>
        <row r="559">
          <cell r="B559" t="str">
            <v>16  -  17</v>
          </cell>
          <cell r="C559" t="str">
            <v>OB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60</v>
          </cell>
          <cell r="Q559" t="str">
            <v>Slippery</v>
          </cell>
          <cell r="T559">
            <v>559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</row>
        <row r="560">
          <cell r="B560" t="str">
            <v>17  -  18</v>
          </cell>
          <cell r="C560" t="str">
            <v>OB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60</v>
          </cell>
          <cell r="Q560" t="str">
            <v>Slippery</v>
          </cell>
          <cell r="T560">
            <v>560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</row>
        <row r="561">
          <cell r="B561" t="str">
            <v>18  -  19</v>
          </cell>
          <cell r="C561" t="str">
            <v>OB</v>
          </cell>
          <cell r="D561">
            <v>304</v>
          </cell>
          <cell r="E561">
            <v>331.63636363636363</v>
          </cell>
          <cell r="F561">
            <v>4</v>
          </cell>
          <cell r="G561">
            <v>0</v>
          </cell>
          <cell r="H561">
            <v>0</v>
          </cell>
          <cell r="I561">
            <v>4</v>
          </cell>
          <cell r="J561">
            <v>55</v>
          </cell>
          <cell r="K561">
            <v>0</v>
          </cell>
          <cell r="L561">
            <v>5</v>
          </cell>
          <cell r="M561">
            <v>0</v>
          </cell>
          <cell r="N561">
            <v>0</v>
          </cell>
          <cell r="O561">
            <v>0</v>
          </cell>
          <cell r="Q561" t="str">
            <v>P2H, Start 18:05</v>
          </cell>
          <cell r="T561">
            <v>561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</row>
        <row r="562">
          <cell r="B562" t="str">
            <v>19  -  20</v>
          </cell>
          <cell r="C562" t="str">
            <v>OB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60</v>
          </cell>
          <cell r="O562">
            <v>0</v>
          </cell>
          <cell r="Q562" t="str">
            <v>Rain</v>
          </cell>
          <cell r="T562">
            <v>562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</row>
        <row r="563">
          <cell r="B563" t="str">
            <v>20  -  21</v>
          </cell>
          <cell r="C563" t="str">
            <v>OB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60</v>
          </cell>
          <cell r="O563">
            <v>0</v>
          </cell>
          <cell r="Q563" t="str">
            <v>Rain</v>
          </cell>
          <cell r="T563">
            <v>563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</row>
        <row r="564">
          <cell r="B564" t="str">
            <v>21  -  22</v>
          </cell>
          <cell r="C564" t="str">
            <v>OB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60</v>
          </cell>
          <cell r="O564">
            <v>0</v>
          </cell>
          <cell r="Q564" t="str">
            <v>Rain</v>
          </cell>
          <cell r="T564">
            <v>564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</row>
        <row r="565">
          <cell r="B565" t="str">
            <v>22  -  23</v>
          </cell>
          <cell r="C565" t="str">
            <v>OB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60</v>
          </cell>
          <cell r="O565">
            <v>0</v>
          </cell>
          <cell r="Q565" t="str">
            <v>Rain</v>
          </cell>
          <cell r="T565">
            <v>565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</row>
        <row r="566">
          <cell r="B566" t="str">
            <v>23  -  24</v>
          </cell>
          <cell r="C566" t="str">
            <v>OB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60</v>
          </cell>
          <cell r="Q566" t="str">
            <v>Slippery</v>
          </cell>
          <cell r="T566">
            <v>566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</row>
        <row r="567">
          <cell r="B567" t="str">
            <v>24  -  01</v>
          </cell>
          <cell r="C567" t="str">
            <v>OB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60</v>
          </cell>
          <cell r="M567">
            <v>0</v>
          </cell>
          <cell r="N567">
            <v>0</v>
          </cell>
          <cell r="O567">
            <v>0</v>
          </cell>
          <cell r="Q567" t="str">
            <v>Rest Time</v>
          </cell>
          <cell r="T567">
            <v>567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</row>
        <row r="568">
          <cell r="B568" t="str">
            <v>01  -  02</v>
          </cell>
          <cell r="C568" t="str">
            <v>OB</v>
          </cell>
          <cell r="D568">
            <v>228</v>
          </cell>
          <cell r="E568">
            <v>456</v>
          </cell>
          <cell r="F568">
            <v>4</v>
          </cell>
          <cell r="G568">
            <v>0</v>
          </cell>
          <cell r="H568">
            <v>0</v>
          </cell>
          <cell r="I568">
            <v>4</v>
          </cell>
          <cell r="J568">
            <v>30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30</v>
          </cell>
          <cell r="Q568" t="str">
            <v>Slippery</v>
          </cell>
          <cell r="T568">
            <v>568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</row>
        <row r="569">
          <cell r="B569" t="str">
            <v>02  -  03</v>
          </cell>
          <cell r="C569" t="str">
            <v>OB</v>
          </cell>
          <cell r="D569">
            <v>380</v>
          </cell>
          <cell r="E569">
            <v>414.54545454545456</v>
          </cell>
          <cell r="F569">
            <v>4</v>
          </cell>
          <cell r="G569">
            <v>0</v>
          </cell>
          <cell r="H569">
            <v>0</v>
          </cell>
          <cell r="I569">
            <v>4</v>
          </cell>
          <cell r="J569">
            <v>55</v>
          </cell>
          <cell r="K569">
            <v>0</v>
          </cell>
          <cell r="L569">
            <v>0</v>
          </cell>
          <cell r="M569">
            <v>0</v>
          </cell>
          <cell r="N569">
            <v>5</v>
          </cell>
          <cell r="O569">
            <v>0</v>
          </cell>
          <cell r="Q569" t="str">
            <v>Rain</v>
          </cell>
          <cell r="T569">
            <v>569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</row>
        <row r="570">
          <cell r="B570" t="str">
            <v>03  -  04</v>
          </cell>
          <cell r="C570" t="str">
            <v>OB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60</v>
          </cell>
          <cell r="O570">
            <v>0</v>
          </cell>
          <cell r="Q570" t="str">
            <v>Rain</v>
          </cell>
          <cell r="T570">
            <v>570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</row>
        <row r="571">
          <cell r="B571" t="str">
            <v>04  -  05</v>
          </cell>
          <cell r="C571" t="str">
            <v>OB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60</v>
          </cell>
          <cell r="O571">
            <v>0</v>
          </cell>
          <cell r="Q571" t="str">
            <v>Rain</v>
          </cell>
          <cell r="T571">
            <v>571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</row>
        <row r="572">
          <cell r="B572" t="str">
            <v>05  -  06</v>
          </cell>
          <cell r="C572" t="str">
            <v>OB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60</v>
          </cell>
          <cell r="O572">
            <v>0</v>
          </cell>
          <cell r="Q572" t="str">
            <v>Rain</v>
          </cell>
          <cell r="T572">
            <v>572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</row>
        <row r="573">
          <cell r="B573" t="str">
            <v>06  -  07</v>
          </cell>
          <cell r="C573" t="str">
            <v>OB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30</v>
          </cell>
          <cell r="L573">
            <v>30</v>
          </cell>
          <cell r="M573">
            <v>0</v>
          </cell>
          <cell r="N573">
            <v>0</v>
          </cell>
          <cell r="O573">
            <v>0</v>
          </cell>
          <cell r="Q573" t="str">
            <v>Change Shift</v>
          </cell>
          <cell r="T573">
            <v>573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</row>
        <row r="574">
          <cell r="B574" t="str">
            <v>RESUME</v>
          </cell>
          <cell r="C574" t="str">
            <v>PROD</v>
          </cell>
          <cell r="E574" t="str">
            <v>PROD'TY</v>
          </cell>
          <cell r="G574" t="str">
            <v>WORK HOURS</v>
          </cell>
          <cell r="J574" t="str">
            <v>LOST TIME</v>
          </cell>
          <cell r="L574" t="str">
            <v>DOWN</v>
          </cell>
          <cell r="M574" t="str">
            <v>PA</v>
          </cell>
          <cell r="O574" t="str">
            <v>UA PROD</v>
          </cell>
          <cell r="Q574" t="str">
            <v>OPERATOR</v>
          </cell>
          <cell r="R574" t="str">
            <v>GROUP LEADER</v>
          </cell>
          <cell r="T574">
            <v>574</v>
          </cell>
        </row>
        <row r="575">
          <cell r="B575" t="str">
            <v>GROUP</v>
          </cell>
          <cell r="C575" t="str">
            <v>WASTE</v>
          </cell>
          <cell r="D575" t="str">
            <v>CC</v>
          </cell>
          <cell r="E575" t="str">
            <v>WASTE</v>
          </cell>
          <cell r="F575" t="str">
            <v>CC</v>
          </cell>
          <cell r="G575" t="str">
            <v>WASTE</v>
          </cell>
          <cell r="H575" t="str">
            <v>CC</v>
          </cell>
          <cell r="I575" t="str">
            <v>GEN</v>
          </cell>
          <cell r="J575" t="str">
            <v>DELAY</v>
          </cell>
          <cell r="K575" t="str">
            <v>IDLE</v>
          </cell>
          <cell r="L575" t="str">
            <v>TIME</v>
          </cell>
          <cell r="M575" t="str">
            <v>PLAN</v>
          </cell>
          <cell r="N575" t="str">
            <v>ACT</v>
          </cell>
          <cell r="O575" t="str">
            <v>PLAN</v>
          </cell>
          <cell r="P575" t="str">
            <v>ACT</v>
          </cell>
          <cell r="T575">
            <v>575</v>
          </cell>
        </row>
        <row r="576">
          <cell r="B576" t="str">
            <v>Shift 1</v>
          </cell>
          <cell r="C576">
            <v>760</v>
          </cell>
          <cell r="D576">
            <v>0</v>
          </cell>
          <cell r="E576">
            <v>456</v>
          </cell>
          <cell r="F576">
            <v>0</v>
          </cell>
          <cell r="G576">
            <v>1.6666666666666667</v>
          </cell>
          <cell r="H576">
            <v>0</v>
          </cell>
          <cell r="I576">
            <v>0</v>
          </cell>
          <cell r="J576">
            <v>1</v>
          </cell>
          <cell r="K576">
            <v>1</v>
          </cell>
          <cell r="L576">
            <v>4.333333333333333</v>
          </cell>
          <cell r="M576">
            <v>0.95</v>
          </cell>
          <cell r="N576">
            <v>0.45833333333333337</v>
          </cell>
          <cell r="O576">
            <v>0.875</v>
          </cell>
          <cell r="P576">
            <v>0.45454545454545453</v>
          </cell>
          <cell r="Q576">
            <v>0</v>
          </cell>
          <cell r="R576">
            <v>0</v>
          </cell>
          <cell r="T576">
            <v>576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</row>
        <row r="577">
          <cell r="B577" t="str">
            <v>Shift 2</v>
          </cell>
          <cell r="C577">
            <v>304</v>
          </cell>
          <cell r="D577">
            <v>0</v>
          </cell>
          <cell r="E577">
            <v>331.63636363636363</v>
          </cell>
          <cell r="F577">
            <v>0</v>
          </cell>
          <cell r="G577">
            <v>0.91666666666666663</v>
          </cell>
          <cell r="H577">
            <v>0</v>
          </cell>
          <cell r="I577">
            <v>0</v>
          </cell>
          <cell r="J577">
            <v>8.3333333333333329E-2</v>
          </cell>
          <cell r="K577">
            <v>7</v>
          </cell>
          <cell r="L577">
            <v>0</v>
          </cell>
          <cell r="M577">
            <v>0.95</v>
          </cell>
          <cell r="N577">
            <v>1</v>
          </cell>
          <cell r="O577">
            <v>0.875</v>
          </cell>
          <cell r="P577">
            <v>0.11458333333333333</v>
          </cell>
          <cell r="Q577">
            <v>0</v>
          </cell>
          <cell r="R577">
            <v>0</v>
          </cell>
          <cell r="T577">
            <v>577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</row>
        <row r="578">
          <cell r="B578" t="str">
            <v>Shift 3</v>
          </cell>
          <cell r="C578">
            <v>608</v>
          </cell>
          <cell r="D578">
            <v>0</v>
          </cell>
          <cell r="E578">
            <v>429.17647058823525</v>
          </cell>
          <cell r="F578">
            <v>0</v>
          </cell>
          <cell r="G578">
            <v>1.4166666666666667</v>
          </cell>
          <cell r="H578">
            <v>0</v>
          </cell>
          <cell r="I578">
            <v>0.5</v>
          </cell>
          <cell r="J578">
            <v>1.5</v>
          </cell>
          <cell r="K578">
            <v>4.583333333333333</v>
          </cell>
          <cell r="L578">
            <v>0</v>
          </cell>
          <cell r="M578">
            <v>0.95</v>
          </cell>
          <cell r="N578">
            <v>1</v>
          </cell>
          <cell r="O578">
            <v>0.875</v>
          </cell>
          <cell r="P578">
            <v>0.23958333333333334</v>
          </cell>
          <cell r="Q578">
            <v>0</v>
          </cell>
          <cell r="R578">
            <v>0</v>
          </cell>
          <cell r="T578">
            <v>578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</row>
        <row r="579">
          <cell r="B579" t="str">
            <v>Shift 6</v>
          </cell>
          <cell r="C579">
            <v>760</v>
          </cell>
          <cell r="D579">
            <v>0</v>
          </cell>
          <cell r="E579">
            <v>456</v>
          </cell>
          <cell r="F579">
            <v>0</v>
          </cell>
          <cell r="G579">
            <v>1.6666666666666667</v>
          </cell>
          <cell r="H579">
            <v>0</v>
          </cell>
          <cell r="I579">
            <v>0</v>
          </cell>
          <cell r="J579">
            <v>1</v>
          </cell>
          <cell r="K579">
            <v>4</v>
          </cell>
          <cell r="L579">
            <v>4.333333333333333</v>
          </cell>
          <cell r="M579">
            <v>0.95</v>
          </cell>
          <cell r="N579">
            <v>0.60606060606060608</v>
          </cell>
          <cell r="O579">
            <v>0.875</v>
          </cell>
          <cell r="P579">
            <v>0.25</v>
          </cell>
          <cell r="Q579" t="str">
            <v>Iwan Caniago</v>
          </cell>
          <cell r="R579" t="str">
            <v>Bardono</v>
          </cell>
          <cell r="T579">
            <v>579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</row>
        <row r="580">
          <cell r="B580" t="str">
            <v>Shift 7</v>
          </cell>
          <cell r="C580">
            <v>912</v>
          </cell>
          <cell r="D580">
            <v>0</v>
          </cell>
          <cell r="E580">
            <v>390.85714285714283</v>
          </cell>
          <cell r="F580">
            <v>0</v>
          </cell>
          <cell r="G580">
            <v>2.3333333333333335</v>
          </cell>
          <cell r="H580">
            <v>0</v>
          </cell>
          <cell r="I580">
            <v>0.5</v>
          </cell>
          <cell r="J580">
            <v>1.5833333333333333</v>
          </cell>
          <cell r="K580">
            <v>8.5833333333333339</v>
          </cell>
          <cell r="L580">
            <v>0</v>
          </cell>
          <cell r="M580">
            <v>0.95</v>
          </cell>
          <cell r="N580">
            <v>1</v>
          </cell>
          <cell r="O580">
            <v>0.875</v>
          </cell>
          <cell r="P580">
            <v>0.21794871794871795</v>
          </cell>
          <cell r="Q580" t="str">
            <v>Daud Manglalan</v>
          </cell>
          <cell r="R580" t="str">
            <v>Saepudin</v>
          </cell>
          <cell r="T580">
            <v>580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</row>
        <row r="581">
          <cell r="B581" t="str">
            <v>TOTAL</v>
          </cell>
          <cell r="C581">
            <v>1672</v>
          </cell>
          <cell r="D581">
            <v>0</v>
          </cell>
          <cell r="E581">
            <v>418</v>
          </cell>
          <cell r="F581">
            <v>0</v>
          </cell>
          <cell r="G581">
            <v>4</v>
          </cell>
          <cell r="H581">
            <v>0</v>
          </cell>
          <cell r="I581">
            <v>0.5</v>
          </cell>
          <cell r="J581">
            <v>2.583333333333333</v>
          </cell>
          <cell r="K581">
            <v>12.583333333333334</v>
          </cell>
          <cell r="L581">
            <v>4.333333333333333</v>
          </cell>
          <cell r="M581">
            <v>0.95</v>
          </cell>
          <cell r="N581">
            <v>0.81944444444444453</v>
          </cell>
          <cell r="O581">
            <v>0.875</v>
          </cell>
          <cell r="P581">
            <v>0.22881355932203387</v>
          </cell>
          <cell r="Q581" t="str">
            <v>Hiras Silaban</v>
          </cell>
          <cell r="R581" t="str">
            <v>Fresye A L</v>
          </cell>
          <cell r="T581">
            <v>581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</row>
        <row r="582">
          <cell r="T582">
            <v>582</v>
          </cell>
        </row>
        <row r="583">
          <cell r="B583" t="str">
            <v>TIME</v>
          </cell>
          <cell r="C583" t="str">
            <v>WASTE</v>
          </cell>
          <cell r="D583" t="str">
            <v>EX577</v>
          </cell>
          <cell r="E583" t="str">
            <v>TYPE</v>
          </cell>
          <cell r="F583" t="str">
            <v>PC 750</v>
          </cell>
          <cell r="H583" t="str">
            <v>Plan Prod'ty :</v>
          </cell>
          <cell r="J583">
            <v>300</v>
          </cell>
          <cell r="M583" t="str">
            <v>Distance :</v>
          </cell>
          <cell r="O583">
            <v>1.8470583566917964</v>
          </cell>
          <cell r="T583">
            <v>583</v>
          </cell>
          <cell r="U583" t="str">
            <v>EX577</v>
          </cell>
        </row>
        <row r="584">
          <cell r="C584" t="str">
            <v>MAT</v>
          </cell>
          <cell r="D584" t="str">
            <v>PROD</v>
          </cell>
          <cell r="E584" t="str">
            <v>PROD'TY</v>
          </cell>
          <cell r="F584" t="str">
            <v>Q'TY DT</v>
          </cell>
          <cell r="J584" t="str">
            <v>HOURS</v>
          </cell>
          <cell r="Q584" t="str">
            <v>REMARK PRODUKTIVITAS</v>
          </cell>
          <cell r="T584">
            <v>584</v>
          </cell>
          <cell r="U584" t="str">
            <v>ROM</v>
          </cell>
          <cell r="V584" t="str">
            <v>Crush1</v>
          </cell>
          <cell r="W584" t="str">
            <v>Crush2</v>
          </cell>
          <cell r="X584" t="str">
            <v>Crush3</v>
          </cell>
          <cell r="Y584" t="str">
            <v>Crush4</v>
          </cell>
          <cell r="Z584" t="str">
            <v>Crush5</v>
          </cell>
          <cell r="AA584" t="str">
            <v>Crush6</v>
          </cell>
        </row>
        <row r="585">
          <cell r="E585" t="str">
            <v>( By work )</v>
          </cell>
          <cell r="F585" t="str">
            <v>785</v>
          </cell>
          <cell r="G585" t="str">
            <v>785-CB</v>
          </cell>
          <cell r="H585" t="str">
            <v>A40/HM</v>
          </cell>
          <cell r="I585" t="str">
            <v>Total</v>
          </cell>
          <cell r="J585" t="str">
            <v>Work</v>
          </cell>
          <cell r="K585" t="str">
            <v>General</v>
          </cell>
          <cell r="L585" t="str">
            <v>Delay</v>
          </cell>
          <cell r="M585" t="str">
            <v>Idle</v>
          </cell>
          <cell r="N585" t="str">
            <v>Rain</v>
          </cell>
          <cell r="O585" t="str">
            <v>Slipp</v>
          </cell>
          <cell r="P585" t="str">
            <v>B/D</v>
          </cell>
          <cell r="T585">
            <v>585</v>
          </cell>
        </row>
        <row r="586">
          <cell r="B586" t="str">
            <v>07  - 08</v>
          </cell>
          <cell r="C586" t="str">
            <v>TS</v>
          </cell>
          <cell r="D586">
            <v>112</v>
          </cell>
          <cell r="E586">
            <v>336</v>
          </cell>
          <cell r="F586">
            <v>0</v>
          </cell>
          <cell r="G586">
            <v>0</v>
          </cell>
          <cell r="H586">
            <v>11</v>
          </cell>
          <cell r="I586">
            <v>11</v>
          </cell>
          <cell r="J586">
            <v>20</v>
          </cell>
          <cell r="K586">
            <v>0</v>
          </cell>
          <cell r="L586">
            <v>40</v>
          </cell>
          <cell r="M586">
            <v>0</v>
          </cell>
          <cell r="N586">
            <v>0</v>
          </cell>
          <cell r="O586">
            <v>0</v>
          </cell>
          <cell r="Q586" t="str">
            <v>Waiting Operator, P2H Start 07:40</v>
          </cell>
          <cell r="T586">
            <v>586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</row>
        <row r="587">
          <cell r="B587" t="str">
            <v>08  - 09</v>
          </cell>
          <cell r="C587" t="str">
            <v>TS</v>
          </cell>
          <cell r="D587">
            <v>406</v>
          </cell>
          <cell r="E587">
            <v>406</v>
          </cell>
          <cell r="F587">
            <v>0</v>
          </cell>
          <cell r="G587">
            <v>0</v>
          </cell>
          <cell r="H587">
            <v>11</v>
          </cell>
          <cell r="I587">
            <v>11</v>
          </cell>
          <cell r="J587">
            <v>60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Q587">
            <v>0</v>
          </cell>
          <cell r="T587">
            <v>587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</row>
        <row r="588">
          <cell r="B588" t="str">
            <v>09  - 10</v>
          </cell>
          <cell r="C588" t="str">
            <v>TS</v>
          </cell>
          <cell r="D588">
            <v>322</v>
          </cell>
          <cell r="E588">
            <v>322</v>
          </cell>
          <cell r="F588">
            <v>0</v>
          </cell>
          <cell r="G588">
            <v>0</v>
          </cell>
          <cell r="H588">
            <v>8</v>
          </cell>
          <cell r="I588">
            <v>8</v>
          </cell>
          <cell r="J588">
            <v>60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Q588">
            <v>0</v>
          </cell>
          <cell r="T588">
            <v>588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</row>
        <row r="589">
          <cell r="B589" t="str">
            <v>10  - 11</v>
          </cell>
          <cell r="C589" t="str">
            <v>TS</v>
          </cell>
          <cell r="D589">
            <v>294</v>
          </cell>
          <cell r="E589">
            <v>294</v>
          </cell>
          <cell r="F589">
            <v>0</v>
          </cell>
          <cell r="G589">
            <v>0</v>
          </cell>
          <cell r="H589">
            <v>8</v>
          </cell>
          <cell r="I589">
            <v>8</v>
          </cell>
          <cell r="J589">
            <v>60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Q589">
            <v>0</v>
          </cell>
          <cell r="T589">
            <v>589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</row>
        <row r="590">
          <cell r="B590" t="str">
            <v>11  - 12</v>
          </cell>
          <cell r="C590" t="str">
            <v>TS</v>
          </cell>
          <cell r="D590">
            <v>196</v>
          </cell>
          <cell r="E590">
            <v>196</v>
          </cell>
          <cell r="F590">
            <v>0</v>
          </cell>
          <cell r="G590">
            <v>0</v>
          </cell>
          <cell r="H590">
            <v>7</v>
          </cell>
          <cell r="I590">
            <v>7</v>
          </cell>
          <cell r="J590">
            <v>60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Q590">
            <v>0</v>
          </cell>
          <cell r="T590">
            <v>590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</row>
        <row r="591">
          <cell r="B591" t="str">
            <v>12  - 13</v>
          </cell>
          <cell r="C591" t="str">
            <v>TS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60</v>
          </cell>
          <cell r="M591">
            <v>0</v>
          </cell>
          <cell r="N591">
            <v>0</v>
          </cell>
          <cell r="O591">
            <v>0</v>
          </cell>
          <cell r="Q591" t="str">
            <v>Rest Time</v>
          </cell>
          <cell r="T591">
            <v>591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</row>
        <row r="592">
          <cell r="B592" t="str">
            <v>13  -  14</v>
          </cell>
          <cell r="C592" t="str">
            <v>TS</v>
          </cell>
          <cell r="D592">
            <v>308</v>
          </cell>
          <cell r="E592">
            <v>308</v>
          </cell>
          <cell r="F592">
            <v>0</v>
          </cell>
          <cell r="G592">
            <v>0</v>
          </cell>
          <cell r="H592">
            <v>7</v>
          </cell>
          <cell r="I592">
            <v>7</v>
          </cell>
          <cell r="J592">
            <v>60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Q592">
            <v>0</v>
          </cell>
          <cell r="T592">
            <v>592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</row>
        <row r="593">
          <cell r="B593" t="str">
            <v>14  -  15</v>
          </cell>
          <cell r="C593" t="str">
            <v>TS</v>
          </cell>
          <cell r="D593">
            <v>336</v>
          </cell>
          <cell r="E593">
            <v>336</v>
          </cell>
          <cell r="F593">
            <v>0</v>
          </cell>
          <cell r="G593">
            <v>0</v>
          </cell>
          <cell r="H593">
            <v>8</v>
          </cell>
          <cell r="I593">
            <v>8</v>
          </cell>
          <cell r="J593">
            <v>60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Q593">
            <v>0</v>
          </cell>
          <cell r="T593">
            <v>593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</row>
        <row r="594">
          <cell r="B594" t="str">
            <v>15  -  16</v>
          </cell>
          <cell r="C594" t="str">
            <v>TS</v>
          </cell>
          <cell r="D594">
            <v>280</v>
          </cell>
          <cell r="E594">
            <v>280</v>
          </cell>
          <cell r="F594">
            <v>0</v>
          </cell>
          <cell r="G594">
            <v>0</v>
          </cell>
          <cell r="H594">
            <v>7</v>
          </cell>
          <cell r="I594">
            <v>7</v>
          </cell>
          <cell r="J594">
            <v>60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Q594">
            <v>0</v>
          </cell>
          <cell r="T594">
            <v>594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</row>
        <row r="595">
          <cell r="B595" t="str">
            <v>16  -  17</v>
          </cell>
          <cell r="C595" t="str">
            <v>TS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60</v>
          </cell>
          <cell r="M595">
            <v>0</v>
          </cell>
          <cell r="N595">
            <v>0</v>
          </cell>
          <cell r="O595">
            <v>0</v>
          </cell>
          <cell r="Q595">
            <v>0</v>
          </cell>
          <cell r="T595">
            <v>595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</row>
        <row r="596">
          <cell r="B596" t="str">
            <v>17  -  18</v>
          </cell>
          <cell r="C596" t="str">
            <v>TS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60</v>
          </cell>
          <cell r="M596">
            <v>0</v>
          </cell>
          <cell r="N596">
            <v>0</v>
          </cell>
          <cell r="O596">
            <v>0</v>
          </cell>
          <cell r="Q596" t="str">
            <v>Shift Change</v>
          </cell>
          <cell r="T596">
            <v>596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</row>
        <row r="597">
          <cell r="B597" t="str">
            <v>18  -  19</v>
          </cell>
          <cell r="C597" t="str">
            <v>TS</v>
          </cell>
          <cell r="D597">
            <v>168</v>
          </cell>
          <cell r="E597">
            <v>336</v>
          </cell>
          <cell r="F597">
            <v>0</v>
          </cell>
          <cell r="G597">
            <v>0</v>
          </cell>
          <cell r="H597">
            <v>11</v>
          </cell>
          <cell r="I597">
            <v>11</v>
          </cell>
          <cell r="J597">
            <v>30</v>
          </cell>
          <cell r="K597">
            <v>0</v>
          </cell>
          <cell r="L597">
            <v>30</v>
          </cell>
          <cell r="M597">
            <v>0</v>
          </cell>
          <cell r="N597">
            <v>0</v>
          </cell>
          <cell r="O597">
            <v>0</v>
          </cell>
          <cell r="Q597" t="str">
            <v>Wait Operator, Start 18:30</v>
          </cell>
          <cell r="T597">
            <v>597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</row>
        <row r="598">
          <cell r="B598" t="str">
            <v>19  -  20</v>
          </cell>
          <cell r="C598" t="str">
            <v>TS</v>
          </cell>
          <cell r="D598">
            <v>280</v>
          </cell>
          <cell r="E598">
            <v>280</v>
          </cell>
          <cell r="F598">
            <v>0</v>
          </cell>
          <cell r="G598">
            <v>0</v>
          </cell>
          <cell r="H598">
            <v>11</v>
          </cell>
          <cell r="I598">
            <v>11</v>
          </cell>
          <cell r="J598">
            <v>60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Q598">
            <v>0</v>
          </cell>
          <cell r="T598">
            <v>598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</row>
        <row r="599">
          <cell r="B599" t="str">
            <v>20  -  21</v>
          </cell>
          <cell r="C599" t="str">
            <v>TS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60</v>
          </cell>
          <cell r="O599">
            <v>0</v>
          </cell>
          <cell r="Q599" t="str">
            <v>Rain</v>
          </cell>
          <cell r="T599">
            <v>599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</row>
        <row r="600">
          <cell r="B600" t="str">
            <v>21  -  22</v>
          </cell>
          <cell r="C600" t="str">
            <v>TS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60</v>
          </cell>
          <cell r="O600">
            <v>0</v>
          </cell>
          <cell r="Q600" t="str">
            <v>Rain</v>
          </cell>
          <cell r="T600">
            <v>600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</row>
        <row r="601">
          <cell r="B601" t="str">
            <v>22  -  23</v>
          </cell>
          <cell r="C601" t="str">
            <v>TS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60</v>
          </cell>
          <cell r="O601">
            <v>0</v>
          </cell>
          <cell r="Q601" t="str">
            <v>Rain</v>
          </cell>
          <cell r="T601">
            <v>601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</row>
        <row r="602">
          <cell r="B602" t="str">
            <v>23  -  24</v>
          </cell>
          <cell r="C602" t="str">
            <v>TS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60</v>
          </cell>
          <cell r="Q602" t="str">
            <v>Slippery</v>
          </cell>
          <cell r="T602">
            <v>602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</row>
        <row r="603">
          <cell r="B603" t="str">
            <v>24  -  01</v>
          </cell>
          <cell r="C603" t="str">
            <v>TS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60</v>
          </cell>
          <cell r="M603">
            <v>0</v>
          </cell>
          <cell r="N603">
            <v>0</v>
          </cell>
          <cell r="O603">
            <v>0</v>
          </cell>
          <cell r="Q603" t="str">
            <v>Rest Time</v>
          </cell>
          <cell r="T603">
            <v>603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</row>
        <row r="604">
          <cell r="B604" t="str">
            <v>01  -  02</v>
          </cell>
          <cell r="C604" t="str">
            <v>TS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60</v>
          </cell>
          <cell r="Q604" t="str">
            <v>Slippery</v>
          </cell>
          <cell r="T604">
            <v>604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</row>
        <row r="605">
          <cell r="B605" t="str">
            <v>02  -  03</v>
          </cell>
          <cell r="C605" t="str">
            <v>TS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60</v>
          </cell>
          <cell r="O605">
            <v>0</v>
          </cell>
          <cell r="Q605" t="str">
            <v>Rain</v>
          </cell>
          <cell r="T605">
            <v>605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</row>
        <row r="606">
          <cell r="B606" t="str">
            <v>03  -  04</v>
          </cell>
          <cell r="C606" t="str">
            <v>TS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60</v>
          </cell>
          <cell r="O606">
            <v>0</v>
          </cell>
          <cell r="Q606" t="str">
            <v>Rain</v>
          </cell>
          <cell r="T606">
            <v>606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</row>
        <row r="607">
          <cell r="B607" t="str">
            <v>04  -  05</v>
          </cell>
          <cell r="C607" t="str">
            <v>TS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60</v>
          </cell>
          <cell r="O607">
            <v>0</v>
          </cell>
          <cell r="Q607" t="str">
            <v>Rain</v>
          </cell>
          <cell r="T607">
            <v>607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</row>
        <row r="608">
          <cell r="B608" t="str">
            <v>05  -  06</v>
          </cell>
          <cell r="C608" t="str">
            <v>TS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60</v>
          </cell>
          <cell r="O608">
            <v>0</v>
          </cell>
          <cell r="Q608" t="str">
            <v>Rain</v>
          </cell>
          <cell r="T608">
            <v>608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</row>
        <row r="609">
          <cell r="B609" t="str">
            <v>06  -  07</v>
          </cell>
          <cell r="C609" t="str">
            <v>TS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30</v>
          </cell>
          <cell r="L609">
            <v>30</v>
          </cell>
          <cell r="M609">
            <v>0</v>
          </cell>
          <cell r="N609">
            <v>0</v>
          </cell>
          <cell r="O609">
            <v>0</v>
          </cell>
          <cell r="Q609" t="str">
            <v>Change Shift</v>
          </cell>
          <cell r="T609">
            <v>609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</row>
        <row r="610">
          <cell r="B610" t="str">
            <v>RESUME</v>
          </cell>
          <cell r="C610" t="str">
            <v>PROD</v>
          </cell>
          <cell r="E610" t="str">
            <v>PROD'TY</v>
          </cell>
          <cell r="G610" t="str">
            <v>WORK HOURS</v>
          </cell>
          <cell r="J610" t="str">
            <v>LOST TIME</v>
          </cell>
          <cell r="L610" t="str">
            <v>DOWN</v>
          </cell>
          <cell r="M610" t="str">
            <v>PA</v>
          </cell>
          <cell r="O610" t="str">
            <v>UA PROD</v>
          </cell>
          <cell r="Q610" t="str">
            <v>OPERATOR</v>
          </cell>
          <cell r="R610" t="str">
            <v>GROUP LEADER</v>
          </cell>
          <cell r="T610">
            <v>610</v>
          </cell>
        </row>
        <row r="611">
          <cell r="B611" t="str">
            <v>GROUP</v>
          </cell>
          <cell r="C611" t="str">
            <v>WASTE</v>
          </cell>
          <cell r="D611" t="str">
            <v>CC</v>
          </cell>
          <cell r="E611" t="str">
            <v>WASTE</v>
          </cell>
          <cell r="F611" t="str">
            <v>CC</v>
          </cell>
          <cell r="G611" t="str">
            <v>WASTE</v>
          </cell>
          <cell r="H611" t="str">
            <v>CC</v>
          </cell>
          <cell r="I611" t="str">
            <v>GEN</v>
          </cell>
          <cell r="J611" t="str">
            <v>DELAY</v>
          </cell>
          <cell r="K611" t="str">
            <v>IDLE</v>
          </cell>
          <cell r="L611" t="str">
            <v>TIME</v>
          </cell>
          <cell r="M611" t="str">
            <v>PLAN</v>
          </cell>
          <cell r="N611" t="str">
            <v>ACT</v>
          </cell>
          <cell r="O611" t="str">
            <v>PLAN</v>
          </cell>
          <cell r="P611" t="str">
            <v>ACT</v>
          </cell>
          <cell r="T611">
            <v>611</v>
          </cell>
        </row>
        <row r="612">
          <cell r="B612" t="str">
            <v>Shift 1</v>
          </cell>
          <cell r="C612">
            <v>1974</v>
          </cell>
          <cell r="D612">
            <v>0</v>
          </cell>
          <cell r="E612">
            <v>311.68421052631578</v>
          </cell>
          <cell r="F612">
            <v>0</v>
          </cell>
          <cell r="G612">
            <v>6.333333333333333</v>
          </cell>
          <cell r="H612">
            <v>0</v>
          </cell>
          <cell r="I612">
            <v>0</v>
          </cell>
          <cell r="J612">
            <v>1.6666666666666667</v>
          </cell>
          <cell r="K612">
            <v>0</v>
          </cell>
          <cell r="L612">
            <v>0</v>
          </cell>
          <cell r="M612">
            <v>0.95</v>
          </cell>
          <cell r="N612">
            <v>1</v>
          </cell>
          <cell r="O612">
            <v>0.875</v>
          </cell>
          <cell r="P612">
            <v>0.79166666666666663</v>
          </cell>
          <cell r="Q612">
            <v>0</v>
          </cell>
          <cell r="R612">
            <v>0</v>
          </cell>
          <cell r="T612">
            <v>612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</row>
        <row r="613">
          <cell r="B613" t="str">
            <v>Shift 2</v>
          </cell>
          <cell r="C613">
            <v>728</v>
          </cell>
          <cell r="D613">
            <v>0</v>
          </cell>
          <cell r="E613">
            <v>291.2</v>
          </cell>
          <cell r="F613">
            <v>0</v>
          </cell>
          <cell r="G613">
            <v>2.5</v>
          </cell>
          <cell r="H613">
            <v>0</v>
          </cell>
          <cell r="I613">
            <v>0</v>
          </cell>
          <cell r="J613">
            <v>2.5</v>
          </cell>
          <cell r="K613">
            <v>3</v>
          </cell>
          <cell r="L613">
            <v>0</v>
          </cell>
          <cell r="M613">
            <v>0.95</v>
          </cell>
          <cell r="N613">
            <v>1</v>
          </cell>
          <cell r="O613">
            <v>0.875</v>
          </cell>
          <cell r="P613">
            <v>0.3125</v>
          </cell>
          <cell r="Q613">
            <v>0</v>
          </cell>
          <cell r="R613">
            <v>0</v>
          </cell>
          <cell r="T613">
            <v>613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</row>
        <row r="614">
          <cell r="B614" t="str">
            <v>Shift 3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0.5</v>
          </cell>
          <cell r="J614">
            <v>1.5</v>
          </cell>
          <cell r="K614">
            <v>6</v>
          </cell>
          <cell r="L614">
            <v>0</v>
          </cell>
          <cell r="M614">
            <v>0.95</v>
          </cell>
          <cell r="N614">
            <v>1</v>
          </cell>
          <cell r="O614">
            <v>0.875</v>
          </cell>
          <cell r="P614">
            <v>6.25E-2</v>
          </cell>
          <cell r="Q614">
            <v>0</v>
          </cell>
          <cell r="R614">
            <v>0</v>
          </cell>
          <cell r="T614">
            <v>614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</row>
        <row r="615">
          <cell r="B615" t="str">
            <v>Shift 6</v>
          </cell>
          <cell r="C615">
            <v>2254</v>
          </cell>
          <cell r="D615">
            <v>0</v>
          </cell>
          <cell r="E615">
            <v>307.36363636363637</v>
          </cell>
          <cell r="F615">
            <v>0</v>
          </cell>
          <cell r="G615">
            <v>7.333333333333333</v>
          </cell>
          <cell r="H615">
            <v>0</v>
          </cell>
          <cell r="I615">
            <v>0</v>
          </cell>
          <cell r="J615">
            <v>3.6666666666666665</v>
          </cell>
          <cell r="K615">
            <v>0</v>
          </cell>
          <cell r="L615">
            <v>0</v>
          </cell>
          <cell r="M615">
            <v>0.95</v>
          </cell>
          <cell r="N615">
            <v>1</v>
          </cell>
          <cell r="O615">
            <v>0.875</v>
          </cell>
          <cell r="P615">
            <v>0.66666666666666663</v>
          </cell>
          <cell r="Q615" t="str">
            <v>Slamet Arianto</v>
          </cell>
          <cell r="R615" t="str">
            <v>Donny Yusmanto</v>
          </cell>
          <cell r="T615">
            <v>615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</row>
        <row r="616">
          <cell r="B616" t="str">
            <v>Shift 7</v>
          </cell>
          <cell r="C616">
            <v>448</v>
          </cell>
          <cell r="D616">
            <v>0</v>
          </cell>
          <cell r="E616">
            <v>298.66666666666669</v>
          </cell>
          <cell r="F616">
            <v>0</v>
          </cell>
          <cell r="G616">
            <v>1.5</v>
          </cell>
          <cell r="H616">
            <v>0</v>
          </cell>
          <cell r="I616">
            <v>0.5</v>
          </cell>
          <cell r="J616">
            <v>2</v>
          </cell>
          <cell r="K616">
            <v>9</v>
          </cell>
          <cell r="L616">
            <v>0</v>
          </cell>
          <cell r="M616">
            <v>0.95</v>
          </cell>
          <cell r="N616">
            <v>1</v>
          </cell>
          <cell r="O616">
            <v>0.875</v>
          </cell>
          <cell r="P616">
            <v>0.15384615384615385</v>
          </cell>
          <cell r="Q616" t="str">
            <v>Budiono Tri</v>
          </cell>
          <cell r="R616" t="str">
            <v>Indra</v>
          </cell>
          <cell r="T616">
            <v>616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</row>
        <row r="617">
          <cell r="B617" t="str">
            <v>TOTAL</v>
          </cell>
          <cell r="C617">
            <v>2702</v>
          </cell>
          <cell r="D617">
            <v>0</v>
          </cell>
          <cell r="E617">
            <v>305.88679245283021</v>
          </cell>
          <cell r="F617">
            <v>0</v>
          </cell>
          <cell r="G617">
            <v>8.8333333333333321</v>
          </cell>
          <cell r="H617">
            <v>0</v>
          </cell>
          <cell r="I617">
            <v>0.5</v>
          </cell>
          <cell r="J617">
            <v>5.6666666666666661</v>
          </cell>
          <cell r="K617">
            <v>9</v>
          </cell>
          <cell r="L617">
            <v>0</v>
          </cell>
          <cell r="M617">
            <v>0.95</v>
          </cell>
          <cell r="N617">
            <v>1</v>
          </cell>
          <cell r="O617">
            <v>0.875</v>
          </cell>
          <cell r="P617">
            <v>0.3888888888888889</v>
          </cell>
          <cell r="Q617" t="str">
            <v>Hiras Silaban</v>
          </cell>
          <cell r="R617" t="str">
            <v>Fresye A L</v>
          </cell>
          <cell r="T617">
            <v>617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</row>
        <row r="618">
          <cell r="T618">
            <v>618</v>
          </cell>
        </row>
        <row r="619">
          <cell r="B619" t="str">
            <v>TIME</v>
          </cell>
          <cell r="C619" t="str">
            <v>WASTE</v>
          </cell>
          <cell r="D619" t="str">
            <v>EX578</v>
          </cell>
          <cell r="E619" t="str">
            <v>TYPE</v>
          </cell>
          <cell r="F619" t="str">
            <v>PC 750</v>
          </cell>
          <cell r="H619" t="str">
            <v>Plan Prod'ty :</v>
          </cell>
          <cell r="J619">
            <v>300</v>
          </cell>
          <cell r="M619" t="str">
            <v>Distance :</v>
          </cell>
          <cell r="O619">
            <v>1.8766676066414081</v>
          </cell>
          <cell r="T619">
            <v>619</v>
          </cell>
          <cell r="U619" t="str">
            <v>EX578</v>
          </cell>
        </row>
        <row r="620">
          <cell r="C620" t="str">
            <v>MAT</v>
          </cell>
          <cell r="D620" t="str">
            <v>PROD</v>
          </cell>
          <cell r="E620" t="str">
            <v>PROD'TY</v>
          </cell>
          <cell r="F620" t="str">
            <v>Q'TY DT</v>
          </cell>
          <cell r="J620" t="str">
            <v>HOURS</v>
          </cell>
          <cell r="Q620" t="str">
            <v>REMARK PRODUKTIVITAS</v>
          </cell>
          <cell r="T620">
            <v>620</v>
          </cell>
          <cell r="U620" t="str">
            <v>ROM</v>
          </cell>
          <cell r="V620" t="str">
            <v>Crush1</v>
          </cell>
          <cell r="W620" t="str">
            <v>Crush2</v>
          </cell>
          <cell r="X620" t="str">
            <v>Crush3</v>
          </cell>
          <cell r="Y620" t="str">
            <v>Crush4</v>
          </cell>
          <cell r="Z620" t="str">
            <v>Crush5</v>
          </cell>
          <cell r="AA620" t="str">
            <v>Crush6</v>
          </cell>
        </row>
        <row r="621">
          <cell r="E621" t="str">
            <v>( By work )</v>
          </cell>
          <cell r="F621" t="str">
            <v>785</v>
          </cell>
          <cell r="G621" t="str">
            <v>785-CB</v>
          </cell>
          <cell r="H621" t="str">
            <v>A40/HM</v>
          </cell>
          <cell r="I621" t="str">
            <v>Total</v>
          </cell>
          <cell r="J621" t="str">
            <v>Work</v>
          </cell>
          <cell r="K621" t="str">
            <v>General</v>
          </cell>
          <cell r="L621" t="str">
            <v>Delay</v>
          </cell>
          <cell r="M621" t="str">
            <v>Idle</v>
          </cell>
          <cell r="N621" t="str">
            <v>Rain</v>
          </cell>
          <cell r="O621" t="str">
            <v>Slipp</v>
          </cell>
          <cell r="P621" t="str">
            <v>B/D</v>
          </cell>
          <cell r="T621">
            <v>621</v>
          </cell>
        </row>
        <row r="622">
          <cell r="B622" t="str">
            <v>07  - 08</v>
          </cell>
          <cell r="C622" t="str">
            <v>TS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45</v>
          </cell>
          <cell r="M622">
            <v>0</v>
          </cell>
          <cell r="N622">
            <v>0</v>
          </cell>
          <cell r="O622">
            <v>0</v>
          </cell>
          <cell r="P622">
            <v>15</v>
          </cell>
          <cell r="Q622" t="str">
            <v>Waiting Opr, 07:45 Monitor Blank</v>
          </cell>
          <cell r="T622">
            <v>622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</row>
        <row r="623">
          <cell r="B623" t="str">
            <v>08  - 09</v>
          </cell>
          <cell r="C623" t="str">
            <v>TS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15</v>
          </cell>
          <cell r="M623">
            <v>0</v>
          </cell>
          <cell r="N623">
            <v>0</v>
          </cell>
          <cell r="O623">
            <v>0</v>
          </cell>
          <cell r="P623">
            <v>45</v>
          </cell>
          <cell r="Q623" t="str">
            <v xml:space="preserve"> Monitor Blank RFU 08:45, Wtg DT</v>
          </cell>
          <cell r="T623">
            <v>623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</row>
        <row r="624">
          <cell r="B624" t="str">
            <v>09  - 10</v>
          </cell>
          <cell r="C624" t="str">
            <v>TS</v>
          </cell>
          <cell r="D624">
            <v>404</v>
          </cell>
          <cell r="E624">
            <v>404</v>
          </cell>
          <cell r="F624">
            <v>0</v>
          </cell>
          <cell r="G624">
            <v>0</v>
          </cell>
          <cell r="H624">
            <v>3</v>
          </cell>
          <cell r="I624">
            <v>3</v>
          </cell>
          <cell r="J624">
            <v>60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Q624">
            <v>0</v>
          </cell>
          <cell r="T624">
            <v>624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</row>
        <row r="625">
          <cell r="B625" t="str">
            <v>10  - 11</v>
          </cell>
          <cell r="C625" t="str">
            <v>TS</v>
          </cell>
          <cell r="D625">
            <v>398</v>
          </cell>
          <cell r="E625">
            <v>398</v>
          </cell>
          <cell r="F625">
            <v>0</v>
          </cell>
          <cell r="G625">
            <v>0</v>
          </cell>
          <cell r="H625">
            <v>3</v>
          </cell>
          <cell r="I625">
            <v>3</v>
          </cell>
          <cell r="J625">
            <v>60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Q625">
            <v>0</v>
          </cell>
          <cell r="T625">
            <v>625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</row>
        <row r="626">
          <cell r="B626" t="str">
            <v>11  - 12</v>
          </cell>
          <cell r="C626" t="str">
            <v>TS</v>
          </cell>
          <cell r="D626">
            <v>384</v>
          </cell>
          <cell r="E626">
            <v>384</v>
          </cell>
          <cell r="F626">
            <v>0</v>
          </cell>
          <cell r="G626">
            <v>0</v>
          </cell>
          <cell r="H626">
            <v>3</v>
          </cell>
          <cell r="I626">
            <v>3</v>
          </cell>
          <cell r="J626">
            <v>60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Q626">
            <v>0</v>
          </cell>
          <cell r="T626">
            <v>626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</row>
        <row r="627">
          <cell r="B627" t="str">
            <v>12  - 13</v>
          </cell>
          <cell r="C627" t="str">
            <v>TS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60</v>
          </cell>
          <cell r="M627">
            <v>0</v>
          </cell>
          <cell r="N627">
            <v>0</v>
          </cell>
          <cell r="O627">
            <v>0</v>
          </cell>
          <cell r="Q627" t="str">
            <v>Rest Time</v>
          </cell>
          <cell r="T627">
            <v>627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</row>
        <row r="628">
          <cell r="B628" t="str">
            <v>13  -  14</v>
          </cell>
          <cell r="C628" t="str">
            <v>TS</v>
          </cell>
          <cell r="D628">
            <v>376</v>
          </cell>
          <cell r="E628">
            <v>376</v>
          </cell>
          <cell r="F628">
            <v>0</v>
          </cell>
          <cell r="G628">
            <v>0</v>
          </cell>
          <cell r="H628">
            <v>3</v>
          </cell>
          <cell r="I628">
            <v>3</v>
          </cell>
          <cell r="J628">
            <v>60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Q628">
            <v>0</v>
          </cell>
          <cell r="T628">
            <v>628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</row>
        <row r="629">
          <cell r="B629" t="str">
            <v>14  -  15</v>
          </cell>
          <cell r="C629" t="str">
            <v>TS</v>
          </cell>
          <cell r="D629">
            <v>432</v>
          </cell>
          <cell r="E629">
            <v>432</v>
          </cell>
          <cell r="F629">
            <v>0</v>
          </cell>
          <cell r="G629">
            <v>0</v>
          </cell>
          <cell r="H629">
            <v>3</v>
          </cell>
          <cell r="I629">
            <v>3</v>
          </cell>
          <cell r="J629">
            <v>60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Q629">
            <v>0</v>
          </cell>
          <cell r="T629">
            <v>629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</row>
        <row r="630">
          <cell r="B630" t="str">
            <v>15  -  16</v>
          </cell>
          <cell r="C630" t="str">
            <v>TS</v>
          </cell>
          <cell r="D630">
            <v>432</v>
          </cell>
          <cell r="E630">
            <v>432</v>
          </cell>
          <cell r="F630">
            <v>0</v>
          </cell>
          <cell r="G630">
            <v>0</v>
          </cell>
          <cell r="H630">
            <v>3</v>
          </cell>
          <cell r="I630">
            <v>3</v>
          </cell>
          <cell r="J630">
            <v>60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Q630">
            <v>0</v>
          </cell>
          <cell r="T630">
            <v>630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</row>
        <row r="631">
          <cell r="B631" t="str">
            <v>16  -  17</v>
          </cell>
          <cell r="C631" t="str">
            <v>TS</v>
          </cell>
          <cell r="D631">
            <v>302</v>
          </cell>
          <cell r="E631">
            <v>302</v>
          </cell>
          <cell r="F631">
            <v>0</v>
          </cell>
          <cell r="G631">
            <v>0</v>
          </cell>
          <cell r="H631">
            <v>3</v>
          </cell>
          <cell r="I631">
            <v>3</v>
          </cell>
          <cell r="J631">
            <v>60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Q631">
            <v>0</v>
          </cell>
          <cell r="T631">
            <v>631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</row>
        <row r="632">
          <cell r="B632" t="str">
            <v>17  -  18</v>
          </cell>
          <cell r="C632" t="str">
            <v>TS</v>
          </cell>
          <cell r="D632">
            <v>288</v>
          </cell>
          <cell r="E632">
            <v>345.6</v>
          </cell>
          <cell r="F632">
            <v>0</v>
          </cell>
          <cell r="G632">
            <v>0</v>
          </cell>
          <cell r="H632">
            <v>3</v>
          </cell>
          <cell r="I632">
            <v>3</v>
          </cell>
          <cell r="J632">
            <v>50</v>
          </cell>
          <cell r="K632">
            <v>0</v>
          </cell>
          <cell r="L632">
            <v>10</v>
          </cell>
          <cell r="M632">
            <v>0</v>
          </cell>
          <cell r="N632">
            <v>0</v>
          </cell>
          <cell r="O632">
            <v>0</v>
          </cell>
          <cell r="Q632" t="str">
            <v>Shift Change</v>
          </cell>
          <cell r="T632">
            <v>632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</row>
        <row r="633">
          <cell r="B633" t="str">
            <v>18  -  19</v>
          </cell>
          <cell r="C633" t="str">
            <v>TS</v>
          </cell>
          <cell r="D633">
            <v>102</v>
          </cell>
          <cell r="E633">
            <v>204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30</v>
          </cell>
          <cell r="K633">
            <v>0</v>
          </cell>
          <cell r="L633">
            <v>30</v>
          </cell>
          <cell r="M633">
            <v>0</v>
          </cell>
          <cell r="N633">
            <v>0</v>
          </cell>
          <cell r="O633">
            <v>0</v>
          </cell>
          <cell r="Q633" t="str">
            <v>Wait Operator, Start 18:30</v>
          </cell>
          <cell r="T633">
            <v>633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</row>
        <row r="634">
          <cell r="B634" t="str">
            <v>19  -  20</v>
          </cell>
          <cell r="C634" t="str">
            <v>TS</v>
          </cell>
          <cell r="D634">
            <v>246</v>
          </cell>
          <cell r="E634">
            <v>246</v>
          </cell>
          <cell r="F634">
            <v>0</v>
          </cell>
          <cell r="G634">
            <v>0</v>
          </cell>
          <cell r="H634">
            <v>2</v>
          </cell>
          <cell r="I634">
            <v>2</v>
          </cell>
          <cell r="J634">
            <v>60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Q634">
            <v>0</v>
          </cell>
          <cell r="T634">
            <v>634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</row>
        <row r="635">
          <cell r="B635" t="str">
            <v>20  -  21</v>
          </cell>
          <cell r="C635" t="str">
            <v>TS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60</v>
          </cell>
          <cell r="O635">
            <v>0</v>
          </cell>
          <cell r="Q635" t="str">
            <v>Rain</v>
          </cell>
          <cell r="T635">
            <v>635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</row>
        <row r="636">
          <cell r="B636" t="str">
            <v>21  -  22</v>
          </cell>
          <cell r="C636" t="str">
            <v>TS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60</v>
          </cell>
          <cell r="O636">
            <v>0</v>
          </cell>
          <cell r="Q636" t="str">
            <v>Rain</v>
          </cell>
          <cell r="T636">
            <v>636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</row>
        <row r="637">
          <cell r="B637" t="str">
            <v>22  -  23</v>
          </cell>
          <cell r="C637" t="str">
            <v>TS</v>
          </cell>
          <cell r="D637">
            <v>0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60</v>
          </cell>
          <cell r="O637">
            <v>0</v>
          </cell>
          <cell r="Q637" t="str">
            <v>Rain</v>
          </cell>
          <cell r="T637">
            <v>637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</row>
        <row r="638">
          <cell r="B638" t="str">
            <v>23  -  24</v>
          </cell>
          <cell r="C638" t="str">
            <v>TS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60</v>
          </cell>
          <cell r="Q638" t="str">
            <v>Slippery</v>
          </cell>
          <cell r="T638">
            <v>638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</row>
        <row r="639">
          <cell r="B639" t="str">
            <v>24  -  01</v>
          </cell>
          <cell r="C639" t="str">
            <v>TS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60</v>
          </cell>
          <cell r="M639">
            <v>0</v>
          </cell>
          <cell r="N639">
            <v>0</v>
          </cell>
          <cell r="O639">
            <v>0</v>
          </cell>
          <cell r="Q639" t="str">
            <v>Rest Time</v>
          </cell>
          <cell r="T639">
            <v>639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A639">
            <v>0</v>
          </cell>
        </row>
        <row r="640">
          <cell r="B640" t="str">
            <v>01  -  02</v>
          </cell>
          <cell r="C640" t="str">
            <v>TS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60</v>
          </cell>
          <cell r="Q640" t="str">
            <v>Slippery</v>
          </cell>
          <cell r="T640">
            <v>640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A640">
            <v>0</v>
          </cell>
        </row>
        <row r="641">
          <cell r="B641" t="str">
            <v>02  -  03</v>
          </cell>
          <cell r="C641" t="str">
            <v>TS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60</v>
          </cell>
          <cell r="O641">
            <v>0</v>
          </cell>
          <cell r="Q641" t="str">
            <v>Rain</v>
          </cell>
          <cell r="T641">
            <v>641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Z641">
            <v>0</v>
          </cell>
          <cell r="AA641">
            <v>0</v>
          </cell>
        </row>
        <row r="642">
          <cell r="B642" t="str">
            <v>03  -  04</v>
          </cell>
          <cell r="C642" t="str">
            <v>TS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60</v>
          </cell>
          <cell r="O642">
            <v>0</v>
          </cell>
          <cell r="Q642" t="str">
            <v>Rain</v>
          </cell>
          <cell r="T642">
            <v>642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</row>
        <row r="643">
          <cell r="B643" t="str">
            <v>04  -  05</v>
          </cell>
          <cell r="C643" t="str">
            <v>TS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60</v>
          </cell>
          <cell r="O643">
            <v>0</v>
          </cell>
          <cell r="Q643" t="str">
            <v>Rain</v>
          </cell>
          <cell r="T643">
            <v>643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</row>
        <row r="644">
          <cell r="B644" t="str">
            <v>05  -  06</v>
          </cell>
          <cell r="C644" t="str">
            <v>TS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60</v>
          </cell>
          <cell r="O644">
            <v>0</v>
          </cell>
          <cell r="Q644" t="str">
            <v>Rain</v>
          </cell>
          <cell r="T644">
            <v>644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</row>
        <row r="645">
          <cell r="B645" t="str">
            <v>06  -  07</v>
          </cell>
          <cell r="C645" t="str">
            <v>TS</v>
          </cell>
          <cell r="D645">
            <v>0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30</v>
          </cell>
          <cell r="L645">
            <v>30</v>
          </cell>
          <cell r="M645">
            <v>0</v>
          </cell>
          <cell r="N645">
            <v>0</v>
          </cell>
          <cell r="O645">
            <v>0</v>
          </cell>
          <cell r="Q645" t="str">
            <v>Change Shift</v>
          </cell>
          <cell r="T645">
            <v>645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</row>
        <row r="646">
          <cell r="B646" t="str">
            <v>RESUME</v>
          </cell>
          <cell r="C646" t="str">
            <v>PROD</v>
          </cell>
          <cell r="E646" t="str">
            <v>PROD'TY</v>
          </cell>
          <cell r="G646" t="str">
            <v>WORK HOURS</v>
          </cell>
          <cell r="J646" t="str">
            <v>LOST TIME</v>
          </cell>
          <cell r="L646" t="str">
            <v>DOWN</v>
          </cell>
          <cell r="M646" t="str">
            <v>PA</v>
          </cell>
          <cell r="O646" t="str">
            <v>UA PROD</v>
          </cell>
          <cell r="Q646" t="str">
            <v>OPERATOR</v>
          </cell>
          <cell r="R646" t="str">
            <v>GROUP LEADER</v>
          </cell>
          <cell r="T646">
            <v>646</v>
          </cell>
        </row>
        <row r="647">
          <cell r="B647" t="str">
            <v>GROUP</v>
          </cell>
          <cell r="C647" t="str">
            <v>WASTE</v>
          </cell>
          <cell r="D647" t="str">
            <v>CC</v>
          </cell>
          <cell r="E647" t="str">
            <v>WASTE</v>
          </cell>
          <cell r="F647" t="str">
            <v>CC</v>
          </cell>
          <cell r="G647" t="str">
            <v>WASTE</v>
          </cell>
          <cell r="H647" t="str">
            <v>CC</v>
          </cell>
          <cell r="I647" t="str">
            <v>GEN</v>
          </cell>
          <cell r="J647" t="str">
            <v>DELAY</v>
          </cell>
          <cell r="K647" t="str">
            <v>IDLE</v>
          </cell>
          <cell r="L647" t="str">
            <v>TIME</v>
          </cell>
          <cell r="M647" t="str">
            <v>PLAN</v>
          </cell>
          <cell r="N647" t="str">
            <v>ACT</v>
          </cell>
          <cell r="O647" t="str">
            <v>PLAN</v>
          </cell>
          <cell r="P647" t="str">
            <v>ACT</v>
          </cell>
          <cell r="T647">
            <v>647</v>
          </cell>
        </row>
        <row r="648">
          <cell r="B648" t="str">
            <v>Shift 1</v>
          </cell>
          <cell r="C648">
            <v>1994</v>
          </cell>
          <cell r="D648">
            <v>0</v>
          </cell>
          <cell r="E648">
            <v>398.8</v>
          </cell>
          <cell r="F648">
            <v>0</v>
          </cell>
          <cell r="G648">
            <v>5</v>
          </cell>
          <cell r="H648">
            <v>0</v>
          </cell>
          <cell r="I648">
            <v>0</v>
          </cell>
          <cell r="J648">
            <v>2</v>
          </cell>
          <cell r="K648">
            <v>0</v>
          </cell>
          <cell r="L648">
            <v>1</v>
          </cell>
          <cell r="M648">
            <v>0.95</v>
          </cell>
          <cell r="N648">
            <v>0.875</v>
          </cell>
          <cell r="O648">
            <v>0.875</v>
          </cell>
          <cell r="P648">
            <v>0.7142857142857143</v>
          </cell>
          <cell r="Q648">
            <v>0</v>
          </cell>
          <cell r="R648">
            <v>0</v>
          </cell>
          <cell r="T648">
            <v>648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</row>
        <row r="649">
          <cell r="B649" t="str">
            <v>Shift 2</v>
          </cell>
          <cell r="C649">
            <v>1370</v>
          </cell>
          <cell r="D649">
            <v>0</v>
          </cell>
          <cell r="E649">
            <v>316.15384615384619</v>
          </cell>
          <cell r="F649">
            <v>0</v>
          </cell>
          <cell r="G649">
            <v>4.333333333333333</v>
          </cell>
          <cell r="H649">
            <v>0</v>
          </cell>
          <cell r="I649">
            <v>0</v>
          </cell>
          <cell r="J649">
            <v>0.66666666666666663</v>
          </cell>
          <cell r="K649">
            <v>3</v>
          </cell>
          <cell r="L649">
            <v>0</v>
          </cell>
          <cell r="M649">
            <v>0.95</v>
          </cell>
          <cell r="N649">
            <v>1</v>
          </cell>
          <cell r="O649">
            <v>0.875</v>
          </cell>
          <cell r="P649">
            <v>0.54166666666666663</v>
          </cell>
          <cell r="Q649">
            <v>0</v>
          </cell>
          <cell r="R649">
            <v>0</v>
          </cell>
          <cell r="T649">
            <v>649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>
            <v>0</v>
          </cell>
        </row>
        <row r="650">
          <cell r="B650" t="str">
            <v>Shift 3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0.5</v>
          </cell>
          <cell r="J650">
            <v>1.5</v>
          </cell>
          <cell r="K650">
            <v>6</v>
          </cell>
          <cell r="L650">
            <v>0</v>
          </cell>
          <cell r="M650">
            <v>0.95</v>
          </cell>
          <cell r="N650">
            <v>1</v>
          </cell>
          <cell r="O650">
            <v>0.875</v>
          </cell>
          <cell r="P650">
            <v>6.25E-2</v>
          </cell>
          <cell r="Q650">
            <v>0</v>
          </cell>
          <cell r="R650">
            <v>0</v>
          </cell>
          <cell r="T650">
            <v>650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</row>
        <row r="651">
          <cell r="B651" t="str">
            <v>Shift 6</v>
          </cell>
          <cell r="C651">
            <v>3016</v>
          </cell>
          <cell r="D651">
            <v>0</v>
          </cell>
          <cell r="E651">
            <v>385.02127659574472</v>
          </cell>
          <cell r="F651">
            <v>0</v>
          </cell>
          <cell r="G651">
            <v>7.833333333333333</v>
          </cell>
          <cell r="H651">
            <v>0</v>
          </cell>
          <cell r="I651">
            <v>0</v>
          </cell>
          <cell r="J651">
            <v>2.1666666666666665</v>
          </cell>
          <cell r="K651">
            <v>0</v>
          </cell>
          <cell r="L651">
            <v>1</v>
          </cell>
          <cell r="M651">
            <v>0.95</v>
          </cell>
          <cell r="N651">
            <v>0.90909090909090906</v>
          </cell>
          <cell r="O651">
            <v>0.875</v>
          </cell>
          <cell r="P651">
            <v>0.78333333333333333</v>
          </cell>
          <cell r="Q651" t="str">
            <v>Yohan Siswanto</v>
          </cell>
          <cell r="R651" t="str">
            <v>Donny Yusmanto</v>
          </cell>
          <cell r="T651">
            <v>651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</row>
        <row r="652">
          <cell r="B652" t="str">
            <v>Shift 7</v>
          </cell>
          <cell r="C652">
            <v>348</v>
          </cell>
          <cell r="D652">
            <v>0</v>
          </cell>
          <cell r="E652">
            <v>232</v>
          </cell>
          <cell r="F652">
            <v>0</v>
          </cell>
          <cell r="G652">
            <v>1.5</v>
          </cell>
          <cell r="H652">
            <v>0</v>
          </cell>
          <cell r="I652">
            <v>0.5</v>
          </cell>
          <cell r="J652">
            <v>2</v>
          </cell>
          <cell r="K652">
            <v>9</v>
          </cell>
          <cell r="L652">
            <v>0</v>
          </cell>
          <cell r="M652">
            <v>0.95</v>
          </cell>
          <cell r="N652">
            <v>1</v>
          </cell>
          <cell r="O652">
            <v>0.875</v>
          </cell>
          <cell r="P652">
            <v>0.15384615384615385</v>
          </cell>
          <cell r="Q652" t="str">
            <v>Dede Junaedi</v>
          </cell>
          <cell r="R652" t="str">
            <v>Indra</v>
          </cell>
          <cell r="T652">
            <v>652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A652">
            <v>0</v>
          </cell>
        </row>
        <row r="653">
          <cell r="B653" t="str">
            <v>TOTAL</v>
          </cell>
          <cell r="C653">
            <v>3364</v>
          </cell>
          <cell r="D653">
            <v>0</v>
          </cell>
          <cell r="E653">
            <v>360.4285714285715</v>
          </cell>
          <cell r="F653">
            <v>0</v>
          </cell>
          <cell r="G653">
            <v>9.3333333333333321</v>
          </cell>
          <cell r="H653">
            <v>0</v>
          </cell>
          <cell r="I653">
            <v>0.5</v>
          </cell>
          <cell r="J653">
            <v>4.1666666666666661</v>
          </cell>
          <cell r="K653">
            <v>9</v>
          </cell>
          <cell r="L653">
            <v>1</v>
          </cell>
          <cell r="M653">
            <v>0.95</v>
          </cell>
          <cell r="N653">
            <v>0.95833333333333337</v>
          </cell>
          <cell r="O653">
            <v>0.875</v>
          </cell>
          <cell r="P653">
            <v>0.42753623188405798</v>
          </cell>
          <cell r="Q653" t="str">
            <v>Hiras Silaban</v>
          </cell>
          <cell r="R653" t="str">
            <v>Fresye A L</v>
          </cell>
          <cell r="T653">
            <v>653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</row>
        <row r="654">
          <cell r="T654">
            <v>654</v>
          </cell>
        </row>
        <row r="655">
          <cell r="B655" t="str">
            <v>TIME</v>
          </cell>
          <cell r="C655" t="str">
            <v>WASTE</v>
          </cell>
          <cell r="D655" t="str">
            <v>WL508</v>
          </cell>
          <cell r="E655" t="str">
            <v>TYPE</v>
          </cell>
          <cell r="F655" t="str">
            <v>PC 5500</v>
          </cell>
          <cell r="H655" t="str">
            <v>Plan Prod'ty :</v>
          </cell>
          <cell r="J655">
            <v>0</v>
          </cell>
          <cell r="M655" t="str">
            <v>Distance :</v>
          </cell>
          <cell r="O655">
            <v>0</v>
          </cell>
          <cell r="T655">
            <v>655</v>
          </cell>
          <cell r="U655" t="str">
            <v>WL508</v>
          </cell>
        </row>
        <row r="656">
          <cell r="C656" t="str">
            <v>MAT</v>
          </cell>
          <cell r="D656" t="str">
            <v>PROD</v>
          </cell>
          <cell r="E656" t="str">
            <v>PROD'TY</v>
          </cell>
          <cell r="F656" t="str">
            <v>Q'TY DT</v>
          </cell>
          <cell r="J656" t="str">
            <v>HOURS</v>
          </cell>
          <cell r="Q656" t="str">
            <v>REMARK PRODUKTIVITAS</v>
          </cell>
          <cell r="T656">
            <v>656</v>
          </cell>
          <cell r="U656" t="str">
            <v>ROM</v>
          </cell>
          <cell r="V656" t="str">
            <v>Crush1</v>
          </cell>
          <cell r="W656" t="str">
            <v>Crush2</v>
          </cell>
          <cell r="X656" t="str">
            <v>Crush3</v>
          </cell>
          <cell r="Y656" t="str">
            <v>Crush4</v>
          </cell>
          <cell r="Z656" t="str">
            <v>Crush5</v>
          </cell>
          <cell r="AA656" t="str">
            <v>Crush6</v>
          </cell>
        </row>
        <row r="657">
          <cell r="E657" t="str">
            <v>( By work )</v>
          </cell>
          <cell r="F657" t="str">
            <v>785</v>
          </cell>
          <cell r="G657" t="str">
            <v>785-CB</v>
          </cell>
          <cell r="H657" t="str">
            <v>A40/HM</v>
          </cell>
          <cell r="I657" t="str">
            <v>Total</v>
          </cell>
          <cell r="J657" t="str">
            <v>Work</v>
          </cell>
          <cell r="K657" t="str">
            <v>General</v>
          </cell>
          <cell r="L657" t="str">
            <v>Delay</v>
          </cell>
          <cell r="M657" t="str">
            <v>Idle</v>
          </cell>
          <cell r="N657" t="str">
            <v>Rain</v>
          </cell>
          <cell r="O657" t="str">
            <v>Slipp</v>
          </cell>
          <cell r="P657" t="str">
            <v>B/D</v>
          </cell>
          <cell r="T657">
            <v>657</v>
          </cell>
        </row>
        <row r="658">
          <cell r="B658" t="str">
            <v>07  - 08</v>
          </cell>
          <cell r="C658" t="str">
            <v>OB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60</v>
          </cell>
          <cell r="M658">
            <v>0</v>
          </cell>
          <cell r="N658">
            <v>0</v>
          </cell>
          <cell r="O658">
            <v>0</v>
          </cell>
          <cell r="Q658" t="str">
            <v>General Work</v>
          </cell>
          <cell r="T658">
            <v>658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</row>
        <row r="659">
          <cell r="B659" t="str">
            <v>08  - 09</v>
          </cell>
          <cell r="C659" t="str">
            <v>OB</v>
          </cell>
          <cell r="D659">
            <v>190</v>
          </cell>
          <cell r="E659">
            <v>190</v>
          </cell>
          <cell r="F659">
            <v>2</v>
          </cell>
          <cell r="G659">
            <v>0</v>
          </cell>
          <cell r="H659">
            <v>0</v>
          </cell>
          <cell r="I659">
            <v>2</v>
          </cell>
          <cell r="J659">
            <v>60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Q659">
            <v>0</v>
          </cell>
          <cell r="T659">
            <v>659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</row>
        <row r="660">
          <cell r="B660" t="str">
            <v>09  - 10</v>
          </cell>
          <cell r="C660" t="str">
            <v>OB</v>
          </cell>
          <cell r="D660">
            <v>228</v>
          </cell>
          <cell r="E660">
            <v>228</v>
          </cell>
          <cell r="F660">
            <v>2</v>
          </cell>
          <cell r="G660">
            <v>0</v>
          </cell>
          <cell r="H660">
            <v>0</v>
          </cell>
          <cell r="I660">
            <v>2</v>
          </cell>
          <cell r="J660">
            <v>60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Q660">
            <v>0</v>
          </cell>
          <cell r="T660">
            <v>660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</row>
        <row r="661">
          <cell r="B661" t="str">
            <v>10  - 11</v>
          </cell>
          <cell r="C661" t="str">
            <v>OB</v>
          </cell>
          <cell r="D661">
            <v>228</v>
          </cell>
          <cell r="E661">
            <v>228</v>
          </cell>
          <cell r="F661">
            <v>2</v>
          </cell>
          <cell r="G661">
            <v>0</v>
          </cell>
          <cell r="H661">
            <v>0</v>
          </cell>
          <cell r="I661">
            <v>2</v>
          </cell>
          <cell r="J661">
            <v>60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Q661">
            <v>0</v>
          </cell>
          <cell r="T661">
            <v>661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</row>
        <row r="662">
          <cell r="B662" t="str">
            <v>11  - 12</v>
          </cell>
          <cell r="C662" t="str">
            <v>OB</v>
          </cell>
          <cell r="D662">
            <v>152</v>
          </cell>
          <cell r="E662">
            <v>152</v>
          </cell>
          <cell r="F662">
            <v>2</v>
          </cell>
          <cell r="G662">
            <v>0</v>
          </cell>
          <cell r="H662">
            <v>0</v>
          </cell>
          <cell r="I662">
            <v>2</v>
          </cell>
          <cell r="J662">
            <v>60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Q662" t="str">
            <v>General Work</v>
          </cell>
          <cell r="T662">
            <v>662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</row>
        <row r="663">
          <cell r="B663" t="str">
            <v>12  - 13</v>
          </cell>
          <cell r="C663" t="str">
            <v>OB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60</v>
          </cell>
          <cell r="M663">
            <v>0</v>
          </cell>
          <cell r="N663">
            <v>0</v>
          </cell>
          <cell r="O663">
            <v>0</v>
          </cell>
          <cell r="Q663" t="str">
            <v>Rest Time</v>
          </cell>
          <cell r="T663">
            <v>663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</row>
        <row r="664">
          <cell r="B664" t="str">
            <v>13  -  14</v>
          </cell>
          <cell r="C664" t="str">
            <v>OB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60</v>
          </cell>
          <cell r="M664">
            <v>0</v>
          </cell>
          <cell r="N664">
            <v>0</v>
          </cell>
          <cell r="O664">
            <v>0</v>
          </cell>
          <cell r="Q664" t="str">
            <v>General Work</v>
          </cell>
          <cell r="T664">
            <v>664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</row>
        <row r="665">
          <cell r="B665" t="str">
            <v>14  -  15</v>
          </cell>
          <cell r="C665" t="str">
            <v>OB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60</v>
          </cell>
          <cell r="M665">
            <v>0</v>
          </cell>
          <cell r="N665">
            <v>0</v>
          </cell>
          <cell r="O665">
            <v>0</v>
          </cell>
          <cell r="Q665" t="str">
            <v>General Work</v>
          </cell>
          <cell r="T665">
            <v>665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</row>
        <row r="666">
          <cell r="B666" t="str">
            <v>15  -  16</v>
          </cell>
          <cell r="C666" t="str">
            <v>OB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60</v>
          </cell>
          <cell r="M666">
            <v>0</v>
          </cell>
          <cell r="N666">
            <v>0</v>
          </cell>
          <cell r="O666">
            <v>0</v>
          </cell>
          <cell r="Q666" t="str">
            <v>General Work</v>
          </cell>
          <cell r="T666">
            <v>666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</row>
        <row r="667">
          <cell r="B667" t="str">
            <v>16  -  17</v>
          </cell>
          <cell r="C667" t="str">
            <v>OB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60</v>
          </cell>
          <cell r="M667">
            <v>0</v>
          </cell>
          <cell r="N667">
            <v>0</v>
          </cell>
          <cell r="O667">
            <v>0</v>
          </cell>
          <cell r="Q667" t="str">
            <v>General Work</v>
          </cell>
          <cell r="T667">
            <v>667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</row>
        <row r="668">
          <cell r="B668" t="str">
            <v>17  -  18</v>
          </cell>
          <cell r="C668" t="str">
            <v>OB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60</v>
          </cell>
          <cell r="M668">
            <v>0</v>
          </cell>
          <cell r="N668">
            <v>0</v>
          </cell>
          <cell r="O668">
            <v>0</v>
          </cell>
          <cell r="Q668" t="str">
            <v>Shift Change</v>
          </cell>
          <cell r="T668">
            <v>668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</row>
        <row r="669">
          <cell r="B669" t="str">
            <v>18  -  19</v>
          </cell>
          <cell r="C669" t="str">
            <v>OB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60</v>
          </cell>
          <cell r="M669">
            <v>0</v>
          </cell>
          <cell r="N669">
            <v>0</v>
          </cell>
          <cell r="O669">
            <v>0</v>
          </cell>
          <cell r="Q669" t="str">
            <v>Stand By</v>
          </cell>
          <cell r="T669">
            <v>669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</row>
        <row r="670">
          <cell r="B670" t="str">
            <v>19  -  20</v>
          </cell>
          <cell r="C670" t="str">
            <v>OB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60</v>
          </cell>
          <cell r="M670">
            <v>0</v>
          </cell>
          <cell r="N670">
            <v>0</v>
          </cell>
          <cell r="O670">
            <v>0</v>
          </cell>
          <cell r="Q670" t="str">
            <v>Stand By</v>
          </cell>
          <cell r="T670">
            <v>670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</row>
        <row r="671">
          <cell r="B671" t="str">
            <v>20  -  21</v>
          </cell>
          <cell r="C671" t="str">
            <v>OB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60</v>
          </cell>
          <cell r="M671">
            <v>0</v>
          </cell>
          <cell r="N671">
            <v>0</v>
          </cell>
          <cell r="O671">
            <v>0</v>
          </cell>
          <cell r="Q671" t="str">
            <v>Stand By</v>
          </cell>
          <cell r="T671">
            <v>671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</row>
        <row r="672">
          <cell r="B672" t="str">
            <v>21  -  22</v>
          </cell>
          <cell r="C672" t="str">
            <v>OB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60</v>
          </cell>
          <cell r="M672">
            <v>0</v>
          </cell>
          <cell r="N672">
            <v>0</v>
          </cell>
          <cell r="O672">
            <v>0</v>
          </cell>
          <cell r="Q672" t="str">
            <v>Stand By</v>
          </cell>
          <cell r="T672">
            <v>672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</row>
        <row r="673">
          <cell r="B673" t="str">
            <v>22  -  23</v>
          </cell>
          <cell r="C673" t="str">
            <v>OB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60</v>
          </cell>
          <cell r="M673">
            <v>0</v>
          </cell>
          <cell r="N673">
            <v>0</v>
          </cell>
          <cell r="O673">
            <v>0</v>
          </cell>
          <cell r="Q673" t="str">
            <v>Stand By</v>
          </cell>
          <cell r="T673">
            <v>673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</row>
        <row r="674">
          <cell r="B674" t="str">
            <v>23  -  24</v>
          </cell>
          <cell r="C674" t="str">
            <v>OB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60</v>
          </cell>
          <cell r="M674">
            <v>0</v>
          </cell>
          <cell r="N674">
            <v>0</v>
          </cell>
          <cell r="O674">
            <v>0</v>
          </cell>
          <cell r="Q674" t="str">
            <v>Stand By</v>
          </cell>
          <cell r="T674">
            <v>674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</row>
        <row r="675">
          <cell r="B675" t="str">
            <v>24  -  01</v>
          </cell>
          <cell r="C675" t="str">
            <v>OB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60</v>
          </cell>
          <cell r="M675">
            <v>0</v>
          </cell>
          <cell r="N675">
            <v>0</v>
          </cell>
          <cell r="O675">
            <v>0</v>
          </cell>
          <cell r="Q675" t="str">
            <v>Stand By</v>
          </cell>
          <cell r="T675">
            <v>675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</row>
        <row r="676">
          <cell r="B676" t="str">
            <v>01  -  02</v>
          </cell>
          <cell r="C676" t="str">
            <v>OB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60</v>
          </cell>
          <cell r="M676">
            <v>0</v>
          </cell>
          <cell r="N676">
            <v>0</v>
          </cell>
          <cell r="O676">
            <v>0</v>
          </cell>
          <cell r="Q676" t="str">
            <v>Stand By</v>
          </cell>
          <cell r="T676">
            <v>676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</row>
        <row r="677">
          <cell r="B677" t="str">
            <v>02  -  03</v>
          </cell>
          <cell r="C677" t="str">
            <v>OB</v>
          </cell>
          <cell r="D677">
            <v>0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60</v>
          </cell>
          <cell r="M677">
            <v>0</v>
          </cell>
          <cell r="N677">
            <v>0</v>
          </cell>
          <cell r="O677">
            <v>0</v>
          </cell>
          <cell r="Q677" t="str">
            <v>Stand By</v>
          </cell>
          <cell r="T677">
            <v>677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</row>
        <row r="678">
          <cell r="B678" t="str">
            <v>03  -  04</v>
          </cell>
          <cell r="C678" t="str">
            <v>OB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60</v>
          </cell>
          <cell r="M678">
            <v>0</v>
          </cell>
          <cell r="N678">
            <v>0</v>
          </cell>
          <cell r="O678">
            <v>0</v>
          </cell>
          <cell r="Q678" t="str">
            <v>Stand By</v>
          </cell>
          <cell r="T678">
            <v>678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</row>
        <row r="679">
          <cell r="B679" t="str">
            <v>04  -  05</v>
          </cell>
          <cell r="C679" t="str">
            <v>OB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60</v>
          </cell>
          <cell r="M679">
            <v>0</v>
          </cell>
          <cell r="N679">
            <v>0</v>
          </cell>
          <cell r="O679">
            <v>0</v>
          </cell>
          <cell r="Q679" t="str">
            <v>Stand By</v>
          </cell>
          <cell r="T679">
            <v>679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</row>
        <row r="680">
          <cell r="B680" t="str">
            <v>05  -  06</v>
          </cell>
          <cell r="C680" t="str">
            <v>OB</v>
          </cell>
          <cell r="D680">
            <v>0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60</v>
          </cell>
          <cell r="M680">
            <v>0</v>
          </cell>
          <cell r="N680">
            <v>0</v>
          </cell>
          <cell r="O680">
            <v>0</v>
          </cell>
          <cell r="Q680" t="str">
            <v>Stand By</v>
          </cell>
          <cell r="T680">
            <v>680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</row>
        <row r="681">
          <cell r="B681" t="str">
            <v>06  -  07</v>
          </cell>
          <cell r="C681" t="str">
            <v>OB</v>
          </cell>
          <cell r="D681">
            <v>0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30</v>
          </cell>
          <cell r="L681">
            <v>30</v>
          </cell>
          <cell r="M681">
            <v>0</v>
          </cell>
          <cell r="N681">
            <v>0</v>
          </cell>
          <cell r="O681">
            <v>0</v>
          </cell>
          <cell r="Q681" t="str">
            <v>Stand By</v>
          </cell>
          <cell r="T681">
            <v>681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</row>
        <row r="682">
          <cell r="B682" t="str">
            <v>RESUME</v>
          </cell>
          <cell r="C682" t="str">
            <v>PROD</v>
          </cell>
          <cell r="E682" t="str">
            <v>PROD'TY</v>
          </cell>
          <cell r="G682" t="str">
            <v>WORK HOURS</v>
          </cell>
          <cell r="J682" t="str">
            <v>LOST TIME</v>
          </cell>
          <cell r="L682" t="str">
            <v>DOWN</v>
          </cell>
          <cell r="M682" t="str">
            <v>PA</v>
          </cell>
          <cell r="O682" t="str">
            <v>UA PROD</v>
          </cell>
          <cell r="Q682" t="str">
            <v>OPERATOR</v>
          </cell>
          <cell r="R682" t="str">
            <v>GROUP LEADER</v>
          </cell>
          <cell r="T682">
            <v>682</v>
          </cell>
        </row>
        <row r="683">
          <cell r="B683" t="str">
            <v>GROUP</v>
          </cell>
          <cell r="C683" t="str">
            <v>WASTE</v>
          </cell>
          <cell r="D683" t="str">
            <v>CC</v>
          </cell>
          <cell r="E683" t="str">
            <v>WASTE</v>
          </cell>
          <cell r="F683" t="str">
            <v>CC</v>
          </cell>
          <cell r="G683" t="str">
            <v>WASTE</v>
          </cell>
          <cell r="H683" t="str">
            <v>CC</v>
          </cell>
          <cell r="I683" t="str">
            <v>GEN</v>
          </cell>
          <cell r="J683" t="str">
            <v>DELAY</v>
          </cell>
          <cell r="K683" t="str">
            <v>IDLE</v>
          </cell>
          <cell r="L683" t="str">
            <v>TIME</v>
          </cell>
          <cell r="M683" t="str">
            <v>PLAN</v>
          </cell>
          <cell r="N683" t="str">
            <v>ACT</v>
          </cell>
          <cell r="O683" t="str">
            <v>PLAN</v>
          </cell>
          <cell r="P683" t="str">
            <v>ACT</v>
          </cell>
          <cell r="T683">
            <v>683</v>
          </cell>
        </row>
        <row r="684">
          <cell r="B684" t="str">
            <v>Shift 1</v>
          </cell>
          <cell r="C684">
            <v>798</v>
          </cell>
          <cell r="D684">
            <v>0</v>
          </cell>
          <cell r="E684">
            <v>199.5</v>
          </cell>
          <cell r="F684">
            <v>0</v>
          </cell>
          <cell r="G684">
            <v>4</v>
          </cell>
          <cell r="H684">
            <v>0</v>
          </cell>
          <cell r="I684">
            <v>0</v>
          </cell>
          <cell r="J684">
            <v>4</v>
          </cell>
          <cell r="K684">
            <v>0</v>
          </cell>
          <cell r="L684">
            <v>0</v>
          </cell>
          <cell r="M684">
            <v>0.95</v>
          </cell>
          <cell r="N684">
            <v>1</v>
          </cell>
          <cell r="O684">
            <v>0.875</v>
          </cell>
          <cell r="P684">
            <v>0.5</v>
          </cell>
          <cell r="Q684">
            <v>0</v>
          </cell>
          <cell r="R684">
            <v>0</v>
          </cell>
          <cell r="T684">
            <v>684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</row>
        <row r="685">
          <cell r="B685" t="str">
            <v>Shift 2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8</v>
          </cell>
          <cell r="K685">
            <v>0</v>
          </cell>
          <cell r="L685">
            <v>0</v>
          </cell>
          <cell r="M685">
            <v>0.95</v>
          </cell>
          <cell r="N685">
            <v>1</v>
          </cell>
          <cell r="O685">
            <v>0.875</v>
          </cell>
          <cell r="P685">
            <v>0</v>
          </cell>
          <cell r="Q685">
            <v>0</v>
          </cell>
          <cell r="R685">
            <v>0</v>
          </cell>
          <cell r="T685">
            <v>685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</row>
        <row r="686">
          <cell r="B686" t="str">
            <v>Shift 3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0.5</v>
          </cell>
          <cell r="J686">
            <v>7.5</v>
          </cell>
          <cell r="K686">
            <v>0</v>
          </cell>
          <cell r="L686">
            <v>0</v>
          </cell>
          <cell r="M686">
            <v>0.95</v>
          </cell>
          <cell r="N686">
            <v>1</v>
          </cell>
          <cell r="O686">
            <v>0.875</v>
          </cell>
          <cell r="P686">
            <v>6.25E-2</v>
          </cell>
          <cell r="Q686">
            <v>0</v>
          </cell>
          <cell r="R686">
            <v>0</v>
          </cell>
          <cell r="T686">
            <v>686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</row>
        <row r="687">
          <cell r="B687" t="str">
            <v>Shift 6</v>
          </cell>
          <cell r="C687">
            <v>798</v>
          </cell>
          <cell r="D687">
            <v>0</v>
          </cell>
          <cell r="E687">
            <v>199.5</v>
          </cell>
          <cell r="F687">
            <v>0</v>
          </cell>
          <cell r="G687">
            <v>4</v>
          </cell>
          <cell r="H687">
            <v>0</v>
          </cell>
          <cell r="I687">
            <v>0</v>
          </cell>
          <cell r="J687">
            <v>7</v>
          </cell>
          <cell r="K687">
            <v>0</v>
          </cell>
          <cell r="L687">
            <v>0</v>
          </cell>
          <cell r="M687">
            <v>0.95</v>
          </cell>
          <cell r="N687">
            <v>1</v>
          </cell>
          <cell r="O687">
            <v>0.875</v>
          </cell>
          <cell r="P687">
            <v>0.36363636363636365</v>
          </cell>
          <cell r="Q687">
            <v>0</v>
          </cell>
          <cell r="R687">
            <v>0</v>
          </cell>
          <cell r="T687">
            <v>687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</row>
        <row r="688">
          <cell r="B688" t="str">
            <v>Shift 7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0.5</v>
          </cell>
          <cell r="J688">
            <v>12.5</v>
          </cell>
          <cell r="K688">
            <v>0</v>
          </cell>
          <cell r="L688">
            <v>0</v>
          </cell>
          <cell r="M688">
            <v>0.95</v>
          </cell>
          <cell r="N688">
            <v>1</v>
          </cell>
          <cell r="O688">
            <v>0.875</v>
          </cell>
          <cell r="P688">
            <v>3.8461538461538464E-2</v>
          </cell>
          <cell r="Q688">
            <v>0</v>
          </cell>
          <cell r="R688">
            <v>0</v>
          </cell>
          <cell r="T688">
            <v>688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</row>
        <row r="689">
          <cell r="B689" t="str">
            <v>TOTAL</v>
          </cell>
          <cell r="C689">
            <v>798</v>
          </cell>
          <cell r="D689">
            <v>0</v>
          </cell>
          <cell r="E689">
            <v>199.5</v>
          </cell>
          <cell r="F689">
            <v>0</v>
          </cell>
          <cell r="G689">
            <v>4</v>
          </cell>
          <cell r="H689">
            <v>0</v>
          </cell>
          <cell r="I689">
            <v>0.5</v>
          </cell>
          <cell r="J689">
            <v>19.5</v>
          </cell>
          <cell r="K689">
            <v>0</v>
          </cell>
          <cell r="L689">
            <v>0</v>
          </cell>
          <cell r="M689">
            <v>0.95</v>
          </cell>
          <cell r="N689">
            <v>1</v>
          </cell>
          <cell r="O689">
            <v>0.875</v>
          </cell>
          <cell r="P689">
            <v>0.1875</v>
          </cell>
          <cell r="Q689" t="str">
            <v>Hiras Silaban</v>
          </cell>
          <cell r="R689" t="str">
            <v>Fresye A L</v>
          </cell>
          <cell r="T689">
            <v>689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</row>
        <row r="690">
          <cell r="T690">
            <v>690</v>
          </cell>
        </row>
        <row r="691">
          <cell r="B691" t="str">
            <v>TIME</v>
          </cell>
          <cell r="C691" t="str">
            <v>WASTE</v>
          </cell>
          <cell r="D691" t="str">
            <v>EX429</v>
          </cell>
          <cell r="E691" t="str">
            <v>TYPE</v>
          </cell>
          <cell r="F691" t="str">
            <v>PC 200</v>
          </cell>
          <cell r="H691" t="str">
            <v>Plan Prod'ty :</v>
          </cell>
          <cell r="J691">
            <v>0</v>
          </cell>
          <cell r="M691" t="str">
            <v>Distance :</v>
          </cell>
          <cell r="O691">
            <v>0</v>
          </cell>
          <cell r="T691">
            <v>691</v>
          </cell>
          <cell r="U691" t="str">
            <v>EX429</v>
          </cell>
        </row>
        <row r="692">
          <cell r="C692" t="str">
            <v>MAT</v>
          </cell>
          <cell r="D692" t="str">
            <v>PROD</v>
          </cell>
          <cell r="E692" t="str">
            <v>PROD'TY</v>
          </cell>
          <cell r="F692" t="str">
            <v>Q'TY DT</v>
          </cell>
          <cell r="J692" t="str">
            <v>HOURS</v>
          </cell>
          <cell r="Q692" t="str">
            <v>REMARK PRODUKTIVITAS</v>
          </cell>
          <cell r="T692">
            <v>692</v>
          </cell>
          <cell r="U692" t="str">
            <v>ROM</v>
          </cell>
          <cell r="V692" t="str">
            <v>Crush1</v>
          </cell>
          <cell r="W692" t="str">
            <v>Crush2</v>
          </cell>
          <cell r="X692" t="str">
            <v>Crush3</v>
          </cell>
          <cell r="Y692" t="str">
            <v>Crush4</v>
          </cell>
          <cell r="Z692" t="str">
            <v>Crush5</v>
          </cell>
          <cell r="AA692" t="str">
            <v>Crush6</v>
          </cell>
        </row>
        <row r="693">
          <cell r="E693" t="str">
            <v>( By work )</v>
          </cell>
          <cell r="F693" t="str">
            <v>785</v>
          </cell>
          <cell r="G693" t="str">
            <v>785-CB</v>
          </cell>
          <cell r="H693" t="str">
            <v>A40/HM</v>
          </cell>
          <cell r="I693" t="str">
            <v>Total</v>
          </cell>
          <cell r="J693" t="str">
            <v>Work</v>
          </cell>
          <cell r="K693" t="str">
            <v>General</v>
          </cell>
          <cell r="L693" t="str">
            <v>Delay</v>
          </cell>
          <cell r="M693" t="str">
            <v>Idle</v>
          </cell>
          <cell r="N693" t="str">
            <v>Rain</v>
          </cell>
          <cell r="O693" t="str">
            <v>Slipp</v>
          </cell>
          <cell r="P693" t="str">
            <v>B/D</v>
          </cell>
          <cell r="T693">
            <v>693</v>
          </cell>
        </row>
        <row r="694">
          <cell r="B694" t="str">
            <v>07  - 08</v>
          </cell>
          <cell r="C694" t="str">
            <v>OB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60</v>
          </cell>
          <cell r="M694">
            <v>0</v>
          </cell>
          <cell r="N694">
            <v>0</v>
          </cell>
          <cell r="O694">
            <v>0</v>
          </cell>
          <cell r="Q694" t="str">
            <v>General Work</v>
          </cell>
          <cell r="T694">
            <v>694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</row>
        <row r="695">
          <cell r="B695" t="str">
            <v>08  - 09</v>
          </cell>
          <cell r="C695" t="str">
            <v>OB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60</v>
          </cell>
          <cell r="M695">
            <v>0</v>
          </cell>
          <cell r="N695">
            <v>0</v>
          </cell>
          <cell r="O695">
            <v>0</v>
          </cell>
          <cell r="Q695" t="str">
            <v>General Work</v>
          </cell>
          <cell r="T695">
            <v>695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</row>
        <row r="696">
          <cell r="B696" t="str">
            <v>09  - 10</v>
          </cell>
          <cell r="C696" t="str">
            <v>OB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60</v>
          </cell>
          <cell r="M696">
            <v>0</v>
          </cell>
          <cell r="N696">
            <v>0</v>
          </cell>
          <cell r="O696">
            <v>0</v>
          </cell>
          <cell r="Q696" t="str">
            <v>General Work, 09:45 Oil Hydrolik Bocor</v>
          </cell>
          <cell r="T696">
            <v>696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</row>
        <row r="697">
          <cell r="B697" t="str">
            <v>10  - 11</v>
          </cell>
          <cell r="C697" t="str">
            <v>OB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60</v>
          </cell>
          <cell r="M697">
            <v>0</v>
          </cell>
          <cell r="N697">
            <v>0</v>
          </cell>
          <cell r="O697">
            <v>0</v>
          </cell>
          <cell r="Q697" t="str">
            <v>Oil Hydrolik Bocor</v>
          </cell>
          <cell r="T697">
            <v>697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</row>
        <row r="698">
          <cell r="B698" t="str">
            <v>11  - 12</v>
          </cell>
          <cell r="C698" t="str">
            <v>OB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60</v>
          </cell>
          <cell r="M698">
            <v>0</v>
          </cell>
          <cell r="N698">
            <v>0</v>
          </cell>
          <cell r="O698">
            <v>0</v>
          </cell>
          <cell r="Q698" t="str">
            <v>Oil Hydrolik Bocor</v>
          </cell>
          <cell r="T698">
            <v>698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</row>
        <row r="699">
          <cell r="B699" t="str">
            <v>12  - 13</v>
          </cell>
          <cell r="C699" t="str">
            <v>OB</v>
          </cell>
          <cell r="D699">
            <v>0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60</v>
          </cell>
          <cell r="M699">
            <v>0</v>
          </cell>
          <cell r="N699">
            <v>0</v>
          </cell>
          <cell r="O699">
            <v>0</v>
          </cell>
          <cell r="Q699" t="str">
            <v>Oil Hydrolik Bocor</v>
          </cell>
          <cell r="T699">
            <v>699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</row>
        <row r="700">
          <cell r="B700" t="str">
            <v>13  -  14</v>
          </cell>
          <cell r="C700" t="str">
            <v>OB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60</v>
          </cell>
          <cell r="M700">
            <v>0</v>
          </cell>
          <cell r="N700">
            <v>0</v>
          </cell>
          <cell r="O700">
            <v>0</v>
          </cell>
          <cell r="Q700" t="str">
            <v>Oil Hydrolik Bocor</v>
          </cell>
          <cell r="T700">
            <v>700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</row>
        <row r="701">
          <cell r="B701" t="str">
            <v>14  -  15</v>
          </cell>
          <cell r="C701" t="str">
            <v>OB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60</v>
          </cell>
          <cell r="M701">
            <v>0</v>
          </cell>
          <cell r="N701">
            <v>0</v>
          </cell>
          <cell r="O701">
            <v>0</v>
          </cell>
          <cell r="Q701" t="str">
            <v>Oil Hydrolik Bocor</v>
          </cell>
          <cell r="T701">
            <v>701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</row>
        <row r="702">
          <cell r="B702" t="str">
            <v>15  -  16</v>
          </cell>
          <cell r="C702" t="str">
            <v>OB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60</v>
          </cell>
          <cell r="M702">
            <v>0</v>
          </cell>
          <cell r="N702">
            <v>0</v>
          </cell>
          <cell r="O702">
            <v>0</v>
          </cell>
          <cell r="Q702" t="str">
            <v>Oil Hydrolik Bocor</v>
          </cell>
          <cell r="T702">
            <v>702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</row>
        <row r="703">
          <cell r="B703" t="str">
            <v>16  -  17</v>
          </cell>
          <cell r="C703" t="str">
            <v>OB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60</v>
          </cell>
          <cell r="M703">
            <v>0</v>
          </cell>
          <cell r="N703">
            <v>0</v>
          </cell>
          <cell r="O703">
            <v>0</v>
          </cell>
          <cell r="Q703" t="str">
            <v>Oil Hydrolik Bocor</v>
          </cell>
          <cell r="T703">
            <v>703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</row>
        <row r="704">
          <cell r="B704" t="str">
            <v>17  -  18</v>
          </cell>
          <cell r="C704" t="str">
            <v>OB</v>
          </cell>
          <cell r="D704">
            <v>0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60</v>
          </cell>
          <cell r="M704">
            <v>0</v>
          </cell>
          <cell r="N704">
            <v>0</v>
          </cell>
          <cell r="O704">
            <v>0</v>
          </cell>
          <cell r="Q704" t="str">
            <v>Oil Hydrolik Bocor</v>
          </cell>
          <cell r="T704">
            <v>704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</row>
        <row r="705">
          <cell r="B705" t="str">
            <v>18  -  19</v>
          </cell>
          <cell r="C705" t="str">
            <v>OB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60</v>
          </cell>
          <cell r="M705">
            <v>0</v>
          </cell>
          <cell r="N705">
            <v>0</v>
          </cell>
          <cell r="O705">
            <v>0</v>
          </cell>
          <cell r="Q705" t="str">
            <v>General</v>
          </cell>
          <cell r="T705">
            <v>705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</row>
        <row r="706">
          <cell r="B706" t="str">
            <v>19  -  20</v>
          </cell>
          <cell r="C706" t="str">
            <v>OB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60</v>
          </cell>
          <cell r="M706">
            <v>0</v>
          </cell>
          <cell r="N706">
            <v>0</v>
          </cell>
          <cell r="O706">
            <v>0</v>
          </cell>
          <cell r="Q706" t="str">
            <v>General</v>
          </cell>
          <cell r="T706">
            <v>706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</row>
        <row r="707">
          <cell r="B707" t="str">
            <v>20  -  21</v>
          </cell>
          <cell r="C707" t="str">
            <v>OB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60</v>
          </cell>
          <cell r="M707">
            <v>0</v>
          </cell>
          <cell r="N707">
            <v>0</v>
          </cell>
          <cell r="O707">
            <v>0</v>
          </cell>
          <cell r="Q707" t="str">
            <v>General</v>
          </cell>
          <cell r="T707">
            <v>707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</row>
        <row r="708">
          <cell r="B708" t="str">
            <v>21  -  22</v>
          </cell>
          <cell r="C708" t="str">
            <v>OB</v>
          </cell>
          <cell r="D708">
            <v>0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60</v>
          </cell>
          <cell r="M708">
            <v>0</v>
          </cell>
          <cell r="N708">
            <v>0</v>
          </cell>
          <cell r="O708">
            <v>0</v>
          </cell>
          <cell r="Q708" t="str">
            <v>General</v>
          </cell>
          <cell r="T708">
            <v>708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</row>
        <row r="709">
          <cell r="B709" t="str">
            <v>22  -  23</v>
          </cell>
          <cell r="C709" t="str">
            <v>OB</v>
          </cell>
          <cell r="D709">
            <v>0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60</v>
          </cell>
          <cell r="M709">
            <v>0</v>
          </cell>
          <cell r="N709">
            <v>0</v>
          </cell>
          <cell r="O709">
            <v>0</v>
          </cell>
          <cell r="Q709" t="str">
            <v>General</v>
          </cell>
          <cell r="T709">
            <v>709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</row>
        <row r="710">
          <cell r="B710" t="str">
            <v>23  -  24</v>
          </cell>
          <cell r="C710" t="str">
            <v>OB</v>
          </cell>
          <cell r="D710">
            <v>0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60</v>
          </cell>
          <cell r="M710">
            <v>0</v>
          </cell>
          <cell r="N710">
            <v>0</v>
          </cell>
          <cell r="O710">
            <v>0</v>
          </cell>
          <cell r="Q710" t="str">
            <v>General</v>
          </cell>
          <cell r="T710">
            <v>710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</row>
        <row r="711">
          <cell r="B711" t="str">
            <v>24  -  01</v>
          </cell>
          <cell r="C711" t="str">
            <v>OB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60</v>
          </cell>
          <cell r="M711">
            <v>0</v>
          </cell>
          <cell r="N711">
            <v>0</v>
          </cell>
          <cell r="O711">
            <v>0</v>
          </cell>
          <cell r="Q711" t="str">
            <v>Rest Time</v>
          </cell>
          <cell r="T711">
            <v>711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</row>
        <row r="712">
          <cell r="B712" t="str">
            <v>01  -  02</v>
          </cell>
          <cell r="C712" t="str">
            <v>OB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60</v>
          </cell>
          <cell r="M712">
            <v>0</v>
          </cell>
          <cell r="N712">
            <v>0</v>
          </cell>
          <cell r="O712">
            <v>0</v>
          </cell>
          <cell r="Q712" t="str">
            <v>General</v>
          </cell>
          <cell r="T712">
            <v>712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</row>
        <row r="713">
          <cell r="B713" t="str">
            <v>02  -  03</v>
          </cell>
          <cell r="C713" t="str">
            <v>OB</v>
          </cell>
          <cell r="D713">
            <v>0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60</v>
          </cell>
          <cell r="M713">
            <v>0</v>
          </cell>
          <cell r="N713">
            <v>0</v>
          </cell>
          <cell r="O713">
            <v>0</v>
          </cell>
          <cell r="Q713" t="str">
            <v>General</v>
          </cell>
          <cell r="T713">
            <v>713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</row>
        <row r="714">
          <cell r="B714" t="str">
            <v>03  -  04</v>
          </cell>
          <cell r="C714" t="str">
            <v>OB</v>
          </cell>
          <cell r="D714">
            <v>0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60</v>
          </cell>
          <cell r="O714">
            <v>0</v>
          </cell>
          <cell r="Q714" t="str">
            <v>Rain</v>
          </cell>
          <cell r="T714">
            <v>714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</row>
        <row r="715">
          <cell r="B715" t="str">
            <v>04  -  05</v>
          </cell>
          <cell r="C715" t="str">
            <v>OB</v>
          </cell>
          <cell r="D715">
            <v>0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60</v>
          </cell>
          <cell r="Q715" t="str">
            <v>Slippery</v>
          </cell>
          <cell r="T715">
            <v>715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</row>
        <row r="716">
          <cell r="B716" t="str">
            <v>05  -  06</v>
          </cell>
          <cell r="C716" t="str">
            <v>OB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60</v>
          </cell>
          <cell r="Q716" t="str">
            <v>Slippery</v>
          </cell>
          <cell r="T716">
            <v>716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</row>
        <row r="717">
          <cell r="B717" t="str">
            <v>06  -  07</v>
          </cell>
          <cell r="C717" t="str">
            <v>OB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30</v>
          </cell>
          <cell r="L717">
            <v>0</v>
          </cell>
          <cell r="M717">
            <v>0</v>
          </cell>
          <cell r="N717">
            <v>0</v>
          </cell>
          <cell r="O717">
            <v>30</v>
          </cell>
          <cell r="Q717" t="str">
            <v>Slippery</v>
          </cell>
          <cell r="T717">
            <v>717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</row>
        <row r="718">
          <cell r="B718" t="str">
            <v>RESUME</v>
          </cell>
          <cell r="C718" t="str">
            <v>PROD</v>
          </cell>
          <cell r="E718" t="str">
            <v>PROD'TY</v>
          </cell>
          <cell r="G718" t="str">
            <v>WORK HOURS</v>
          </cell>
          <cell r="J718" t="str">
            <v>LOST TIME</v>
          </cell>
          <cell r="L718" t="str">
            <v>DOWN</v>
          </cell>
          <cell r="M718" t="str">
            <v>PA</v>
          </cell>
          <cell r="O718" t="str">
            <v>UA PROD</v>
          </cell>
          <cell r="Q718" t="str">
            <v>OPERATOR</v>
          </cell>
          <cell r="R718" t="str">
            <v>GROUP LEADER</v>
          </cell>
          <cell r="T718">
            <v>718</v>
          </cell>
        </row>
        <row r="719">
          <cell r="B719" t="str">
            <v>GROUP</v>
          </cell>
          <cell r="C719" t="str">
            <v>WASTE</v>
          </cell>
          <cell r="D719" t="str">
            <v>CC</v>
          </cell>
          <cell r="E719" t="str">
            <v>WASTE</v>
          </cell>
          <cell r="F719" t="str">
            <v>CC</v>
          </cell>
          <cell r="G719" t="str">
            <v>WASTE</v>
          </cell>
          <cell r="H719" t="str">
            <v>CC</v>
          </cell>
          <cell r="I719" t="str">
            <v>GEN</v>
          </cell>
          <cell r="J719" t="str">
            <v>DELAY</v>
          </cell>
          <cell r="K719" t="str">
            <v>IDLE</v>
          </cell>
          <cell r="L719" t="str">
            <v>TIME</v>
          </cell>
          <cell r="M719" t="str">
            <v>PLAN</v>
          </cell>
          <cell r="N719" t="str">
            <v>ACT</v>
          </cell>
          <cell r="O719" t="str">
            <v>PLAN</v>
          </cell>
          <cell r="P719" t="str">
            <v>ACT</v>
          </cell>
          <cell r="T719">
            <v>719</v>
          </cell>
        </row>
        <row r="720">
          <cell r="B720" t="str">
            <v>Shift 1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8</v>
          </cell>
          <cell r="K720">
            <v>0</v>
          </cell>
          <cell r="L720">
            <v>0</v>
          </cell>
          <cell r="M720">
            <v>0.95</v>
          </cell>
          <cell r="N720">
            <v>1</v>
          </cell>
          <cell r="O720">
            <v>0.875</v>
          </cell>
          <cell r="P720">
            <v>0</v>
          </cell>
          <cell r="Q720">
            <v>0</v>
          </cell>
          <cell r="R720">
            <v>0</v>
          </cell>
          <cell r="T720">
            <v>720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</row>
        <row r="721">
          <cell r="B721" t="str">
            <v>Shift 2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8</v>
          </cell>
          <cell r="K721">
            <v>0</v>
          </cell>
          <cell r="L721">
            <v>0</v>
          </cell>
          <cell r="M721">
            <v>0.95</v>
          </cell>
          <cell r="N721">
            <v>1</v>
          </cell>
          <cell r="O721">
            <v>0.875</v>
          </cell>
          <cell r="P721">
            <v>0</v>
          </cell>
          <cell r="Q721">
            <v>0</v>
          </cell>
          <cell r="R721">
            <v>0</v>
          </cell>
          <cell r="T721">
            <v>721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</row>
        <row r="722">
          <cell r="B722" t="str">
            <v>Shift 3</v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0.5</v>
          </cell>
          <cell r="J722">
            <v>4</v>
          </cell>
          <cell r="K722">
            <v>3.5</v>
          </cell>
          <cell r="L722">
            <v>0</v>
          </cell>
          <cell r="M722">
            <v>0.95</v>
          </cell>
          <cell r="N722">
            <v>1</v>
          </cell>
          <cell r="O722">
            <v>0.875</v>
          </cell>
          <cell r="P722">
            <v>6.25E-2</v>
          </cell>
          <cell r="Q722">
            <v>0</v>
          </cell>
          <cell r="R722">
            <v>0</v>
          </cell>
          <cell r="T722">
            <v>722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</row>
        <row r="723">
          <cell r="B723" t="str">
            <v>Shift 6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11</v>
          </cell>
          <cell r="K723">
            <v>0</v>
          </cell>
          <cell r="L723">
            <v>0</v>
          </cell>
          <cell r="M723">
            <v>0.95</v>
          </cell>
          <cell r="N723">
            <v>1</v>
          </cell>
          <cell r="O723">
            <v>0.875</v>
          </cell>
          <cell r="P723">
            <v>0</v>
          </cell>
          <cell r="Q723">
            <v>0</v>
          </cell>
          <cell r="R723">
            <v>0</v>
          </cell>
          <cell r="T723">
            <v>723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</row>
        <row r="724">
          <cell r="B724" t="str">
            <v>Shift 7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0.5</v>
          </cell>
          <cell r="J724">
            <v>9</v>
          </cell>
          <cell r="K724">
            <v>3.5</v>
          </cell>
          <cell r="L724">
            <v>0</v>
          </cell>
          <cell r="M724">
            <v>0.95</v>
          </cell>
          <cell r="N724">
            <v>1</v>
          </cell>
          <cell r="O724">
            <v>0.875</v>
          </cell>
          <cell r="P724">
            <v>3.8461538461538464E-2</v>
          </cell>
          <cell r="Q724">
            <v>0</v>
          </cell>
          <cell r="R724">
            <v>0</v>
          </cell>
          <cell r="T724">
            <v>724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</row>
        <row r="725">
          <cell r="B725" t="str">
            <v>TOTAL</v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0.5</v>
          </cell>
          <cell r="J725">
            <v>20</v>
          </cell>
          <cell r="K725">
            <v>3.5</v>
          </cell>
          <cell r="L725">
            <v>0</v>
          </cell>
          <cell r="M725">
            <v>0.95</v>
          </cell>
          <cell r="N725">
            <v>1</v>
          </cell>
          <cell r="O725">
            <v>0.875</v>
          </cell>
          <cell r="P725">
            <v>2.0833333333333332E-2</v>
          </cell>
          <cell r="Q725" t="str">
            <v>Hiras Silaban</v>
          </cell>
          <cell r="R725" t="str">
            <v>Fresye A L</v>
          </cell>
          <cell r="T725">
            <v>725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</row>
        <row r="726">
          <cell r="T726">
            <v>726</v>
          </cell>
        </row>
        <row r="727">
          <cell r="B727" t="str">
            <v>TIME</v>
          </cell>
          <cell r="C727" t="str">
            <v>WASTE</v>
          </cell>
          <cell r="D727" t="str">
            <v>EX430</v>
          </cell>
          <cell r="E727" t="str">
            <v>TYPE</v>
          </cell>
          <cell r="F727" t="str">
            <v>PC 200</v>
          </cell>
          <cell r="H727" t="str">
            <v>Plan Prod'ty :</v>
          </cell>
          <cell r="J727">
            <v>0</v>
          </cell>
          <cell r="M727" t="str">
            <v>Distance :</v>
          </cell>
          <cell r="O727">
            <v>0</v>
          </cell>
          <cell r="T727">
            <v>727</v>
          </cell>
          <cell r="U727" t="str">
            <v>EX430</v>
          </cell>
        </row>
        <row r="728">
          <cell r="C728" t="str">
            <v>MAT</v>
          </cell>
          <cell r="D728" t="str">
            <v>PROD</v>
          </cell>
          <cell r="E728" t="str">
            <v>PROD'TY</v>
          </cell>
          <cell r="F728" t="str">
            <v>Q'TY DT</v>
          </cell>
          <cell r="J728" t="str">
            <v>HOURS</v>
          </cell>
          <cell r="Q728" t="str">
            <v>REMARK PRODUKTIVITAS</v>
          </cell>
          <cell r="T728">
            <v>728</v>
          </cell>
          <cell r="U728" t="str">
            <v>ROM</v>
          </cell>
          <cell r="V728" t="str">
            <v>Crush1</v>
          </cell>
          <cell r="W728" t="str">
            <v>Crush2</v>
          </cell>
          <cell r="X728" t="str">
            <v>Crush3</v>
          </cell>
          <cell r="Y728" t="str">
            <v>Crush4</v>
          </cell>
          <cell r="Z728" t="str">
            <v>Crush5</v>
          </cell>
          <cell r="AA728" t="str">
            <v>Crush6</v>
          </cell>
        </row>
        <row r="729">
          <cell r="E729" t="str">
            <v>( By work )</v>
          </cell>
          <cell r="F729" t="str">
            <v>785</v>
          </cell>
          <cell r="G729" t="str">
            <v>785-CB</v>
          </cell>
          <cell r="H729" t="str">
            <v>A40/HM</v>
          </cell>
          <cell r="I729" t="str">
            <v>Total</v>
          </cell>
          <cell r="J729" t="str">
            <v>Work</v>
          </cell>
          <cell r="K729" t="str">
            <v>General</v>
          </cell>
          <cell r="L729" t="str">
            <v>Delay</v>
          </cell>
          <cell r="M729" t="str">
            <v>Idle</v>
          </cell>
          <cell r="N729" t="str">
            <v>Rain</v>
          </cell>
          <cell r="O729" t="str">
            <v>Slipp</v>
          </cell>
          <cell r="P729" t="str">
            <v>B/D</v>
          </cell>
          <cell r="T729">
            <v>729</v>
          </cell>
        </row>
        <row r="730">
          <cell r="B730" t="str">
            <v>07  - 08</v>
          </cell>
          <cell r="C730" t="str">
            <v>OB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60</v>
          </cell>
          <cell r="M730">
            <v>0</v>
          </cell>
          <cell r="N730">
            <v>0</v>
          </cell>
          <cell r="O730">
            <v>0</v>
          </cell>
          <cell r="Q730" t="str">
            <v>General Work</v>
          </cell>
          <cell r="T730">
            <v>730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</row>
        <row r="731">
          <cell r="B731" t="str">
            <v>08  - 09</v>
          </cell>
          <cell r="C731" t="str">
            <v>OB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60</v>
          </cell>
          <cell r="M731">
            <v>0</v>
          </cell>
          <cell r="N731">
            <v>0</v>
          </cell>
          <cell r="O731">
            <v>0</v>
          </cell>
          <cell r="Q731" t="str">
            <v>General Work</v>
          </cell>
          <cell r="T731">
            <v>731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</row>
        <row r="732">
          <cell r="B732" t="str">
            <v>09  - 10</v>
          </cell>
          <cell r="C732" t="str">
            <v>OB</v>
          </cell>
          <cell r="D732">
            <v>0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60</v>
          </cell>
          <cell r="M732">
            <v>0</v>
          </cell>
          <cell r="N732">
            <v>0</v>
          </cell>
          <cell r="O732">
            <v>0</v>
          </cell>
          <cell r="Q732" t="str">
            <v>General Work</v>
          </cell>
          <cell r="T732">
            <v>732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</row>
        <row r="733">
          <cell r="B733" t="str">
            <v>10  - 11</v>
          </cell>
          <cell r="C733" t="str">
            <v>OB</v>
          </cell>
          <cell r="D733">
            <v>0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60</v>
          </cell>
          <cell r="M733">
            <v>0</v>
          </cell>
          <cell r="N733">
            <v>0</v>
          </cell>
          <cell r="O733">
            <v>0</v>
          </cell>
          <cell r="Q733" t="str">
            <v>General Work</v>
          </cell>
          <cell r="T733">
            <v>733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</row>
        <row r="734">
          <cell r="B734" t="str">
            <v>11  - 12</v>
          </cell>
          <cell r="C734" t="str">
            <v>OB</v>
          </cell>
          <cell r="D734">
            <v>0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60</v>
          </cell>
          <cell r="M734">
            <v>0</v>
          </cell>
          <cell r="N734">
            <v>0</v>
          </cell>
          <cell r="O734">
            <v>0</v>
          </cell>
          <cell r="Q734" t="str">
            <v>General Work</v>
          </cell>
          <cell r="T734">
            <v>734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</row>
        <row r="735">
          <cell r="B735" t="str">
            <v>12  - 13</v>
          </cell>
          <cell r="C735" t="str">
            <v>OB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60</v>
          </cell>
          <cell r="M735">
            <v>0</v>
          </cell>
          <cell r="N735">
            <v>0</v>
          </cell>
          <cell r="O735">
            <v>0</v>
          </cell>
          <cell r="Q735" t="str">
            <v>Rest Time</v>
          </cell>
          <cell r="T735">
            <v>735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</row>
        <row r="736">
          <cell r="B736" t="str">
            <v>13  -  14</v>
          </cell>
          <cell r="C736" t="str">
            <v>OB</v>
          </cell>
          <cell r="D736">
            <v>0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60</v>
          </cell>
          <cell r="M736">
            <v>0</v>
          </cell>
          <cell r="N736">
            <v>0</v>
          </cell>
          <cell r="O736">
            <v>0</v>
          </cell>
          <cell r="Q736" t="str">
            <v>General Work</v>
          </cell>
          <cell r="T736">
            <v>736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</row>
        <row r="737">
          <cell r="B737" t="str">
            <v>14  -  15</v>
          </cell>
          <cell r="C737" t="str">
            <v>OB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60</v>
          </cell>
          <cell r="M737">
            <v>0</v>
          </cell>
          <cell r="N737">
            <v>0</v>
          </cell>
          <cell r="O737">
            <v>0</v>
          </cell>
          <cell r="Q737" t="str">
            <v>General Work</v>
          </cell>
          <cell r="T737">
            <v>737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</row>
        <row r="738">
          <cell r="B738" t="str">
            <v>15  -  16</v>
          </cell>
          <cell r="C738" t="str">
            <v>OB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60</v>
          </cell>
          <cell r="M738">
            <v>0</v>
          </cell>
          <cell r="N738">
            <v>0</v>
          </cell>
          <cell r="O738">
            <v>0</v>
          </cell>
          <cell r="Q738" t="str">
            <v>General Work</v>
          </cell>
          <cell r="T738">
            <v>738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</row>
        <row r="739">
          <cell r="B739" t="str">
            <v>16  -  17</v>
          </cell>
          <cell r="C739" t="str">
            <v>OB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60</v>
          </cell>
          <cell r="M739">
            <v>0</v>
          </cell>
          <cell r="N739">
            <v>0</v>
          </cell>
          <cell r="O739">
            <v>0</v>
          </cell>
          <cell r="Q739" t="str">
            <v>General Work</v>
          </cell>
          <cell r="T739">
            <v>739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</row>
        <row r="740">
          <cell r="B740" t="str">
            <v>17  -  18</v>
          </cell>
          <cell r="C740" t="str">
            <v>OB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60</v>
          </cell>
          <cell r="M740">
            <v>0</v>
          </cell>
          <cell r="N740">
            <v>0</v>
          </cell>
          <cell r="O740">
            <v>0</v>
          </cell>
          <cell r="Q740" t="str">
            <v>Shift Change</v>
          </cell>
          <cell r="T740">
            <v>740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</row>
        <row r="741">
          <cell r="B741" t="str">
            <v>18  -  19</v>
          </cell>
          <cell r="C741" t="str">
            <v>OB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60</v>
          </cell>
          <cell r="M741">
            <v>0</v>
          </cell>
          <cell r="N741">
            <v>0</v>
          </cell>
          <cell r="O741">
            <v>0</v>
          </cell>
          <cell r="Q741" t="str">
            <v>General</v>
          </cell>
          <cell r="T741">
            <v>741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</row>
        <row r="742">
          <cell r="B742" t="str">
            <v>19  -  20</v>
          </cell>
          <cell r="C742" t="str">
            <v>OB</v>
          </cell>
          <cell r="D742">
            <v>0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60</v>
          </cell>
          <cell r="M742">
            <v>0</v>
          </cell>
          <cell r="N742">
            <v>0</v>
          </cell>
          <cell r="O742">
            <v>0</v>
          </cell>
          <cell r="Q742" t="str">
            <v>General</v>
          </cell>
          <cell r="T742">
            <v>742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</row>
        <row r="743">
          <cell r="B743" t="str">
            <v>20  -  21</v>
          </cell>
          <cell r="C743" t="str">
            <v>OB</v>
          </cell>
          <cell r="D743">
            <v>0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60</v>
          </cell>
          <cell r="M743">
            <v>0</v>
          </cell>
          <cell r="N743">
            <v>0</v>
          </cell>
          <cell r="O743">
            <v>0</v>
          </cell>
          <cell r="Q743" t="str">
            <v>General</v>
          </cell>
          <cell r="T743">
            <v>743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</row>
        <row r="744">
          <cell r="B744" t="str">
            <v>21  -  22</v>
          </cell>
          <cell r="C744" t="str">
            <v>OB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60</v>
          </cell>
          <cell r="M744">
            <v>0</v>
          </cell>
          <cell r="N744">
            <v>0</v>
          </cell>
          <cell r="O744">
            <v>0</v>
          </cell>
          <cell r="Q744" t="str">
            <v>General</v>
          </cell>
          <cell r="T744">
            <v>744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</row>
        <row r="745">
          <cell r="B745" t="str">
            <v>22  -  23</v>
          </cell>
          <cell r="C745" t="str">
            <v>OB</v>
          </cell>
          <cell r="D745">
            <v>0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60</v>
          </cell>
          <cell r="M745">
            <v>0</v>
          </cell>
          <cell r="N745">
            <v>0</v>
          </cell>
          <cell r="O745">
            <v>0</v>
          </cell>
          <cell r="Q745" t="str">
            <v>General</v>
          </cell>
          <cell r="T745">
            <v>745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</row>
        <row r="746">
          <cell r="B746" t="str">
            <v>23  -  24</v>
          </cell>
          <cell r="C746" t="str">
            <v>OB</v>
          </cell>
          <cell r="D746">
            <v>0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60</v>
          </cell>
          <cell r="M746">
            <v>0</v>
          </cell>
          <cell r="N746">
            <v>0</v>
          </cell>
          <cell r="O746">
            <v>0</v>
          </cell>
          <cell r="Q746" t="str">
            <v>General</v>
          </cell>
          <cell r="T746">
            <v>746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</row>
        <row r="747">
          <cell r="B747" t="str">
            <v>24  -  01</v>
          </cell>
          <cell r="C747" t="str">
            <v>OB</v>
          </cell>
          <cell r="D747">
            <v>0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60</v>
          </cell>
          <cell r="M747">
            <v>0</v>
          </cell>
          <cell r="N747">
            <v>0</v>
          </cell>
          <cell r="O747">
            <v>0</v>
          </cell>
          <cell r="Q747" t="str">
            <v>Rest Time</v>
          </cell>
          <cell r="T747">
            <v>747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</row>
        <row r="748">
          <cell r="B748" t="str">
            <v>01  -  02</v>
          </cell>
          <cell r="C748" t="str">
            <v>OB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60</v>
          </cell>
          <cell r="M748">
            <v>0</v>
          </cell>
          <cell r="N748">
            <v>0</v>
          </cell>
          <cell r="O748">
            <v>0</v>
          </cell>
          <cell r="Q748" t="str">
            <v>General</v>
          </cell>
          <cell r="T748">
            <v>748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</row>
        <row r="749">
          <cell r="B749" t="str">
            <v>02  -  03</v>
          </cell>
          <cell r="C749" t="str">
            <v>OB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60</v>
          </cell>
          <cell r="M749">
            <v>0</v>
          </cell>
          <cell r="N749">
            <v>0</v>
          </cell>
          <cell r="O749">
            <v>0</v>
          </cell>
          <cell r="Q749" t="str">
            <v>General</v>
          </cell>
          <cell r="T749">
            <v>749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</row>
        <row r="750">
          <cell r="B750" t="str">
            <v>03  -  04</v>
          </cell>
          <cell r="C750" t="str">
            <v>OB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60</v>
          </cell>
          <cell r="O750">
            <v>0</v>
          </cell>
          <cell r="Q750" t="str">
            <v>Rain</v>
          </cell>
          <cell r="T750">
            <v>750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</row>
        <row r="751">
          <cell r="B751" t="str">
            <v>04  -  05</v>
          </cell>
          <cell r="C751" t="str">
            <v>OB</v>
          </cell>
          <cell r="D751">
            <v>0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60</v>
          </cell>
          <cell r="Q751" t="str">
            <v>Slippery</v>
          </cell>
          <cell r="T751">
            <v>751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</row>
        <row r="752">
          <cell r="B752" t="str">
            <v>05  -  06</v>
          </cell>
          <cell r="C752" t="str">
            <v>OB</v>
          </cell>
          <cell r="D752">
            <v>0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60</v>
          </cell>
          <cell r="Q752" t="str">
            <v>Slippery</v>
          </cell>
          <cell r="T752">
            <v>752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</row>
        <row r="753">
          <cell r="B753" t="str">
            <v>06  -  07</v>
          </cell>
          <cell r="C753" t="str">
            <v>OB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30</v>
          </cell>
          <cell r="L753">
            <v>0</v>
          </cell>
          <cell r="M753">
            <v>0</v>
          </cell>
          <cell r="N753">
            <v>0</v>
          </cell>
          <cell r="O753">
            <v>30</v>
          </cell>
          <cell r="Q753" t="str">
            <v>Slippery</v>
          </cell>
          <cell r="T753">
            <v>753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</row>
        <row r="754">
          <cell r="B754" t="str">
            <v>RESUME</v>
          </cell>
          <cell r="C754" t="str">
            <v>PROD</v>
          </cell>
          <cell r="E754" t="str">
            <v>PROD'TY</v>
          </cell>
          <cell r="G754" t="str">
            <v>WORK HOURS</v>
          </cell>
          <cell r="J754" t="str">
            <v>LOST TIME</v>
          </cell>
          <cell r="L754" t="str">
            <v>DOWN</v>
          </cell>
          <cell r="M754" t="str">
            <v>PA</v>
          </cell>
          <cell r="O754" t="str">
            <v>UA PROD</v>
          </cell>
          <cell r="Q754" t="str">
            <v>OPERATOR</v>
          </cell>
          <cell r="R754" t="str">
            <v>GROUP LEADER</v>
          </cell>
          <cell r="T754">
            <v>754</v>
          </cell>
        </row>
        <row r="755">
          <cell r="B755" t="str">
            <v>GROUP</v>
          </cell>
          <cell r="C755" t="str">
            <v>WASTE</v>
          </cell>
          <cell r="D755" t="str">
            <v>CC</v>
          </cell>
          <cell r="E755" t="str">
            <v>WASTE</v>
          </cell>
          <cell r="F755" t="str">
            <v>CC</v>
          </cell>
          <cell r="G755" t="str">
            <v>WASTE</v>
          </cell>
          <cell r="H755" t="str">
            <v>CC</v>
          </cell>
          <cell r="I755" t="str">
            <v>GEN</v>
          </cell>
          <cell r="J755" t="str">
            <v>DELAY</v>
          </cell>
          <cell r="K755" t="str">
            <v>IDLE</v>
          </cell>
          <cell r="L755" t="str">
            <v>TIME</v>
          </cell>
          <cell r="M755" t="str">
            <v>PLAN</v>
          </cell>
          <cell r="N755" t="str">
            <v>ACT</v>
          </cell>
          <cell r="O755" t="str">
            <v>PLAN</v>
          </cell>
          <cell r="P755" t="str">
            <v>ACT</v>
          </cell>
          <cell r="T755">
            <v>755</v>
          </cell>
        </row>
        <row r="756">
          <cell r="B756" t="str">
            <v>Shift 1</v>
          </cell>
          <cell r="C756">
            <v>0</v>
          </cell>
          <cell r="D756">
            <v>0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8</v>
          </cell>
          <cell r="K756">
            <v>0</v>
          </cell>
          <cell r="L756">
            <v>0</v>
          </cell>
          <cell r="M756">
            <v>0.95</v>
          </cell>
          <cell r="N756">
            <v>1</v>
          </cell>
          <cell r="O756">
            <v>0.875</v>
          </cell>
          <cell r="P756">
            <v>0</v>
          </cell>
          <cell r="Q756">
            <v>0</v>
          </cell>
          <cell r="R756">
            <v>0</v>
          </cell>
          <cell r="T756">
            <v>756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</row>
        <row r="757">
          <cell r="B757" t="str">
            <v>Shift 2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8</v>
          </cell>
          <cell r="K757">
            <v>0</v>
          </cell>
          <cell r="L757">
            <v>0</v>
          </cell>
          <cell r="M757">
            <v>0.95</v>
          </cell>
          <cell r="N757">
            <v>1</v>
          </cell>
          <cell r="O757">
            <v>0.875</v>
          </cell>
          <cell r="P757">
            <v>0</v>
          </cell>
          <cell r="Q757">
            <v>0</v>
          </cell>
          <cell r="R757">
            <v>0</v>
          </cell>
          <cell r="T757">
            <v>757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</row>
        <row r="758">
          <cell r="B758" t="str">
            <v>Shift 3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0.5</v>
          </cell>
          <cell r="J758">
            <v>4</v>
          </cell>
          <cell r="K758">
            <v>3.5</v>
          </cell>
          <cell r="L758">
            <v>0</v>
          </cell>
          <cell r="M758">
            <v>0.95</v>
          </cell>
          <cell r="N758">
            <v>1</v>
          </cell>
          <cell r="O758">
            <v>0.875</v>
          </cell>
          <cell r="P758">
            <v>6.25E-2</v>
          </cell>
          <cell r="Q758">
            <v>0</v>
          </cell>
          <cell r="R758">
            <v>0</v>
          </cell>
          <cell r="T758">
            <v>758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</row>
        <row r="759">
          <cell r="B759" t="str">
            <v>Shift 6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11</v>
          </cell>
          <cell r="K759">
            <v>0</v>
          </cell>
          <cell r="L759">
            <v>0</v>
          </cell>
          <cell r="M759">
            <v>0.95</v>
          </cell>
          <cell r="N759">
            <v>1</v>
          </cell>
          <cell r="O759">
            <v>0.875</v>
          </cell>
          <cell r="P759">
            <v>0</v>
          </cell>
          <cell r="Q759">
            <v>0</v>
          </cell>
          <cell r="R759">
            <v>0</v>
          </cell>
          <cell r="T759">
            <v>759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</row>
        <row r="760">
          <cell r="B760" t="str">
            <v>Shift 7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0.5</v>
          </cell>
          <cell r="J760">
            <v>9</v>
          </cell>
          <cell r="K760">
            <v>3.5</v>
          </cell>
          <cell r="L760">
            <v>0</v>
          </cell>
          <cell r="M760">
            <v>0.95</v>
          </cell>
          <cell r="N760">
            <v>1</v>
          </cell>
          <cell r="O760">
            <v>0.875</v>
          </cell>
          <cell r="P760">
            <v>3.8461538461538464E-2</v>
          </cell>
          <cell r="Q760">
            <v>0</v>
          </cell>
          <cell r="R760">
            <v>0</v>
          </cell>
          <cell r="T760">
            <v>760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</row>
        <row r="761">
          <cell r="B761" t="str">
            <v>TOTAL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0.5</v>
          </cell>
          <cell r="J761">
            <v>20</v>
          </cell>
          <cell r="K761">
            <v>3.5</v>
          </cell>
          <cell r="L761">
            <v>0</v>
          </cell>
          <cell r="M761">
            <v>0.95</v>
          </cell>
          <cell r="N761">
            <v>1</v>
          </cell>
          <cell r="O761">
            <v>0.875</v>
          </cell>
          <cell r="P761">
            <v>2.0833333333333332E-2</v>
          </cell>
          <cell r="Q761" t="str">
            <v>Hiras Silaban</v>
          </cell>
          <cell r="R761" t="str">
            <v>Fresye A L</v>
          </cell>
          <cell r="T761">
            <v>761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</row>
        <row r="762">
          <cell r="T762">
            <v>762</v>
          </cell>
        </row>
        <row r="763">
          <cell r="B763" t="str">
            <v>TIME</v>
          </cell>
          <cell r="C763" t="str">
            <v>WASTE</v>
          </cell>
          <cell r="D763" t="str">
            <v>KPTJEX009</v>
          </cell>
          <cell r="E763" t="str">
            <v>TYPE</v>
          </cell>
          <cell r="F763" t="str">
            <v>PC 300</v>
          </cell>
          <cell r="H763" t="str">
            <v>Plan Prod'ty :</v>
          </cell>
          <cell r="J763">
            <v>0</v>
          </cell>
          <cell r="M763" t="str">
            <v>Distance :</v>
          </cell>
          <cell r="O763">
            <v>0</v>
          </cell>
          <cell r="T763">
            <v>763</v>
          </cell>
          <cell r="U763" t="str">
            <v>KPTJEX009</v>
          </cell>
        </row>
        <row r="764">
          <cell r="C764" t="str">
            <v>MAT</v>
          </cell>
          <cell r="D764" t="str">
            <v>PROD</v>
          </cell>
          <cell r="E764" t="str">
            <v>PROD'TY</v>
          </cell>
          <cell r="F764" t="str">
            <v>Q'TY DT</v>
          </cell>
          <cell r="J764" t="str">
            <v>HOURS</v>
          </cell>
          <cell r="Q764" t="str">
            <v>REMARK PRODUKTIVITAS</v>
          </cell>
          <cell r="T764">
            <v>764</v>
          </cell>
          <cell r="U764" t="str">
            <v>ROM</v>
          </cell>
          <cell r="V764" t="str">
            <v>Crush1</v>
          </cell>
          <cell r="W764" t="str">
            <v>Crush2</v>
          </cell>
          <cell r="X764" t="str">
            <v>Crush3</v>
          </cell>
          <cell r="Y764" t="str">
            <v>Crush4</v>
          </cell>
          <cell r="Z764" t="str">
            <v>Crush5</v>
          </cell>
          <cell r="AA764" t="str">
            <v>Crush6</v>
          </cell>
        </row>
        <row r="765">
          <cell r="E765" t="str">
            <v>( By work )</v>
          </cell>
          <cell r="F765" t="str">
            <v>785</v>
          </cell>
          <cell r="G765" t="str">
            <v>785-CB</v>
          </cell>
          <cell r="H765" t="str">
            <v>A40/HM</v>
          </cell>
          <cell r="I765" t="str">
            <v>Total</v>
          </cell>
          <cell r="J765" t="str">
            <v>Work</v>
          </cell>
          <cell r="K765" t="str">
            <v>General</v>
          </cell>
          <cell r="L765" t="str">
            <v>Delay</v>
          </cell>
          <cell r="M765" t="str">
            <v>Idle</v>
          </cell>
          <cell r="N765" t="str">
            <v>Rain</v>
          </cell>
          <cell r="O765" t="str">
            <v>Slipp</v>
          </cell>
          <cell r="P765" t="str">
            <v>B/D</v>
          </cell>
          <cell r="T765">
            <v>765</v>
          </cell>
        </row>
        <row r="766">
          <cell r="B766" t="str">
            <v>07  - 08</v>
          </cell>
          <cell r="C766" t="str">
            <v>TS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60</v>
          </cell>
          <cell r="M766">
            <v>0</v>
          </cell>
          <cell r="N766">
            <v>0</v>
          </cell>
          <cell r="O766">
            <v>0</v>
          </cell>
          <cell r="Q766" t="str">
            <v>General Work</v>
          </cell>
          <cell r="T766">
            <v>766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</row>
        <row r="767">
          <cell r="B767" t="str">
            <v>08  - 09</v>
          </cell>
          <cell r="C767" t="str">
            <v>TS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60</v>
          </cell>
          <cell r="M767">
            <v>0</v>
          </cell>
          <cell r="N767">
            <v>0</v>
          </cell>
          <cell r="O767">
            <v>0</v>
          </cell>
          <cell r="Q767" t="str">
            <v>General Work</v>
          </cell>
          <cell r="T767">
            <v>767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</row>
        <row r="768">
          <cell r="B768" t="str">
            <v>09  - 10</v>
          </cell>
          <cell r="C768" t="str">
            <v>TS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60</v>
          </cell>
          <cell r="M768">
            <v>0</v>
          </cell>
          <cell r="N768">
            <v>0</v>
          </cell>
          <cell r="O768">
            <v>0</v>
          </cell>
          <cell r="Q768" t="str">
            <v>General Work</v>
          </cell>
          <cell r="T768">
            <v>768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</row>
        <row r="769">
          <cell r="B769" t="str">
            <v>10  - 11</v>
          </cell>
          <cell r="C769" t="str">
            <v>TS</v>
          </cell>
          <cell r="D769">
            <v>14</v>
          </cell>
          <cell r="E769">
            <v>14</v>
          </cell>
          <cell r="F769">
            <v>0</v>
          </cell>
          <cell r="G769">
            <v>0</v>
          </cell>
          <cell r="H769">
            <v>1</v>
          </cell>
          <cell r="I769">
            <v>1</v>
          </cell>
          <cell r="J769">
            <v>60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Q769" t="str">
            <v>General Work</v>
          </cell>
          <cell r="T769">
            <v>769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</row>
        <row r="770">
          <cell r="B770" t="str">
            <v>11  - 12</v>
          </cell>
          <cell r="C770" t="str">
            <v>TS</v>
          </cell>
          <cell r="D770">
            <v>84</v>
          </cell>
          <cell r="E770">
            <v>84</v>
          </cell>
          <cell r="F770">
            <v>0</v>
          </cell>
          <cell r="G770">
            <v>0</v>
          </cell>
          <cell r="H770">
            <v>1</v>
          </cell>
          <cell r="I770">
            <v>1</v>
          </cell>
          <cell r="J770">
            <v>60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Q770" t="str">
            <v>General Work</v>
          </cell>
          <cell r="T770">
            <v>770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</row>
        <row r="771">
          <cell r="B771" t="str">
            <v>12  - 13</v>
          </cell>
          <cell r="C771" t="str">
            <v>TS</v>
          </cell>
          <cell r="D771">
            <v>0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60</v>
          </cell>
          <cell r="M771">
            <v>0</v>
          </cell>
          <cell r="N771">
            <v>0</v>
          </cell>
          <cell r="O771">
            <v>0</v>
          </cell>
          <cell r="Q771" t="str">
            <v>Rest Time</v>
          </cell>
          <cell r="T771">
            <v>771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</row>
        <row r="772">
          <cell r="B772" t="str">
            <v>13  -  14</v>
          </cell>
          <cell r="C772" t="str">
            <v>TS</v>
          </cell>
          <cell r="D772">
            <v>42</v>
          </cell>
          <cell r="E772">
            <v>42</v>
          </cell>
          <cell r="F772">
            <v>0</v>
          </cell>
          <cell r="G772">
            <v>0</v>
          </cell>
          <cell r="H772">
            <v>1</v>
          </cell>
          <cell r="I772">
            <v>1</v>
          </cell>
          <cell r="J772">
            <v>60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Q772" t="str">
            <v>General Work</v>
          </cell>
          <cell r="T772">
            <v>772</v>
          </cell>
          <cell r="U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</row>
        <row r="773">
          <cell r="B773" t="str">
            <v>14  -  15</v>
          </cell>
          <cell r="C773" t="str">
            <v>TS</v>
          </cell>
          <cell r="D773">
            <v>0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60</v>
          </cell>
          <cell r="M773">
            <v>0</v>
          </cell>
          <cell r="N773">
            <v>0</v>
          </cell>
          <cell r="O773">
            <v>0</v>
          </cell>
          <cell r="Q773" t="str">
            <v>General Work</v>
          </cell>
          <cell r="T773">
            <v>773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</row>
        <row r="774">
          <cell r="B774" t="str">
            <v>15  -  16</v>
          </cell>
          <cell r="C774" t="str">
            <v>TS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60</v>
          </cell>
          <cell r="M774">
            <v>0</v>
          </cell>
          <cell r="N774">
            <v>0</v>
          </cell>
          <cell r="O774">
            <v>0</v>
          </cell>
          <cell r="Q774" t="str">
            <v>General Work</v>
          </cell>
          <cell r="T774">
            <v>774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</row>
        <row r="775">
          <cell r="B775" t="str">
            <v>16  -  17</v>
          </cell>
          <cell r="C775" t="str">
            <v>TS</v>
          </cell>
          <cell r="D775">
            <v>84</v>
          </cell>
          <cell r="E775">
            <v>84</v>
          </cell>
          <cell r="F775">
            <v>0</v>
          </cell>
          <cell r="G775">
            <v>0</v>
          </cell>
          <cell r="H775">
            <v>1</v>
          </cell>
          <cell r="I775">
            <v>1</v>
          </cell>
          <cell r="J775">
            <v>60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Q775" t="str">
            <v>General Work</v>
          </cell>
          <cell r="T775">
            <v>775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</row>
        <row r="776">
          <cell r="B776" t="str">
            <v>17  -  18</v>
          </cell>
          <cell r="C776" t="str">
            <v>TS</v>
          </cell>
          <cell r="D776">
            <v>70</v>
          </cell>
          <cell r="E776">
            <v>84</v>
          </cell>
          <cell r="F776">
            <v>0</v>
          </cell>
          <cell r="G776">
            <v>0</v>
          </cell>
          <cell r="H776">
            <v>1</v>
          </cell>
          <cell r="I776">
            <v>1</v>
          </cell>
          <cell r="J776">
            <v>50</v>
          </cell>
          <cell r="K776">
            <v>0</v>
          </cell>
          <cell r="L776">
            <v>10</v>
          </cell>
          <cell r="M776">
            <v>0</v>
          </cell>
          <cell r="N776">
            <v>0</v>
          </cell>
          <cell r="O776">
            <v>0</v>
          </cell>
          <cell r="Q776" t="str">
            <v>Shift Change</v>
          </cell>
          <cell r="T776">
            <v>776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</row>
        <row r="777">
          <cell r="B777" t="str">
            <v>18  -  19</v>
          </cell>
          <cell r="C777" t="str">
            <v>TS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60</v>
          </cell>
          <cell r="M777">
            <v>0</v>
          </cell>
          <cell r="N777">
            <v>0</v>
          </cell>
          <cell r="O777">
            <v>0</v>
          </cell>
          <cell r="Q777" t="str">
            <v>General</v>
          </cell>
          <cell r="T777">
            <v>777</v>
          </cell>
          <cell r="U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  <cell r="AA777">
            <v>0</v>
          </cell>
        </row>
        <row r="778">
          <cell r="B778" t="str">
            <v>19  -  20</v>
          </cell>
          <cell r="C778" t="str">
            <v>TS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60</v>
          </cell>
          <cell r="M778">
            <v>0</v>
          </cell>
          <cell r="N778">
            <v>0</v>
          </cell>
          <cell r="O778">
            <v>0</v>
          </cell>
          <cell r="Q778" t="str">
            <v>General</v>
          </cell>
          <cell r="T778">
            <v>778</v>
          </cell>
          <cell r="U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>
            <v>0</v>
          </cell>
        </row>
        <row r="779">
          <cell r="B779" t="str">
            <v>20  -  21</v>
          </cell>
          <cell r="C779" t="str">
            <v>TS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60</v>
          </cell>
          <cell r="M779">
            <v>0</v>
          </cell>
          <cell r="N779">
            <v>0</v>
          </cell>
          <cell r="O779">
            <v>0</v>
          </cell>
          <cell r="Q779" t="str">
            <v>General</v>
          </cell>
          <cell r="T779">
            <v>779</v>
          </cell>
          <cell r="U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</row>
        <row r="780">
          <cell r="B780" t="str">
            <v>21  -  22</v>
          </cell>
          <cell r="C780" t="str">
            <v>TS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60</v>
          </cell>
          <cell r="M780">
            <v>0</v>
          </cell>
          <cell r="N780">
            <v>0</v>
          </cell>
          <cell r="O780">
            <v>0</v>
          </cell>
          <cell r="Q780" t="str">
            <v>General</v>
          </cell>
          <cell r="T780">
            <v>780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</row>
        <row r="781">
          <cell r="B781" t="str">
            <v>22  -  23</v>
          </cell>
          <cell r="C781" t="str">
            <v>TS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60</v>
          </cell>
          <cell r="M781">
            <v>0</v>
          </cell>
          <cell r="N781">
            <v>0</v>
          </cell>
          <cell r="O781">
            <v>0</v>
          </cell>
          <cell r="Q781" t="str">
            <v>General</v>
          </cell>
          <cell r="T781">
            <v>781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</row>
        <row r="782">
          <cell r="B782" t="str">
            <v>23  -  24</v>
          </cell>
          <cell r="C782" t="str">
            <v>TS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60</v>
          </cell>
          <cell r="M782">
            <v>0</v>
          </cell>
          <cell r="N782">
            <v>0</v>
          </cell>
          <cell r="O782">
            <v>0</v>
          </cell>
          <cell r="Q782" t="str">
            <v>General</v>
          </cell>
          <cell r="T782">
            <v>782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</row>
        <row r="783">
          <cell r="B783" t="str">
            <v>24  -  01</v>
          </cell>
          <cell r="C783" t="str">
            <v>TS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60</v>
          </cell>
          <cell r="M783">
            <v>0</v>
          </cell>
          <cell r="N783">
            <v>0</v>
          </cell>
          <cell r="O783">
            <v>0</v>
          </cell>
          <cell r="Q783" t="str">
            <v>Rest Time</v>
          </cell>
          <cell r="T783">
            <v>783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</row>
        <row r="784">
          <cell r="B784" t="str">
            <v>01  -  02</v>
          </cell>
          <cell r="C784" t="str">
            <v>TS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60</v>
          </cell>
          <cell r="M784">
            <v>0</v>
          </cell>
          <cell r="N784">
            <v>0</v>
          </cell>
          <cell r="O784">
            <v>0</v>
          </cell>
          <cell r="Q784" t="str">
            <v>General</v>
          </cell>
          <cell r="T784">
            <v>784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</row>
        <row r="785">
          <cell r="B785" t="str">
            <v>02  -  03</v>
          </cell>
          <cell r="C785" t="str">
            <v>TS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60</v>
          </cell>
          <cell r="M785">
            <v>0</v>
          </cell>
          <cell r="N785">
            <v>0</v>
          </cell>
          <cell r="O785">
            <v>0</v>
          </cell>
          <cell r="Q785" t="str">
            <v>General</v>
          </cell>
          <cell r="T785">
            <v>785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</row>
        <row r="786">
          <cell r="B786" t="str">
            <v>03  -  04</v>
          </cell>
          <cell r="C786" t="str">
            <v>TS</v>
          </cell>
          <cell r="D786">
            <v>0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60</v>
          </cell>
          <cell r="O786">
            <v>0</v>
          </cell>
          <cell r="Q786" t="str">
            <v>Rain</v>
          </cell>
          <cell r="T786">
            <v>786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</row>
        <row r="787">
          <cell r="B787" t="str">
            <v>04  -  05</v>
          </cell>
          <cell r="C787" t="str">
            <v>TS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60</v>
          </cell>
          <cell r="Q787" t="str">
            <v>Slippery</v>
          </cell>
          <cell r="T787">
            <v>787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</row>
        <row r="788">
          <cell r="B788" t="str">
            <v>05  -  06</v>
          </cell>
          <cell r="C788" t="str">
            <v>TS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60</v>
          </cell>
          <cell r="Q788" t="str">
            <v>Slippery</v>
          </cell>
          <cell r="T788">
            <v>788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</row>
        <row r="789">
          <cell r="B789" t="str">
            <v>06  -  07</v>
          </cell>
          <cell r="C789" t="str">
            <v>TS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30</v>
          </cell>
          <cell r="L789">
            <v>0</v>
          </cell>
          <cell r="M789">
            <v>0</v>
          </cell>
          <cell r="N789">
            <v>0</v>
          </cell>
          <cell r="O789">
            <v>30</v>
          </cell>
          <cell r="Q789" t="str">
            <v>Slippery</v>
          </cell>
          <cell r="T789">
            <v>789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</row>
        <row r="790">
          <cell r="B790" t="str">
            <v>RESUME</v>
          </cell>
          <cell r="C790" t="str">
            <v>PROD</v>
          </cell>
          <cell r="E790" t="str">
            <v>PROD'TY</v>
          </cell>
          <cell r="G790" t="str">
            <v>WORK HOURS</v>
          </cell>
          <cell r="J790" t="str">
            <v>LOST TIME</v>
          </cell>
          <cell r="L790" t="str">
            <v>DOWN</v>
          </cell>
          <cell r="M790" t="str">
            <v>PA</v>
          </cell>
          <cell r="O790" t="str">
            <v>UA PROD</v>
          </cell>
          <cell r="Q790" t="str">
            <v>OPERATOR</v>
          </cell>
          <cell r="R790" t="str">
            <v>GROUP LEADER</v>
          </cell>
          <cell r="T790">
            <v>790</v>
          </cell>
        </row>
        <row r="791">
          <cell r="B791" t="str">
            <v>GROUP</v>
          </cell>
          <cell r="C791" t="str">
            <v>WASTE</v>
          </cell>
          <cell r="D791" t="str">
            <v>CC</v>
          </cell>
          <cell r="E791" t="str">
            <v>WASTE</v>
          </cell>
          <cell r="F791" t="str">
            <v>CC</v>
          </cell>
          <cell r="G791" t="str">
            <v>WASTE</v>
          </cell>
          <cell r="H791" t="str">
            <v>CC</v>
          </cell>
          <cell r="I791" t="str">
            <v>GEN</v>
          </cell>
          <cell r="J791" t="str">
            <v>DELAY</v>
          </cell>
          <cell r="K791" t="str">
            <v>IDLE</v>
          </cell>
          <cell r="L791" t="str">
            <v>TIME</v>
          </cell>
          <cell r="M791" t="str">
            <v>PLAN</v>
          </cell>
          <cell r="N791" t="str">
            <v>ACT</v>
          </cell>
          <cell r="O791" t="str">
            <v>PLAN</v>
          </cell>
          <cell r="P791" t="str">
            <v>ACT</v>
          </cell>
          <cell r="T791">
            <v>791</v>
          </cell>
        </row>
        <row r="792">
          <cell r="B792" t="str">
            <v>Shift 1</v>
          </cell>
          <cell r="C792">
            <v>140</v>
          </cell>
          <cell r="D792">
            <v>0</v>
          </cell>
          <cell r="E792">
            <v>46.666666666666664</v>
          </cell>
          <cell r="F792">
            <v>0</v>
          </cell>
          <cell r="G792">
            <v>3</v>
          </cell>
          <cell r="H792">
            <v>0</v>
          </cell>
          <cell r="I792">
            <v>0</v>
          </cell>
          <cell r="J792">
            <v>5</v>
          </cell>
          <cell r="K792">
            <v>0</v>
          </cell>
          <cell r="L792">
            <v>0</v>
          </cell>
          <cell r="M792">
            <v>0.95</v>
          </cell>
          <cell r="N792">
            <v>1</v>
          </cell>
          <cell r="O792">
            <v>0.875</v>
          </cell>
          <cell r="P792">
            <v>0.375</v>
          </cell>
          <cell r="Q792">
            <v>0</v>
          </cell>
          <cell r="R792">
            <v>0</v>
          </cell>
          <cell r="T792">
            <v>792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</row>
        <row r="793">
          <cell r="B793" t="str">
            <v>Shift 2</v>
          </cell>
          <cell r="C793">
            <v>154</v>
          </cell>
          <cell r="D793">
            <v>0</v>
          </cell>
          <cell r="E793">
            <v>84</v>
          </cell>
          <cell r="F793">
            <v>0</v>
          </cell>
          <cell r="G793">
            <v>1.8333333333333333</v>
          </cell>
          <cell r="H793">
            <v>0</v>
          </cell>
          <cell r="I793">
            <v>0</v>
          </cell>
          <cell r="J793">
            <v>6.166666666666667</v>
          </cell>
          <cell r="K793">
            <v>0</v>
          </cell>
          <cell r="L793">
            <v>0</v>
          </cell>
          <cell r="M793">
            <v>0.95</v>
          </cell>
          <cell r="N793">
            <v>1</v>
          </cell>
          <cell r="O793">
            <v>0.875</v>
          </cell>
          <cell r="P793">
            <v>0.22916666666666666</v>
          </cell>
          <cell r="Q793">
            <v>0</v>
          </cell>
          <cell r="R793">
            <v>0</v>
          </cell>
          <cell r="T793">
            <v>793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</row>
        <row r="794">
          <cell r="B794" t="str">
            <v>Shift 3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  <cell r="I794">
            <v>0.5</v>
          </cell>
          <cell r="J794">
            <v>4</v>
          </cell>
          <cell r="K794">
            <v>3.5</v>
          </cell>
          <cell r="L794">
            <v>0</v>
          </cell>
          <cell r="M794">
            <v>0.95</v>
          </cell>
          <cell r="N794">
            <v>1</v>
          </cell>
          <cell r="O794">
            <v>0.875</v>
          </cell>
          <cell r="P794">
            <v>6.25E-2</v>
          </cell>
          <cell r="Q794">
            <v>0</v>
          </cell>
          <cell r="R794">
            <v>0</v>
          </cell>
          <cell r="T794">
            <v>794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</row>
        <row r="795">
          <cell r="B795" t="str">
            <v>Shift 6</v>
          </cell>
          <cell r="C795">
            <v>294</v>
          </cell>
          <cell r="D795">
            <v>0</v>
          </cell>
          <cell r="E795">
            <v>60.827586206896555</v>
          </cell>
          <cell r="F795">
            <v>0</v>
          </cell>
          <cell r="G795">
            <v>4.833333333333333</v>
          </cell>
          <cell r="H795">
            <v>0</v>
          </cell>
          <cell r="I795">
            <v>0</v>
          </cell>
          <cell r="J795">
            <v>6.166666666666667</v>
          </cell>
          <cell r="K795">
            <v>0</v>
          </cell>
          <cell r="L795">
            <v>0</v>
          </cell>
          <cell r="M795">
            <v>0.95</v>
          </cell>
          <cell r="N795">
            <v>1</v>
          </cell>
          <cell r="O795">
            <v>0.875</v>
          </cell>
          <cell r="P795">
            <v>0.43939393939393939</v>
          </cell>
          <cell r="Q795">
            <v>0</v>
          </cell>
          <cell r="R795">
            <v>0</v>
          </cell>
          <cell r="T795">
            <v>795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</row>
        <row r="796">
          <cell r="B796" t="str">
            <v>Shift 7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0.5</v>
          </cell>
          <cell r="J796">
            <v>9</v>
          </cell>
          <cell r="K796">
            <v>3.5</v>
          </cell>
          <cell r="L796">
            <v>0</v>
          </cell>
          <cell r="M796">
            <v>0.95</v>
          </cell>
          <cell r="N796">
            <v>1</v>
          </cell>
          <cell r="O796">
            <v>0.875</v>
          </cell>
          <cell r="P796">
            <v>3.8461538461538464E-2</v>
          </cell>
          <cell r="Q796">
            <v>0</v>
          </cell>
          <cell r="R796">
            <v>0</v>
          </cell>
          <cell r="T796">
            <v>796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</row>
        <row r="797">
          <cell r="B797" t="str">
            <v>TOTAL</v>
          </cell>
          <cell r="C797">
            <v>294</v>
          </cell>
          <cell r="D797">
            <v>0</v>
          </cell>
          <cell r="E797">
            <v>60.827586206896555</v>
          </cell>
          <cell r="F797">
            <v>0</v>
          </cell>
          <cell r="G797">
            <v>4.833333333333333</v>
          </cell>
          <cell r="H797">
            <v>0</v>
          </cell>
          <cell r="I797">
            <v>0.5</v>
          </cell>
          <cell r="J797">
            <v>15.166666666666668</v>
          </cell>
          <cell r="K797">
            <v>3.5</v>
          </cell>
          <cell r="L797">
            <v>0</v>
          </cell>
          <cell r="M797">
            <v>0.95</v>
          </cell>
          <cell r="N797">
            <v>1</v>
          </cell>
          <cell r="O797">
            <v>0.875</v>
          </cell>
          <cell r="P797">
            <v>0.22222222222222221</v>
          </cell>
          <cell r="Q797" t="str">
            <v>Hiras Silaban</v>
          </cell>
          <cell r="R797" t="str">
            <v>Fresye A L</v>
          </cell>
          <cell r="T797">
            <v>797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</row>
        <row r="798">
          <cell r="T798">
            <v>798</v>
          </cell>
        </row>
        <row r="799">
          <cell r="B799" t="str">
            <v>TIME</v>
          </cell>
          <cell r="C799" t="str">
            <v>WASTE</v>
          </cell>
          <cell r="D799" t="str">
            <v>KPLMEX002</v>
          </cell>
          <cell r="E799" t="str">
            <v>TYPE</v>
          </cell>
          <cell r="F799" t="str">
            <v>PC 5500</v>
          </cell>
          <cell r="H799" t="str">
            <v>Plan Prod'ty :</v>
          </cell>
          <cell r="J799">
            <v>0</v>
          </cell>
          <cell r="M799" t="str">
            <v>Distance :</v>
          </cell>
          <cell r="O799">
            <v>0</v>
          </cell>
          <cell r="T799">
            <v>799</v>
          </cell>
          <cell r="U799" t="str">
            <v>KPLMEX002</v>
          </cell>
        </row>
        <row r="800">
          <cell r="C800" t="str">
            <v>MAT</v>
          </cell>
          <cell r="D800" t="str">
            <v>PROD</v>
          </cell>
          <cell r="E800" t="str">
            <v>PROD'TY</v>
          </cell>
          <cell r="F800" t="str">
            <v>Q'TY DT</v>
          </cell>
          <cell r="J800" t="str">
            <v>HOURS</v>
          </cell>
          <cell r="Q800" t="str">
            <v>REMARK PRODUKTIVITAS</v>
          </cell>
          <cell r="T800">
            <v>800</v>
          </cell>
          <cell r="U800" t="str">
            <v>ROM</v>
          </cell>
          <cell r="V800" t="str">
            <v>Crush1</v>
          </cell>
          <cell r="W800" t="str">
            <v>Crush2</v>
          </cell>
          <cell r="X800" t="str">
            <v>Crush3</v>
          </cell>
          <cell r="Y800" t="str">
            <v>Crush4</v>
          </cell>
          <cell r="Z800" t="str">
            <v>Crush5</v>
          </cell>
          <cell r="AA800" t="str">
            <v>Crush6</v>
          </cell>
        </row>
        <row r="801">
          <cell r="E801" t="str">
            <v>( By work )</v>
          </cell>
          <cell r="F801" t="str">
            <v>785</v>
          </cell>
          <cell r="G801" t="str">
            <v>785-CB</v>
          </cell>
          <cell r="H801" t="str">
            <v>A40/HM</v>
          </cell>
          <cell r="I801" t="str">
            <v>Total</v>
          </cell>
          <cell r="J801" t="str">
            <v>Work</v>
          </cell>
          <cell r="K801" t="str">
            <v>General</v>
          </cell>
          <cell r="L801" t="str">
            <v>Delay</v>
          </cell>
          <cell r="M801" t="str">
            <v>Idle</v>
          </cell>
          <cell r="N801" t="str">
            <v>Rain</v>
          </cell>
          <cell r="O801" t="str">
            <v>Slipp</v>
          </cell>
          <cell r="P801" t="str">
            <v>B/D</v>
          </cell>
          <cell r="T801">
            <v>801</v>
          </cell>
        </row>
        <row r="802">
          <cell r="B802" t="str">
            <v>07  - 08</v>
          </cell>
          <cell r="C802" t="str">
            <v>CC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  <cell r="I802">
            <v>0</v>
          </cell>
          <cell r="J802">
            <v>0</v>
          </cell>
          <cell r="K802">
            <v>60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Q802" t="str">
            <v>Cleaning Coal</v>
          </cell>
          <cell r="T802">
            <v>802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</row>
        <row r="803">
          <cell r="B803" t="str">
            <v>08  - 09</v>
          </cell>
          <cell r="C803" t="str">
            <v>CC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  <cell r="K803">
            <v>60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Q803" t="str">
            <v>Cleaning Coal</v>
          </cell>
          <cell r="T803">
            <v>803</v>
          </cell>
          <cell r="U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>
            <v>0</v>
          </cell>
        </row>
        <row r="804">
          <cell r="B804" t="str">
            <v>09  - 10</v>
          </cell>
          <cell r="C804" t="str">
            <v>CC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  <cell r="K804">
            <v>60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Q804" t="str">
            <v>Cleaning Coal</v>
          </cell>
          <cell r="T804">
            <v>804</v>
          </cell>
          <cell r="U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</row>
        <row r="805">
          <cell r="B805" t="str">
            <v>10  - 11</v>
          </cell>
          <cell r="C805" t="str">
            <v>CC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  <cell r="K805">
            <v>60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Q805" t="str">
            <v>Cleaning Coal</v>
          </cell>
          <cell r="T805">
            <v>805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</row>
        <row r="806">
          <cell r="B806" t="str">
            <v>11  - 12</v>
          </cell>
          <cell r="C806" t="str">
            <v>CC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60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Q806" t="str">
            <v>Cleaning Coal</v>
          </cell>
          <cell r="T806">
            <v>806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</row>
        <row r="807">
          <cell r="B807" t="str">
            <v>12  - 13</v>
          </cell>
          <cell r="C807" t="str">
            <v>CC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  <cell r="L807">
            <v>60</v>
          </cell>
          <cell r="M807">
            <v>0</v>
          </cell>
          <cell r="N807">
            <v>0</v>
          </cell>
          <cell r="O807">
            <v>0</v>
          </cell>
          <cell r="Q807" t="str">
            <v>Rest Time</v>
          </cell>
          <cell r="T807">
            <v>807</v>
          </cell>
          <cell r="U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</row>
        <row r="808">
          <cell r="B808" t="str">
            <v>13  -  14</v>
          </cell>
          <cell r="C808" t="str">
            <v>CC</v>
          </cell>
          <cell r="D808">
            <v>0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I808">
            <v>0</v>
          </cell>
          <cell r="J808">
            <v>0</v>
          </cell>
          <cell r="K808">
            <v>60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Q808" t="str">
            <v>Cleaning Coal</v>
          </cell>
          <cell r="T808">
            <v>808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</row>
        <row r="809">
          <cell r="B809" t="str">
            <v>14  -  15</v>
          </cell>
          <cell r="C809" t="str">
            <v>CC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  <cell r="K809">
            <v>60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Q809" t="str">
            <v>Cleaning Coal</v>
          </cell>
          <cell r="T809">
            <v>809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</row>
        <row r="810">
          <cell r="B810" t="str">
            <v>15  -  16</v>
          </cell>
          <cell r="C810" t="str">
            <v>CC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60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Q810" t="str">
            <v>Cleaning Coal</v>
          </cell>
          <cell r="T810">
            <v>810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</row>
        <row r="811">
          <cell r="B811" t="str">
            <v>16  -  17</v>
          </cell>
          <cell r="C811" t="str">
            <v>CC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60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Q811" t="str">
            <v>Cleaning Coal</v>
          </cell>
          <cell r="T811">
            <v>811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</row>
        <row r="812">
          <cell r="B812" t="str">
            <v>17  -  18</v>
          </cell>
          <cell r="C812" t="str">
            <v>CC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30</v>
          </cell>
          <cell r="L812">
            <v>30</v>
          </cell>
          <cell r="M812">
            <v>0</v>
          </cell>
          <cell r="N812">
            <v>0</v>
          </cell>
          <cell r="O812">
            <v>0</v>
          </cell>
          <cell r="Q812" t="str">
            <v>Shift Change</v>
          </cell>
          <cell r="T812">
            <v>812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</row>
        <row r="813">
          <cell r="B813" t="str">
            <v>18  -  19</v>
          </cell>
          <cell r="C813" t="str">
            <v>CC</v>
          </cell>
          <cell r="D813">
            <v>0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  <cell r="K813">
            <v>60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Q813" t="str">
            <v>Cleaning Coal</v>
          </cell>
          <cell r="T813">
            <v>813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</row>
        <row r="814">
          <cell r="B814" t="str">
            <v>19  -  20</v>
          </cell>
          <cell r="C814" t="str">
            <v>CC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  <cell r="K814">
            <v>60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Q814" t="str">
            <v>Cleaning Coal</v>
          </cell>
          <cell r="T814">
            <v>814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</row>
        <row r="815">
          <cell r="B815" t="str">
            <v>20  -  21</v>
          </cell>
          <cell r="C815" t="str">
            <v>CC</v>
          </cell>
          <cell r="D815">
            <v>0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  <cell r="K815">
            <v>60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Q815" t="str">
            <v>Cleaning Coal</v>
          </cell>
          <cell r="T815">
            <v>815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</row>
        <row r="816">
          <cell r="B816" t="str">
            <v>21  -  22</v>
          </cell>
          <cell r="C816" t="str">
            <v>CC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  <cell r="K816">
            <v>60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Q816" t="str">
            <v>Cleaning Coal</v>
          </cell>
          <cell r="T816">
            <v>816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</row>
        <row r="817">
          <cell r="B817" t="str">
            <v>22  -  23</v>
          </cell>
          <cell r="C817" t="str">
            <v>CC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60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Q817" t="str">
            <v>Cleaning Coal</v>
          </cell>
          <cell r="T817">
            <v>817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</row>
        <row r="818">
          <cell r="B818" t="str">
            <v>23  -  24</v>
          </cell>
          <cell r="C818" t="str">
            <v>CC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60</v>
          </cell>
          <cell r="M818">
            <v>0</v>
          </cell>
          <cell r="N818">
            <v>0</v>
          </cell>
          <cell r="O818">
            <v>0</v>
          </cell>
          <cell r="Q818" t="str">
            <v>Rest Time</v>
          </cell>
          <cell r="T818">
            <v>818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</row>
        <row r="819">
          <cell r="B819" t="str">
            <v>24  -  01</v>
          </cell>
          <cell r="C819" t="str">
            <v>CC</v>
          </cell>
          <cell r="D819">
            <v>0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60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Q819" t="str">
            <v>Cleaning Coal</v>
          </cell>
          <cell r="T819">
            <v>819</v>
          </cell>
          <cell r="U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</row>
        <row r="820">
          <cell r="B820" t="str">
            <v>01  -  02</v>
          </cell>
          <cell r="C820" t="str">
            <v>CC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60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Q820" t="str">
            <v>Cleaning Coal</v>
          </cell>
          <cell r="T820">
            <v>820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</row>
        <row r="821">
          <cell r="B821" t="str">
            <v>02  -  03</v>
          </cell>
          <cell r="C821" t="str">
            <v>CC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60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Q821" t="str">
            <v>Cleaning Coal</v>
          </cell>
          <cell r="T821">
            <v>821</v>
          </cell>
          <cell r="U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</row>
        <row r="822">
          <cell r="B822" t="str">
            <v>03  -  04</v>
          </cell>
          <cell r="C822" t="str">
            <v>CC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60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Q822" t="str">
            <v>Cleaning Coal</v>
          </cell>
          <cell r="T822">
            <v>822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</row>
        <row r="823">
          <cell r="B823" t="str">
            <v>04  -  05</v>
          </cell>
          <cell r="C823" t="str">
            <v>CC</v>
          </cell>
          <cell r="D823">
            <v>0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60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Q823" t="str">
            <v>Cleaning Coal</v>
          </cell>
          <cell r="T823">
            <v>823</v>
          </cell>
          <cell r="U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</row>
        <row r="824">
          <cell r="B824" t="str">
            <v>05  -  06</v>
          </cell>
          <cell r="C824" t="str">
            <v>CC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60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Q824" t="str">
            <v>Cleaning Coal</v>
          </cell>
          <cell r="T824">
            <v>824</v>
          </cell>
          <cell r="U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</row>
        <row r="825">
          <cell r="B825" t="str">
            <v>06  -  07</v>
          </cell>
          <cell r="C825" t="str">
            <v>CC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60</v>
          </cell>
          <cell r="M825">
            <v>0</v>
          </cell>
          <cell r="N825">
            <v>0</v>
          </cell>
          <cell r="O825">
            <v>0</v>
          </cell>
          <cell r="Q825" t="str">
            <v>Shift Change</v>
          </cell>
          <cell r="T825">
            <v>825</v>
          </cell>
          <cell r="U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</row>
        <row r="826">
          <cell r="B826" t="str">
            <v>RESUME</v>
          </cell>
          <cell r="C826" t="str">
            <v>PROD</v>
          </cell>
          <cell r="E826" t="str">
            <v>PROD'TY</v>
          </cell>
          <cell r="G826" t="str">
            <v>WORK HOURS</v>
          </cell>
          <cell r="J826" t="str">
            <v>LOST TIME</v>
          </cell>
          <cell r="L826" t="str">
            <v>DOWN</v>
          </cell>
          <cell r="M826" t="str">
            <v>PA</v>
          </cell>
          <cell r="O826" t="str">
            <v>UA PROD</v>
          </cell>
          <cell r="Q826" t="str">
            <v>OPERATOR</v>
          </cell>
          <cell r="R826" t="str">
            <v>GROUP LEADER</v>
          </cell>
          <cell r="T826">
            <v>826</v>
          </cell>
        </row>
        <row r="827">
          <cell r="B827" t="str">
            <v>GROUP</v>
          </cell>
          <cell r="C827" t="str">
            <v>WASTE</v>
          </cell>
          <cell r="D827" t="str">
            <v>CC</v>
          </cell>
          <cell r="E827" t="str">
            <v>WASTE</v>
          </cell>
          <cell r="F827" t="str">
            <v>CC</v>
          </cell>
          <cell r="G827" t="str">
            <v>WASTE</v>
          </cell>
          <cell r="H827" t="str">
            <v>CC</v>
          </cell>
          <cell r="I827" t="str">
            <v>GEN</v>
          </cell>
          <cell r="J827" t="str">
            <v>DELAY</v>
          </cell>
          <cell r="K827" t="str">
            <v>IDLE</v>
          </cell>
          <cell r="L827" t="str">
            <v>TIME</v>
          </cell>
          <cell r="M827" t="str">
            <v>PLAN</v>
          </cell>
          <cell r="N827" t="str">
            <v>ACT</v>
          </cell>
          <cell r="O827" t="str">
            <v>PLAN</v>
          </cell>
          <cell r="P827" t="str">
            <v>ACT</v>
          </cell>
          <cell r="T827">
            <v>827</v>
          </cell>
        </row>
        <row r="828">
          <cell r="B828" t="str">
            <v>Shift 1</v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7</v>
          </cell>
          <cell r="J828">
            <v>1</v>
          </cell>
          <cell r="K828">
            <v>0</v>
          </cell>
          <cell r="L828">
            <v>0</v>
          </cell>
          <cell r="M828">
            <v>0.95</v>
          </cell>
          <cell r="N828">
            <v>1</v>
          </cell>
          <cell r="O828">
            <v>0.875</v>
          </cell>
          <cell r="P828">
            <v>0.875</v>
          </cell>
          <cell r="Q828">
            <v>0</v>
          </cell>
          <cell r="R828">
            <v>0</v>
          </cell>
          <cell r="T828">
            <v>828</v>
          </cell>
          <cell r="U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</row>
        <row r="829">
          <cell r="B829" t="str">
            <v>Shift 2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7.5</v>
          </cell>
          <cell r="J829">
            <v>0.5</v>
          </cell>
          <cell r="K829">
            <v>0</v>
          </cell>
          <cell r="L829">
            <v>0</v>
          </cell>
          <cell r="M829">
            <v>0.95</v>
          </cell>
          <cell r="N829">
            <v>1</v>
          </cell>
          <cell r="O829">
            <v>0.875</v>
          </cell>
          <cell r="P829">
            <v>0.9375</v>
          </cell>
          <cell r="Q829">
            <v>0</v>
          </cell>
          <cell r="R829">
            <v>0</v>
          </cell>
          <cell r="T829">
            <v>829</v>
          </cell>
          <cell r="U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</row>
        <row r="830">
          <cell r="B830" t="str">
            <v>Shift 3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6</v>
          </cell>
          <cell r="J830">
            <v>2</v>
          </cell>
          <cell r="K830">
            <v>0</v>
          </cell>
          <cell r="L830">
            <v>0</v>
          </cell>
          <cell r="M830">
            <v>0.95</v>
          </cell>
          <cell r="N830">
            <v>1</v>
          </cell>
          <cell r="O830">
            <v>0.875</v>
          </cell>
          <cell r="P830">
            <v>0.75</v>
          </cell>
          <cell r="Q830">
            <v>0</v>
          </cell>
          <cell r="R830">
            <v>0</v>
          </cell>
          <cell r="T830">
            <v>830</v>
          </cell>
          <cell r="U830">
            <v>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</row>
        <row r="831">
          <cell r="B831" t="str">
            <v>Shift 6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9.5</v>
          </cell>
          <cell r="J831">
            <v>1.5</v>
          </cell>
          <cell r="K831">
            <v>0</v>
          </cell>
          <cell r="L831">
            <v>0</v>
          </cell>
          <cell r="M831">
            <v>0.95</v>
          </cell>
          <cell r="N831">
            <v>1</v>
          </cell>
          <cell r="O831">
            <v>0.875</v>
          </cell>
          <cell r="P831">
            <v>0.86363636363636365</v>
          </cell>
          <cell r="Q831">
            <v>0</v>
          </cell>
          <cell r="R831">
            <v>0</v>
          </cell>
          <cell r="T831">
            <v>831</v>
          </cell>
          <cell r="U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</row>
        <row r="832">
          <cell r="B832" t="str">
            <v>Shift 7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11</v>
          </cell>
          <cell r="J832">
            <v>2</v>
          </cell>
          <cell r="K832">
            <v>0</v>
          </cell>
          <cell r="L832">
            <v>0</v>
          </cell>
          <cell r="M832">
            <v>0.95</v>
          </cell>
          <cell r="N832">
            <v>1</v>
          </cell>
          <cell r="O832">
            <v>0.875</v>
          </cell>
          <cell r="P832">
            <v>0.84615384615384615</v>
          </cell>
          <cell r="Q832">
            <v>0</v>
          </cell>
          <cell r="R832">
            <v>0</v>
          </cell>
          <cell r="T832">
            <v>832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</row>
        <row r="833">
          <cell r="B833" t="str">
            <v>TOTAL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20.5</v>
          </cell>
          <cell r="J833">
            <v>3.5</v>
          </cell>
          <cell r="K833">
            <v>0</v>
          </cell>
          <cell r="L833">
            <v>0</v>
          </cell>
          <cell r="M833">
            <v>0.95</v>
          </cell>
          <cell r="N833">
            <v>1</v>
          </cell>
          <cell r="O833">
            <v>0.875</v>
          </cell>
          <cell r="P833">
            <v>0.85416666666666663</v>
          </cell>
          <cell r="Q833" t="str">
            <v>Hiras Silaban</v>
          </cell>
          <cell r="R833" t="str">
            <v>Fresye A L</v>
          </cell>
          <cell r="T833">
            <v>833</v>
          </cell>
          <cell r="U833">
            <v>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OST"/>
      <sheetName val="Overall"/>
      <sheetName val="crushnsp"/>
      <sheetName val="pittonsp"/>
      <sheetName val="KODJA"/>
      <sheetName val="Cruser Sp71"/>
      <sheetName val="Blasting_per_block"/>
      <sheetName val="Overall_plan"/>
      <sheetName val="Productivity"/>
      <sheetName val="UA_PA"/>
      <sheetName val="PA"/>
      <sheetName val="KPI"/>
      <sheetName val="_SAF 02"/>
      <sheetName val=" SAF 02"/>
      <sheetName val="HOURLY"/>
      <sheetName val="dBase"/>
      <sheetName val="dBonus"/>
      <sheetName val="Database"/>
      <sheetName val="sum"/>
      <sheetName val="bantuan"/>
      <sheetName val="Quar Mon"/>
      <sheetName val="base quality"/>
      <sheetName val="Plan 2017"/>
      <sheetName val="coal transpor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puasa"/>
      <sheetName val="WK#01"/>
      <sheetName val="WK#02"/>
      <sheetName val="WK#03"/>
      <sheetName val="WK#04"/>
      <sheetName val="WK#05"/>
      <sheetName val="WK#06"/>
      <sheetName val="MONTHLY"/>
      <sheetName val="ABSEN"/>
      <sheetName val="air_klp_biru_per10cm modif"/>
      <sheetName val="air_spt_sel_modif"/>
      <sheetName val="air_spt_teng_modif"/>
      <sheetName val="whrs"/>
      <sheetName val="Big"/>
      <sheetName val="Coal_Mining"/>
      <sheetName val="Cover"/>
      <sheetName val="Htr"/>
      <sheetName val="KPC Coal"/>
      <sheetName val="KPC"/>
      <sheetName val="KPC_Total"/>
      <sheetName val="MS"/>
      <sheetName val="Petrosea"/>
      <sheetName val="HOURLY"/>
      <sheetName val="Compact sakai SV 515 D no 14"/>
      <sheetName val="COMPACT SAKAI 515D-H NO 15"/>
      <sheetName val="COMPACT SAKAI 515D-H NO 16"/>
      <sheetName val="COMPACT SAKAI 515D-H NO 17"/>
      <sheetName val="DT 544"/>
      <sheetName val="DT 601"/>
      <sheetName val="DT 605"/>
      <sheetName val="GREADER 705 A"/>
      <sheetName val="EXCA SK 200 EX 004"/>
      <sheetName val="Indirect Function - Dropdowns"/>
      <sheetName val="OPT_GL"/>
      <sheetName val="Database"/>
      <sheetName val="TABLE"/>
      <sheetName val="Data_AC"/>
      <sheetName val="Data hauler"/>
    </sheetNames>
    <sheetDataSet>
      <sheetData sheetId="0" refreshError="1">
        <row r="12">
          <cell r="B12" t="str">
            <v>SH4001</v>
          </cell>
          <cell r="D12">
            <v>0</v>
          </cell>
          <cell r="E12">
            <v>31.389045967741939</v>
          </cell>
          <cell r="F12">
            <v>31.389045967741939</v>
          </cell>
          <cell r="G12">
            <v>31.389045967741939</v>
          </cell>
          <cell r="H12">
            <v>29.833207258064526</v>
          </cell>
          <cell r="I12">
            <v>31.389045967741939</v>
          </cell>
          <cell r="J12">
            <v>31.389045967741939</v>
          </cell>
          <cell r="K12">
            <v>31.389045967741939</v>
          </cell>
          <cell r="L12">
            <v>31.389045967741939</v>
          </cell>
          <cell r="M12">
            <v>31.389045967741939</v>
          </cell>
          <cell r="N12">
            <v>31.389045967741939</v>
          </cell>
          <cell r="O12">
            <v>29.833207258064526</v>
          </cell>
          <cell r="P12">
            <v>31.389045967741939</v>
          </cell>
          <cell r="Q12">
            <v>31.389045967741939</v>
          </cell>
          <cell r="R12">
            <v>31.389045967741939</v>
          </cell>
          <cell r="S12">
            <v>31.389045967741939</v>
          </cell>
          <cell r="T12">
            <v>31.389045967741939</v>
          </cell>
          <cell r="U12">
            <v>17.010503225806453</v>
          </cell>
          <cell r="V12">
            <v>29.833207258064526</v>
          </cell>
          <cell r="W12">
            <v>31.389045967741939</v>
          </cell>
          <cell r="X12">
            <v>31.389045967741939</v>
          </cell>
          <cell r="Y12">
            <v>31.389045967741939</v>
          </cell>
          <cell r="Z12">
            <v>31.389045967741939</v>
          </cell>
          <cell r="AA12">
            <v>31.389045967741939</v>
          </cell>
          <cell r="AB12">
            <v>31.389045967741939</v>
          </cell>
          <cell r="AC12">
            <v>29.833207258064526</v>
          </cell>
          <cell r="AD12">
            <v>31.389045967741939</v>
          </cell>
          <cell r="AE12">
            <v>31.389045967741939</v>
          </cell>
          <cell r="AF12">
            <v>31.389045967741939</v>
          </cell>
          <cell r="AG12">
            <v>31.389045967741939</v>
          </cell>
          <cell r="AH12">
            <v>31.389045967741939</v>
          </cell>
          <cell r="AI12">
            <v>31.389045967741939</v>
          </cell>
          <cell r="AJ12">
            <v>0</v>
          </cell>
          <cell r="AK12">
            <v>0</v>
          </cell>
          <cell r="AL12">
            <v>0</v>
          </cell>
        </row>
        <row r="13">
          <cell r="B13" t="str">
            <v>SH304</v>
          </cell>
          <cell r="D13">
            <v>0</v>
          </cell>
          <cell r="E13">
            <v>23.456488155241939</v>
          </cell>
          <cell r="F13">
            <v>23.456488155241939</v>
          </cell>
          <cell r="G13">
            <v>23.456488155241939</v>
          </cell>
          <cell r="H13">
            <v>22.293836945564522</v>
          </cell>
          <cell r="I13">
            <v>23.456488155241939</v>
          </cell>
          <cell r="J13">
            <v>23.456488155241939</v>
          </cell>
          <cell r="K13">
            <v>23.456488155241939</v>
          </cell>
          <cell r="L13">
            <v>23.456488155241939</v>
          </cell>
          <cell r="M13">
            <v>23.456488155241939</v>
          </cell>
          <cell r="N13">
            <v>23.456488155241939</v>
          </cell>
          <cell r="O13">
            <v>22.293836945564522</v>
          </cell>
          <cell r="P13">
            <v>23.456488155241939</v>
          </cell>
          <cell r="Q13">
            <v>23.456488155241939</v>
          </cell>
          <cell r="R13">
            <v>23.456488155241939</v>
          </cell>
          <cell r="S13">
            <v>23.456488155241939</v>
          </cell>
          <cell r="T13">
            <v>23.456488155241939</v>
          </cell>
          <cell r="U13">
            <v>12.711653225806451</v>
          </cell>
          <cell r="V13">
            <v>22.293836945564522</v>
          </cell>
          <cell r="W13">
            <v>23.456488155241939</v>
          </cell>
          <cell r="X13">
            <v>23.456488155241939</v>
          </cell>
          <cell r="Y13">
            <v>23.456488155241939</v>
          </cell>
          <cell r="Z13">
            <v>23.456488155241939</v>
          </cell>
          <cell r="AA13">
            <v>23.456488155241939</v>
          </cell>
          <cell r="AB13">
            <v>23.456488155241939</v>
          </cell>
          <cell r="AC13">
            <v>22.293836945564522</v>
          </cell>
          <cell r="AD13">
            <v>23.456488155241939</v>
          </cell>
          <cell r="AE13">
            <v>23.456488155241939</v>
          </cell>
          <cell r="AF13">
            <v>23.456488155241939</v>
          </cell>
          <cell r="AG13">
            <v>23.456488155241939</v>
          </cell>
          <cell r="AH13">
            <v>23.456488155241939</v>
          </cell>
          <cell r="AI13">
            <v>23.456488155241939</v>
          </cell>
          <cell r="AJ13">
            <v>0</v>
          </cell>
          <cell r="AK13">
            <v>0</v>
          </cell>
          <cell r="AL13">
            <v>0</v>
          </cell>
        </row>
        <row r="14">
          <cell r="B14" t="str">
            <v>SH305</v>
          </cell>
          <cell r="D14">
            <v>0</v>
          </cell>
          <cell r="E14">
            <v>23.456488155241939</v>
          </cell>
          <cell r="F14">
            <v>23.456488155241939</v>
          </cell>
          <cell r="G14">
            <v>23.456488155241939</v>
          </cell>
          <cell r="H14">
            <v>22.293836945564522</v>
          </cell>
          <cell r="I14">
            <v>23.456488155241939</v>
          </cell>
          <cell r="J14">
            <v>23.456488155241939</v>
          </cell>
          <cell r="K14">
            <v>23.456488155241939</v>
          </cell>
          <cell r="L14">
            <v>23.456488155241939</v>
          </cell>
          <cell r="M14">
            <v>23.456488155241939</v>
          </cell>
          <cell r="N14">
            <v>23.456488155241939</v>
          </cell>
          <cell r="O14">
            <v>22.293836945564522</v>
          </cell>
          <cell r="P14">
            <v>23.456488155241939</v>
          </cell>
          <cell r="Q14">
            <v>23.456488155241939</v>
          </cell>
          <cell r="R14">
            <v>23.456488155241939</v>
          </cell>
          <cell r="S14">
            <v>23.456488155241939</v>
          </cell>
          <cell r="T14">
            <v>23.456488155241939</v>
          </cell>
          <cell r="U14">
            <v>12.711653225806451</v>
          </cell>
          <cell r="V14">
            <v>22.293836945564522</v>
          </cell>
          <cell r="W14">
            <v>23.456488155241939</v>
          </cell>
          <cell r="X14">
            <v>23.456488155241939</v>
          </cell>
          <cell r="Y14">
            <v>23.456488155241939</v>
          </cell>
          <cell r="Z14">
            <v>23.456488155241939</v>
          </cell>
          <cell r="AA14">
            <v>23.456488155241939</v>
          </cell>
          <cell r="AB14">
            <v>23.456488155241939</v>
          </cell>
          <cell r="AC14">
            <v>22.293836945564522</v>
          </cell>
          <cell r="AD14">
            <v>23.456488155241939</v>
          </cell>
          <cell r="AE14">
            <v>23.456488155241939</v>
          </cell>
          <cell r="AF14">
            <v>23.456488155241939</v>
          </cell>
          <cell r="AG14">
            <v>23.456488155241939</v>
          </cell>
          <cell r="AH14">
            <v>23.456488155241939</v>
          </cell>
          <cell r="AI14">
            <v>23.456488155241939</v>
          </cell>
          <cell r="AJ14">
            <v>0</v>
          </cell>
          <cell r="AK14">
            <v>0</v>
          </cell>
          <cell r="AL14">
            <v>0</v>
          </cell>
        </row>
        <row r="15">
          <cell r="B15" t="str">
            <v>SH306</v>
          </cell>
          <cell r="D15">
            <v>0</v>
          </cell>
          <cell r="E15">
            <v>23.456488155241939</v>
          </cell>
          <cell r="F15">
            <v>23.456488155241939</v>
          </cell>
          <cell r="G15">
            <v>23.456488155241939</v>
          </cell>
          <cell r="H15">
            <v>22.293836945564522</v>
          </cell>
          <cell r="I15">
            <v>23.456488155241939</v>
          </cell>
          <cell r="J15">
            <v>23.456488155241939</v>
          </cell>
          <cell r="K15">
            <v>23.456488155241939</v>
          </cell>
          <cell r="L15">
            <v>23.456488155241939</v>
          </cell>
          <cell r="M15">
            <v>23.456488155241939</v>
          </cell>
          <cell r="N15">
            <v>23.456488155241939</v>
          </cell>
          <cell r="O15">
            <v>22.293836945564522</v>
          </cell>
          <cell r="P15">
            <v>23.456488155241939</v>
          </cell>
          <cell r="Q15">
            <v>23.456488155241939</v>
          </cell>
          <cell r="R15">
            <v>23.456488155241939</v>
          </cell>
          <cell r="S15">
            <v>23.456488155241939</v>
          </cell>
          <cell r="T15">
            <v>23.456488155241939</v>
          </cell>
          <cell r="U15">
            <v>12.711653225806451</v>
          </cell>
          <cell r="V15">
            <v>22.293836945564522</v>
          </cell>
          <cell r="W15">
            <v>23.456488155241939</v>
          </cell>
          <cell r="X15">
            <v>23.456488155241939</v>
          </cell>
          <cell r="Y15">
            <v>23.456488155241939</v>
          </cell>
          <cell r="Z15">
            <v>23.456488155241939</v>
          </cell>
          <cell r="AA15">
            <v>23.456488155241939</v>
          </cell>
          <cell r="AB15">
            <v>23.456488155241939</v>
          </cell>
          <cell r="AC15">
            <v>22.293836945564522</v>
          </cell>
          <cell r="AD15">
            <v>23.456488155241939</v>
          </cell>
          <cell r="AE15">
            <v>23.456488155241939</v>
          </cell>
          <cell r="AF15">
            <v>23.456488155241939</v>
          </cell>
          <cell r="AG15">
            <v>23.456488155241939</v>
          </cell>
          <cell r="AH15">
            <v>23.456488155241939</v>
          </cell>
          <cell r="AI15">
            <v>23.456488155241939</v>
          </cell>
          <cell r="AJ15">
            <v>0</v>
          </cell>
          <cell r="AK15">
            <v>0</v>
          </cell>
          <cell r="AL15">
            <v>0</v>
          </cell>
        </row>
        <row r="16">
          <cell r="B16" t="str">
            <v>EX708</v>
          </cell>
          <cell r="D16">
            <v>0</v>
          </cell>
          <cell r="E16">
            <v>16.206300907258068</v>
          </cell>
          <cell r="F16">
            <v>16.206300907258068</v>
          </cell>
          <cell r="G16">
            <v>16.206300907258068</v>
          </cell>
          <cell r="H16">
            <v>15.403014616935488</v>
          </cell>
          <cell r="I16">
            <v>16.206300907258068</v>
          </cell>
          <cell r="J16">
            <v>16.206300907258068</v>
          </cell>
          <cell r="K16">
            <v>16.206300907258068</v>
          </cell>
          <cell r="L16">
            <v>16.206300907258068</v>
          </cell>
          <cell r="M16">
            <v>16.206300907258068</v>
          </cell>
          <cell r="N16">
            <v>16.206300907258068</v>
          </cell>
          <cell r="O16">
            <v>15.403014616935488</v>
          </cell>
          <cell r="P16">
            <v>16.206300907258068</v>
          </cell>
          <cell r="Q16">
            <v>16.206300907258068</v>
          </cell>
          <cell r="R16">
            <v>16.206300907258068</v>
          </cell>
          <cell r="S16">
            <v>16.206300907258068</v>
          </cell>
          <cell r="T16">
            <v>16.206300907258068</v>
          </cell>
          <cell r="U16">
            <v>8.7825967741935482</v>
          </cell>
          <cell r="V16">
            <v>15.403014616935488</v>
          </cell>
          <cell r="W16">
            <v>16.206300907258068</v>
          </cell>
          <cell r="X16">
            <v>16.206300907258068</v>
          </cell>
          <cell r="Y16">
            <v>16.206300907258068</v>
          </cell>
          <cell r="Z16">
            <v>16.206300907258068</v>
          </cell>
          <cell r="AA16">
            <v>16.206300907258068</v>
          </cell>
          <cell r="AB16">
            <v>16.206300907258068</v>
          </cell>
          <cell r="AC16">
            <v>15.403014616935488</v>
          </cell>
          <cell r="AD16">
            <v>16.206300907258068</v>
          </cell>
          <cell r="AE16">
            <v>16.206300907258068</v>
          </cell>
          <cell r="AF16">
            <v>16.206300907258068</v>
          </cell>
          <cell r="AG16">
            <v>16.206300907258068</v>
          </cell>
          <cell r="AH16">
            <v>16.206300907258068</v>
          </cell>
          <cell r="AI16">
            <v>16.206300907258068</v>
          </cell>
          <cell r="AJ16">
            <v>0</v>
          </cell>
          <cell r="AK16">
            <v>0</v>
          </cell>
          <cell r="AL16">
            <v>0</v>
          </cell>
        </row>
        <row r="17">
          <cell r="B17" t="str">
            <v>EX709</v>
          </cell>
          <cell r="D17">
            <v>0</v>
          </cell>
          <cell r="E17">
            <v>16.206300907258068</v>
          </cell>
          <cell r="F17">
            <v>16.206300907258068</v>
          </cell>
          <cell r="G17">
            <v>16.206300907258068</v>
          </cell>
          <cell r="H17">
            <v>15.403014616935488</v>
          </cell>
          <cell r="I17">
            <v>16.206300907258068</v>
          </cell>
          <cell r="J17">
            <v>16.206300907258068</v>
          </cell>
          <cell r="K17">
            <v>16.206300907258068</v>
          </cell>
          <cell r="L17">
            <v>16.206300907258068</v>
          </cell>
          <cell r="M17">
            <v>16.206300907258068</v>
          </cell>
          <cell r="N17">
            <v>16.206300907258068</v>
          </cell>
          <cell r="O17">
            <v>15.403014616935488</v>
          </cell>
          <cell r="P17">
            <v>16.206300907258068</v>
          </cell>
          <cell r="Q17">
            <v>16.206300907258068</v>
          </cell>
          <cell r="R17">
            <v>16.206300907258068</v>
          </cell>
          <cell r="S17">
            <v>16.206300907258068</v>
          </cell>
          <cell r="T17">
            <v>16.206300907258068</v>
          </cell>
          <cell r="U17">
            <v>8.7825967741935482</v>
          </cell>
          <cell r="V17">
            <v>15.403014616935488</v>
          </cell>
          <cell r="W17">
            <v>16.206300907258068</v>
          </cell>
          <cell r="X17">
            <v>16.206300907258068</v>
          </cell>
          <cell r="Y17">
            <v>16.206300907258068</v>
          </cell>
          <cell r="Z17">
            <v>16.206300907258068</v>
          </cell>
          <cell r="AA17">
            <v>16.206300907258068</v>
          </cell>
          <cell r="AB17">
            <v>16.206300907258068</v>
          </cell>
          <cell r="AC17">
            <v>15.403014616935488</v>
          </cell>
          <cell r="AD17">
            <v>16.206300907258068</v>
          </cell>
          <cell r="AE17">
            <v>16.206300907258068</v>
          </cell>
          <cell r="AF17">
            <v>16.206300907258068</v>
          </cell>
          <cell r="AG17">
            <v>16.206300907258068</v>
          </cell>
          <cell r="AH17">
            <v>16.206300907258068</v>
          </cell>
          <cell r="AI17">
            <v>16.206300907258068</v>
          </cell>
          <cell r="AJ17">
            <v>0</v>
          </cell>
          <cell r="AK17">
            <v>0</v>
          </cell>
          <cell r="AL17">
            <v>0</v>
          </cell>
        </row>
        <row r="18">
          <cell r="B18" t="str">
            <v>EX710</v>
          </cell>
          <cell r="D18">
            <v>0</v>
          </cell>
          <cell r="E18">
            <v>16.206300907258068</v>
          </cell>
          <cell r="F18">
            <v>16.206300907258068</v>
          </cell>
          <cell r="G18">
            <v>16.206300907258068</v>
          </cell>
          <cell r="H18">
            <v>15.403014616935488</v>
          </cell>
          <cell r="I18">
            <v>16.206300907258068</v>
          </cell>
          <cell r="J18">
            <v>16.206300907258068</v>
          </cell>
          <cell r="K18">
            <v>16.206300907258068</v>
          </cell>
          <cell r="L18">
            <v>16.206300907258068</v>
          </cell>
          <cell r="M18">
            <v>16.206300907258068</v>
          </cell>
          <cell r="N18">
            <v>16.206300907258068</v>
          </cell>
          <cell r="O18">
            <v>15.403014616935488</v>
          </cell>
          <cell r="P18">
            <v>16.206300907258068</v>
          </cell>
          <cell r="Q18">
            <v>16.206300907258068</v>
          </cell>
          <cell r="R18">
            <v>16.206300907258068</v>
          </cell>
          <cell r="S18">
            <v>16.206300907258068</v>
          </cell>
          <cell r="T18">
            <v>16.206300907258068</v>
          </cell>
          <cell r="U18">
            <v>8.7825967741935482</v>
          </cell>
          <cell r="V18">
            <v>15.403014616935488</v>
          </cell>
          <cell r="W18">
            <v>16.206300907258068</v>
          </cell>
          <cell r="X18">
            <v>16.206300907258068</v>
          </cell>
          <cell r="Y18">
            <v>16.206300907258068</v>
          </cell>
          <cell r="Z18">
            <v>16.206300907258068</v>
          </cell>
          <cell r="AA18">
            <v>16.206300907258068</v>
          </cell>
          <cell r="AB18">
            <v>16.206300907258068</v>
          </cell>
          <cell r="AC18">
            <v>15.403014616935488</v>
          </cell>
          <cell r="AD18">
            <v>16.206300907258068</v>
          </cell>
          <cell r="AE18">
            <v>16.206300907258068</v>
          </cell>
          <cell r="AF18">
            <v>16.206300907258068</v>
          </cell>
          <cell r="AG18">
            <v>16.206300907258068</v>
          </cell>
          <cell r="AH18">
            <v>16.206300907258068</v>
          </cell>
          <cell r="AI18">
            <v>16.206300907258068</v>
          </cell>
          <cell r="AJ18">
            <v>0</v>
          </cell>
          <cell r="AK18">
            <v>0</v>
          </cell>
          <cell r="AL18">
            <v>0</v>
          </cell>
        </row>
        <row r="19">
          <cell r="B19" t="str">
            <v>EX711</v>
          </cell>
          <cell r="D19">
            <v>0</v>
          </cell>
          <cell r="E19">
            <v>16.206300907258068</v>
          </cell>
          <cell r="F19">
            <v>16.206300907258068</v>
          </cell>
          <cell r="G19">
            <v>16.206300907258068</v>
          </cell>
          <cell r="H19">
            <v>15.403014616935488</v>
          </cell>
          <cell r="I19">
            <v>16.206300907258068</v>
          </cell>
          <cell r="J19">
            <v>16.206300907258068</v>
          </cell>
          <cell r="K19">
            <v>16.206300907258068</v>
          </cell>
          <cell r="L19">
            <v>16.206300907258068</v>
          </cell>
          <cell r="M19">
            <v>16.206300907258068</v>
          </cell>
          <cell r="N19">
            <v>16.206300907258068</v>
          </cell>
          <cell r="O19">
            <v>15.403014616935488</v>
          </cell>
          <cell r="P19">
            <v>16.206300907258068</v>
          </cell>
          <cell r="Q19">
            <v>16.206300907258068</v>
          </cell>
          <cell r="R19">
            <v>16.206300907258068</v>
          </cell>
          <cell r="S19">
            <v>16.206300907258068</v>
          </cell>
          <cell r="T19">
            <v>16.206300907258068</v>
          </cell>
          <cell r="U19">
            <v>8.7825967741935482</v>
          </cell>
          <cell r="V19">
            <v>15.403014616935488</v>
          </cell>
          <cell r="W19">
            <v>16.206300907258068</v>
          </cell>
          <cell r="X19">
            <v>16.206300907258068</v>
          </cell>
          <cell r="Y19">
            <v>16.206300907258068</v>
          </cell>
          <cell r="Z19">
            <v>16.206300907258068</v>
          </cell>
          <cell r="AA19">
            <v>16.206300907258068</v>
          </cell>
          <cell r="AB19">
            <v>16.206300907258068</v>
          </cell>
          <cell r="AC19">
            <v>15.403014616935488</v>
          </cell>
          <cell r="AD19">
            <v>16.206300907258068</v>
          </cell>
          <cell r="AE19">
            <v>16.206300907258068</v>
          </cell>
          <cell r="AF19">
            <v>16.206300907258068</v>
          </cell>
          <cell r="AG19">
            <v>16.206300907258068</v>
          </cell>
          <cell r="AH19">
            <v>16.206300907258068</v>
          </cell>
          <cell r="AI19">
            <v>16.206300907258068</v>
          </cell>
          <cell r="AJ19">
            <v>0</v>
          </cell>
          <cell r="AK19">
            <v>0</v>
          </cell>
          <cell r="AL19">
            <v>0</v>
          </cell>
        </row>
        <row r="20">
          <cell r="B20" t="str">
            <v>EX1001</v>
          </cell>
          <cell r="D20">
            <v>0</v>
          </cell>
          <cell r="E20">
            <v>8.7191794354838716</v>
          </cell>
          <cell r="F20">
            <v>8.7191794354838716</v>
          </cell>
          <cell r="G20">
            <v>8.7191794354838716</v>
          </cell>
          <cell r="H20">
            <v>8.2870020161290352</v>
          </cell>
          <cell r="I20">
            <v>8.7191794354838716</v>
          </cell>
          <cell r="J20">
            <v>8.7191794354838716</v>
          </cell>
          <cell r="K20">
            <v>8.7191794354838716</v>
          </cell>
          <cell r="L20">
            <v>8.7191794354838716</v>
          </cell>
          <cell r="M20">
            <v>8.7191794354838716</v>
          </cell>
          <cell r="N20">
            <v>8.7191794354838716</v>
          </cell>
          <cell r="O20">
            <v>8.2870020161290352</v>
          </cell>
          <cell r="P20">
            <v>8.7191794354838716</v>
          </cell>
          <cell r="Q20">
            <v>8.7191794354838716</v>
          </cell>
          <cell r="R20">
            <v>8.7191794354838716</v>
          </cell>
          <cell r="S20">
            <v>8.7191794354838716</v>
          </cell>
          <cell r="T20">
            <v>8.7191794354838716</v>
          </cell>
          <cell r="U20">
            <v>4.7251397849462364</v>
          </cell>
          <cell r="V20">
            <v>8.2870020161290352</v>
          </cell>
          <cell r="W20">
            <v>8.7191794354838716</v>
          </cell>
          <cell r="X20">
            <v>8.7191794354838716</v>
          </cell>
          <cell r="Y20">
            <v>8.7191794354838716</v>
          </cell>
          <cell r="Z20">
            <v>8.7191794354838716</v>
          </cell>
          <cell r="AA20">
            <v>8.7191794354838716</v>
          </cell>
          <cell r="AB20">
            <v>8.7191794354838716</v>
          </cell>
          <cell r="AC20">
            <v>8.2870020161290352</v>
          </cell>
          <cell r="AD20">
            <v>8.7191794354838716</v>
          </cell>
          <cell r="AE20">
            <v>8.7191794354838716</v>
          </cell>
          <cell r="AF20">
            <v>8.7191794354838716</v>
          </cell>
          <cell r="AG20">
            <v>8.7191794354838716</v>
          </cell>
          <cell r="AH20">
            <v>8.7191794354838716</v>
          </cell>
          <cell r="AI20">
            <v>8.7191794354838716</v>
          </cell>
          <cell r="AJ20">
            <v>0</v>
          </cell>
          <cell r="AK20">
            <v>0</v>
          </cell>
          <cell r="AL20">
            <v>0</v>
          </cell>
        </row>
        <row r="21">
          <cell r="B21" t="str">
            <v>EX1002</v>
          </cell>
          <cell r="D21">
            <v>0</v>
          </cell>
          <cell r="E21">
            <v>8.7191794354838716</v>
          </cell>
          <cell r="F21">
            <v>8.7191794354838716</v>
          </cell>
          <cell r="G21">
            <v>8.7191794354838716</v>
          </cell>
          <cell r="H21">
            <v>8.2870020161290352</v>
          </cell>
          <cell r="I21">
            <v>8.7191794354838716</v>
          </cell>
          <cell r="J21">
            <v>8.7191794354838716</v>
          </cell>
          <cell r="K21">
            <v>8.7191794354838716</v>
          </cell>
          <cell r="L21">
            <v>8.7191794354838716</v>
          </cell>
          <cell r="M21">
            <v>8.7191794354838716</v>
          </cell>
          <cell r="N21">
            <v>8.7191794354838716</v>
          </cell>
          <cell r="O21">
            <v>8.2870020161290352</v>
          </cell>
          <cell r="P21">
            <v>8.7191794354838716</v>
          </cell>
          <cell r="Q21">
            <v>8.7191794354838716</v>
          </cell>
          <cell r="R21">
            <v>8.7191794354838716</v>
          </cell>
          <cell r="S21">
            <v>8.7191794354838716</v>
          </cell>
          <cell r="T21">
            <v>8.7191794354838716</v>
          </cell>
          <cell r="U21">
            <v>4.7251397849462364</v>
          </cell>
          <cell r="V21">
            <v>8.2870020161290352</v>
          </cell>
          <cell r="W21">
            <v>8.7191794354838716</v>
          </cell>
          <cell r="X21">
            <v>8.7191794354838716</v>
          </cell>
          <cell r="Y21">
            <v>8.7191794354838716</v>
          </cell>
          <cell r="Z21">
            <v>8.7191794354838716</v>
          </cell>
          <cell r="AA21">
            <v>8.7191794354838716</v>
          </cell>
          <cell r="AB21">
            <v>8.7191794354838716</v>
          </cell>
          <cell r="AC21">
            <v>8.2870020161290352</v>
          </cell>
          <cell r="AD21">
            <v>8.7191794354838716</v>
          </cell>
          <cell r="AE21">
            <v>8.7191794354838716</v>
          </cell>
          <cell r="AF21">
            <v>8.7191794354838716</v>
          </cell>
          <cell r="AG21">
            <v>8.7191794354838716</v>
          </cell>
          <cell r="AH21">
            <v>8.7191794354838716</v>
          </cell>
          <cell r="AI21">
            <v>8.7191794354838716</v>
          </cell>
          <cell r="AJ21">
            <v>0</v>
          </cell>
          <cell r="AK21">
            <v>0</v>
          </cell>
          <cell r="AL21">
            <v>0</v>
          </cell>
        </row>
        <row r="22">
          <cell r="B22" t="str">
            <v>EX1004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</row>
        <row r="23">
          <cell r="B23" t="str">
            <v>EX1006</v>
          </cell>
          <cell r="D23">
            <v>0</v>
          </cell>
          <cell r="E23">
            <v>8.7191794354838716</v>
          </cell>
          <cell r="F23">
            <v>8.7191794354838716</v>
          </cell>
          <cell r="G23">
            <v>8.7191794354838716</v>
          </cell>
          <cell r="H23">
            <v>8.2870020161290352</v>
          </cell>
          <cell r="I23">
            <v>8.7191794354838716</v>
          </cell>
          <cell r="J23">
            <v>8.7191794354838716</v>
          </cell>
          <cell r="K23">
            <v>8.7191794354838716</v>
          </cell>
          <cell r="L23">
            <v>8.7191794354838716</v>
          </cell>
          <cell r="M23">
            <v>8.7191794354838716</v>
          </cell>
          <cell r="N23">
            <v>8.7191794354838716</v>
          </cell>
          <cell r="O23">
            <v>8.2870020161290352</v>
          </cell>
          <cell r="P23">
            <v>8.7191794354838716</v>
          </cell>
          <cell r="Q23">
            <v>8.7191794354838716</v>
          </cell>
          <cell r="R23">
            <v>8.7191794354838716</v>
          </cell>
          <cell r="S23">
            <v>8.7191794354838716</v>
          </cell>
          <cell r="T23">
            <v>8.7191794354838716</v>
          </cell>
          <cell r="U23">
            <v>4.7251397849462364</v>
          </cell>
          <cell r="V23">
            <v>8.2870020161290352</v>
          </cell>
          <cell r="W23">
            <v>8.7191794354838716</v>
          </cell>
          <cell r="X23">
            <v>8.7191794354838716</v>
          </cell>
          <cell r="Y23">
            <v>8.7191794354838716</v>
          </cell>
          <cell r="Z23">
            <v>8.7191794354838716</v>
          </cell>
          <cell r="AA23">
            <v>8.7191794354838716</v>
          </cell>
          <cell r="AB23">
            <v>8.7191794354838716</v>
          </cell>
          <cell r="AC23">
            <v>8.2870020161290352</v>
          </cell>
          <cell r="AD23">
            <v>8.7191794354838716</v>
          </cell>
          <cell r="AE23">
            <v>8.7191794354838716</v>
          </cell>
          <cell r="AF23">
            <v>8.7191794354838716</v>
          </cell>
          <cell r="AG23">
            <v>8.7191794354838716</v>
          </cell>
          <cell r="AH23">
            <v>8.7191794354838716</v>
          </cell>
          <cell r="AI23">
            <v>8.7191794354838716</v>
          </cell>
          <cell r="AJ23">
            <v>0</v>
          </cell>
          <cell r="AK23">
            <v>0</v>
          </cell>
          <cell r="AL23">
            <v>0</v>
          </cell>
        </row>
        <row r="24">
          <cell r="B24" t="str">
            <v>EX1013OB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</row>
        <row r="25">
          <cell r="B25" t="str">
            <v>EX1014</v>
          </cell>
          <cell r="E25">
            <v>7.8472614919354848</v>
          </cell>
          <cell r="F25">
            <v>7.8472614919354848</v>
          </cell>
          <cell r="G25">
            <v>7.8472614919354848</v>
          </cell>
          <cell r="H25">
            <v>7.4583018145161315</v>
          </cell>
          <cell r="I25">
            <v>7.8472614919354848</v>
          </cell>
          <cell r="J25">
            <v>7.8472614919354848</v>
          </cell>
          <cell r="K25">
            <v>7.8472614919354848</v>
          </cell>
          <cell r="L25">
            <v>7.8472614919354848</v>
          </cell>
          <cell r="M25">
            <v>7.8472614919354848</v>
          </cell>
          <cell r="N25">
            <v>7.8472614919354848</v>
          </cell>
          <cell r="O25">
            <v>7.8472614919354848</v>
          </cell>
          <cell r="P25">
            <v>7.8472614919354848</v>
          </cell>
          <cell r="Q25">
            <v>7.8472614919354848</v>
          </cell>
          <cell r="R25">
            <v>7.8472614919354848</v>
          </cell>
          <cell r="S25">
            <v>7.8472614919354848</v>
          </cell>
          <cell r="T25">
            <v>7.8472614919354848</v>
          </cell>
          <cell r="U25">
            <v>4.2526258064516131</v>
          </cell>
          <cell r="V25">
            <v>7.8472614919354848</v>
          </cell>
          <cell r="W25">
            <v>7.8472614919354848</v>
          </cell>
          <cell r="X25">
            <v>7.8472614919354848</v>
          </cell>
          <cell r="Y25">
            <v>7.8472614919354848</v>
          </cell>
          <cell r="Z25">
            <v>7.8472614919354848</v>
          </cell>
          <cell r="AA25">
            <v>7.8472614919354848</v>
          </cell>
          <cell r="AB25">
            <v>7.8472614919354848</v>
          </cell>
          <cell r="AC25">
            <v>7.8472614919354848</v>
          </cell>
          <cell r="AD25">
            <v>7.8472614919354848</v>
          </cell>
          <cell r="AE25">
            <v>7.8472614919354848</v>
          </cell>
          <cell r="AF25">
            <v>7.8472614919354848</v>
          </cell>
          <cell r="AG25">
            <v>7.8472614919354848</v>
          </cell>
          <cell r="AH25">
            <v>7.8472614919354848</v>
          </cell>
          <cell r="AI25">
            <v>7.8472614919354848</v>
          </cell>
          <cell r="AJ25">
            <v>0</v>
          </cell>
        </row>
        <row r="26">
          <cell r="B26" t="str">
            <v>EX577</v>
          </cell>
          <cell r="D26">
            <v>0</v>
          </cell>
          <cell r="E26">
            <v>4.9213520211471824</v>
          </cell>
          <cell r="F26">
            <v>4.9213520211471824</v>
          </cell>
          <cell r="G26">
            <v>4.9213520211471824</v>
          </cell>
          <cell r="H26">
            <v>4.6774188354645476</v>
          </cell>
          <cell r="I26">
            <v>4.9213520211471824</v>
          </cell>
          <cell r="J26">
            <v>4.9213520211471824</v>
          </cell>
          <cell r="K26">
            <v>4.9213520211471824</v>
          </cell>
          <cell r="L26">
            <v>4.9213520211471824</v>
          </cell>
          <cell r="M26">
            <v>4.9213520211471824</v>
          </cell>
          <cell r="N26">
            <v>4.9213520211471824</v>
          </cell>
          <cell r="O26">
            <v>4.6774188354645476</v>
          </cell>
          <cell r="P26">
            <v>4.9213520211471824</v>
          </cell>
          <cell r="Q26">
            <v>4.9213520211471824</v>
          </cell>
          <cell r="R26">
            <v>4.9213520211471824</v>
          </cell>
          <cell r="S26">
            <v>4.9213520211471824</v>
          </cell>
          <cell r="T26">
            <v>4.9213520211471824</v>
          </cell>
          <cell r="U26">
            <v>2.667002830130154</v>
          </cell>
          <cell r="V26">
            <v>4.6774188354645476</v>
          </cell>
          <cell r="W26">
            <v>4.9213520211471824</v>
          </cell>
          <cell r="X26">
            <v>4.9213520211471824</v>
          </cell>
          <cell r="Y26">
            <v>4.9213520211471824</v>
          </cell>
          <cell r="Z26">
            <v>4.9213520211471824</v>
          </cell>
          <cell r="AA26">
            <v>4.9213520211471824</v>
          </cell>
          <cell r="AB26">
            <v>4.9213520211471824</v>
          </cell>
          <cell r="AC26">
            <v>4.6774188354645476</v>
          </cell>
          <cell r="AD26">
            <v>4.9213520211471824</v>
          </cell>
          <cell r="AE26">
            <v>4.9213520211471824</v>
          </cell>
          <cell r="AF26">
            <v>4.9213520211471824</v>
          </cell>
          <cell r="AG26">
            <v>4.9213520211471824</v>
          </cell>
          <cell r="AH26">
            <v>4.9213520211471824</v>
          </cell>
          <cell r="AI26">
            <v>4.9213520211471824</v>
          </cell>
          <cell r="AJ26">
            <v>0</v>
          </cell>
          <cell r="AK26">
            <v>0</v>
          </cell>
          <cell r="AL26">
            <v>0</v>
          </cell>
        </row>
        <row r="27">
          <cell r="B27" t="str">
            <v>EX578</v>
          </cell>
          <cell r="D27">
            <v>0</v>
          </cell>
          <cell r="E27">
            <v>6.1034256048387103</v>
          </cell>
          <cell r="F27">
            <v>6.1034256048387103</v>
          </cell>
          <cell r="G27">
            <v>6.1034256048387103</v>
          </cell>
          <cell r="H27">
            <v>5.800901411290325</v>
          </cell>
          <cell r="I27">
            <v>6.1034256048387103</v>
          </cell>
          <cell r="J27">
            <v>6.1034256048387103</v>
          </cell>
          <cell r="K27">
            <v>6.1034256048387103</v>
          </cell>
          <cell r="L27">
            <v>6.1034256048387103</v>
          </cell>
          <cell r="M27">
            <v>6.1034256048387103</v>
          </cell>
          <cell r="N27">
            <v>6.1034256048387103</v>
          </cell>
          <cell r="O27">
            <v>5.800901411290325</v>
          </cell>
          <cell r="P27">
            <v>6.1034256048387103</v>
          </cell>
          <cell r="Q27">
            <v>6.1034256048387103</v>
          </cell>
          <cell r="R27">
            <v>6.1034256048387103</v>
          </cell>
          <cell r="S27">
            <v>6.1034256048387103</v>
          </cell>
          <cell r="T27">
            <v>6.1034256048387103</v>
          </cell>
          <cell r="U27">
            <v>3.3075978494623657</v>
          </cell>
          <cell r="V27">
            <v>5.800901411290325</v>
          </cell>
          <cell r="W27">
            <v>6.1034256048387103</v>
          </cell>
          <cell r="X27">
            <v>6.1034256048387103</v>
          </cell>
          <cell r="Y27">
            <v>6.1034256048387103</v>
          </cell>
          <cell r="Z27">
            <v>6.1034256048387103</v>
          </cell>
          <cell r="AA27">
            <v>6.1034256048387103</v>
          </cell>
          <cell r="AB27">
            <v>6.1034256048387103</v>
          </cell>
          <cell r="AC27">
            <v>5.800901411290325</v>
          </cell>
          <cell r="AD27">
            <v>6.1034256048387103</v>
          </cell>
          <cell r="AE27">
            <v>6.1034256048387103</v>
          </cell>
          <cell r="AF27">
            <v>6.1034256048387103</v>
          </cell>
          <cell r="AG27">
            <v>6.1034256048387103</v>
          </cell>
          <cell r="AH27">
            <v>6.1034256048387103</v>
          </cell>
          <cell r="AI27">
            <v>6.1034256048387103</v>
          </cell>
          <cell r="AJ27">
            <v>0</v>
          </cell>
          <cell r="AK27">
            <v>0</v>
          </cell>
          <cell r="AL27">
            <v>0</v>
          </cell>
        </row>
        <row r="28">
          <cell r="B28" t="str">
            <v>TOTAL</v>
          </cell>
          <cell r="C28">
            <v>0</v>
          </cell>
          <cell r="D28">
            <v>0</v>
          </cell>
          <cell r="E28">
            <v>211.61329148687309</v>
          </cell>
          <cell r="F28">
            <v>211.61329148687309</v>
          </cell>
          <cell r="G28">
            <v>211.61329148687309</v>
          </cell>
          <cell r="H28">
            <v>201.12440467215814</v>
          </cell>
          <cell r="I28">
            <v>211.61329148687309</v>
          </cell>
          <cell r="J28">
            <v>211.61329148687309</v>
          </cell>
          <cell r="K28">
            <v>211.61329148687309</v>
          </cell>
          <cell r="L28">
            <v>211.61329148687309</v>
          </cell>
          <cell r="M28">
            <v>211.61329148687309</v>
          </cell>
          <cell r="N28">
            <v>211.61329148687309</v>
          </cell>
          <cell r="O28">
            <v>201.5133643495775</v>
          </cell>
          <cell r="P28">
            <v>211.61329148687309</v>
          </cell>
          <cell r="Q28">
            <v>211.61329148687309</v>
          </cell>
          <cell r="R28">
            <v>211.61329148687309</v>
          </cell>
          <cell r="S28">
            <v>211.61329148687309</v>
          </cell>
          <cell r="T28">
            <v>211.61329148687309</v>
          </cell>
          <cell r="U28">
            <v>114.67849584088286</v>
          </cell>
          <cell r="V28">
            <v>201.5133643495775</v>
          </cell>
          <cell r="W28">
            <v>211.61329148687309</v>
          </cell>
          <cell r="X28">
            <v>211.61329148687309</v>
          </cell>
          <cell r="Y28">
            <v>211.61329148687309</v>
          </cell>
          <cell r="Z28">
            <v>211.61329148687309</v>
          </cell>
          <cell r="AA28">
            <v>211.61329148687309</v>
          </cell>
          <cell r="AB28">
            <v>211.61329148687309</v>
          </cell>
          <cell r="AC28">
            <v>201.5133643495775</v>
          </cell>
          <cell r="AD28">
            <v>211.61329148687309</v>
          </cell>
          <cell r="AE28">
            <v>211.61329148687309</v>
          </cell>
          <cell r="AF28">
            <v>211.61329148687309</v>
          </cell>
          <cell r="AG28">
            <v>211.61329148687309</v>
          </cell>
          <cell r="AH28">
            <v>211.61329148687309</v>
          </cell>
          <cell r="AI28">
            <v>211.61329148687309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</row>
        <row r="29">
          <cell r="B29" t="str">
            <v>TOTAL</v>
          </cell>
          <cell r="C29">
            <v>0</v>
          </cell>
          <cell r="D29">
            <v>0</v>
          </cell>
          <cell r="E29">
            <v>211.61329148687309</v>
          </cell>
          <cell r="F29">
            <v>211.61329148687309</v>
          </cell>
          <cell r="G29">
            <v>211.61329148687309</v>
          </cell>
          <cell r="H29">
            <v>201.12440467215814</v>
          </cell>
          <cell r="I29">
            <v>211.61329148687309</v>
          </cell>
          <cell r="J29">
            <v>211.61329148687309</v>
          </cell>
          <cell r="K29">
            <v>211.61329148687309</v>
          </cell>
          <cell r="L29">
            <v>211.61329148687309</v>
          </cell>
          <cell r="M29">
            <v>211.61329148687309</v>
          </cell>
          <cell r="N29">
            <v>211.61329148687309</v>
          </cell>
          <cell r="O29">
            <v>201.5133643495775</v>
          </cell>
          <cell r="P29">
            <v>211.61329148687309</v>
          </cell>
          <cell r="Q29">
            <v>211.61329148687309</v>
          </cell>
          <cell r="R29">
            <v>211.61329148687309</v>
          </cell>
          <cell r="S29">
            <v>211.61329148687309</v>
          </cell>
          <cell r="T29">
            <v>211.61329148687309</v>
          </cell>
          <cell r="U29">
            <v>114.67849584088286</v>
          </cell>
          <cell r="V29">
            <v>201.5133643495775</v>
          </cell>
          <cell r="W29">
            <v>211.61329148687309</v>
          </cell>
          <cell r="X29">
            <v>211.61329148687309</v>
          </cell>
          <cell r="Y29">
            <v>211.61329148687309</v>
          </cell>
          <cell r="Z29">
            <v>211.61329148687309</v>
          </cell>
          <cell r="AA29">
            <v>211.61329148687309</v>
          </cell>
          <cell r="AB29">
            <v>211.61329148687309</v>
          </cell>
          <cell r="AC29">
            <v>201.5133643495775</v>
          </cell>
          <cell r="AD29">
            <v>211.61329148687309</v>
          </cell>
          <cell r="AE29">
            <v>211.61329148687309</v>
          </cell>
          <cell r="AF29">
            <v>211.61329148687309</v>
          </cell>
          <cell r="AG29">
            <v>211.61329148687309</v>
          </cell>
          <cell r="AH29">
            <v>211.61329148687309</v>
          </cell>
          <cell r="AI29">
            <v>211.61329148687309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</row>
        <row r="30">
          <cell r="B30" t="str">
            <v>RESUME WASTE REMOVAL</v>
          </cell>
          <cell r="AF30" t="str">
            <v>TOTAL WASTE REMOVAL</v>
          </cell>
        </row>
        <row r="31">
          <cell r="B31" t="str">
            <v>OB</v>
          </cell>
          <cell r="C31">
            <v>6087.7564722782263</v>
          </cell>
          <cell r="K31" t="str">
            <v>kBCM</v>
          </cell>
        </row>
        <row r="32">
          <cell r="B32" t="str">
            <v>TS_PIT</v>
          </cell>
          <cell r="C32">
            <v>0</v>
          </cell>
          <cell r="K32" t="str">
            <v>kBCM</v>
          </cell>
        </row>
        <row r="33">
          <cell r="B33" t="str">
            <v>OB+TS_PIT</v>
          </cell>
          <cell r="C33">
            <v>0</v>
          </cell>
          <cell r="K33" t="str">
            <v>kBCM</v>
          </cell>
        </row>
        <row r="34">
          <cell r="B34" t="str">
            <v>TS_WD</v>
          </cell>
          <cell r="C34">
            <v>334.53209994224528</v>
          </cell>
          <cell r="K34" t="str">
            <v>kBCM</v>
          </cell>
        </row>
        <row r="35">
          <cell r="B35" t="str">
            <v>TOTAL</v>
          </cell>
          <cell r="C35">
            <v>6422.2885722204719</v>
          </cell>
          <cell r="K35" t="str">
            <v>kBCM</v>
          </cell>
        </row>
        <row r="37">
          <cell r="K37" t="str">
            <v>kBCM</v>
          </cell>
        </row>
        <row r="38">
          <cell r="B38" t="str">
            <v>PRODUCTION PLANNING FOR COAL , KTON</v>
          </cell>
        </row>
        <row r="39">
          <cell r="B39" t="str">
            <v>FLEET</v>
          </cell>
          <cell r="C39" t="str">
            <v>WEEK # 01</v>
          </cell>
          <cell r="K39" t="str">
            <v>WEEK # 02</v>
          </cell>
          <cell r="R39" t="str">
            <v>WEEK #03</v>
          </cell>
          <cell r="Y39" t="str">
            <v>WEEK #04</v>
          </cell>
          <cell r="AF39" t="str">
            <v>WEEK # 05</v>
          </cell>
          <cell r="AM39" t="str">
            <v>WEEK#06</v>
          </cell>
        </row>
        <row r="40">
          <cell r="B40" t="str">
            <v>NUMBER</v>
          </cell>
          <cell r="C40">
            <v>0</v>
          </cell>
          <cell r="D40">
            <v>0</v>
          </cell>
          <cell r="E40">
            <v>38930</v>
          </cell>
          <cell r="F40">
            <v>38931</v>
          </cell>
          <cell r="G40">
            <v>38932</v>
          </cell>
          <cell r="H40">
            <v>38933</v>
          </cell>
          <cell r="I40">
            <v>38934</v>
          </cell>
          <cell r="J40">
            <v>38935</v>
          </cell>
          <cell r="K40">
            <v>38936</v>
          </cell>
          <cell r="L40">
            <v>38937</v>
          </cell>
          <cell r="M40">
            <v>38938</v>
          </cell>
          <cell r="N40">
            <v>38939</v>
          </cell>
          <cell r="O40">
            <v>38940</v>
          </cell>
          <cell r="P40">
            <v>38941</v>
          </cell>
          <cell r="Q40">
            <v>38942</v>
          </cell>
          <cell r="R40">
            <v>38943</v>
          </cell>
          <cell r="S40">
            <v>38944</v>
          </cell>
          <cell r="T40">
            <v>38945</v>
          </cell>
          <cell r="U40">
            <v>38946</v>
          </cell>
          <cell r="V40">
            <v>38947</v>
          </cell>
          <cell r="W40">
            <v>38948</v>
          </cell>
          <cell r="X40">
            <v>38949</v>
          </cell>
          <cell r="Y40">
            <v>38950</v>
          </cell>
          <cell r="Z40">
            <v>38951</v>
          </cell>
          <cell r="AA40">
            <v>38952</v>
          </cell>
          <cell r="AB40">
            <v>38953</v>
          </cell>
          <cell r="AC40">
            <v>38954</v>
          </cell>
          <cell r="AD40">
            <v>38955</v>
          </cell>
          <cell r="AE40">
            <v>38956</v>
          </cell>
          <cell r="AF40">
            <v>38957</v>
          </cell>
          <cell r="AG40">
            <v>38958</v>
          </cell>
          <cell r="AH40">
            <v>38959</v>
          </cell>
          <cell r="AI40">
            <v>38960</v>
          </cell>
          <cell r="AJ40">
            <v>38961</v>
          </cell>
          <cell r="AK40">
            <v>38962</v>
          </cell>
          <cell r="AL40">
            <v>38963</v>
          </cell>
          <cell r="AM40">
            <v>38964</v>
          </cell>
          <cell r="AN40">
            <v>38965</v>
          </cell>
        </row>
        <row r="41">
          <cell r="B41" t="str">
            <v>EX1008</v>
          </cell>
          <cell r="C41">
            <v>0</v>
          </cell>
          <cell r="D41">
            <v>0</v>
          </cell>
          <cell r="E41">
            <v>8.7191794354838716</v>
          </cell>
          <cell r="F41">
            <v>8.7191794354838716</v>
          </cell>
          <cell r="G41">
            <v>8.7191794354838716</v>
          </cell>
          <cell r="H41">
            <v>8.2870020161290352</v>
          </cell>
          <cell r="I41">
            <v>8.7191794354838716</v>
          </cell>
          <cell r="J41">
            <v>8.7191794354838716</v>
          </cell>
          <cell r="K41">
            <v>8.7191794354838716</v>
          </cell>
          <cell r="L41">
            <v>8.7191794354838716</v>
          </cell>
          <cell r="M41">
            <v>8.7191794354838716</v>
          </cell>
          <cell r="N41">
            <v>8.7191794354838716</v>
          </cell>
          <cell r="O41">
            <v>8.2870020161290352</v>
          </cell>
          <cell r="P41">
            <v>8.7191794354838716</v>
          </cell>
          <cell r="Q41">
            <v>8.7191794354838716</v>
          </cell>
          <cell r="R41">
            <v>8.7191794354838716</v>
          </cell>
          <cell r="S41">
            <v>8.7191794354838716</v>
          </cell>
          <cell r="T41">
            <v>8.7191794354838716</v>
          </cell>
          <cell r="U41">
            <v>4.7251397849462364</v>
          </cell>
          <cell r="V41">
            <v>8.2870020161290352</v>
          </cell>
          <cell r="W41">
            <v>8.7191794354838716</v>
          </cell>
          <cell r="X41">
            <v>8.7191794354838716</v>
          </cell>
          <cell r="Y41">
            <v>8.7191794354838716</v>
          </cell>
          <cell r="Z41">
            <v>8.7191794354838716</v>
          </cell>
          <cell r="AA41">
            <v>8.7191794354838716</v>
          </cell>
          <cell r="AB41">
            <v>8.7191794354838716</v>
          </cell>
          <cell r="AC41">
            <v>8.2870020161290352</v>
          </cell>
          <cell r="AD41">
            <v>8.7191794354838716</v>
          </cell>
          <cell r="AE41">
            <v>8.7191794354838716</v>
          </cell>
          <cell r="AF41">
            <v>8.7191794354838716</v>
          </cell>
          <cell r="AG41">
            <v>8.7191794354838716</v>
          </cell>
          <cell r="AH41">
            <v>8.7191794354838716</v>
          </cell>
          <cell r="AI41">
            <v>8.7191794354838716</v>
          </cell>
          <cell r="AJ41">
            <v>0</v>
          </cell>
          <cell r="AK41">
            <v>0</v>
          </cell>
          <cell r="AL41">
            <v>0</v>
          </cell>
        </row>
        <row r="42">
          <cell r="B42" t="str">
            <v>EX1013</v>
          </cell>
          <cell r="D42">
            <v>0</v>
          </cell>
          <cell r="E42">
            <v>8.7191794354838716</v>
          </cell>
          <cell r="F42">
            <v>8.7191794354838716</v>
          </cell>
          <cell r="G42">
            <v>8.7191794354838716</v>
          </cell>
          <cell r="H42">
            <v>0</v>
          </cell>
          <cell r="I42">
            <v>0</v>
          </cell>
          <cell r="J42">
            <v>0</v>
          </cell>
          <cell r="K42">
            <v>8.7191794354838716</v>
          </cell>
          <cell r="L42">
            <v>8.7191794354838716</v>
          </cell>
          <cell r="M42">
            <v>8.7191794354838716</v>
          </cell>
          <cell r="N42">
            <v>8.7191794354838716</v>
          </cell>
          <cell r="O42">
            <v>8.2870020161290352</v>
          </cell>
          <cell r="P42">
            <v>8.7191794354838716</v>
          </cell>
          <cell r="Q42">
            <v>8.7191794354838716</v>
          </cell>
          <cell r="R42">
            <v>8.7191794354838716</v>
          </cell>
          <cell r="S42">
            <v>8.7191794354838716</v>
          </cell>
          <cell r="T42">
            <v>8.7191794354838716</v>
          </cell>
          <cell r="U42">
            <v>4.7251397849462364</v>
          </cell>
          <cell r="V42">
            <v>8.2870020161290352</v>
          </cell>
          <cell r="W42">
            <v>8.7191794354838716</v>
          </cell>
          <cell r="X42">
            <v>8.7191794354838716</v>
          </cell>
          <cell r="Y42">
            <v>8.7191794354838716</v>
          </cell>
          <cell r="Z42">
            <v>8.7191794354838716</v>
          </cell>
          <cell r="AA42">
            <v>8.7191794354838716</v>
          </cell>
          <cell r="AB42">
            <v>8.7191794354838716</v>
          </cell>
          <cell r="AC42">
            <v>8.2870020161290352</v>
          </cell>
          <cell r="AD42">
            <v>8.7191794354838716</v>
          </cell>
          <cell r="AE42">
            <v>8.7191794354838716</v>
          </cell>
          <cell r="AF42">
            <v>8.7191794354838716</v>
          </cell>
          <cell r="AG42">
            <v>8.7191794354838716</v>
          </cell>
          <cell r="AH42">
            <v>8.7191794354838716</v>
          </cell>
          <cell r="AI42">
            <v>8.7191794354838716</v>
          </cell>
          <cell r="AJ42">
            <v>0</v>
          </cell>
          <cell r="AK42">
            <v>0</v>
          </cell>
          <cell r="AL4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puasa"/>
      <sheetName val="WK#01"/>
      <sheetName val="WK#02"/>
      <sheetName val="WK#03"/>
      <sheetName val="WK#04"/>
      <sheetName val="WK#05"/>
      <sheetName val="WK#06"/>
      <sheetName val="MONTHLY"/>
      <sheetName val="ABSEN"/>
      <sheetName val="Bantuan"/>
      <sheetName val="COST"/>
      <sheetName val="summary KPI"/>
      <sheetName val="DRILLBLAST"/>
      <sheetName val="Coal"/>
      <sheetName val="Rain and Slipp."/>
      <sheetName val="Rain and Slipp_"/>
      <sheetName val="OB"/>
      <sheetName val="EXCV PRODUCTIVITY"/>
      <sheetName val="mtd ob forecasting"/>
      <sheetName val="Master"/>
      <sheetName val="Run"/>
      <sheetName val="MTD"/>
      <sheetName val="SUM"/>
      <sheetName val="HOURLY"/>
    </sheetNames>
    <sheetDataSet>
      <sheetData sheetId="0" refreshError="1">
        <row r="12">
          <cell r="B12" t="str">
            <v>SH4001</v>
          </cell>
          <cell r="D12">
            <v>0</v>
          </cell>
          <cell r="E12">
            <v>31.389045967741939</v>
          </cell>
          <cell r="F12">
            <v>31.389045967741939</v>
          </cell>
          <cell r="G12">
            <v>31.389045967741939</v>
          </cell>
          <cell r="H12">
            <v>29.833207258064526</v>
          </cell>
          <cell r="I12">
            <v>31.389045967741939</v>
          </cell>
          <cell r="J12">
            <v>31.389045967741939</v>
          </cell>
          <cell r="K12">
            <v>31.389045967741939</v>
          </cell>
          <cell r="L12">
            <v>31.389045967741939</v>
          </cell>
          <cell r="M12">
            <v>31.389045967741939</v>
          </cell>
          <cell r="N12">
            <v>31.389045967741939</v>
          </cell>
          <cell r="O12">
            <v>29.833207258064526</v>
          </cell>
          <cell r="P12">
            <v>31.389045967741939</v>
          </cell>
          <cell r="Q12">
            <v>31.389045967741939</v>
          </cell>
          <cell r="R12">
            <v>31.389045967741939</v>
          </cell>
          <cell r="S12">
            <v>31.389045967741939</v>
          </cell>
          <cell r="T12">
            <v>31.389045967741939</v>
          </cell>
          <cell r="U12">
            <v>17.010503225806453</v>
          </cell>
          <cell r="V12">
            <v>29.833207258064526</v>
          </cell>
          <cell r="W12">
            <v>31.389045967741939</v>
          </cell>
          <cell r="X12">
            <v>31.389045967741939</v>
          </cell>
          <cell r="Y12">
            <v>31.389045967741939</v>
          </cell>
          <cell r="Z12">
            <v>31.389045967741939</v>
          </cell>
          <cell r="AA12">
            <v>31.389045967741939</v>
          </cell>
          <cell r="AB12">
            <v>31.389045967741939</v>
          </cell>
          <cell r="AC12">
            <v>29.833207258064526</v>
          </cell>
          <cell r="AD12">
            <v>31.389045967741939</v>
          </cell>
          <cell r="AE12">
            <v>31.389045967741939</v>
          </cell>
          <cell r="AF12">
            <v>31.389045967741939</v>
          </cell>
          <cell r="AG12">
            <v>31.389045967741939</v>
          </cell>
          <cell r="AH12">
            <v>31.389045967741939</v>
          </cell>
          <cell r="AI12">
            <v>31.389045967741939</v>
          </cell>
          <cell r="AJ12">
            <v>0</v>
          </cell>
          <cell r="AK12">
            <v>0</v>
          </cell>
          <cell r="AL12">
            <v>0</v>
          </cell>
        </row>
        <row r="13">
          <cell r="B13" t="str">
            <v>SH304</v>
          </cell>
          <cell r="D13">
            <v>0</v>
          </cell>
          <cell r="E13">
            <v>23.456488155241939</v>
          </cell>
          <cell r="F13">
            <v>23.456488155241939</v>
          </cell>
          <cell r="G13">
            <v>23.456488155241939</v>
          </cell>
          <cell r="H13">
            <v>22.293836945564522</v>
          </cell>
          <cell r="I13">
            <v>23.456488155241939</v>
          </cell>
          <cell r="J13">
            <v>23.456488155241939</v>
          </cell>
          <cell r="K13">
            <v>23.456488155241939</v>
          </cell>
          <cell r="L13">
            <v>23.456488155241939</v>
          </cell>
          <cell r="M13">
            <v>23.456488155241939</v>
          </cell>
          <cell r="N13">
            <v>23.456488155241939</v>
          </cell>
          <cell r="O13">
            <v>22.293836945564522</v>
          </cell>
          <cell r="P13">
            <v>23.456488155241939</v>
          </cell>
          <cell r="Q13">
            <v>23.456488155241939</v>
          </cell>
          <cell r="R13">
            <v>23.456488155241939</v>
          </cell>
          <cell r="S13">
            <v>23.456488155241939</v>
          </cell>
          <cell r="T13">
            <v>23.456488155241939</v>
          </cell>
          <cell r="U13">
            <v>12.711653225806451</v>
          </cell>
          <cell r="V13">
            <v>22.293836945564522</v>
          </cell>
          <cell r="W13">
            <v>23.456488155241939</v>
          </cell>
          <cell r="X13">
            <v>23.456488155241939</v>
          </cell>
          <cell r="Y13">
            <v>23.456488155241939</v>
          </cell>
          <cell r="Z13">
            <v>23.456488155241939</v>
          </cell>
          <cell r="AA13">
            <v>23.456488155241939</v>
          </cell>
          <cell r="AB13">
            <v>23.456488155241939</v>
          </cell>
          <cell r="AC13">
            <v>22.293836945564522</v>
          </cell>
          <cell r="AD13">
            <v>23.456488155241939</v>
          </cell>
          <cell r="AE13">
            <v>23.456488155241939</v>
          </cell>
          <cell r="AF13">
            <v>23.456488155241939</v>
          </cell>
          <cell r="AG13">
            <v>23.456488155241939</v>
          </cell>
          <cell r="AH13">
            <v>23.456488155241939</v>
          </cell>
          <cell r="AI13">
            <v>23.456488155241939</v>
          </cell>
          <cell r="AJ13">
            <v>0</v>
          </cell>
          <cell r="AK13">
            <v>0</v>
          </cell>
          <cell r="AL13">
            <v>0</v>
          </cell>
        </row>
        <row r="14">
          <cell r="B14" t="str">
            <v>SH305</v>
          </cell>
          <cell r="D14">
            <v>0</v>
          </cell>
          <cell r="E14">
            <v>23.456488155241939</v>
          </cell>
          <cell r="F14">
            <v>23.456488155241939</v>
          </cell>
          <cell r="G14">
            <v>23.456488155241939</v>
          </cell>
          <cell r="H14">
            <v>22.293836945564522</v>
          </cell>
          <cell r="I14">
            <v>23.456488155241939</v>
          </cell>
          <cell r="J14">
            <v>23.456488155241939</v>
          </cell>
          <cell r="K14">
            <v>23.456488155241939</v>
          </cell>
          <cell r="L14">
            <v>23.456488155241939</v>
          </cell>
          <cell r="M14">
            <v>23.456488155241939</v>
          </cell>
          <cell r="N14">
            <v>23.456488155241939</v>
          </cell>
          <cell r="O14">
            <v>22.293836945564522</v>
          </cell>
          <cell r="P14">
            <v>23.456488155241939</v>
          </cell>
          <cell r="Q14">
            <v>23.456488155241939</v>
          </cell>
          <cell r="R14">
            <v>23.456488155241939</v>
          </cell>
          <cell r="S14">
            <v>23.456488155241939</v>
          </cell>
          <cell r="T14">
            <v>23.456488155241939</v>
          </cell>
          <cell r="U14">
            <v>12.711653225806451</v>
          </cell>
          <cell r="V14">
            <v>22.293836945564522</v>
          </cell>
          <cell r="W14">
            <v>23.456488155241939</v>
          </cell>
          <cell r="X14">
            <v>23.456488155241939</v>
          </cell>
          <cell r="Y14">
            <v>23.456488155241939</v>
          </cell>
          <cell r="Z14">
            <v>23.456488155241939</v>
          </cell>
          <cell r="AA14">
            <v>23.456488155241939</v>
          </cell>
          <cell r="AB14">
            <v>23.456488155241939</v>
          </cell>
          <cell r="AC14">
            <v>22.293836945564522</v>
          </cell>
          <cell r="AD14">
            <v>23.456488155241939</v>
          </cell>
          <cell r="AE14">
            <v>23.456488155241939</v>
          </cell>
          <cell r="AF14">
            <v>23.456488155241939</v>
          </cell>
          <cell r="AG14">
            <v>23.456488155241939</v>
          </cell>
          <cell r="AH14">
            <v>23.456488155241939</v>
          </cell>
          <cell r="AI14">
            <v>23.456488155241939</v>
          </cell>
          <cell r="AJ14">
            <v>0</v>
          </cell>
          <cell r="AK14">
            <v>0</v>
          </cell>
          <cell r="AL14">
            <v>0</v>
          </cell>
        </row>
        <row r="15">
          <cell r="B15" t="str">
            <v>SH306</v>
          </cell>
          <cell r="D15">
            <v>0</v>
          </cell>
          <cell r="E15">
            <v>23.456488155241939</v>
          </cell>
          <cell r="F15">
            <v>23.456488155241939</v>
          </cell>
          <cell r="G15">
            <v>23.456488155241939</v>
          </cell>
          <cell r="H15">
            <v>22.293836945564522</v>
          </cell>
          <cell r="I15">
            <v>23.456488155241939</v>
          </cell>
          <cell r="J15">
            <v>23.456488155241939</v>
          </cell>
          <cell r="K15">
            <v>23.456488155241939</v>
          </cell>
          <cell r="L15">
            <v>23.456488155241939</v>
          </cell>
          <cell r="M15">
            <v>23.456488155241939</v>
          </cell>
          <cell r="N15">
            <v>23.456488155241939</v>
          </cell>
          <cell r="O15">
            <v>22.293836945564522</v>
          </cell>
          <cell r="P15">
            <v>23.456488155241939</v>
          </cell>
          <cell r="Q15">
            <v>23.456488155241939</v>
          </cell>
          <cell r="R15">
            <v>23.456488155241939</v>
          </cell>
          <cell r="S15">
            <v>23.456488155241939</v>
          </cell>
          <cell r="T15">
            <v>23.456488155241939</v>
          </cell>
          <cell r="U15">
            <v>12.711653225806451</v>
          </cell>
          <cell r="V15">
            <v>22.293836945564522</v>
          </cell>
          <cell r="W15">
            <v>23.456488155241939</v>
          </cell>
          <cell r="X15">
            <v>23.456488155241939</v>
          </cell>
          <cell r="Y15">
            <v>23.456488155241939</v>
          </cell>
          <cell r="Z15">
            <v>23.456488155241939</v>
          </cell>
          <cell r="AA15">
            <v>23.456488155241939</v>
          </cell>
          <cell r="AB15">
            <v>23.456488155241939</v>
          </cell>
          <cell r="AC15">
            <v>22.293836945564522</v>
          </cell>
          <cell r="AD15">
            <v>23.456488155241939</v>
          </cell>
          <cell r="AE15">
            <v>23.456488155241939</v>
          </cell>
          <cell r="AF15">
            <v>23.456488155241939</v>
          </cell>
          <cell r="AG15">
            <v>23.456488155241939</v>
          </cell>
          <cell r="AH15">
            <v>23.456488155241939</v>
          </cell>
          <cell r="AI15">
            <v>23.456488155241939</v>
          </cell>
          <cell r="AJ15">
            <v>0</v>
          </cell>
          <cell r="AK15">
            <v>0</v>
          </cell>
          <cell r="AL15">
            <v>0</v>
          </cell>
        </row>
        <row r="16">
          <cell r="B16" t="str">
            <v>EX708</v>
          </cell>
          <cell r="D16">
            <v>0</v>
          </cell>
          <cell r="E16">
            <v>16.206300907258068</v>
          </cell>
          <cell r="F16">
            <v>16.206300907258068</v>
          </cell>
          <cell r="G16">
            <v>16.206300907258068</v>
          </cell>
          <cell r="H16">
            <v>15.403014616935488</v>
          </cell>
          <cell r="I16">
            <v>16.206300907258068</v>
          </cell>
          <cell r="J16">
            <v>16.206300907258068</v>
          </cell>
          <cell r="K16">
            <v>16.206300907258068</v>
          </cell>
          <cell r="L16">
            <v>16.206300907258068</v>
          </cell>
          <cell r="M16">
            <v>16.206300907258068</v>
          </cell>
          <cell r="N16">
            <v>16.206300907258068</v>
          </cell>
          <cell r="O16">
            <v>15.403014616935488</v>
          </cell>
          <cell r="P16">
            <v>16.206300907258068</v>
          </cell>
          <cell r="Q16">
            <v>16.206300907258068</v>
          </cell>
          <cell r="R16">
            <v>16.206300907258068</v>
          </cell>
          <cell r="S16">
            <v>16.206300907258068</v>
          </cell>
          <cell r="T16">
            <v>16.206300907258068</v>
          </cell>
          <cell r="U16">
            <v>8.7825967741935482</v>
          </cell>
          <cell r="V16">
            <v>15.403014616935488</v>
          </cell>
          <cell r="W16">
            <v>16.206300907258068</v>
          </cell>
          <cell r="X16">
            <v>16.206300907258068</v>
          </cell>
          <cell r="Y16">
            <v>16.206300907258068</v>
          </cell>
          <cell r="Z16">
            <v>16.206300907258068</v>
          </cell>
          <cell r="AA16">
            <v>16.206300907258068</v>
          </cell>
          <cell r="AB16">
            <v>16.206300907258068</v>
          </cell>
          <cell r="AC16">
            <v>15.403014616935488</v>
          </cell>
          <cell r="AD16">
            <v>16.206300907258068</v>
          </cell>
          <cell r="AE16">
            <v>16.206300907258068</v>
          </cell>
          <cell r="AF16">
            <v>16.206300907258068</v>
          </cell>
          <cell r="AG16">
            <v>16.206300907258068</v>
          </cell>
          <cell r="AH16">
            <v>16.206300907258068</v>
          </cell>
          <cell r="AI16">
            <v>16.206300907258068</v>
          </cell>
          <cell r="AJ16">
            <v>0</v>
          </cell>
          <cell r="AK16">
            <v>0</v>
          </cell>
          <cell r="AL16">
            <v>0</v>
          </cell>
        </row>
        <row r="17">
          <cell r="B17" t="str">
            <v>EX709</v>
          </cell>
          <cell r="D17">
            <v>0</v>
          </cell>
          <cell r="E17">
            <v>16.206300907258068</v>
          </cell>
          <cell r="F17">
            <v>16.206300907258068</v>
          </cell>
          <cell r="G17">
            <v>16.206300907258068</v>
          </cell>
          <cell r="H17">
            <v>15.403014616935488</v>
          </cell>
          <cell r="I17">
            <v>16.206300907258068</v>
          </cell>
          <cell r="J17">
            <v>16.206300907258068</v>
          </cell>
          <cell r="K17">
            <v>16.206300907258068</v>
          </cell>
          <cell r="L17">
            <v>16.206300907258068</v>
          </cell>
          <cell r="M17">
            <v>16.206300907258068</v>
          </cell>
          <cell r="N17">
            <v>16.206300907258068</v>
          </cell>
          <cell r="O17">
            <v>15.403014616935488</v>
          </cell>
          <cell r="P17">
            <v>16.206300907258068</v>
          </cell>
          <cell r="Q17">
            <v>16.206300907258068</v>
          </cell>
          <cell r="R17">
            <v>16.206300907258068</v>
          </cell>
          <cell r="S17">
            <v>16.206300907258068</v>
          </cell>
          <cell r="T17">
            <v>16.206300907258068</v>
          </cell>
          <cell r="U17">
            <v>8.7825967741935482</v>
          </cell>
          <cell r="V17">
            <v>15.403014616935488</v>
          </cell>
          <cell r="W17">
            <v>16.206300907258068</v>
          </cell>
          <cell r="X17">
            <v>16.206300907258068</v>
          </cell>
          <cell r="Y17">
            <v>16.206300907258068</v>
          </cell>
          <cell r="Z17">
            <v>16.206300907258068</v>
          </cell>
          <cell r="AA17">
            <v>16.206300907258068</v>
          </cell>
          <cell r="AB17">
            <v>16.206300907258068</v>
          </cell>
          <cell r="AC17">
            <v>15.403014616935488</v>
          </cell>
          <cell r="AD17">
            <v>16.206300907258068</v>
          </cell>
          <cell r="AE17">
            <v>16.206300907258068</v>
          </cell>
          <cell r="AF17">
            <v>16.206300907258068</v>
          </cell>
          <cell r="AG17">
            <v>16.206300907258068</v>
          </cell>
          <cell r="AH17">
            <v>16.206300907258068</v>
          </cell>
          <cell r="AI17">
            <v>16.206300907258068</v>
          </cell>
          <cell r="AJ17">
            <v>0</v>
          </cell>
          <cell r="AK17">
            <v>0</v>
          </cell>
          <cell r="AL17">
            <v>0</v>
          </cell>
        </row>
        <row r="18">
          <cell r="B18" t="str">
            <v>EX710</v>
          </cell>
          <cell r="D18">
            <v>0</v>
          </cell>
          <cell r="E18">
            <v>16.206300907258068</v>
          </cell>
          <cell r="F18">
            <v>16.206300907258068</v>
          </cell>
          <cell r="G18">
            <v>16.206300907258068</v>
          </cell>
          <cell r="H18">
            <v>15.403014616935488</v>
          </cell>
          <cell r="I18">
            <v>16.206300907258068</v>
          </cell>
          <cell r="J18">
            <v>16.206300907258068</v>
          </cell>
          <cell r="K18">
            <v>16.206300907258068</v>
          </cell>
          <cell r="L18">
            <v>16.206300907258068</v>
          </cell>
          <cell r="M18">
            <v>16.206300907258068</v>
          </cell>
          <cell r="N18">
            <v>16.206300907258068</v>
          </cell>
          <cell r="O18">
            <v>15.403014616935488</v>
          </cell>
          <cell r="P18">
            <v>16.206300907258068</v>
          </cell>
          <cell r="Q18">
            <v>16.206300907258068</v>
          </cell>
          <cell r="R18">
            <v>16.206300907258068</v>
          </cell>
          <cell r="S18">
            <v>16.206300907258068</v>
          </cell>
          <cell r="T18">
            <v>16.206300907258068</v>
          </cell>
          <cell r="U18">
            <v>8.7825967741935482</v>
          </cell>
          <cell r="V18">
            <v>15.403014616935488</v>
          </cell>
          <cell r="W18">
            <v>16.206300907258068</v>
          </cell>
          <cell r="X18">
            <v>16.206300907258068</v>
          </cell>
          <cell r="Y18">
            <v>16.206300907258068</v>
          </cell>
          <cell r="Z18">
            <v>16.206300907258068</v>
          </cell>
          <cell r="AA18">
            <v>16.206300907258068</v>
          </cell>
          <cell r="AB18">
            <v>16.206300907258068</v>
          </cell>
          <cell r="AC18">
            <v>15.403014616935488</v>
          </cell>
          <cell r="AD18">
            <v>16.206300907258068</v>
          </cell>
          <cell r="AE18">
            <v>16.206300907258068</v>
          </cell>
          <cell r="AF18">
            <v>16.206300907258068</v>
          </cell>
          <cell r="AG18">
            <v>16.206300907258068</v>
          </cell>
          <cell r="AH18">
            <v>16.206300907258068</v>
          </cell>
          <cell r="AI18">
            <v>16.206300907258068</v>
          </cell>
          <cell r="AJ18">
            <v>0</v>
          </cell>
          <cell r="AK18">
            <v>0</v>
          </cell>
          <cell r="AL18">
            <v>0</v>
          </cell>
        </row>
        <row r="19">
          <cell r="B19" t="str">
            <v>EX711</v>
          </cell>
          <cell r="D19">
            <v>0</v>
          </cell>
          <cell r="E19">
            <v>16.206300907258068</v>
          </cell>
          <cell r="F19">
            <v>16.206300907258068</v>
          </cell>
          <cell r="G19">
            <v>16.206300907258068</v>
          </cell>
          <cell r="H19">
            <v>15.403014616935488</v>
          </cell>
          <cell r="I19">
            <v>16.206300907258068</v>
          </cell>
          <cell r="J19">
            <v>16.206300907258068</v>
          </cell>
          <cell r="K19">
            <v>16.206300907258068</v>
          </cell>
          <cell r="L19">
            <v>16.206300907258068</v>
          </cell>
          <cell r="M19">
            <v>16.206300907258068</v>
          </cell>
          <cell r="N19">
            <v>16.206300907258068</v>
          </cell>
          <cell r="O19">
            <v>15.403014616935488</v>
          </cell>
          <cell r="P19">
            <v>16.206300907258068</v>
          </cell>
          <cell r="Q19">
            <v>16.206300907258068</v>
          </cell>
          <cell r="R19">
            <v>16.206300907258068</v>
          </cell>
          <cell r="S19">
            <v>16.206300907258068</v>
          </cell>
          <cell r="T19">
            <v>16.206300907258068</v>
          </cell>
          <cell r="U19">
            <v>8.7825967741935482</v>
          </cell>
          <cell r="V19">
            <v>15.403014616935488</v>
          </cell>
          <cell r="W19">
            <v>16.206300907258068</v>
          </cell>
          <cell r="X19">
            <v>16.206300907258068</v>
          </cell>
          <cell r="Y19">
            <v>16.206300907258068</v>
          </cell>
          <cell r="Z19">
            <v>16.206300907258068</v>
          </cell>
          <cell r="AA19">
            <v>16.206300907258068</v>
          </cell>
          <cell r="AB19">
            <v>16.206300907258068</v>
          </cell>
          <cell r="AC19">
            <v>15.403014616935488</v>
          </cell>
          <cell r="AD19">
            <v>16.206300907258068</v>
          </cell>
          <cell r="AE19">
            <v>16.206300907258068</v>
          </cell>
          <cell r="AF19">
            <v>16.206300907258068</v>
          </cell>
          <cell r="AG19">
            <v>16.206300907258068</v>
          </cell>
          <cell r="AH19">
            <v>16.206300907258068</v>
          </cell>
          <cell r="AI19">
            <v>16.206300907258068</v>
          </cell>
          <cell r="AJ19">
            <v>0</v>
          </cell>
          <cell r="AK19">
            <v>0</v>
          </cell>
          <cell r="AL19">
            <v>0</v>
          </cell>
        </row>
        <row r="20">
          <cell r="B20" t="str">
            <v>EX1001</v>
          </cell>
          <cell r="D20">
            <v>0</v>
          </cell>
          <cell r="E20">
            <v>8.7191794354838716</v>
          </cell>
          <cell r="F20">
            <v>8.7191794354838716</v>
          </cell>
          <cell r="G20">
            <v>8.7191794354838716</v>
          </cell>
          <cell r="H20">
            <v>8.2870020161290352</v>
          </cell>
          <cell r="I20">
            <v>8.7191794354838716</v>
          </cell>
          <cell r="J20">
            <v>8.7191794354838716</v>
          </cell>
          <cell r="K20">
            <v>8.7191794354838716</v>
          </cell>
          <cell r="L20">
            <v>8.7191794354838716</v>
          </cell>
          <cell r="M20">
            <v>8.7191794354838716</v>
          </cell>
          <cell r="N20">
            <v>8.7191794354838716</v>
          </cell>
          <cell r="O20">
            <v>8.2870020161290352</v>
          </cell>
          <cell r="P20">
            <v>8.7191794354838716</v>
          </cell>
          <cell r="Q20">
            <v>8.7191794354838716</v>
          </cell>
          <cell r="R20">
            <v>8.7191794354838716</v>
          </cell>
          <cell r="S20">
            <v>8.7191794354838716</v>
          </cell>
          <cell r="T20">
            <v>8.7191794354838716</v>
          </cell>
          <cell r="U20">
            <v>4.7251397849462364</v>
          </cell>
          <cell r="V20">
            <v>8.2870020161290352</v>
          </cell>
          <cell r="W20">
            <v>8.7191794354838716</v>
          </cell>
          <cell r="X20">
            <v>8.7191794354838716</v>
          </cell>
          <cell r="Y20">
            <v>8.7191794354838716</v>
          </cell>
          <cell r="Z20">
            <v>8.7191794354838716</v>
          </cell>
          <cell r="AA20">
            <v>8.7191794354838716</v>
          </cell>
          <cell r="AB20">
            <v>8.7191794354838716</v>
          </cell>
          <cell r="AC20">
            <v>8.2870020161290352</v>
          </cell>
          <cell r="AD20">
            <v>8.7191794354838716</v>
          </cell>
          <cell r="AE20">
            <v>8.7191794354838716</v>
          </cell>
          <cell r="AF20">
            <v>8.7191794354838716</v>
          </cell>
          <cell r="AG20">
            <v>8.7191794354838716</v>
          </cell>
          <cell r="AH20">
            <v>8.7191794354838716</v>
          </cell>
          <cell r="AI20">
            <v>8.7191794354838716</v>
          </cell>
          <cell r="AJ20">
            <v>0</v>
          </cell>
          <cell r="AK20">
            <v>0</v>
          </cell>
          <cell r="AL20">
            <v>0</v>
          </cell>
        </row>
        <row r="21">
          <cell r="B21" t="str">
            <v>EX1002</v>
          </cell>
          <cell r="D21">
            <v>0</v>
          </cell>
          <cell r="E21">
            <v>8.7191794354838716</v>
          </cell>
          <cell r="F21">
            <v>8.7191794354838716</v>
          </cell>
          <cell r="G21">
            <v>8.7191794354838716</v>
          </cell>
          <cell r="H21">
            <v>8.2870020161290352</v>
          </cell>
          <cell r="I21">
            <v>8.7191794354838716</v>
          </cell>
          <cell r="J21">
            <v>8.7191794354838716</v>
          </cell>
          <cell r="K21">
            <v>8.7191794354838716</v>
          </cell>
          <cell r="L21">
            <v>8.7191794354838716</v>
          </cell>
          <cell r="M21">
            <v>8.7191794354838716</v>
          </cell>
          <cell r="N21">
            <v>8.7191794354838716</v>
          </cell>
          <cell r="O21">
            <v>8.2870020161290352</v>
          </cell>
          <cell r="P21">
            <v>8.7191794354838716</v>
          </cell>
          <cell r="Q21">
            <v>8.7191794354838716</v>
          </cell>
          <cell r="R21">
            <v>8.7191794354838716</v>
          </cell>
          <cell r="S21">
            <v>8.7191794354838716</v>
          </cell>
          <cell r="T21">
            <v>8.7191794354838716</v>
          </cell>
          <cell r="U21">
            <v>4.7251397849462364</v>
          </cell>
          <cell r="V21">
            <v>8.2870020161290352</v>
          </cell>
          <cell r="W21">
            <v>8.7191794354838716</v>
          </cell>
          <cell r="X21">
            <v>8.7191794354838716</v>
          </cell>
          <cell r="Y21">
            <v>8.7191794354838716</v>
          </cell>
          <cell r="Z21">
            <v>8.7191794354838716</v>
          </cell>
          <cell r="AA21">
            <v>8.7191794354838716</v>
          </cell>
          <cell r="AB21">
            <v>8.7191794354838716</v>
          </cell>
          <cell r="AC21">
            <v>8.2870020161290352</v>
          </cell>
          <cell r="AD21">
            <v>8.7191794354838716</v>
          </cell>
          <cell r="AE21">
            <v>8.7191794354838716</v>
          </cell>
          <cell r="AF21">
            <v>8.7191794354838716</v>
          </cell>
          <cell r="AG21">
            <v>8.7191794354838716</v>
          </cell>
          <cell r="AH21">
            <v>8.7191794354838716</v>
          </cell>
          <cell r="AI21">
            <v>8.7191794354838716</v>
          </cell>
          <cell r="AJ21">
            <v>0</v>
          </cell>
          <cell r="AK21">
            <v>0</v>
          </cell>
          <cell r="AL21">
            <v>0</v>
          </cell>
        </row>
        <row r="22">
          <cell r="B22" t="str">
            <v>EX1004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</row>
        <row r="23">
          <cell r="B23" t="str">
            <v>EX1006</v>
          </cell>
          <cell r="D23">
            <v>0</v>
          </cell>
          <cell r="E23">
            <v>8.7191794354838716</v>
          </cell>
          <cell r="F23">
            <v>8.7191794354838716</v>
          </cell>
          <cell r="G23">
            <v>8.7191794354838716</v>
          </cell>
          <cell r="H23">
            <v>8.2870020161290352</v>
          </cell>
          <cell r="I23">
            <v>8.7191794354838716</v>
          </cell>
          <cell r="J23">
            <v>8.7191794354838716</v>
          </cell>
          <cell r="K23">
            <v>8.7191794354838716</v>
          </cell>
          <cell r="L23">
            <v>8.7191794354838716</v>
          </cell>
          <cell r="M23">
            <v>8.7191794354838716</v>
          </cell>
          <cell r="N23">
            <v>8.7191794354838716</v>
          </cell>
          <cell r="O23">
            <v>8.2870020161290352</v>
          </cell>
          <cell r="P23">
            <v>8.7191794354838716</v>
          </cell>
          <cell r="Q23">
            <v>8.7191794354838716</v>
          </cell>
          <cell r="R23">
            <v>8.7191794354838716</v>
          </cell>
          <cell r="S23">
            <v>8.7191794354838716</v>
          </cell>
          <cell r="T23">
            <v>8.7191794354838716</v>
          </cell>
          <cell r="U23">
            <v>4.7251397849462364</v>
          </cell>
          <cell r="V23">
            <v>8.2870020161290352</v>
          </cell>
          <cell r="W23">
            <v>8.7191794354838716</v>
          </cell>
          <cell r="X23">
            <v>8.7191794354838716</v>
          </cell>
          <cell r="Y23">
            <v>8.7191794354838716</v>
          </cell>
          <cell r="Z23">
            <v>8.7191794354838716</v>
          </cell>
          <cell r="AA23">
            <v>8.7191794354838716</v>
          </cell>
          <cell r="AB23">
            <v>8.7191794354838716</v>
          </cell>
          <cell r="AC23">
            <v>8.2870020161290352</v>
          </cell>
          <cell r="AD23">
            <v>8.7191794354838716</v>
          </cell>
          <cell r="AE23">
            <v>8.7191794354838716</v>
          </cell>
          <cell r="AF23">
            <v>8.7191794354838716</v>
          </cell>
          <cell r="AG23">
            <v>8.7191794354838716</v>
          </cell>
          <cell r="AH23">
            <v>8.7191794354838716</v>
          </cell>
          <cell r="AI23">
            <v>8.7191794354838716</v>
          </cell>
          <cell r="AJ23">
            <v>0</v>
          </cell>
          <cell r="AK23">
            <v>0</v>
          </cell>
          <cell r="AL23">
            <v>0</v>
          </cell>
        </row>
        <row r="24">
          <cell r="B24" t="str">
            <v>EX1013OB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</row>
        <row r="25">
          <cell r="B25" t="str">
            <v>EX1014</v>
          </cell>
          <cell r="E25">
            <v>7.8472614919354848</v>
          </cell>
          <cell r="F25">
            <v>7.8472614919354848</v>
          </cell>
          <cell r="G25">
            <v>7.8472614919354848</v>
          </cell>
          <cell r="H25">
            <v>7.4583018145161315</v>
          </cell>
          <cell r="I25">
            <v>7.8472614919354848</v>
          </cell>
          <cell r="J25">
            <v>7.8472614919354848</v>
          </cell>
          <cell r="K25">
            <v>7.8472614919354848</v>
          </cell>
          <cell r="L25">
            <v>7.8472614919354848</v>
          </cell>
          <cell r="M25">
            <v>7.8472614919354848</v>
          </cell>
          <cell r="N25">
            <v>7.8472614919354848</v>
          </cell>
          <cell r="O25">
            <v>7.8472614919354848</v>
          </cell>
          <cell r="P25">
            <v>7.8472614919354848</v>
          </cell>
          <cell r="Q25">
            <v>7.8472614919354848</v>
          </cell>
          <cell r="R25">
            <v>7.8472614919354848</v>
          </cell>
          <cell r="S25">
            <v>7.8472614919354848</v>
          </cell>
          <cell r="T25">
            <v>7.8472614919354848</v>
          </cell>
          <cell r="U25">
            <v>4.2526258064516131</v>
          </cell>
          <cell r="V25">
            <v>7.8472614919354848</v>
          </cell>
          <cell r="W25">
            <v>7.8472614919354848</v>
          </cell>
          <cell r="X25">
            <v>7.8472614919354848</v>
          </cell>
          <cell r="Y25">
            <v>7.8472614919354848</v>
          </cell>
          <cell r="Z25">
            <v>7.8472614919354848</v>
          </cell>
          <cell r="AA25">
            <v>7.8472614919354848</v>
          </cell>
          <cell r="AB25">
            <v>7.8472614919354848</v>
          </cell>
          <cell r="AC25">
            <v>7.8472614919354848</v>
          </cell>
          <cell r="AD25">
            <v>7.8472614919354848</v>
          </cell>
          <cell r="AE25">
            <v>7.8472614919354848</v>
          </cell>
          <cell r="AF25">
            <v>7.8472614919354848</v>
          </cell>
          <cell r="AG25">
            <v>7.8472614919354848</v>
          </cell>
          <cell r="AH25">
            <v>7.8472614919354848</v>
          </cell>
          <cell r="AI25">
            <v>7.8472614919354848</v>
          </cell>
          <cell r="AJ25">
            <v>0</v>
          </cell>
        </row>
        <row r="26">
          <cell r="B26" t="str">
            <v>EX577</v>
          </cell>
          <cell r="D26">
            <v>0</v>
          </cell>
          <cell r="E26">
            <v>4.9213520211471824</v>
          </cell>
          <cell r="F26">
            <v>4.9213520211471824</v>
          </cell>
          <cell r="G26">
            <v>4.9213520211471824</v>
          </cell>
          <cell r="H26">
            <v>4.6774188354645476</v>
          </cell>
          <cell r="I26">
            <v>4.9213520211471824</v>
          </cell>
          <cell r="J26">
            <v>4.9213520211471824</v>
          </cell>
          <cell r="K26">
            <v>4.9213520211471824</v>
          </cell>
          <cell r="L26">
            <v>4.9213520211471824</v>
          </cell>
          <cell r="M26">
            <v>4.9213520211471824</v>
          </cell>
          <cell r="N26">
            <v>4.9213520211471824</v>
          </cell>
          <cell r="O26">
            <v>4.6774188354645476</v>
          </cell>
          <cell r="P26">
            <v>4.9213520211471824</v>
          </cell>
          <cell r="Q26">
            <v>4.9213520211471824</v>
          </cell>
          <cell r="R26">
            <v>4.9213520211471824</v>
          </cell>
          <cell r="S26">
            <v>4.9213520211471824</v>
          </cell>
          <cell r="T26">
            <v>4.9213520211471824</v>
          </cell>
          <cell r="U26">
            <v>2.667002830130154</v>
          </cell>
          <cell r="V26">
            <v>4.6774188354645476</v>
          </cell>
          <cell r="W26">
            <v>4.9213520211471824</v>
          </cell>
          <cell r="X26">
            <v>4.9213520211471824</v>
          </cell>
          <cell r="Y26">
            <v>4.9213520211471824</v>
          </cell>
          <cell r="Z26">
            <v>4.9213520211471824</v>
          </cell>
          <cell r="AA26">
            <v>4.9213520211471824</v>
          </cell>
          <cell r="AB26">
            <v>4.9213520211471824</v>
          </cell>
          <cell r="AC26">
            <v>4.6774188354645476</v>
          </cell>
          <cell r="AD26">
            <v>4.9213520211471824</v>
          </cell>
          <cell r="AE26">
            <v>4.9213520211471824</v>
          </cell>
          <cell r="AF26">
            <v>4.9213520211471824</v>
          </cell>
          <cell r="AG26">
            <v>4.9213520211471824</v>
          </cell>
          <cell r="AH26">
            <v>4.9213520211471824</v>
          </cell>
          <cell r="AI26">
            <v>4.9213520211471824</v>
          </cell>
          <cell r="AJ26">
            <v>0</v>
          </cell>
          <cell r="AK26">
            <v>0</v>
          </cell>
          <cell r="AL26">
            <v>0</v>
          </cell>
        </row>
        <row r="27">
          <cell r="B27" t="str">
            <v>EX578</v>
          </cell>
          <cell r="D27">
            <v>0</v>
          </cell>
          <cell r="E27">
            <v>6.1034256048387103</v>
          </cell>
          <cell r="F27">
            <v>6.1034256048387103</v>
          </cell>
          <cell r="G27">
            <v>6.1034256048387103</v>
          </cell>
          <cell r="H27">
            <v>5.800901411290325</v>
          </cell>
          <cell r="I27">
            <v>6.1034256048387103</v>
          </cell>
          <cell r="J27">
            <v>6.1034256048387103</v>
          </cell>
          <cell r="K27">
            <v>6.1034256048387103</v>
          </cell>
          <cell r="L27">
            <v>6.1034256048387103</v>
          </cell>
          <cell r="M27">
            <v>6.1034256048387103</v>
          </cell>
          <cell r="N27">
            <v>6.1034256048387103</v>
          </cell>
          <cell r="O27">
            <v>5.800901411290325</v>
          </cell>
          <cell r="P27">
            <v>6.1034256048387103</v>
          </cell>
          <cell r="Q27">
            <v>6.1034256048387103</v>
          </cell>
          <cell r="R27">
            <v>6.1034256048387103</v>
          </cell>
          <cell r="S27">
            <v>6.1034256048387103</v>
          </cell>
          <cell r="T27">
            <v>6.1034256048387103</v>
          </cell>
          <cell r="U27">
            <v>3.3075978494623657</v>
          </cell>
          <cell r="V27">
            <v>5.800901411290325</v>
          </cell>
          <cell r="W27">
            <v>6.1034256048387103</v>
          </cell>
          <cell r="X27">
            <v>6.1034256048387103</v>
          </cell>
          <cell r="Y27">
            <v>6.1034256048387103</v>
          </cell>
          <cell r="Z27">
            <v>6.1034256048387103</v>
          </cell>
          <cell r="AA27">
            <v>6.1034256048387103</v>
          </cell>
          <cell r="AB27">
            <v>6.1034256048387103</v>
          </cell>
          <cell r="AC27">
            <v>5.800901411290325</v>
          </cell>
          <cell r="AD27">
            <v>6.1034256048387103</v>
          </cell>
          <cell r="AE27">
            <v>6.1034256048387103</v>
          </cell>
          <cell r="AF27">
            <v>6.1034256048387103</v>
          </cell>
          <cell r="AG27">
            <v>6.1034256048387103</v>
          </cell>
          <cell r="AH27">
            <v>6.1034256048387103</v>
          </cell>
          <cell r="AI27">
            <v>6.1034256048387103</v>
          </cell>
          <cell r="AJ27">
            <v>0</v>
          </cell>
          <cell r="AK27">
            <v>0</v>
          </cell>
          <cell r="AL27">
            <v>0</v>
          </cell>
        </row>
        <row r="28">
          <cell r="B28" t="str">
            <v>TOTAL</v>
          </cell>
          <cell r="C28">
            <v>0</v>
          </cell>
          <cell r="D28">
            <v>0</v>
          </cell>
          <cell r="E28">
            <v>211.61329148687309</v>
          </cell>
          <cell r="F28">
            <v>211.61329148687309</v>
          </cell>
          <cell r="G28">
            <v>211.61329148687309</v>
          </cell>
          <cell r="H28">
            <v>201.12440467215814</v>
          </cell>
          <cell r="I28">
            <v>211.61329148687309</v>
          </cell>
          <cell r="J28">
            <v>211.61329148687309</v>
          </cell>
          <cell r="K28">
            <v>211.61329148687309</v>
          </cell>
          <cell r="L28">
            <v>211.61329148687309</v>
          </cell>
          <cell r="M28">
            <v>211.61329148687309</v>
          </cell>
          <cell r="N28">
            <v>211.61329148687309</v>
          </cell>
          <cell r="O28">
            <v>201.5133643495775</v>
          </cell>
          <cell r="P28">
            <v>211.61329148687309</v>
          </cell>
          <cell r="Q28">
            <v>211.61329148687309</v>
          </cell>
          <cell r="R28">
            <v>211.61329148687309</v>
          </cell>
          <cell r="S28">
            <v>211.61329148687309</v>
          </cell>
          <cell r="T28">
            <v>211.61329148687309</v>
          </cell>
          <cell r="U28">
            <v>114.67849584088286</v>
          </cell>
          <cell r="V28">
            <v>201.5133643495775</v>
          </cell>
          <cell r="W28">
            <v>211.61329148687309</v>
          </cell>
          <cell r="X28">
            <v>211.61329148687309</v>
          </cell>
          <cell r="Y28">
            <v>211.61329148687309</v>
          </cell>
          <cell r="Z28">
            <v>211.61329148687309</v>
          </cell>
          <cell r="AA28">
            <v>211.61329148687309</v>
          </cell>
          <cell r="AB28">
            <v>211.61329148687309</v>
          </cell>
          <cell r="AC28">
            <v>201.5133643495775</v>
          </cell>
          <cell r="AD28">
            <v>211.61329148687309</v>
          </cell>
          <cell r="AE28">
            <v>211.61329148687309</v>
          </cell>
          <cell r="AF28">
            <v>211.61329148687309</v>
          </cell>
          <cell r="AG28">
            <v>211.61329148687309</v>
          </cell>
          <cell r="AH28">
            <v>211.61329148687309</v>
          </cell>
          <cell r="AI28">
            <v>211.61329148687309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</row>
        <row r="29">
          <cell r="B29" t="str">
            <v>TOTAL</v>
          </cell>
          <cell r="C29">
            <v>0</v>
          </cell>
          <cell r="D29">
            <v>0</v>
          </cell>
          <cell r="E29">
            <v>211.61329148687309</v>
          </cell>
          <cell r="F29">
            <v>211.61329148687309</v>
          </cell>
          <cell r="G29">
            <v>211.61329148687309</v>
          </cell>
          <cell r="H29">
            <v>201.12440467215814</v>
          </cell>
          <cell r="I29">
            <v>211.61329148687309</v>
          </cell>
          <cell r="J29">
            <v>211.61329148687309</v>
          </cell>
          <cell r="K29">
            <v>211.61329148687309</v>
          </cell>
          <cell r="L29">
            <v>211.61329148687309</v>
          </cell>
          <cell r="M29">
            <v>211.61329148687309</v>
          </cell>
          <cell r="N29">
            <v>211.61329148687309</v>
          </cell>
          <cell r="O29">
            <v>201.5133643495775</v>
          </cell>
          <cell r="P29">
            <v>211.61329148687309</v>
          </cell>
          <cell r="Q29">
            <v>211.61329148687309</v>
          </cell>
          <cell r="R29">
            <v>211.61329148687309</v>
          </cell>
          <cell r="S29">
            <v>211.61329148687309</v>
          </cell>
          <cell r="T29">
            <v>211.61329148687309</v>
          </cell>
          <cell r="U29">
            <v>114.67849584088286</v>
          </cell>
          <cell r="V29">
            <v>201.5133643495775</v>
          </cell>
          <cell r="W29">
            <v>211.61329148687309</v>
          </cell>
          <cell r="X29">
            <v>211.61329148687309</v>
          </cell>
          <cell r="Y29">
            <v>211.61329148687309</v>
          </cell>
          <cell r="Z29">
            <v>211.61329148687309</v>
          </cell>
          <cell r="AA29">
            <v>211.61329148687309</v>
          </cell>
          <cell r="AB29">
            <v>211.61329148687309</v>
          </cell>
          <cell r="AC29">
            <v>201.5133643495775</v>
          </cell>
          <cell r="AD29">
            <v>211.61329148687309</v>
          </cell>
          <cell r="AE29">
            <v>211.61329148687309</v>
          </cell>
          <cell r="AF29">
            <v>211.61329148687309</v>
          </cell>
          <cell r="AG29">
            <v>211.61329148687309</v>
          </cell>
          <cell r="AH29">
            <v>211.61329148687309</v>
          </cell>
          <cell r="AI29">
            <v>211.61329148687309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</row>
        <row r="30">
          <cell r="B30" t="str">
            <v>RESUME WASTE REMOVAL</v>
          </cell>
          <cell r="AF30" t="str">
            <v>TOTAL WASTE REMOVAL</v>
          </cell>
        </row>
        <row r="31">
          <cell r="B31" t="str">
            <v>OB</v>
          </cell>
          <cell r="C31">
            <v>6087.7564722782263</v>
          </cell>
          <cell r="K31" t="str">
            <v>kBCM</v>
          </cell>
        </row>
        <row r="32">
          <cell r="B32" t="str">
            <v>TS_PIT</v>
          </cell>
          <cell r="C32">
            <v>0</v>
          </cell>
          <cell r="K32" t="str">
            <v>kBCM</v>
          </cell>
        </row>
        <row r="33">
          <cell r="B33" t="str">
            <v>OB+TS_PIT</v>
          </cell>
          <cell r="C33">
            <v>0</v>
          </cell>
          <cell r="K33" t="str">
            <v>kBCM</v>
          </cell>
        </row>
        <row r="34">
          <cell r="B34" t="str">
            <v>TS_WD</v>
          </cell>
          <cell r="C34">
            <v>334.53209994224528</v>
          </cell>
          <cell r="K34" t="str">
            <v>kBCM</v>
          </cell>
        </row>
        <row r="35">
          <cell r="B35" t="str">
            <v>TOTAL</v>
          </cell>
          <cell r="C35">
            <v>6422.2885722204719</v>
          </cell>
          <cell r="K35" t="str">
            <v>kBCM</v>
          </cell>
        </row>
        <row r="37">
          <cell r="K37" t="str">
            <v>kBCM</v>
          </cell>
        </row>
        <row r="38">
          <cell r="B38" t="str">
            <v>PRODUCTION PLANNING FOR COAL , KTON</v>
          </cell>
        </row>
        <row r="39">
          <cell r="B39" t="str">
            <v>FLEET</v>
          </cell>
          <cell r="C39" t="str">
            <v>WEEK # 01</v>
          </cell>
          <cell r="K39" t="str">
            <v>WEEK # 02</v>
          </cell>
          <cell r="R39" t="str">
            <v>WEEK #03</v>
          </cell>
          <cell r="Y39" t="str">
            <v>WEEK #04</v>
          </cell>
          <cell r="AF39" t="str">
            <v>WEEK # 05</v>
          </cell>
          <cell r="AM39" t="str">
            <v>WEEK#06</v>
          </cell>
        </row>
        <row r="40">
          <cell r="B40" t="str">
            <v>NUMBER</v>
          </cell>
          <cell r="C40">
            <v>0</v>
          </cell>
          <cell r="D40">
            <v>0</v>
          </cell>
          <cell r="E40">
            <v>38930</v>
          </cell>
          <cell r="F40">
            <v>38931</v>
          </cell>
          <cell r="G40">
            <v>38932</v>
          </cell>
          <cell r="H40">
            <v>38933</v>
          </cell>
          <cell r="I40">
            <v>38934</v>
          </cell>
          <cell r="J40">
            <v>38935</v>
          </cell>
          <cell r="K40">
            <v>38936</v>
          </cell>
          <cell r="L40">
            <v>38937</v>
          </cell>
          <cell r="M40">
            <v>38938</v>
          </cell>
          <cell r="N40">
            <v>38939</v>
          </cell>
          <cell r="O40">
            <v>38940</v>
          </cell>
          <cell r="P40">
            <v>38941</v>
          </cell>
          <cell r="Q40">
            <v>38942</v>
          </cell>
          <cell r="R40">
            <v>38943</v>
          </cell>
          <cell r="S40">
            <v>38944</v>
          </cell>
          <cell r="T40">
            <v>38945</v>
          </cell>
          <cell r="U40">
            <v>38946</v>
          </cell>
          <cell r="V40">
            <v>38947</v>
          </cell>
          <cell r="W40">
            <v>38948</v>
          </cell>
          <cell r="X40">
            <v>38949</v>
          </cell>
          <cell r="Y40">
            <v>38950</v>
          </cell>
          <cell r="Z40">
            <v>38951</v>
          </cell>
          <cell r="AA40">
            <v>38952</v>
          </cell>
          <cell r="AB40">
            <v>38953</v>
          </cell>
          <cell r="AC40">
            <v>38954</v>
          </cell>
          <cell r="AD40">
            <v>38955</v>
          </cell>
          <cell r="AE40">
            <v>38956</v>
          </cell>
          <cell r="AF40">
            <v>38957</v>
          </cell>
          <cell r="AG40">
            <v>38958</v>
          </cell>
          <cell r="AH40">
            <v>38959</v>
          </cell>
          <cell r="AI40">
            <v>38960</v>
          </cell>
          <cell r="AJ40">
            <v>38961</v>
          </cell>
          <cell r="AK40">
            <v>38962</v>
          </cell>
          <cell r="AL40">
            <v>38963</v>
          </cell>
          <cell r="AM40">
            <v>38964</v>
          </cell>
          <cell r="AN40">
            <v>38965</v>
          </cell>
        </row>
        <row r="41">
          <cell r="B41" t="str">
            <v>EX1008</v>
          </cell>
          <cell r="C41">
            <v>0</v>
          </cell>
          <cell r="D41">
            <v>0</v>
          </cell>
          <cell r="E41">
            <v>8.7191794354838716</v>
          </cell>
          <cell r="F41">
            <v>8.7191794354838716</v>
          </cell>
          <cell r="G41">
            <v>8.7191794354838716</v>
          </cell>
          <cell r="H41">
            <v>8.2870020161290352</v>
          </cell>
          <cell r="I41">
            <v>8.7191794354838716</v>
          </cell>
          <cell r="J41">
            <v>8.7191794354838716</v>
          </cell>
          <cell r="K41">
            <v>8.7191794354838716</v>
          </cell>
          <cell r="L41">
            <v>8.7191794354838716</v>
          </cell>
          <cell r="M41">
            <v>8.7191794354838716</v>
          </cell>
          <cell r="N41">
            <v>8.7191794354838716</v>
          </cell>
          <cell r="O41">
            <v>8.2870020161290352</v>
          </cell>
          <cell r="P41">
            <v>8.7191794354838716</v>
          </cell>
          <cell r="Q41">
            <v>8.7191794354838716</v>
          </cell>
          <cell r="R41">
            <v>8.7191794354838716</v>
          </cell>
          <cell r="S41">
            <v>8.7191794354838716</v>
          </cell>
          <cell r="T41">
            <v>8.7191794354838716</v>
          </cell>
          <cell r="U41">
            <v>4.7251397849462364</v>
          </cell>
          <cell r="V41">
            <v>8.2870020161290352</v>
          </cell>
          <cell r="W41">
            <v>8.7191794354838716</v>
          </cell>
          <cell r="X41">
            <v>8.7191794354838716</v>
          </cell>
          <cell r="Y41">
            <v>8.7191794354838716</v>
          </cell>
          <cell r="Z41">
            <v>8.7191794354838716</v>
          </cell>
          <cell r="AA41">
            <v>8.7191794354838716</v>
          </cell>
          <cell r="AB41">
            <v>8.7191794354838716</v>
          </cell>
          <cell r="AC41">
            <v>8.2870020161290352</v>
          </cell>
          <cell r="AD41">
            <v>8.7191794354838716</v>
          </cell>
          <cell r="AE41">
            <v>8.7191794354838716</v>
          </cell>
          <cell r="AF41">
            <v>8.7191794354838716</v>
          </cell>
          <cell r="AG41">
            <v>8.7191794354838716</v>
          </cell>
          <cell r="AH41">
            <v>8.7191794354838716</v>
          </cell>
          <cell r="AI41">
            <v>8.7191794354838716</v>
          </cell>
          <cell r="AJ41">
            <v>0</v>
          </cell>
          <cell r="AK41">
            <v>0</v>
          </cell>
          <cell r="AL41">
            <v>0</v>
          </cell>
        </row>
        <row r="42">
          <cell r="B42" t="str">
            <v>EX1013</v>
          </cell>
          <cell r="D42">
            <v>0</v>
          </cell>
          <cell r="E42">
            <v>8.7191794354838716</v>
          </cell>
          <cell r="F42">
            <v>8.7191794354838716</v>
          </cell>
          <cell r="G42">
            <v>8.7191794354838716</v>
          </cell>
          <cell r="H42">
            <v>0</v>
          </cell>
          <cell r="I42">
            <v>0</v>
          </cell>
          <cell r="J42">
            <v>0</v>
          </cell>
          <cell r="K42">
            <v>8.7191794354838716</v>
          </cell>
          <cell r="L42">
            <v>8.7191794354838716</v>
          </cell>
          <cell r="M42">
            <v>8.7191794354838716</v>
          </cell>
          <cell r="N42">
            <v>8.7191794354838716</v>
          </cell>
          <cell r="O42">
            <v>8.2870020161290352</v>
          </cell>
          <cell r="P42">
            <v>8.7191794354838716</v>
          </cell>
          <cell r="Q42">
            <v>8.7191794354838716</v>
          </cell>
          <cell r="R42">
            <v>8.7191794354838716</v>
          </cell>
          <cell r="S42">
            <v>8.7191794354838716</v>
          </cell>
          <cell r="T42">
            <v>8.7191794354838716</v>
          </cell>
          <cell r="U42">
            <v>4.7251397849462364</v>
          </cell>
          <cell r="V42">
            <v>8.2870020161290352</v>
          </cell>
          <cell r="W42">
            <v>8.7191794354838716</v>
          </cell>
          <cell r="X42">
            <v>8.7191794354838716</v>
          </cell>
          <cell r="Y42">
            <v>8.7191794354838716</v>
          </cell>
          <cell r="Z42">
            <v>8.7191794354838716</v>
          </cell>
          <cell r="AA42">
            <v>8.7191794354838716</v>
          </cell>
          <cell r="AB42">
            <v>8.7191794354838716</v>
          </cell>
          <cell r="AC42">
            <v>8.2870020161290352</v>
          </cell>
          <cell r="AD42">
            <v>8.7191794354838716</v>
          </cell>
          <cell r="AE42">
            <v>8.7191794354838716</v>
          </cell>
          <cell r="AF42">
            <v>8.7191794354838716</v>
          </cell>
          <cell r="AG42">
            <v>8.7191794354838716</v>
          </cell>
          <cell r="AH42">
            <v>8.7191794354838716</v>
          </cell>
          <cell r="AI42">
            <v>8.7191794354838716</v>
          </cell>
          <cell r="AJ42">
            <v>0</v>
          </cell>
          <cell r="AK42">
            <v>0</v>
          </cell>
          <cell r="AL4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"/>
      <sheetName val="Y2_PLANS_7"/>
      <sheetName val="Cost Centre &amp; COA"/>
      <sheetName val="General Assumption"/>
      <sheetName val="Production Evaluat"/>
      <sheetName val="Master"/>
      <sheetName val="Run"/>
      <sheetName val="MTD"/>
      <sheetName val="Daily Pla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tandard Cost"/>
      <sheetName val="Hystori"/>
      <sheetName val="EXA"/>
      <sheetName val="SUM PLAN"/>
      <sheetName val="DATA"/>
      <sheetName val="Rental"/>
      <sheetName val="D_PLAN"/>
      <sheetName val="CONTROL"/>
      <sheetName val="Sum"/>
      <sheetName val="D_Report"/>
      <sheetName val="DRILL_BLAST"/>
      <sheetName val="COAL"/>
      <sheetName val="Productivity"/>
      <sheetName val="ob"/>
      <sheetName val="RAIN_SILPPERY"/>
      <sheetName val="Konversi Jarak"/>
      <sheetName val="Master"/>
      <sheetName val="Run"/>
      <sheetName val="Overburden"/>
      <sheetName val="Base"/>
      <sheetName val="Usage"/>
      <sheetName val="Stock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puasa"/>
      <sheetName val="WK#01"/>
      <sheetName val="WK#02"/>
      <sheetName val="WK#03"/>
      <sheetName val="WK#04"/>
      <sheetName val="WK#05"/>
      <sheetName val="WK#06"/>
      <sheetName val="MONTHLY"/>
      <sheetName val="ABSEN"/>
      <sheetName val="CP"/>
      <sheetName val="DZ"/>
      <sheetName val="DATA"/>
      <sheetName val="LINK"/>
      <sheetName val="summary KPI"/>
      <sheetName val="Assumptions"/>
      <sheetName val="Asset Data"/>
      <sheetName val="Cash Flow Data"/>
      <sheetName val="COA - Ellipse"/>
      <sheetName val="COR by Product"/>
      <sheetName val="Liability Data"/>
      <sheetName val="Other IE"/>
      <sheetName val="Taxation"/>
      <sheetName val="Run"/>
      <sheetName val="Konversi Jarak"/>
      <sheetName val="D"/>
      <sheetName val="PC_750"/>
      <sheetName val="I"/>
      <sheetName val="PLAN"/>
      <sheetName val="REMARK"/>
      <sheetName val="WORK"/>
      <sheetName val="HOURLY"/>
      <sheetName val="COST"/>
      <sheetName val="Overall"/>
      <sheetName val="crushnsp"/>
      <sheetName val="pittonsp"/>
      <sheetName val="KODJA"/>
      <sheetName val="Cruser Sp71"/>
      <sheetName val="_SAF 02"/>
      <sheetName val=" SAF 02"/>
    </sheetNames>
    <sheetDataSet>
      <sheetData sheetId="0" refreshError="1">
        <row r="12">
          <cell r="B12" t="str">
            <v>SH4001</v>
          </cell>
          <cell r="D12">
            <v>0</v>
          </cell>
          <cell r="E12">
            <v>31.389045967741939</v>
          </cell>
          <cell r="F12">
            <v>31.389045967741939</v>
          </cell>
          <cell r="G12">
            <v>31.389045967741939</v>
          </cell>
          <cell r="H12">
            <v>29.833207258064526</v>
          </cell>
          <cell r="I12">
            <v>31.389045967741939</v>
          </cell>
          <cell r="J12">
            <v>31.389045967741939</v>
          </cell>
          <cell r="K12">
            <v>31.389045967741939</v>
          </cell>
          <cell r="L12">
            <v>31.389045967741939</v>
          </cell>
          <cell r="M12">
            <v>31.389045967741939</v>
          </cell>
          <cell r="N12">
            <v>31.389045967741939</v>
          </cell>
          <cell r="O12">
            <v>29.833207258064526</v>
          </cell>
          <cell r="P12">
            <v>31.389045967741939</v>
          </cell>
          <cell r="Q12">
            <v>31.389045967741939</v>
          </cell>
          <cell r="R12">
            <v>31.389045967741939</v>
          </cell>
          <cell r="S12">
            <v>31.389045967741939</v>
          </cell>
          <cell r="T12">
            <v>31.389045967741939</v>
          </cell>
          <cell r="U12">
            <v>17.010503225806453</v>
          </cell>
          <cell r="V12">
            <v>29.833207258064526</v>
          </cell>
          <cell r="W12">
            <v>31.389045967741939</v>
          </cell>
          <cell r="X12">
            <v>31.389045967741939</v>
          </cell>
          <cell r="Y12">
            <v>31.389045967741939</v>
          </cell>
          <cell r="Z12">
            <v>31.389045967741939</v>
          </cell>
          <cell r="AA12">
            <v>31.389045967741939</v>
          </cell>
          <cell r="AB12">
            <v>31.389045967741939</v>
          </cell>
          <cell r="AC12">
            <v>29.833207258064526</v>
          </cell>
          <cell r="AD12">
            <v>31.389045967741939</v>
          </cell>
          <cell r="AE12">
            <v>31.389045967741939</v>
          </cell>
          <cell r="AF12">
            <v>31.389045967741939</v>
          </cell>
          <cell r="AG12">
            <v>31.389045967741939</v>
          </cell>
          <cell r="AH12">
            <v>31.389045967741939</v>
          </cell>
          <cell r="AI12">
            <v>31.389045967741939</v>
          </cell>
          <cell r="AJ12">
            <v>0</v>
          </cell>
          <cell r="AK12">
            <v>0</v>
          </cell>
          <cell r="AL12">
            <v>0</v>
          </cell>
        </row>
        <row r="13">
          <cell r="B13" t="str">
            <v>SH304</v>
          </cell>
          <cell r="D13">
            <v>0</v>
          </cell>
          <cell r="E13">
            <v>23.456488155241939</v>
          </cell>
          <cell r="F13">
            <v>23.456488155241939</v>
          </cell>
          <cell r="G13">
            <v>23.456488155241939</v>
          </cell>
          <cell r="H13">
            <v>22.293836945564522</v>
          </cell>
          <cell r="I13">
            <v>23.456488155241939</v>
          </cell>
          <cell r="J13">
            <v>23.456488155241939</v>
          </cell>
          <cell r="K13">
            <v>23.456488155241939</v>
          </cell>
          <cell r="L13">
            <v>23.456488155241939</v>
          </cell>
          <cell r="M13">
            <v>23.456488155241939</v>
          </cell>
          <cell r="N13">
            <v>23.456488155241939</v>
          </cell>
          <cell r="O13">
            <v>22.293836945564522</v>
          </cell>
          <cell r="P13">
            <v>23.456488155241939</v>
          </cell>
          <cell r="Q13">
            <v>23.456488155241939</v>
          </cell>
          <cell r="R13">
            <v>23.456488155241939</v>
          </cell>
          <cell r="S13">
            <v>23.456488155241939</v>
          </cell>
          <cell r="T13">
            <v>23.456488155241939</v>
          </cell>
          <cell r="U13">
            <v>12.711653225806451</v>
          </cell>
          <cell r="V13">
            <v>22.293836945564522</v>
          </cell>
          <cell r="W13">
            <v>23.456488155241939</v>
          </cell>
          <cell r="X13">
            <v>23.456488155241939</v>
          </cell>
          <cell r="Y13">
            <v>23.456488155241939</v>
          </cell>
          <cell r="Z13">
            <v>23.456488155241939</v>
          </cell>
          <cell r="AA13">
            <v>23.456488155241939</v>
          </cell>
          <cell r="AB13">
            <v>23.456488155241939</v>
          </cell>
          <cell r="AC13">
            <v>22.293836945564522</v>
          </cell>
          <cell r="AD13">
            <v>23.456488155241939</v>
          </cell>
          <cell r="AE13">
            <v>23.456488155241939</v>
          </cell>
          <cell r="AF13">
            <v>23.456488155241939</v>
          </cell>
          <cell r="AG13">
            <v>23.456488155241939</v>
          </cell>
          <cell r="AH13">
            <v>23.456488155241939</v>
          </cell>
          <cell r="AI13">
            <v>23.456488155241939</v>
          </cell>
          <cell r="AJ13">
            <v>0</v>
          </cell>
          <cell r="AK13">
            <v>0</v>
          </cell>
          <cell r="AL13">
            <v>0</v>
          </cell>
        </row>
        <row r="14">
          <cell r="B14" t="str">
            <v>SH305</v>
          </cell>
          <cell r="D14">
            <v>0</v>
          </cell>
          <cell r="E14">
            <v>23.456488155241939</v>
          </cell>
          <cell r="F14">
            <v>23.456488155241939</v>
          </cell>
          <cell r="G14">
            <v>23.456488155241939</v>
          </cell>
          <cell r="H14">
            <v>22.293836945564522</v>
          </cell>
          <cell r="I14">
            <v>23.456488155241939</v>
          </cell>
          <cell r="J14">
            <v>23.456488155241939</v>
          </cell>
          <cell r="K14">
            <v>23.456488155241939</v>
          </cell>
          <cell r="L14">
            <v>23.456488155241939</v>
          </cell>
          <cell r="M14">
            <v>23.456488155241939</v>
          </cell>
          <cell r="N14">
            <v>23.456488155241939</v>
          </cell>
          <cell r="O14">
            <v>22.293836945564522</v>
          </cell>
          <cell r="P14">
            <v>23.456488155241939</v>
          </cell>
          <cell r="Q14">
            <v>23.456488155241939</v>
          </cell>
          <cell r="R14">
            <v>23.456488155241939</v>
          </cell>
          <cell r="S14">
            <v>23.456488155241939</v>
          </cell>
          <cell r="T14">
            <v>23.456488155241939</v>
          </cell>
          <cell r="U14">
            <v>12.711653225806451</v>
          </cell>
          <cell r="V14">
            <v>22.293836945564522</v>
          </cell>
          <cell r="W14">
            <v>23.456488155241939</v>
          </cell>
          <cell r="X14">
            <v>23.456488155241939</v>
          </cell>
          <cell r="Y14">
            <v>23.456488155241939</v>
          </cell>
          <cell r="Z14">
            <v>23.456488155241939</v>
          </cell>
          <cell r="AA14">
            <v>23.456488155241939</v>
          </cell>
          <cell r="AB14">
            <v>23.456488155241939</v>
          </cell>
          <cell r="AC14">
            <v>22.293836945564522</v>
          </cell>
          <cell r="AD14">
            <v>23.456488155241939</v>
          </cell>
          <cell r="AE14">
            <v>23.456488155241939</v>
          </cell>
          <cell r="AF14">
            <v>23.456488155241939</v>
          </cell>
          <cell r="AG14">
            <v>23.456488155241939</v>
          </cell>
          <cell r="AH14">
            <v>23.456488155241939</v>
          </cell>
          <cell r="AI14">
            <v>23.456488155241939</v>
          </cell>
          <cell r="AJ14">
            <v>0</v>
          </cell>
          <cell r="AK14">
            <v>0</v>
          </cell>
          <cell r="AL14">
            <v>0</v>
          </cell>
        </row>
        <row r="15">
          <cell r="B15" t="str">
            <v>SH306</v>
          </cell>
          <cell r="D15">
            <v>0</v>
          </cell>
          <cell r="E15">
            <v>23.456488155241939</v>
          </cell>
          <cell r="F15">
            <v>23.456488155241939</v>
          </cell>
          <cell r="G15">
            <v>23.456488155241939</v>
          </cell>
          <cell r="H15">
            <v>22.293836945564522</v>
          </cell>
          <cell r="I15">
            <v>23.456488155241939</v>
          </cell>
          <cell r="J15">
            <v>23.456488155241939</v>
          </cell>
          <cell r="K15">
            <v>23.456488155241939</v>
          </cell>
          <cell r="L15">
            <v>23.456488155241939</v>
          </cell>
          <cell r="M15">
            <v>23.456488155241939</v>
          </cell>
          <cell r="N15">
            <v>23.456488155241939</v>
          </cell>
          <cell r="O15">
            <v>22.293836945564522</v>
          </cell>
          <cell r="P15">
            <v>23.456488155241939</v>
          </cell>
          <cell r="Q15">
            <v>23.456488155241939</v>
          </cell>
          <cell r="R15">
            <v>23.456488155241939</v>
          </cell>
          <cell r="S15">
            <v>23.456488155241939</v>
          </cell>
          <cell r="T15">
            <v>23.456488155241939</v>
          </cell>
          <cell r="U15">
            <v>12.711653225806451</v>
          </cell>
          <cell r="V15">
            <v>22.293836945564522</v>
          </cell>
          <cell r="W15">
            <v>23.456488155241939</v>
          </cell>
          <cell r="X15">
            <v>23.456488155241939</v>
          </cell>
          <cell r="Y15">
            <v>23.456488155241939</v>
          </cell>
          <cell r="Z15">
            <v>23.456488155241939</v>
          </cell>
          <cell r="AA15">
            <v>23.456488155241939</v>
          </cell>
          <cell r="AB15">
            <v>23.456488155241939</v>
          </cell>
          <cell r="AC15">
            <v>22.293836945564522</v>
          </cell>
          <cell r="AD15">
            <v>23.456488155241939</v>
          </cell>
          <cell r="AE15">
            <v>23.456488155241939</v>
          </cell>
          <cell r="AF15">
            <v>23.456488155241939</v>
          </cell>
          <cell r="AG15">
            <v>23.456488155241939</v>
          </cell>
          <cell r="AH15">
            <v>23.456488155241939</v>
          </cell>
          <cell r="AI15">
            <v>23.456488155241939</v>
          </cell>
          <cell r="AJ15">
            <v>0</v>
          </cell>
          <cell r="AK15">
            <v>0</v>
          </cell>
          <cell r="AL15">
            <v>0</v>
          </cell>
        </row>
        <row r="16">
          <cell r="B16" t="str">
            <v>EX708</v>
          </cell>
          <cell r="D16">
            <v>0</v>
          </cell>
          <cell r="E16">
            <v>16.206300907258068</v>
          </cell>
          <cell r="F16">
            <v>16.206300907258068</v>
          </cell>
          <cell r="G16">
            <v>16.206300907258068</v>
          </cell>
          <cell r="H16">
            <v>15.403014616935488</v>
          </cell>
          <cell r="I16">
            <v>16.206300907258068</v>
          </cell>
          <cell r="J16">
            <v>16.206300907258068</v>
          </cell>
          <cell r="K16">
            <v>16.206300907258068</v>
          </cell>
          <cell r="L16">
            <v>16.206300907258068</v>
          </cell>
          <cell r="M16">
            <v>16.206300907258068</v>
          </cell>
          <cell r="N16">
            <v>16.206300907258068</v>
          </cell>
          <cell r="O16">
            <v>15.403014616935488</v>
          </cell>
          <cell r="P16">
            <v>16.206300907258068</v>
          </cell>
          <cell r="Q16">
            <v>16.206300907258068</v>
          </cell>
          <cell r="R16">
            <v>16.206300907258068</v>
          </cell>
          <cell r="S16">
            <v>16.206300907258068</v>
          </cell>
          <cell r="T16">
            <v>16.206300907258068</v>
          </cell>
          <cell r="U16">
            <v>8.7825967741935482</v>
          </cell>
          <cell r="V16">
            <v>15.403014616935488</v>
          </cell>
          <cell r="W16">
            <v>16.206300907258068</v>
          </cell>
          <cell r="X16">
            <v>16.206300907258068</v>
          </cell>
          <cell r="Y16">
            <v>16.206300907258068</v>
          </cell>
          <cell r="Z16">
            <v>16.206300907258068</v>
          </cell>
          <cell r="AA16">
            <v>16.206300907258068</v>
          </cell>
          <cell r="AB16">
            <v>16.206300907258068</v>
          </cell>
          <cell r="AC16">
            <v>15.403014616935488</v>
          </cell>
          <cell r="AD16">
            <v>16.206300907258068</v>
          </cell>
          <cell r="AE16">
            <v>16.206300907258068</v>
          </cell>
          <cell r="AF16">
            <v>16.206300907258068</v>
          </cell>
          <cell r="AG16">
            <v>16.206300907258068</v>
          </cell>
          <cell r="AH16">
            <v>16.206300907258068</v>
          </cell>
          <cell r="AI16">
            <v>16.206300907258068</v>
          </cell>
          <cell r="AJ16">
            <v>0</v>
          </cell>
          <cell r="AK16">
            <v>0</v>
          </cell>
          <cell r="AL16">
            <v>0</v>
          </cell>
        </row>
        <row r="17">
          <cell r="B17" t="str">
            <v>EX709</v>
          </cell>
          <cell r="D17">
            <v>0</v>
          </cell>
          <cell r="E17">
            <v>16.206300907258068</v>
          </cell>
          <cell r="F17">
            <v>16.206300907258068</v>
          </cell>
          <cell r="G17">
            <v>16.206300907258068</v>
          </cell>
          <cell r="H17">
            <v>15.403014616935488</v>
          </cell>
          <cell r="I17">
            <v>16.206300907258068</v>
          </cell>
          <cell r="J17">
            <v>16.206300907258068</v>
          </cell>
          <cell r="K17">
            <v>16.206300907258068</v>
          </cell>
          <cell r="L17">
            <v>16.206300907258068</v>
          </cell>
          <cell r="M17">
            <v>16.206300907258068</v>
          </cell>
          <cell r="N17">
            <v>16.206300907258068</v>
          </cell>
          <cell r="O17">
            <v>15.403014616935488</v>
          </cell>
          <cell r="P17">
            <v>16.206300907258068</v>
          </cell>
          <cell r="Q17">
            <v>16.206300907258068</v>
          </cell>
          <cell r="R17">
            <v>16.206300907258068</v>
          </cell>
          <cell r="S17">
            <v>16.206300907258068</v>
          </cell>
          <cell r="T17">
            <v>16.206300907258068</v>
          </cell>
          <cell r="U17">
            <v>8.7825967741935482</v>
          </cell>
          <cell r="V17">
            <v>15.403014616935488</v>
          </cell>
          <cell r="W17">
            <v>16.206300907258068</v>
          </cell>
          <cell r="X17">
            <v>16.206300907258068</v>
          </cell>
          <cell r="Y17">
            <v>16.206300907258068</v>
          </cell>
          <cell r="Z17">
            <v>16.206300907258068</v>
          </cell>
          <cell r="AA17">
            <v>16.206300907258068</v>
          </cell>
          <cell r="AB17">
            <v>16.206300907258068</v>
          </cell>
          <cell r="AC17">
            <v>15.403014616935488</v>
          </cell>
          <cell r="AD17">
            <v>16.206300907258068</v>
          </cell>
          <cell r="AE17">
            <v>16.206300907258068</v>
          </cell>
          <cell r="AF17">
            <v>16.206300907258068</v>
          </cell>
          <cell r="AG17">
            <v>16.206300907258068</v>
          </cell>
          <cell r="AH17">
            <v>16.206300907258068</v>
          </cell>
          <cell r="AI17">
            <v>16.206300907258068</v>
          </cell>
          <cell r="AJ17">
            <v>0</v>
          </cell>
          <cell r="AK17">
            <v>0</v>
          </cell>
          <cell r="AL17">
            <v>0</v>
          </cell>
        </row>
        <row r="18">
          <cell r="B18" t="str">
            <v>EX710</v>
          </cell>
          <cell r="D18">
            <v>0</v>
          </cell>
          <cell r="E18">
            <v>16.206300907258068</v>
          </cell>
          <cell r="F18">
            <v>16.206300907258068</v>
          </cell>
          <cell r="G18">
            <v>16.206300907258068</v>
          </cell>
          <cell r="H18">
            <v>15.403014616935488</v>
          </cell>
          <cell r="I18">
            <v>16.206300907258068</v>
          </cell>
          <cell r="J18">
            <v>16.206300907258068</v>
          </cell>
          <cell r="K18">
            <v>16.206300907258068</v>
          </cell>
          <cell r="L18">
            <v>16.206300907258068</v>
          </cell>
          <cell r="M18">
            <v>16.206300907258068</v>
          </cell>
          <cell r="N18">
            <v>16.206300907258068</v>
          </cell>
          <cell r="O18">
            <v>15.403014616935488</v>
          </cell>
          <cell r="P18">
            <v>16.206300907258068</v>
          </cell>
          <cell r="Q18">
            <v>16.206300907258068</v>
          </cell>
          <cell r="R18">
            <v>16.206300907258068</v>
          </cell>
          <cell r="S18">
            <v>16.206300907258068</v>
          </cell>
          <cell r="T18">
            <v>16.206300907258068</v>
          </cell>
          <cell r="U18">
            <v>8.7825967741935482</v>
          </cell>
          <cell r="V18">
            <v>15.403014616935488</v>
          </cell>
          <cell r="W18">
            <v>16.206300907258068</v>
          </cell>
          <cell r="X18">
            <v>16.206300907258068</v>
          </cell>
          <cell r="Y18">
            <v>16.206300907258068</v>
          </cell>
          <cell r="Z18">
            <v>16.206300907258068</v>
          </cell>
          <cell r="AA18">
            <v>16.206300907258068</v>
          </cell>
          <cell r="AB18">
            <v>16.206300907258068</v>
          </cell>
          <cell r="AC18">
            <v>15.403014616935488</v>
          </cell>
          <cell r="AD18">
            <v>16.206300907258068</v>
          </cell>
          <cell r="AE18">
            <v>16.206300907258068</v>
          </cell>
          <cell r="AF18">
            <v>16.206300907258068</v>
          </cell>
          <cell r="AG18">
            <v>16.206300907258068</v>
          </cell>
          <cell r="AH18">
            <v>16.206300907258068</v>
          </cell>
          <cell r="AI18">
            <v>16.206300907258068</v>
          </cell>
          <cell r="AJ18">
            <v>0</v>
          </cell>
          <cell r="AK18">
            <v>0</v>
          </cell>
          <cell r="AL18">
            <v>0</v>
          </cell>
        </row>
        <row r="19">
          <cell r="B19" t="str">
            <v>EX711</v>
          </cell>
          <cell r="D19">
            <v>0</v>
          </cell>
          <cell r="E19">
            <v>16.206300907258068</v>
          </cell>
          <cell r="F19">
            <v>16.206300907258068</v>
          </cell>
          <cell r="G19">
            <v>16.206300907258068</v>
          </cell>
          <cell r="H19">
            <v>15.403014616935488</v>
          </cell>
          <cell r="I19">
            <v>16.206300907258068</v>
          </cell>
          <cell r="J19">
            <v>16.206300907258068</v>
          </cell>
          <cell r="K19">
            <v>16.206300907258068</v>
          </cell>
          <cell r="L19">
            <v>16.206300907258068</v>
          </cell>
          <cell r="M19">
            <v>16.206300907258068</v>
          </cell>
          <cell r="N19">
            <v>16.206300907258068</v>
          </cell>
          <cell r="O19">
            <v>15.403014616935488</v>
          </cell>
          <cell r="P19">
            <v>16.206300907258068</v>
          </cell>
          <cell r="Q19">
            <v>16.206300907258068</v>
          </cell>
          <cell r="R19">
            <v>16.206300907258068</v>
          </cell>
          <cell r="S19">
            <v>16.206300907258068</v>
          </cell>
          <cell r="T19">
            <v>16.206300907258068</v>
          </cell>
          <cell r="U19">
            <v>8.7825967741935482</v>
          </cell>
          <cell r="V19">
            <v>15.403014616935488</v>
          </cell>
          <cell r="W19">
            <v>16.206300907258068</v>
          </cell>
          <cell r="X19">
            <v>16.206300907258068</v>
          </cell>
          <cell r="Y19">
            <v>16.206300907258068</v>
          </cell>
          <cell r="Z19">
            <v>16.206300907258068</v>
          </cell>
          <cell r="AA19">
            <v>16.206300907258068</v>
          </cell>
          <cell r="AB19">
            <v>16.206300907258068</v>
          </cell>
          <cell r="AC19">
            <v>15.403014616935488</v>
          </cell>
          <cell r="AD19">
            <v>16.206300907258068</v>
          </cell>
          <cell r="AE19">
            <v>16.206300907258068</v>
          </cell>
          <cell r="AF19">
            <v>16.206300907258068</v>
          </cell>
          <cell r="AG19">
            <v>16.206300907258068</v>
          </cell>
          <cell r="AH19">
            <v>16.206300907258068</v>
          </cell>
          <cell r="AI19">
            <v>16.206300907258068</v>
          </cell>
          <cell r="AJ19">
            <v>0</v>
          </cell>
          <cell r="AK19">
            <v>0</v>
          </cell>
          <cell r="AL19">
            <v>0</v>
          </cell>
        </row>
        <row r="20">
          <cell r="B20" t="str">
            <v>EX1001</v>
          </cell>
          <cell r="D20">
            <v>0</v>
          </cell>
          <cell r="E20">
            <v>8.7191794354838716</v>
          </cell>
          <cell r="F20">
            <v>8.7191794354838716</v>
          </cell>
          <cell r="G20">
            <v>8.7191794354838716</v>
          </cell>
          <cell r="H20">
            <v>8.2870020161290352</v>
          </cell>
          <cell r="I20">
            <v>8.7191794354838716</v>
          </cell>
          <cell r="J20">
            <v>8.7191794354838716</v>
          </cell>
          <cell r="K20">
            <v>8.7191794354838716</v>
          </cell>
          <cell r="L20">
            <v>8.7191794354838716</v>
          </cell>
          <cell r="M20">
            <v>8.7191794354838716</v>
          </cell>
          <cell r="N20">
            <v>8.7191794354838716</v>
          </cell>
          <cell r="O20">
            <v>8.2870020161290352</v>
          </cell>
          <cell r="P20">
            <v>8.7191794354838716</v>
          </cell>
          <cell r="Q20">
            <v>8.7191794354838716</v>
          </cell>
          <cell r="R20">
            <v>8.7191794354838716</v>
          </cell>
          <cell r="S20">
            <v>8.7191794354838716</v>
          </cell>
          <cell r="T20">
            <v>8.7191794354838716</v>
          </cell>
          <cell r="U20">
            <v>4.7251397849462364</v>
          </cell>
          <cell r="V20">
            <v>8.2870020161290352</v>
          </cell>
          <cell r="W20">
            <v>8.7191794354838716</v>
          </cell>
          <cell r="X20">
            <v>8.7191794354838716</v>
          </cell>
          <cell r="Y20">
            <v>8.7191794354838716</v>
          </cell>
          <cell r="Z20">
            <v>8.7191794354838716</v>
          </cell>
          <cell r="AA20">
            <v>8.7191794354838716</v>
          </cell>
          <cell r="AB20">
            <v>8.7191794354838716</v>
          </cell>
          <cell r="AC20">
            <v>8.2870020161290352</v>
          </cell>
          <cell r="AD20">
            <v>8.7191794354838716</v>
          </cell>
          <cell r="AE20">
            <v>8.7191794354838716</v>
          </cell>
          <cell r="AF20">
            <v>8.7191794354838716</v>
          </cell>
          <cell r="AG20">
            <v>8.7191794354838716</v>
          </cell>
          <cell r="AH20">
            <v>8.7191794354838716</v>
          </cell>
          <cell r="AI20">
            <v>8.7191794354838716</v>
          </cell>
          <cell r="AJ20">
            <v>0</v>
          </cell>
          <cell r="AK20">
            <v>0</v>
          </cell>
          <cell r="AL20">
            <v>0</v>
          </cell>
        </row>
        <row r="21">
          <cell r="B21" t="str">
            <v>EX1002</v>
          </cell>
          <cell r="D21">
            <v>0</v>
          </cell>
          <cell r="E21">
            <v>8.7191794354838716</v>
          </cell>
          <cell r="F21">
            <v>8.7191794354838716</v>
          </cell>
          <cell r="G21">
            <v>8.7191794354838716</v>
          </cell>
          <cell r="H21">
            <v>8.2870020161290352</v>
          </cell>
          <cell r="I21">
            <v>8.7191794354838716</v>
          </cell>
          <cell r="J21">
            <v>8.7191794354838716</v>
          </cell>
          <cell r="K21">
            <v>8.7191794354838716</v>
          </cell>
          <cell r="L21">
            <v>8.7191794354838716</v>
          </cell>
          <cell r="M21">
            <v>8.7191794354838716</v>
          </cell>
          <cell r="N21">
            <v>8.7191794354838716</v>
          </cell>
          <cell r="O21">
            <v>8.2870020161290352</v>
          </cell>
          <cell r="P21">
            <v>8.7191794354838716</v>
          </cell>
          <cell r="Q21">
            <v>8.7191794354838716</v>
          </cell>
          <cell r="R21">
            <v>8.7191794354838716</v>
          </cell>
          <cell r="S21">
            <v>8.7191794354838716</v>
          </cell>
          <cell r="T21">
            <v>8.7191794354838716</v>
          </cell>
          <cell r="U21">
            <v>4.7251397849462364</v>
          </cell>
          <cell r="V21">
            <v>8.2870020161290352</v>
          </cell>
          <cell r="W21">
            <v>8.7191794354838716</v>
          </cell>
          <cell r="X21">
            <v>8.7191794354838716</v>
          </cell>
          <cell r="Y21">
            <v>8.7191794354838716</v>
          </cell>
          <cell r="Z21">
            <v>8.7191794354838716</v>
          </cell>
          <cell r="AA21">
            <v>8.7191794354838716</v>
          </cell>
          <cell r="AB21">
            <v>8.7191794354838716</v>
          </cell>
          <cell r="AC21">
            <v>8.2870020161290352</v>
          </cell>
          <cell r="AD21">
            <v>8.7191794354838716</v>
          </cell>
          <cell r="AE21">
            <v>8.7191794354838716</v>
          </cell>
          <cell r="AF21">
            <v>8.7191794354838716</v>
          </cell>
          <cell r="AG21">
            <v>8.7191794354838716</v>
          </cell>
          <cell r="AH21">
            <v>8.7191794354838716</v>
          </cell>
          <cell r="AI21">
            <v>8.7191794354838716</v>
          </cell>
          <cell r="AJ21">
            <v>0</v>
          </cell>
          <cell r="AK21">
            <v>0</v>
          </cell>
          <cell r="AL21">
            <v>0</v>
          </cell>
        </row>
        <row r="22">
          <cell r="B22" t="str">
            <v>EX1004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</row>
        <row r="23">
          <cell r="B23" t="str">
            <v>EX1006</v>
          </cell>
          <cell r="D23">
            <v>0</v>
          </cell>
          <cell r="E23">
            <v>8.7191794354838716</v>
          </cell>
          <cell r="F23">
            <v>8.7191794354838716</v>
          </cell>
          <cell r="G23">
            <v>8.7191794354838716</v>
          </cell>
          <cell r="H23">
            <v>8.2870020161290352</v>
          </cell>
          <cell r="I23">
            <v>8.7191794354838716</v>
          </cell>
          <cell r="J23">
            <v>8.7191794354838716</v>
          </cell>
          <cell r="K23">
            <v>8.7191794354838716</v>
          </cell>
          <cell r="L23">
            <v>8.7191794354838716</v>
          </cell>
          <cell r="M23">
            <v>8.7191794354838716</v>
          </cell>
          <cell r="N23">
            <v>8.7191794354838716</v>
          </cell>
          <cell r="O23">
            <v>8.2870020161290352</v>
          </cell>
          <cell r="P23">
            <v>8.7191794354838716</v>
          </cell>
          <cell r="Q23">
            <v>8.7191794354838716</v>
          </cell>
          <cell r="R23">
            <v>8.7191794354838716</v>
          </cell>
          <cell r="S23">
            <v>8.7191794354838716</v>
          </cell>
          <cell r="T23">
            <v>8.7191794354838716</v>
          </cell>
          <cell r="U23">
            <v>4.7251397849462364</v>
          </cell>
          <cell r="V23">
            <v>8.2870020161290352</v>
          </cell>
          <cell r="W23">
            <v>8.7191794354838716</v>
          </cell>
          <cell r="X23">
            <v>8.7191794354838716</v>
          </cell>
          <cell r="Y23">
            <v>8.7191794354838716</v>
          </cell>
          <cell r="Z23">
            <v>8.7191794354838716</v>
          </cell>
          <cell r="AA23">
            <v>8.7191794354838716</v>
          </cell>
          <cell r="AB23">
            <v>8.7191794354838716</v>
          </cell>
          <cell r="AC23">
            <v>8.2870020161290352</v>
          </cell>
          <cell r="AD23">
            <v>8.7191794354838716</v>
          </cell>
          <cell r="AE23">
            <v>8.7191794354838716</v>
          </cell>
          <cell r="AF23">
            <v>8.7191794354838716</v>
          </cell>
          <cell r="AG23">
            <v>8.7191794354838716</v>
          </cell>
          <cell r="AH23">
            <v>8.7191794354838716</v>
          </cell>
          <cell r="AI23">
            <v>8.7191794354838716</v>
          </cell>
          <cell r="AJ23">
            <v>0</v>
          </cell>
          <cell r="AK23">
            <v>0</v>
          </cell>
          <cell r="AL23">
            <v>0</v>
          </cell>
        </row>
        <row r="24">
          <cell r="B24" t="str">
            <v>EX1013OB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</row>
        <row r="25">
          <cell r="B25" t="str">
            <v>EX1014</v>
          </cell>
          <cell r="E25">
            <v>7.8472614919354848</v>
          </cell>
          <cell r="F25">
            <v>7.8472614919354848</v>
          </cell>
          <cell r="G25">
            <v>7.8472614919354848</v>
          </cell>
          <cell r="H25">
            <v>7.4583018145161315</v>
          </cell>
          <cell r="I25">
            <v>7.8472614919354848</v>
          </cell>
          <cell r="J25">
            <v>7.8472614919354848</v>
          </cell>
          <cell r="K25">
            <v>7.8472614919354848</v>
          </cell>
          <cell r="L25">
            <v>7.8472614919354848</v>
          </cell>
          <cell r="M25">
            <v>7.8472614919354848</v>
          </cell>
          <cell r="N25">
            <v>7.8472614919354848</v>
          </cell>
          <cell r="O25">
            <v>7.8472614919354848</v>
          </cell>
          <cell r="P25">
            <v>7.8472614919354848</v>
          </cell>
          <cell r="Q25">
            <v>7.8472614919354848</v>
          </cell>
          <cell r="R25">
            <v>7.8472614919354848</v>
          </cell>
          <cell r="S25">
            <v>7.8472614919354848</v>
          </cell>
          <cell r="T25">
            <v>7.8472614919354848</v>
          </cell>
          <cell r="U25">
            <v>4.2526258064516131</v>
          </cell>
          <cell r="V25">
            <v>7.8472614919354848</v>
          </cell>
          <cell r="W25">
            <v>7.8472614919354848</v>
          </cell>
          <cell r="X25">
            <v>7.8472614919354848</v>
          </cell>
          <cell r="Y25">
            <v>7.8472614919354848</v>
          </cell>
          <cell r="Z25">
            <v>7.8472614919354848</v>
          </cell>
          <cell r="AA25">
            <v>7.8472614919354848</v>
          </cell>
          <cell r="AB25">
            <v>7.8472614919354848</v>
          </cell>
          <cell r="AC25">
            <v>7.8472614919354848</v>
          </cell>
          <cell r="AD25">
            <v>7.8472614919354848</v>
          </cell>
          <cell r="AE25">
            <v>7.8472614919354848</v>
          </cell>
          <cell r="AF25">
            <v>7.8472614919354848</v>
          </cell>
          <cell r="AG25">
            <v>7.8472614919354848</v>
          </cell>
          <cell r="AH25">
            <v>7.8472614919354848</v>
          </cell>
          <cell r="AI25">
            <v>7.8472614919354848</v>
          </cell>
          <cell r="AJ25">
            <v>0</v>
          </cell>
        </row>
        <row r="26">
          <cell r="B26" t="str">
            <v>EX577</v>
          </cell>
          <cell r="D26">
            <v>0</v>
          </cell>
          <cell r="E26">
            <v>4.9213520211471824</v>
          </cell>
          <cell r="F26">
            <v>4.9213520211471824</v>
          </cell>
          <cell r="G26">
            <v>4.9213520211471824</v>
          </cell>
          <cell r="H26">
            <v>4.6774188354645476</v>
          </cell>
          <cell r="I26">
            <v>4.9213520211471824</v>
          </cell>
          <cell r="J26">
            <v>4.9213520211471824</v>
          </cell>
          <cell r="K26">
            <v>4.9213520211471824</v>
          </cell>
          <cell r="L26">
            <v>4.9213520211471824</v>
          </cell>
          <cell r="M26">
            <v>4.9213520211471824</v>
          </cell>
          <cell r="N26">
            <v>4.9213520211471824</v>
          </cell>
          <cell r="O26">
            <v>4.6774188354645476</v>
          </cell>
          <cell r="P26">
            <v>4.9213520211471824</v>
          </cell>
          <cell r="Q26">
            <v>4.9213520211471824</v>
          </cell>
          <cell r="R26">
            <v>4.9213520211471824</v>
          </cell>
          <cell r="S26">
            <v>4.9213520211471824</v>
          </cell>
          <cell r="T26">
            <v>4.9213520211471824</v>
          </cell>
          <cell r="U26">
            <v>2.667002830130154</v>
          </cell>
          <cell r="V26">
            <v>4.6774188354645476</v>
          </cell>
          <cell r="W26">
            <v>4.9213520211471824</v>
          </cell>
          <cell r="X26">
            <v>4.9213520211471824</v>
          </cell>
          <cell r="Y26">
            <v>4.9213520211471824</v>
          </cell>
          <cell r="Z26">
            <v>4.9213520211471824</v>
          </cell>
          <cell r="AA26">
            <v>4.9213520211471824</v>
          </cell>
          <cell r="AB26">
            <v>4.9213520211471824</v>
          </cell>
          <cell r="AC26">
            <v>4.6774188354645476</v>
          </cell>
          <cell r="AD26">
            <v>4.9213520211471824</v>
          </cell>
          <cell r="AE26">
            <v>4.9213520211471824</v>
          </cell>
          <cell r="AF26">
            <v>4.9213520211471824</v>
          </cell>
          <cell r="AG26">
            <v>4.9213520211471824</v>
          </cell>
          <cell r="AH26">
            <v>4.9213520211471824</v>
          </cell>
          <cell r="AI26">
            <v>4.9213520211471824</v>
          </cell>
          <cell r="AJ26">
            <v>0</v>
          </cell>
          <cell r="AK26">
            <v>0</v>
          </cell>
          <cell r="AL26">
            <v>0</v>
          </cell>
        </row>
        <row r="27">
          <cell r="B27" t="str">
            <v>EX578</v>
          </cell>
          <cell r="D27">
            <v>0</v>
          </cell>
          <cell r="E27">
            <v>6.1034256048387103</v>
          </cell>
          <cell r="F27">
            <v>6.1034256048387103</v>
          </cell>
          <cell r="G27">
            <v>6.1034256048387103</v>
          </cell>
          <cell r="H27">
            <v>5.800901411290325</v>
          </cell>
          <cell r="I27">
            <v>6.1034256048387103</v>
          </cell>
          <cell r="J27">
            <v>6.1034256048387103</v>
          </cell>
          <cell r="K27">
            <v>6.1034256048387103</v>
          </cell>
          <cell r="L27">
            <v>6.1034256048387103</v>
          </cell>
          <cell r="M27">
            <v>6.1034256048387103</v>
          </cell>
          <cell r="N27">
            <v>6.1034256048387103</v>
          </cell>
          <cell r="O27">
            <v>5.800901411290325</v>
          </cell>
          <cell r="P27">
            <v>6.1034256048387103</v>
          </cell>
          <cell r="Q27">
            <v>6.1034256048387103</v>
          </cell>
          <cell r="R27">
            <v>6.1034256048387103</v>
          </cell>
          <cell r="S27">
            <v>6.1034256048387103</v>
          </cell>
          <cell r="T27">
            <v>6.1034256048387103</v>
          </cell>
          <cell r="U27">
            <v>3.3075978494623657</v>
          </cell>
          <cell r="V27">
            <v>5.800901411290325</v>
          </cell>
          <cell r="W27">
            <v>6.1034256048387103</v>
          </cell>
          <cell r="X27">
            <v>6.1034256048387103</v>
          </cell>
          <cell r="Y27">
            <v>6.1034256048387103</v>
          </cell>
          <cell r="Z27">
            <v>6.1034256048387103</v>
          </cell>
          <cell r="AA27">
            <v>6.1034256048387103</v>
          </cell>
          <cell r="AB27">
            <v>6.1034256048387103</v>
          </cell>
          <cell r="AC27">
            <v>5.800901411290325</v>
          </cell>
          <cell r="AD27">
            <v>6.1034256048387103</v>
          </cell>
          <cell r="AE27">
            <v>6.1034256048387103</v>
          </cell>
          <cell r="AF27">
            <v>6.1034256048387103</v>
          </cell>
          <cell r="AG27">
            <v>6.1034256048387103</v>
          </cell>
          <cell r="AH27">
            <v>6.1034256048387103</v>
          </cell>
          <cell r="AI27">
            <v>6.1034256048387103</v>
          </cell>
          <cell r="AJ27">
            <v>0</v>
          </cell>
          <cell r="AK27">
            <v>0</v>
          </cell>
          <cell r="AL27">
            <v>0</v>
          </cell>
        </row>
        <row r="28">
          <cell r="B28" t="str">
            <v>TOTAL</v>
          </cell>
          <cell r="C28">
            <v>0</v>
          </cell>
          <cell r="D28">
            <v>0</v>
          </cell>
          <cell r="E28">
            <v>211.61329148687309</v>
          </cell>
          <cell r="F28">
            <v>211.61329148687309</v>
          </cell>
          <cell r="G28">
            <v>211.61329148687309</v>
          </cell>
          <cell r="H28">
            <v>201.12440467215814</v>
          </cell>
          <cell r="I28">
            <v>211.61329148687309</v>
          </cell>
          <cell r="J28">
            <v>211.61329148687309</v>
          </cell>
          <cell r="K28">
            <v>211.61329148687309</v>
          </cell>
          <cell r="L28">
            <v>211.61329148687309</v>
          </cell>
          <cell r="M28">
            <v>211.61329148687309</v>
          </cell>
          <cell r="N28">
            <v>211.61329148687309</v>
          </cell>
          <cell r="O28">
            <v>201.5133643495775</v>
          </cell>
          <cell r="P28">
            <v>211.61329148687309</v>
          </cell>
          <cell r="Q28">
            <v>211.61329148687309</v>
          </cell>
          <cell r="R28">
            <v>211.61329148687309</v>
          </cell>
          <cell r="S28">
            <v>211.61329148687309</v>
          </cell>
          <cell r="T28">
            <v>211.61329148687309</v>
          </cell>
          <cell r="U28">
            <v>114.67849584088286</v>
          </cell>
          <cell r="V28">
            <v>201.5133643495775</v>
          </cell>
          <cell r="W28">
            <v>211.61329148687309</v>
          </cell>
          <cell r="X28">
            <v>211.61329148687309</v>
          </cell>
          <cell r="Y28">
            <v>211.61329148687309</v>
          </cell>
          <cell r="Z28">
            <v>211.61329148687309</v>
          </cell>
          <cell r="AA28">
            <v>211.61329148687309</v>
          </cell>
          <cell r="AB28">
            <v>211.61329148687309</v>
          </cell>
          <cell r="AC28">
            <v>201.5133643495775</v>
          </cell>
          <cell r="AD28">
            <v>211.61329148687309</v>
          </cell>
          <cell r="AE28">
            <v>211.61329148687309</v>
          </cell>
          <cell r="AF28">
            <v>211.61329148687309</v>
          </cell>
          <cell r="AG28">
            <v>211.61329148687309</v>
          </cell>
          <cell r="AH28">
            <v>211.61329148687309</v>
          </cell>
          <cell r="AI28">
            <v>211.61329148687309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</row>
        <row r="29">
          <cell r="B29" t="str">
            <v>TOTAL</v>
          </cell>
          <cell r="C29">
            <v>0</v>
          </cell>
          <cell r="D29">
            <v>0</v>
          </cell>
          <cell r="E29">
            <v>211.61329148687309</v>
          </cell>
          <cell r="F29">
            <v>211.61329148687309</v>
          </cell>
          <cell r="G29">
            <v>211.61329148687309</v>
          </cell>
          <cell r="H29">
            <v>201.12440467215814</v>
          </cell>
          <cell r="I29">
            <v>211.61329148687309</v>
          </cell>
          <cell r="J29">
            <v>211.61329148687309</v>
          </cell>
          <cell r="K29">
            <v>211.61329148687309</v>
          </cell>
          <cell r="L29">
            <v>211.61329148687309</v>
          </cell>
          <cell r="M29">
            <v>211.61329148687309</v>
          </cell>
          <cell r="N29">
            <v>211.61329148687309</v>
          </cell>
          <cell r="O29">
            <v>201.5133643495775</v>
          </cell>
          <cell r="P29">
            <v>211.61329148687309</v>
          </cell>
          <cell r="Q29">
            <v>211.61329148687309</v>
          </cell>
          <cell r="R29">
            <v>211.61329148687309</v>
          </cell>
          <cell r="S29">
            <v>211.61329148687309</v>
          </cell>
          <cell r="T29">
            <v>211.61329148687309</v>
          </cell>
          <cell r="U29">
            <v>114.67849584088286</v>
          </cell>
          <cell r="V29">
            <v>201.5133643495775</v>
          </cell>
          <cell r="W29">
            <v>211.61329148687309</v>
          </cell>
          <cell r="X29">
            <v>211.61329148687309</v>
          </cell>
          <cell r="Y29">
            <v>211.61329148687309</v>
          </cell>
          <cell r="Z29">
            <v>211.61329148687309</v>
          </cell>
          <cell r="AA29">
            <v>211.61329148687309</v>
          </cell>
          <cell r="AB29">
            <v>211.61329148687309</v>
          </cell>
          <cell r="AC29">
            <v>201.5133643495775</v>
          </cell>
          <cell r="AD29">
            <v>211.61329148687309</v>
          </cell>
          <cell r="AE29">
            <v>211.61329148687309</v>
          </cell>
          <cell r="AF29">
            <v>211.61329148687309</v>
          </cell>
          <cell r="AG29">
            <v>211.61329148687309</v>
          </cell>
          <cell r="AH29">
            <v>211.61329148687309</v>
          </cell>
          <cell r="AI29">
            <v>211.61329148687309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</row>
        <row r="30">
          <cell r="B30" t="str">
            <v>RESUME WASTE REMOVAL</v>
          </cell>
          <cell r="AF30" t="str">
            <v>TOTAL WASTE REMOVAL</v>
          </cell>
        </row>
        <row r="31">
          <cell r="B31" t="str">
            <v>OB</v>
          </cell>
          <cell r="C31">
            <v>6087.7564722782263</v>
          </cell>
          <cell r="K31" t="str">
            <v>kBCM</v>
          </cell>
        </row>
        <row r="32">
          <cell r="B32" t="str">
            <v>TS_PIT</v>
          </cell>
          <cell r="C32">
            <v>0</v>
          </cell>
          <cell r="K32" t="str">
            <v>kBCM</v>
          </cell>
        </row>
        <row r="33">
          <cell r="B33" t="str">
            <v>OB+TS_PIT</v>
          </cell>
          <cell r="C33">
            <v>0</v>
          </cell>
          <cell r="K33" t="str">
            <v>kBCM</v>
          </cell>
        </row>
        <row r="34">
          <cell r="B34" t="str">
            <v>TS_WD</v>
          </cell>
          <cell r="C34">
            <v>334.53209994224528</v>
          </cell>
          <cell r="K34" t="str">
            <v>kBCM</v>
          </cell>
        </row>
        <row r="35">
          <cell r="B35" t="str">
            <v>TOTAL</v>
          </cell>
          <cell r="C35">
            <v>6422.2885722204719</v>
          </cell>
          <cell r="K35" t="str">
            <v>kBCM</v>
          </cell>
        </row>
        <row r="37">
          <cell r="K37" t="str">
            <v>kBCM</v>
          </cell>
        </row>
        <row r="38">
          <cell r="B38" t="str">
            <v>PRODUCTION PLANNING FOR COAL , KTON</v>
          </cell>
        </row>
        <row r="39">
          <cell r="B39" t="str">
            <v>FLEET</v>
          </cell>
          <cell r="C39" t="str">
            <v>WEEK # 01</v>
          </cell>
          <cell r="K39" t="str">
            <v>WEEK # 02</v>
          </cell>
          <cell r="R39" t="str">
            <v>WEEK #03</v>
          </cell>
          <cell r="Y39" t="str">
            <v>WEEK #04</v>
          </cell>
          <cell r="AF39" t="str">
            <v>WEEK # 05</v>
          </cell>
          <cell r="AM39" t="str">
            <v>WEEK#06</v>
          </cell>
        </row>
        <row r="40">
          <cell r="B40" t="str">
            <v>NUMBER</v>
          </cell>
          <cell r="C40">
            <v>0</v>
          </cell>
          <cell r="D40">
            <v>0</v>
          </cell>
          <cell r="E40">
            <v>38930</v>
          </cell>
          <cell r="F40">
            <v>38931</v>
          </cell>
          <cell r="G40">
            <v>38932</v>
          </cell>
          <cell r="H40">
            <v>38933</v>
          </cell>
          <cell r="I40">
            <v>38934</v>
          </cell>
          <cell r="J40">
            <v>38935</v>
          </cell>
          <cell r="K40">
            <v>38936</v>
          </cell>
          <cell r="L40">
            <v>38937</v>
          </cell>
          <cell r="M40">
            <v>38938</v>
          </cell>
          <cell r="N40">
            <v>38939</v>
          </cell>
          <cell r="O40">
            <v>38940</v>
          </cell>
          <cell r="P40">
            <v>38941</v>
          </cell>
          <cell r="Q40">
            <v>38942</v>
          </cell>
          <cell r="R40">
            <v>38943</v>
          </cell>
          <cell r="S40">
            <v>38944</v>
          </cell>
          <cell r="T40">
            <v>38945</v>
          </cell>
          <cell r="U40">
            <v>38946</v>
          </cell>
          <cell r="V40">
            <v>38947</v>
          </cell>
          <cell r="W40">
            <v>38948</v>
          </cell>
          <cell r="X40">
            <v>38949</v>
          </cell>
          <cell r="Y40">
            <v>38950</v>
          </cell>
          <cell r="Z40">
            <v>38951</v>
          </cell>
          <cell r="AA40">
            <v>38952</v>
          </cell>
          <cell r="AB40">
            <v>38953</v>
          </cell>
          <cell r="AC40">
            <v>38954</v>
          </cell>
          <cell r="AD40">
            <v>38955</v>
          </cell>
          <cell r="AE40">
            <v>38956</v>
          </cell>
          <cell r="AF40">
            <v>38957</v>
          </cell>
          <cell r="AG40">
            <v>38958</v>
          </cell>
          <cell r="AH40">
            <v>38959</v>
          </cell>
          <cell r="AI40">
            <v>38960</v>
          </cell>
          <cell r="AJ40">
            <v>38961</v>
          </cell>
          <cell r="AK40">
            <v>38962</v>
          </cell>
          <cell r="AL40">
            <v>38963</v>
          </cell>
          <cell r="AM40">
            <v>38964</v>
          </cell>
          <cell r="AN40">
            <v>38965</v>
          </cell>
        </row>
        <row r="41">
          <cell r="B41" t="str">
            <v>EX1008</v>
          </cell>
          <cell r="C41">
            <v>0</v>
          </cell>
          <cell r="D41">
            <v>0</v>
          </cell>
          <cell r="E41">
            <v>8.7191794354838716</v>
          </cell>
          <cell r="F41">
            <v>8.7191794354838716</v>
          </cell>
          <cell r="G41">
            <v>8.7191794354838716</v>
          </cell>
          <cell r="H41">
            <v>8.2870020161290352</v>
          </cell>
          <cell r="I41">
            <v>8.7191794354838716</v>
          </cell>
          <cell r="J41">
            <v>8.7191794354838716</v>
          </cell>
          <cell r="K41">
            <v>8.7191794354838716</v>
          </cell>
          <cell r="L41">
            <v>8.7191794354838716</v>
          </cell>
          <cell r="M41">
            <v>8.7191794354838716</v>
          </cell>
          <cell r="N41">
            <v>8.7191794354838716</v>
          </cell>
          <cell r="O41">
            <v>8.2870020161290352</v>
          </cell>
          <cell r="P41">
            <v>8.7191794354838716</v>
          </cell>
          <cell r="Q41">
            <v>8.7191794354838716</v>
          </cell>
          <cell r="R41">
            <v>8.7191794354838716</v>
          </cell>
          <cell r="S41">
            <v>8.7191794354838716</v>
          </cell>
          <cell r="T41">
            <v>8.7191794354838716</v>
          </cell>
          <cell r="U41">
            <v>4.7251397849462364</v>
          </cell>
          <cell r="V41">
            <v>8.2870020161290352</v>
          </cell>
          <cell r="W41">
            <v>8.7191794354838716</v>
          </cell>
          <cell r="X41">
            <v>8.7191794354838716</v>
          </cell>
          <cell r="Y41">
            <v>8.7191794354838716</v>
          </cell>
          <cell r="Z41">
            <v>8.7191794354838716</v>
          </cell>
          <cell r="AA41">
            <v>8.7191794354838716</v>
          </cell>
          <cell r="AB41">
            <v>8.7191794354838716</v>
          </cell>
          <cell r="AC41">
            <v>8.2870020161290352</v>
          </cell>
          <cell r="AD41">
            <v>8.7191794354838716</v>
          </cell>
          <cell r="AE41">
            <v>8.7191794354838716</v>
          </cell>
          <cell r="AF41">
            <v>8.7191794354838716</v>
          </cell>
          <cell r="AG41">
            <v>8.7191794354838716</v>
          </cell>
          <cell r="AH41">
            <v>8.7191794354838716</v>
          </cell>
          <cell r="AI41">
            <v>8.7191794354838716</v>
          </cell>
          <cell r="AJ41">
            <v>0</v>
          </cell>
          <cell r="AK41">
            <v>0</v>
          </cell>
          <cell r="AL41">
            <v>0</v>
          </cell>
        </row>
        <row r="42">
          <cell r="B42" t="str">
            <v>EX1013</v>
          </cell>
          <cell r="D42">
            <v>0</v>
          </cell>
          <cell r="E42">
            <v>8.7191794354838716</v>
          </cell>
          <cell r="F42">
            <v>8.7191794354838716</v>
          </cell>
          <cell r="G42">
            <v>8.7191794354838716</v>
          </cell>
          <cell r="H42">
            <v>0</v>
          </cell>
          <cell r="I42">
            <v>0</v>
          </cell>
          <cell r="J42">
            <v>0</v>
          </cell>
          <cell r="K42">
            <v>8.7191794354838716</v>
          </cell>
          <cell r="L42">
            <v>8.7191794354838716</v>
          </cell>
          <cell r="M42">
            <v>8.7191794354838716</v>
          </cell>
          <cell r="N42">
            <v>8.7191794354838716</v>
          </cell>
          <cell r="O42">
            <v>8.2870020161290352</v>
          </cell>
          <cell r="P42">
            <v>8.7191794354838716</v>
          </cell>
          <cell r="Q42">
            <v>8.7191794354838716</v>
          </cell>
          <cell r="R42">
            <v>8.7191794354838716</v>
          </cell>
          <cell r="S42">
            <v>8.7191794354838716</v>
          </cell>
          <cell r="T42">
            <v>8.7191794354838716</v>
          </cell>
          <cell r="U42">
            <v>4.7251397849462364</v>
          </cell>
          <cell r="V42">
            <v>8.2870020161290352</v>
          </cell>
          <cell r="W42">
            <v>8.7191794354838716</v>
          </cell>
          <cell r="X42">
            <v>8.7191794354838716</v>
          </cell>
          <cell r="Y42">
            <v>8.7191794354838716</v>
          </cell>
          <cell r="Z42">
            <v>8.7191794354838716</v>
          </cell>
          <cell r="AA42">
            <v>8.7191794354838716</v>
          </cell>
          <cell r="AB42">
            <v>8.7191794354838716</v>
          </cell>
          <cell r="AC42">
            <v>8.2870020161290352</v>
          </cell>
          <cell r="AD42">
            <v>8.7191794354838716</v>
          </cell>
          <cell r="AE42">
            <v>8.7191794354838716</v>
          </cell>
          <cell r="AF42">
            <v>8.7191794354838716</v>
          </cell>
          <cell r="AG42">
            <v>8.7191794354838716</v>
          </cell>
          <cell r="AH42">
            <v>8.7191794354838716</v>
          </cell>
          <cell r="AI42">
            <v>8.7191794354838716</v>
          </cell>
          <cell r="AJ42">
            <v>0</v>
          </cell>
          <cell r="AK42">
            <v>0</v>
          </cell>
          <cell r="AL4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 PRM"/>
      <sheetName val="Production Performance"/>
      <sheetName val="Total Quality FC Production"/>
      <sheetName val="FC Quality"/>
      <sheetName val="tabel_2007_Total_plan 93jt"/>
      <sheetName val="summary"/>
    </sheetNames>
    <sheetDataSet>
      <sheetData sheetId="0">
        <row r="6">
          <cell r="C6">
            <v>1</v>
          </cell>
          <cell r="D6">
            <v>0</v>
          </cell>
          <cell r="E6">
            <v>0</v>
          </cell>
          <cell r="F6" t="str">
            <v>Jan Plan</v>
          </cell>
          <cell r="G6" t="str">
            <v>Jan Act</v>
          </cell>
          <cell r="H6">
            <v>0</v>
          </cell>
          <cell r="I6" t="str">
            <v>Feb Plan</v>
          </cell>
          <cell r="J6" t="str">
            <v>Feb Act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str">
            <v>Apr (Act)</v>
          </cell>
          <cell r="S6" t="str">
            <v>Apr (Act)1</v>
          </cell>
          <cell r="T6">
            <v>0</v>
          </cell>
          <cell r="U6" t="str">
            <v>YTD Apr Est</v>
          </cell>
          <cell r="V6" t="str">
            <v>YTD Apr Est1</v>
          </cell>
          <cell r="W6">
            <v>0</v>
          </cell>
          <cell r="X6" t="str">
            <v>May Est</v>
          </cell>
          <cell r="Y6" t="str">
            <v>May Est1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  <cell r="BK6" t="str">
            <v>Total Year Est</v>
          </cell>
          <cell r="BL6" t="str">
            <v>Total Year Est1</v>
          </cell>
          <cell r="BM6">
            <v>0</v>
          </cell>
        </row>
        <row r="7">
          <cell r="C7">
            <v>2</v>
          </cell>
          <cell r="D7" t="str">
            <v>OB Removal</v>
          </cell>
          <cell r="E7" t="str">
            <v>KBCM</v>
          </cell>
          <cell r="F7">
            <v>26144.682111601589</v>
          </cell>
          <cell r="G7">
            <v>28973.207270868661</v>
          </cell>
          <cell r="H7">
            <v>10.818739915035824</v>
          </cell>
          <cell r="I7">
            <v>25940.060680884424</v>
          </cell>
          <cell r="J7">
            <v>26272.130392036117</v>
          </cell>
          <cell r="K7">
            <v>1.2801423837701331</v>
          </cell>
          <cell r="L7">
            <v>27543.351463287599</v>
          </cell>
          <cell r="M7">
            <v>31608.847429615806</v>
          </cell>
          <cell r="N7">
            <v>14.760353226248032</v>
          </cell>
          <cell r="O7">
            <v>79628.094255773598</v>
          </cell>
          <cell r="P7">
            <v>86854.18509252058</v>
          </cell>
          <cell r="Q7">
            <v>9.0748006771781302</v>
          </cell>
          <cell r="R7">
            <v>26737.698482442695</v>
          </cell>
          <cell r="S7">
            <v>26995.494546807691</v>
          </cell>
          <cell r="T7">
            <v>0.96416699640127379</v>
          </cell>
          <cell r="U7">
            <v>106365.79273821632</v>
          </cell>
          <cell r="V7">
            <v>113849.67963932829</v>
          </cell>
          <cell r="W7">
            <v>7.0359903390472933</v>
          </cell>
          <cell r="X7">
            <v>28743.60617489658</v>
          </cell>
          <cell r="Y7">
            <v>31256.425205209376</v>
          </cell>
          <cell r="Z7">
            <v>8.7421843140454065</v>
          </cell>
          <cell r="AA7">
            <v>28669.420010530193</v>
          </cell>
          <cell r="AB7">
            <v>31176.185843620842</v>
          </cell>
          <cell r="AC7">
            <v>8.7436921715539455</v>
          </cell>
          <cell r="AD7">
            <v>84150.724667869465</v>
          </cell>
          <cell r="AE7">
            <v>89428.105595637913</v>
          </cell>
          <cell r="AF7">
            <v>6.2713434121898475</v>
          </cell>
          <cell r="AG7">
            <v>163778.81892364306</v>
          </cell>
          <cell r="AH7">
            <v>176282.29068815848</v>
          </cell>
          <cell r="AI7">
            <v>7.634364349852091</v>
          </cell>
          <cell r="AJ7">
            <v>27835.239253572803</v>
          </cell>
          <cell r="AK7">
            <v>29226.152295972544</v>
          </cell>
          <cell r="AL7">
            <v>4.9969501958608458</v>
          </cell>
          <cell r="AM7">
            <v>25787.177440685591</v>
          </cell>
          <cell r="AN7">
            <v>26731.612326524424</v>
          </cell>
          <cell r="AO7">
            <v>3.6624205499464844</v>
          </cell>
          <cell r="AP7">
            <v>27210.573592163473</v>
          </cell>
          <cell r="AQ7">
            <v>27716.392743364555</v>
          </cell>
          <cell r="AR7">
            <v>1.8589066102845968</v>
          </cell>
          <cell r="AS7">
            <v>80832.990286421875</v>
          </cell>
          <cell r="AT7">
            <v>83674.157365861523</v>
          </cell>
          <cell r="AU7">
            <v>3.5148607881167311</v>
          </cell>
          <cell r="AV7">
            <v>27503.989287195822</v>
          </cell>
          <cell r="AW7">
            <v>27320.952326172381</v>
          </cell>
          <cell r="AX7">
            <v>-0.66549240952712241</v>
          </cell>
          <cell r="AY7">
            <v>25666.696744530018</v>
          </cell>
          <cell r="AZ7">
            <v>25147.949869054828</v>
          </cell>
          <cell r="BA7">
            <v>-2.0210893541871262</v>
          </cell>
          <cell r="BB7">
            <v>24157.670296328895</v>
          </cell>
          <cell r="BC7">
            <v>23745.510179334473</v>
          </cell>
          <cell r="BD7">
            <v>-1.7061252676217542</v>
          </cell>
          <cell r="BE7">
            <v>77328.356328054724</v>
          </cell>
          <cell r="BF7">
            <v>76214.412374561682</v>
          </cell>
          <cell r="BG7">
            <v>-1.4405374773094766</v>
          </cell>
          <cell r="BH7">
            <v>158161.34661447658</v>
          </cell>
          <cell r="BI7">
            <v>159888.56974042321</v>
          </cell>
          <cell r="BJ7">
            <v>1.0920639985171492</v>
          </cell>
          <cell r="BK7">
            <v>321940.16553811973</v>
          </cell>
          <cell r="BL7">
            <v>336170.86042858171</v>
          </cell>
          <cell r="BM7">
            <v>4.4202918472988655</v>
          </cell>
        </row>
        <row r="8">
          <cell r="C8">
            <v>3</v>
          </cell>
          <cell r="D8" t="str">
            <v>ROM production</v>
          </cell>
          <cell r="E8" t="str">
            <v>KTON</v>
          </cell>
          <cell r="F8">
            <v>2102.8376128895657</v>
          </cell>
          <cell r="G8">
            <v>2467.1660000200554</v>
          </cell>
          <cell r="H8">
            <v>17.32555975303563</v>
          </cell>
          <cell r="I8">
            <v>2127.1220814947883</v>
          </cell>
          <cell r="J8">
            <v>2151.7533986956073</v>
          </cell>
          <cell r="K8">
            <v>1.1579644353797454</v>
          </cell>
          <cell r="L8">
            <v>2188.0849242581598</v>
          </cell>
          <cell r="M8">
            <v>2497.5432607641483</v>
          </cell>
          <cell r="N8">
            <v>14.142885089842025</v>
          </cell>
          <cell r="O8">
            <v>6418.0446186425124</v>
          </cell>
          <cell r="P8">
            <v>7116.462659479811</v>
          </cell>
          <cell r="Q8">
            <v>10.882100115175293</v>
          </cell>
          <cell r="R8">
            <v>2262.8113045710279</v>
          </cell>
          <cell r="S8">
            <v>2149.5465810047676</v>
          </cell>
          <cell r="T8">
            <v>-5.0054869063742995</v>
          </cell>
          <cell r="U8">
            <v>8680.8559232135394</v>
          </cell>
          <cell r="V8">
            <v>9266.0092404845782</v>
          </cell>
          <cell r="W8">
            <v>6.7407329697325826</v>
          </cell>
          <cell r="X8">
            <v>2403.9395164237358</v>
          </cell>
          <cell r="Y8">
            <v>2515.8496876455938</v>
          </cell>
          <cell r="Z8">
            <v>4.655282317100192</v>
          </cell>
          <cell r="AA8">
            <v>2541.6600223635805</v>
          </cell>
          <cell r="AB8">
            <v>2599.9764861077247</v>
          </cell>
          <cell r="AC8">
            <v>2.2944242436450475</v>
          </cell>
          <cell r="AD8">
            <v>7208.4108433583433</v>
          </cell>
          <cell r="AE8">
            <v>7265.3727547580856</v>
          </cell>
          <cell r="AF8">
            <v>0.79021455127277729</v>
          </cell>
          <cell r="AG8">
            <v>13626.455462000857</v>
          </cell>
          <cell r="AH8">
            <v>14381.835414237896</v>
          </cell>
          <cell r="AI8">
            <v>5.5434808732433343</v>
          </cell>
          <cell r="AJ8">
            <v>2571.5989842317763</v>
          </cell>
          <cell r="AK8">
            <v>2511.1304736884913</v>
          </cell>
          <cell r="AL8">
            <v>-2.3513973568219071</v>
          </cell>
          <cell r="AM8">
            <v>2558.4811707635599</v>
          </cell>
          <cell r="AN8">
            <v>2555.0632487169451</v>
          </cell>
          <cell r="AO8">
            <v>-0.1335918390048117</v>
          </cell>
          <cell r="AP8">
            <v>2623.0592174838976</v>
          </cell>
          <cell r="AQ8">
            <v>2614.2587034019525</v>
          </cell>
          <cell r="AR8">
            <v>-0.33550573404083139</v>
          </cell>
          <cell r="AS8">
            <v>7753.1393724792342</v>
          </cell>
          <cell r="AT8">
            <v>7680.4524258073898</v>
          </cell>
          <cell r="AU8">
            <v>-0.93751631667884272</v>
          </cell>
          <cell r="AV8">
            <v>2629.6004853647028</v>
          </cell>
          <cell r="AW8">
            <v>2584.7260639425754</v>
          </cell>
          <cell r="AX8">
            <v>-1.7065109955630278</v>
          </cell>
          <cell r="AY8">
            <v>2554.7745257647448</v>
          </cell>
          <cell r="AZ8">
            <v>2565.6335835661207</v>
          </cell>
          <cell r="BA8">
            <v>0.42504955689290685</v>
          </cell>
          <cell r="BB8">
            <v>2441.3378963028263</v>
          </cell>
          <cell r="BC8">
            <v>2511.8456631477929</v>
          </cell>
          <cell r="BD8">
            <v>2.888078989464915</v>
          </cell>
          <cell r="BE8">
            <v>7625.7129074322738</v>
          </cell>
          <cell r="BF8">
            <v>7662.205310656489</v>
          </cell>
          <cell r="BG8">
            <v>0.47854415275257062</v>
          </cell>
          <cell r="BH8">
            <v>15378.852279911509</v>
          </cell>
          <cell r="BI8">
            <v>15342.65773646388</v>
          </cell>
          <cell r="BJ8">
            <v>-0.23535269595448333</v>
          </cell>
          <cell r="BK8">
            <v>29005.307741912362</v>
          </cell>
          <cell r="BL8">
            <v>29724.493150701775</v>
          </cell>
          <cell r="BM8">
            <v>2.4794958743023376</v>
          </cell>
        </row>
        <row r="9">
          <cell r="C9">
            <v>4</v>
          </cell>
          <cell r="D9" t="str">
            <v>F/C production</v>
          </cell>
          <cell r="E9" t="str">
            <v>KTON</v>
          </cell>
          <cell r="F9">
            <v>2092.5246222528676</v>
          </cell>
          <cell r="G9">
            <v>2410.8120486599996</v>
          </cell>
          <cell r="H9">
            <v>15.210689662731678</v>
          </cell>
          <cell r="I9">
            <v>2116.068677958322</v>
          </cell>
          <cell r="J9">
            <v>2176.8352090000003</v>
          </cell>
          <cell r="K9">
            <v>2.8716710225260051</v>
          </cell>
          <cell r="L9">
            <v>2130.3485859810876</v>
          </cell>
          <cell r="M9">
            <v>2449.6277800000003</v>
          </cell>
          <cell r="N9">
            <v>14.987180789094911</v>
          </cell>
          <cell r="O9">
            <v>6338.9418861922768</v>
          </cell>
          <cell r="P9">
            <v>7037.2750376600006</v>
          </cell>
          <cell r="Q9">
            <v>11.016557084848175</v>
          </cell>
          <cell r="R9">
            <v>2239.0660225505417</v>
          </cell>
          <cell r="S9">
            <v>2168.9603390000007</v>
          </cell>
          <cell r="T9">
            <v>-3.1310235091095242</v>
          </cell>
          <cell r="U9">
            <v>8578.0079087428203</v>
          </cell>
          <cell r="V9">
            <v>9206.2353766600008</v>
          </cell>
          <cell r="W9">
            <v>7.3236988657574305</v>
          </cell>
          <cell r="X9">
            <v>2341.8810827516218</v>
          </cell>
          <cell r="Y9">
            <v>2374.8420000000001</v>
          </cell>
          <cell r="Z9">
            <v>1.4074547803106428</v>
          </cell>
          <cell r="AA9">
            <v>2425.6631128398594</v>
          </cell>
          <cell r="AB9">
            <v>2466.9880804324516</v>
          </cell>
          <cell r="AC9">
            <v>1.7036565124746754</v>
          </cell>
          <cell r="AD9">
            <v>7006.6102181420229</v>
          </cell>
          <cell r="AE9">
            <v>7010.7904194324519</v>
          </cell>
          <cell r="AF9">
            <v>5.9660822570169345E-2</v>
          </cell>
          <cell r="AG9">
            <v>13345.5521043343</v>
          </cell>
          <cell r="AH9">
            <v>14048.065457092453</v>
          </cell>
          <cell r="AI9">
            <v>5.2640261509300483</v>
          </cell>
          <cell r="AJ9">
            <v>2472.1192215535302</v>
          </cell>
          <cell r="AK9">
            <v>2470.6097969239017</v>
          </cell>
          <cell r="AL9">
            <v>-6.1057922145030308E-2</v>
          </cell>
          <cell r="AM9">
            <v>2470.4181036343216</v>
          </cell>
          <cell r="AN9">
            <v>2626.890927338025</v>
          </cell>
          <cell r="AO9">
            <v>6.3338599840047545</v>
          </cell>
          <cell r="AP9">
            <v>2546.802497246686</v>
          </cell>
          <cell r="AQ9">
            <v>2703.3864187281679</v>
          </cell>
          <cell r="AR9">
            <v>6.1482553771155262</v>
          </cell>
          <cell r="AS9">
            <v>7489.3398224345374</v>
          </cell>
          <cell r="AT9">
            <v>7800.8871429900946</v>
          </cell>
          <cell r="AU9">
            <v>4.1598769443243597</v>
          </cell>
          <cell r="AV9">
            <v>2545.1510244898295</v>
          </cell>
          <cell r="AW9">
            <v>2690.7304215268664</v>
          </cell>
          <cell r="AX9">
            <v>5.7198726376647127</v>
          </cell>
          <cell r="AY9">
            <v>2543.0552861869792</v>
          </cell>
          <cell r="AZ9">
            <v>2674.7421115573497</v>
          </cell>
          <cell r="BA9">
            <v>5.1782918792858776</v>
          </cell>
          <cell r="BB9">
            <v>2481.0625753640852</v>
          </cell>
          <cell r="BC9">
            <v>2575.4482051937139</v>
          </cell>
          <cell r="BD9">
            <v>3.8042422132693687</v>
          </cell>
          <cell r="BE9">
            <v>7569.2688860408934</v>
          </cell>
          <cell r="BF9">
            <v>7940.9207382779305</v>
          </cell>
          <cell r="BG9">
            <v>4.9100099075939889</v>
          </cell>
          <cell r="BH9">
            <v>15058.608708475431</v>
          </cell>
          <cell r="BI9">
            <v>15741.807881268023</v>
          </cell>
          <cell r="BJ9">
            <v>4.5369342282469143</v>
          </cell>
          <cell r="BK9">
            <v>28404.160812809729</v>
          </cell>
          <cell r="BL9">
            <v>29789.873338360474</v>
          </cell>
          <cell r="BM9">
            <v>4.8785547113429093</v>
          </cell>
        </row>
        <row r="10">
          <cell r="C10">
            <v>5</v>
          </cell>
          <cell r="D10" t="str">
            <v>Wasplant</v>
          </cell>
          <cell r="E10" t="str">
            <v>KTON</v>
          </cell>
          <cell r="F10">
            <v>30</v>
          </cell>
          <cell r="G10">
            <v>24.057352999999999</v>
          </cell>
          <cell r="H10">
            <v>-19.808823333333336</v>
          </cell>
          <cell r="I10">
            <v>30</v>
          </cell>
          <cell r="J10">
            <v>24.131049999999998</v>
          </cell>
          <cell r="K10">
            <v>-19.563166666666675</v>
          </cell>
          <cell r="L10">
            <v>30</v>
          </cell>
          <cell r="M10">
            <v>24.318576</v>
          </cell>
          <cell r="N10">
            <v>-18.938079999999999</v>
          </cell>
          <cell r="O10">
            <v>90</v>
          </cell>
          <cell r="P10">
            <v>72.506979000000001</v>
          </cell>
          <cell r="Q10">
            <v>-19.436689999999999</v>
          </cell>
          <cell r="R10">
            <v>30</v>
          </cell>
          <cell r="S10">
            <v>28.111102000000002</v>
          </cell>
          <cell r="T10">
            <v>-6.2963266666666584</v>
          </cell>
          <cell r="U10">
            <v>120</v>
          </cell>
          <cell r="V10">
            <v>100.61808099999999</v>
          </cell>
          <cell r="W10">
            <v>-16.151599166666674</v>
          </cell>
          <cell r="X10">
            <v>30</v>
          </cell>
          <cell r="Y10">
            <v>30</v>
          </cell>
          <cell r="Z10">
            <v>0</v>
          </cell>
          <cell r="AA10">
            <v>30</v>
          </cell>
          <cell r="AB10">
            <v>30</v>
          </cell>
          <cell r="AC10">
            <v>0</v>
          </cell>
          <cell r="AD10">
            <v>90</v>
          </cell>
          <cell r="AE10">
            <v>88.111101999999988</v>
          </cell>
          <cell r="AF10">
            <v>-2.0987755555555685</v>
          </cell>
          <cell r="AG10">
            <v>180</v>
          </cell>
          <cell r="AH10">
            <v>160.61808099999999</v>
          </cell>
          <cell r="AI10">
            <v>-10.767732777777784</v>
          </cell>
          <cell r="AJ10">
            <v>30</v>
          </cell>
          <cell r="AK10">
            <v>30</v>
          </cell>
          <cell r="AL10">
            <v>0</v>
          </cell>
          <cell r="AM10">
            <v>30</v>
          </cell>
          <cell r="AN10">
            <v>30</v>
          </cell>
          <cell r="AO10">
            <v>0</v>
          </cell>
          <cell r="AP10">
            <v>30</v>
          </cell>
          <cell r="AQ10">
            <v>30</v>
          </cell>
          <cell r="AR10">
            <v>0</v>
          </cell>
          <cell r="AS10">
            <v>90</v>
          </cell>
          <cell r="AT10">
            <v>90</v>
          </cell>
          <cell r="AU10">
            <v>0</v>
          </cell>
          <cell r="AV10">
            <v>30</v>
          </cell>
          <cell r="AW10">
            <v>30</v>
          </cell>
          <cell r="AX10">
            <v>0</v>
          </cell>
          <cell r="AY10">
            <v>30</v>
          </cell>
          <cell r="AZ10">
            <v>30</v>
          </cell>
          <cell r="BA10">
            <v>0</v>
          </cell>
          <cell r="BB10">
            <v>30</v>
          </cell>
          <cell r="BC10">
            <v>30</v>
          </cell>
          <cell r="BD10">
            <v>0</v>
          </cell>
          <cell r="BE10">
            <v>90</v>
          </cell>
          <cell r="BF10">
            <v>90</v>
          </cell>
          <cell r="BG10">
            <v>0</v>
          </cell>
          <cell r="BH10">
            <v>180</v>
          </cell>
          <cell r="BI10">
            <v>180</v>
          </cell>
          <cell r="BJ10">
            <v>0</v>
          </cell>
          <cell r="BK10">
            <v>360</v>
          </cell>
          <cell r="BL10">
            <v>340.61808099999996</v>
          </cell>
          <cell r="BM10">
            <v>-5.3838663888889</v>
          </cell>
        </row>
        <row r="11">
          <cell r="C11">
            <v>6</v>
          </cell>
          <cell r="D11" t="str">
            <v>Total FC + WP</v>
          </cell>
          <cell r="E11" t="str">
            <v>KTON</v>
          </cell>
          <cell r="F11">
            <v>2122.5246222528676</v>
          </cell>
          <cell r="G11">
            <v>2434.8694016599998</v>
          </cell>
          <cell r="H11">
            <v>14.71571995596482</v>
          </cell>
          <cell r="I11">
            <v>2146.068677958322</v>
          </cell>
          <cell r="J11">
            <v>2200.9662590000003</v>
          </cell>
          <cell r="K11">
            <v>2.5580533188670098</v>
          </cell>
          <cell r="L11">
            <v>2160.3485859810876</v>
          </cell>
          <cell r="M11">
            <v>2473.9463560000004</v>
          </cell>
          <cell r="N11">
            <v>14.516072640031721</v>
          </cell>
          <cell r="O11">
            <v>6428.9418861922768</v>
          </cell>
          <cell r="P11">
            <v>7109.7820166600004</v>
          </cell>
          <cell r="Q11">
            <v>10.590236193143914</v>
          </cell>
          <cell r="R11">
            <v>2269.0660225505417</v>
          </cell>
          <cell r="S11">
            <v>2197.0714410000005</v>
          </cell>
          <cell r="T11">
            <v>-3.1728729281140851</v>
          </cell>
          <cell r="U11">
            <v>8698.0079087428203</v>
          </cell>
          <cell r="V11">
            <v>9306.8534576600014</v>
          </cell>
          <cell r="W11">
            <v>6.9998274927434672</v>
          </cell>
          <cell r="X11">
            <v>2371.8810827516218</v>
          </cell>
          <cell r="Y11">
            <v>2404.8420000000001</v>
          </cell>
          <cell r="Z11">
            <v>1.3896530263709654</v>
          </cell>
          <cell r="AA11">
            <v>2455.6631128398594</v>
          </cell>
          <cell r="AB11">
            <v>2496.9880804324516</v>
          </cell>
          <cell r="AC11">
            <v>1.682843521023607</v>
          </cell>
          <cell r="AD11">
            <v>7096.6102181420229</v>
          </cell>
          <cell r="AE11">
            <v>7098.9015214324518</v>
          </cell>
          <cell r="AF11">
            <v>3.2287292383219049E-2</v>
          </cell>
          <cell r="AG11">
            <v>13525.5521043343</v>
          </cell>
          <cell r="AH11">
            <v>14208.683538092453</v>
          </cell>
          <cell r="AI11">
            <v>5.0506731887065976</v>
          </cell>
          <cell r="AJ11">
            <v>2502.1192215535302</v>
          </cell>
          <cell r="AK11">
            <v>2500.6097969239017</v>
          </cell>
          <cell r="AL11">
            <v>-6.0325847650508968E-2</v>
          </cell>
          <cell r="AM11">
            <v>2500.4181036343216</v>
          </cell>
          <cell r="AN11">
            <v>2656.890927338025</v>
          </cell>
          <cell r="AO11">
            <v>6.2578663734785964</v>
          </cell>
          <cell r="AP11">
            <v>2576.802497246686</v>
          </cell>
          <cell r="AQ11">
            <v>2733.3864187281679</v>
          </cell>
          <cell r="AR11">
            <v>6.0766753233432445</v>
          </cell>
          <cell r="AS11">
            <v>7579.3398224345374</v>
          </cell>
          <cell r="AT11">
            <v>7890.8871429900946</v>
          </cell>
          <cell r="AU11">
            <v>4.1104809634394526</v>
          </cell>
          <cell r="AV11">
            <v>2575.1510244898295</v>
          </cell>
          <cell r="AW11">
            <v>2720.7304215268664</v>
          </cell>
          <cell r="AX11">
            <v>5.653237252983172</v>
          </cell>
          <cell r="AY11">
            <v>2573.0552861869792</v>
          </cell>
          <cell r="AZ11">
            <v>2704.7421115573497</v>
          </cell>
          <cell r="BA11">
            <v>5.1179166680680925</v>
          </cell>
          <cell r="BB11">
            <v>2511.0625753640852</v>
          </cell>
          <cell r="BC11">
            <v>2605.4482051937139</v>
          </cell>
          <cell r="BD11">
            <v>3.7587924234004193</v>
          </cell>
          <cell r="BE11">
            <v>7659.2688860408934</v>
          </cell>
          <cell r="BF11">
            <v>8030.9207382779305</v>
          </cell>
          <cell r="BG11">
            <v>4.8523149894159854</v>
          </cell>
          <cell r="BH11">
            <v>15238.608708475431</v>
          </cell>
          <cell r="BI11">
            <v>15921.807881268025</v>
          </cell>
          <cell r="BJ11">
            <v>4.4833434984954472</v>
          </cell>
          <cell r="BK11">
            <v>28764.160812809729</v>
          </cell>
          <cell r="BL11">
            <v>30130.491419360475</v>
          </cell>
          <cell r="BM11">
            <v>4.7501146146501485</v>
          </cell>
        </row>
        <row r="12">
          <cell r="C12">
            <v>7</v>
          </cell>
          <cell r="D12" t="str">
            <v>Stripping Ratio</v>
          </cell>
          <cell r="E12" t="str">
            <v>OB: F/C</v>
          </cell>
          <cell r="F12">
            <v>12.494324718365096</v>
          </cell>
          <cell r="G12">
            <v>12.018028235329595</v>
          </cell>
          <cell r="H12">
            <v>-3.812102644774428</v>
          </cell>
          <cell r="I12">
            <v>12.25861001161482</v>
          </cell>
          <cell r="J12">
            <v>12.068956935010744</v>
          </cell>
          <cell r="K12">
            <v>-1.5471009879944204</v>
          </cell>
          <cell r="L12">
            <v>12.929035015461135</v>
          </cell>
          <cell r="M12">
            <v>12.903530768097268</v>
          </cell>
          <cell r="N12">
            <v>-0.19726334821870811</v>
          </cell>
          <cell r="O12">
            <v>12.561732807366877</v>
          </cell>
          <cell r="P12">
            <v>12.34201940775657</v>
          </cell>
          <cell r="Q12">
            <v>-1.7490692007193025</v>
          </cell>
          <cell r="R12">
            <v>11.941451575414254</v>
          </cell>
          <cell r="S12">
            <v>12.446283162214929</v>
          </cell>
          <cell r="T12">
            <v>4.227556286708487</v>
          </cell>
          <cell r="U12">
            <v>12.399824512846028</v>
          </cell>
          <cell r="V12">
            <v>12.366583623091403</v>
          </cell>
          <cell r="W12">
            <v>-0.2680754854247151</v>
          </cell>
          <cell r="X12">
            <v>12.273725761140668</v>
          </cell>
          <cell r="Y12">
            <v>13.161475670890685</v>
          </cell>
          <cell r="Z12">
            <v>7.2329293242047576</v>
          </cell>
          <cell r="AA12">
            <v>11.819209295294637</v>
          </cell>
          <cell r="AB12">
            <v>12.637347578167383</v>
          </cell>
          <cell r="AC12">
            <v>6.9221067368563762</v>
          </cell>
          <cell r="AD12">
            <v>12.010190669659389</v>
          </cell>
          <cell r="AE12">
            <v>12.755780767281506</v>
          </cell>
          <cell r="AF12">
            <v>6.2079788583677971</v>
          </cell>
          <cell r="AG12">
            <v>12.272165111134804</v>
          </cell>
          <cell r="AH12">
            <v>12.548510058312603</v>
          </cell>
          <cell r="AI12">
            <v>2.2518027151302373</v>
          </cell>
          <cell r="AJ12">
            <v>11.259667013988334</v>
          </cell>
          <cell r="AK12">
            <v>11.829529832012057</v>
          </cell>
          <cell r="AL12">
            <v>5.0610983194774661</v>
          </cell>
          <cell r="AM12">
            <v>10.438385875957248</v>
          </cell>
          <cell r="AN12">
            <v>10.176140946062445</v>
          </cell>
          <cell r="AO12">
            <v>-2.5123130435217282</v>
          </cell>
          <cell r="AP12">
            <v>10.684210346731032</v>
          </cell>
          <cell r="AQ12">
            <v>10.252471696741001</v>
          </cell>
          <cell r="AR12">
            <v>-4.0409036885175764</v>
          </cell>
          <cell r="AS12">
            <v>10.793072847927702</v>
          </cell>
          <cell r="AT12">
            <v>10.726236110344376</v>
          </cell>
          <cell r="AU12">
            <v>-0.61925587388358205</v>
          </cell>
          <cell r="AV12">
            <v>10.806427211017445</v>
          </cell>
          <cell r="AW12">
            <v>10.153730789080308</v>
          </cell>
          <cell r="AX12">
            <v>-6.0398909759156556</v>
          </cell>
          <cell r="AY12">
            <v>10.092858336168655</v>
          </cell>
          <cell r="AZ12">
            <v>9.4020091732928268</v>
          </cell>
          <cell r="BA12">
            <v>-6.8449307407804287</v>
          </cell>
          <cell r="BB12">
            <v>9.7368242688453197</v>
          </cell>
          <cell r="BC12">
            <v>9.2199525237776783</v>
          </cell>
          <cell r="BD12">
            <v>-5.3084222411352684</v>
          </cell>
          <cell r="BE12">
            <v>10.216093191069254</v>
          </cell>
          <cell r="BF12">
            <v>9.5976795243884467</v>
          </cell>
          <cell r="BG12">
            <v>-6.0533283625624543</v>
          </cell>
          <cell r="BH12">
            <v>10.50305175440668</v>
          </cell>
          <cell r="BI12">
            <v>10.156938195814391</v>
          </cell>
          <cell r="BJ12">
            <v>-3.295361830879997</v>
          </cell>
          <cell r="BK12">
            <v>11.334260767631301</v>
          </cell>
          <cell r="BL12">
            <v>11.284736145409987</v>
          </cell>
          <cell r="BM12">
            <v>-0.43694620440309767</v>
          </cell>
        </row>
        <row r="13">
          <cell r="C13">
            <v>8</v>
          </cell>
          <cell r="D13" t="str">
            <v>S/R                          (OB/ (FC+WP)</v>
          </cell>
          <cell r="E13">
            <v>0</v>
          </cell>
          <cell r="F13">
            <v>12.31772853775019</v>
          </cell>
          <cell r="G13">
            <v>11.899285953947201</v>
          </cell>
          <cell r="H13">
            <v>-3.3970758693097207</v>
          </cell>
          <cell r="I13">
            <v>12.08724629705825</v>
          </cell>
          <cell r="J13">
            <v>11.936634777841959</v>
          </cell>
          <cell r="K13">
            <v>-1.2460366531370026</v>
          </cell>
          <cell r="L13">
            <v>12.74949405944098</v>
          </cell>
          <cell r="M13">
            <v>12.776690712373636</v>
          </cell>
          <cell r="N13">
            <v>0.21331554652960064</v>
          </cell>
          <cell r="O13">
            <v>12.385878681963883</v>
          </cell>
          <cell r="P13">
            <v>12.216153025366948</v>
          </cell>
          <cell r="Q13">
            <v>-1.3703158326916807</v>
          </cell>
          <cell r="R13">
            <v>11.783570075404068</v>
          </cell>
          <cell r="S13">
            <v>12.287035388581014</v>
          </cell>
          <cell r="T13">
            <v>4.2726042273710654</v>
          </cell>
          <cell r="U13">
            <v>12.228753279392</v>
          </cell>
          <cell r="V13">
            <v>12.232886244235893</v>
          </cell>
          <cell r="W13">
            <v>3.3797107108678427E-2</v>
          </cell>
          <cell r="X13">
            <v>12.118485359118887</v>
          </cell>
          <cell r="Y13">
            <v>12.997288472676948</v>
          </cell>
          <cell r="Z13">
            <v>7.2517570266879989</v>
          </cell>
          <cell r="AA13">
            <v>11.674818040238163</v>
          </cell>
          <cell r="AB13">
            <v>12.485516486014406</v>
          </cell>
          <cell r="AC13">
            <v>6.9439921288889304</v>
          </cell>
          <cell r="AD13">
            <v>11.85787609593431</v>
          </cell>
          <cell r="AE13">
            <v>12.597456849576449</v>
          </cell>
          <cell r="AF13">
            <v>6.2370423477077637</v>
          </cell>
          <cell r="AG13">
            <v>12.108845366183589</v>
          </cell>
          <cell r="AH13">
            <v>12.40665894314265</v>
          </cell>
          <cell r="AI13">
            <v>2.4594713034387774</v>
          </cell>
          <cell r="AJ13">
            <v>11.124665449110894</v>
          </cell>
          <cell r="AK13">
            <v>11.687610090916536</v>
          </cell>
          <cell r="AL13">
            <v>5.0603287297114452</v>
          </cell>
          <cell r="AM13">
            <v>10.313146190712786</v>
          </cell>
          <cell r="AN13">
            <v>10.061238137956678</v>
          </cell>
          <cell r="AO13">
            <v>-2.4425916989614285</v>
          </cell>
          <cell r="AP13">
            <v>10.559821181964072</v>
          </cell>
          <cell r="AQ13">
            <v>10.139946753763731</v>
          </cell>
          <cell r="AR13">
            <v>-3.9761509306376968</v>
          </cell>
          <cell r="AS13">
            <v>10.664911744313075</v>
          </cell>
          <cell r="AT13">
            <v>10.603897362819824</v>
          </cell>
          <cell r="AU13">
            <v>-0.57210395131292535</v>
          </cell>
          <cell r="AV13">
            <v>10.680534471815966</v>
          </cell>
          <cell r="AW13">
            <v>10.041771176594533</v>
          </cell>
          <cell r="AX13">
            <v>-5.9806304348065646</v>
          </cell>
          <cell r="AY13">
            <v>9.9751827651420566</v>
          </cell>
          <cell r="AZ13">
            <v>9.2977255619298269</v>
          </cell>
          <cell r="BA13">
            <v>-6.791426474706622</v>
          </cell>
          <cell r="BB13">
            <v>9.6204971287209808</v>
          </cell>
          <cell r="BC13">
            <v>9.1137909139778905</v>
          </cell>
          <cell r="BD13">
            <v>-5.2669441917962043</v>
          </cell>
          <cell r="BE13">
            <v>10.096049306871384</v>
          </cell>
          <cell r="BF13">
            <v>9.4901213520013314</v>
          </cell>
          <cell r="BG13">
            <v>-6.0016342675511432</v>
          </cell>
          <cell r="BH13">
            <v>10.378988636049836</v>
          </cell>
          <cell r="BI13">
            <v>10.042111482109503</v>
          </cell>
          <cell r="BJ13">
            <v>-3.2457608901337669</v>
          </cell>
          <cell r="BK13">
            <v>11.19240598163907</v>
          </cell>
          <cell r="BL13">
            <v>11.157164871614862</v>
          </cell>
          <cell r="BM13">
            <v>-0.314866259158397</v>
          </cell>
        </row>
        <row r="14">
          <cell r="C14">
            <v>9</v>
          </cell>
          <cell r="D14" t="str">
            <v>Hauling</v>
          </cell>
          <cell r="E14" t="str">
            <v>KTON</v>
          </cell>
          <cell r="F14">
            <v>1952.9311739350464</v>
          </cell>
          <cell r="G14">
            <v>2367.081623</v>
          </cell>
          <cell r="H14">
            <v>21.206607513487725</v>
          </cell>
          <cell r="I14">
            <v>1990.9542754547565</v>
          </cell>
          <cell r="J14">
            <v>1928.8139430461442</v>
          </cell>
          <cell r="K14">
            <v>-3.121133075465468</v>
          </cell>
          <cell r="L14">
            <v>2000.3581623526625</v>
          </cell>
          <cell r="M14">
            <v>2239.7888219538559</v>
          </cell>
          <cell r="N14">
            <v>11.969389487710243</v>
          </cell>
          <cell r="O14">
            <v>5944.243611742465</v>
          </cell>
          <cell r="P14">
            <v>6535.6843879999997</v>
          </cell>
          <cell r="Q14">
            <v>9.9498071561061536</v>
          </cell>
          <cell r="R14">
            <v>2087.4766616957786</v>
          </cell>
          <cell r="S14">
            <v>1997.1121540000004</v>
          </cell>
          <cell r="T14">
            <v>-4.3288870890834241</v>
          </cell>
          <cell r="U14">
            <v>8031.7202734382445</v>
          </cell>
          <cell r="V14">
            <v>8532.796542</v>
          </cell>
          <cell r="W14">
            <v>6.2387166323367635</v>
          </cell>
          <cell r="X14">
            <v>2191.4485348314024</v>
          </cell>
          <cell r="Y14">
            <v>2198.6999999999998</v>
          </cell>
          <cell r="Z14">
            <v>0.3308982644739723</v>
          </cell>
          <cell r="AA14">
            <v>2242.2302170405001</v>
          </cell>
          <cell r="AB14">
            <v>2289.9221545065257</v>
          </cell>
          <cell r="AC14">
            <v>2.1269866538938076</v>
          </cell>
          <cell r="AD14">
            <v>6521.1554135676806</v>
          </cell>
          <cell r="AE14">
            <v>6485.7343085065258</v>
          </cell>
          <cell r="AF14">
            <v>-0.54317222661890407</v>
          </cell>
          <cell r="AG14">
            <v>12465.399025310146</v>
          </cell>
          <cell r="AH14">
            <v>13021.418696506526</v>
          </cell>
          <cell r="AI14">
            <v>4.4605043935410311</v>
          </cell>
          <cell r="AJ14">
            <v>2272.2315802846233</v>
          </cell>
          <cell r="AK14">
            <v>2305.206093220198</v>
          </cell>
          <cell r="AL14">
            <v>1.4511950815965797</v>
          </cell>
          <cell r="AM14">
            <v>2280.6102962010118</v>
          </cell>
          <cell r="AN14">
            <v>2476.8338903009881</v>
          </cell>
          <cell r="AO14">
            <v>8.6039949230625243</v>
          </cell>
          <cell r="AP14">
            <v>2336.8136215698541</v>
          </cell>
          <cell r="AQ14">
            <v>2497.401603913353</v>
          </cell>
          <cell r="AR14">
            <v>6.8720920171467093</v>
          </cell>
          <cell r="AS14">
            <v>6889.6554980554893</v>
          </cell>
          <cell r="AT14">
            <v>7279.4415874345386</v>
          </cell>
          <cell r="AU14">
            <v>5.6575555844419378</v>
          </cell>
          <cell r="AV14">
            <v>2358.3399758791329</v>
          </cell>
          <cell r="AW14">
            <v>2507.9300511564961</v>
          </cell>
          <cell r="AX14">
            <v>6.3430241952965067</v>
          </cell>
          <cell r="AY14">
            <v>2349.0629793508469</v>
          </cell>
          <cell r="AZ14">
            <v>2498.1184078536457</v>
          </cell>
          <cell r="BA14">
            <v>6.3453142726718035</v>
          </cell>
          <cell r="BB14">
            <v>2284.5218060812863</v>
          </cell>
          <cell r="BC14">
            <v>2395.6977470307511</v>
          </cell>
          <cell r="BD14">
            <v>4.8664863103306715</v>
          </cell>
          <cell r="BE14">
            <v>6991.9247613112657</v>
          </cell>
          <cell r="BF14">
            <v>7401.7462060408925</v>
          </cell>
          <cell r="BG14">
            <v>5.8613537576564099</v>
          </cell>
          <cell r="BH14">
            <v>13881.580259366754</v>
          </cell>
          <cell r="BI14">
            <v>14681.18779347543</v>
          </cell>
          <cell r="BJ14">
            <v>5.7602053884976963</v>
          </cell>
          <cell r="BK14">
            <v>26346.979284676898</v>
          </cell>
          <cell r="BL14">
            <v>27702.606489981958</v>
          </cell>
          <cell r="BM14">
            <v>5.1452851222814644</v>
          </cell>
        </row>
        <row r="15">
          <cell r="C15">
            <v>10</v>
          </cell>
          <cell r="D15" t="str">
            <v>ROM stock</v>
          </cell>
          <cell r="E15" t="str">
            <v>KTON</v>
          </cell>
          <cell r="F15">
            <v>874.07081558951631</v>
          </cell>
          <cell r="G15">
            <v>1503.4891509419817</v>
          </cell>
          <cell r="H15">
            <v>72.009993255289601</v>
          </cell>
          <cell r="I15">
            <v>874.14820243150461</v>
          </cell>
          <cell r="J15">
            <v>1497.1248023666476</v>
          </cell>
          <cell r="K15">
            <v>71.266702625743534</v>
          </cell>
          <cell r="L15">
            <v>919.49616866000986</v>
          </cell>
          <cell r="M15">
            <v>1494.3445505761581</v>
          </cell>
          <cell r="N15">
            <v>62.517757170634006</v>
          </cell>
          <cell r="O15">
            <v>919.49616866000986</v>
          </cell>
          <cell r="P15">
            <v>1494.3445505761581</v>
          </cell>
          <cell r="Q15">
            <v>62.517757170634006</v>
          </cell>
          <cell r="R15">
            <v>930.74438126583925</v>
          </cell>
          <cell r="S15">
            <v>1492.2488671792642</v>
          </cell>
          <cell r="T15">
            <v>60.328538878715833</v>
          </cell>
          <cell r="U15">
            <v>931.14409414524869</v>
          </cell>
          <cell r="V15">
            <v>1490.0773671792642</v>
          </cell>
          <cell r="W15">
            <v>60.026506804738197</v>
          </cell>
          <cell r="X15">
            <v>979.96598307931583</v>
          </cell>
          <cell r="Y15">
            <v>1622.8646500074803</v>
          </cell>
          <cell r="Z15">
            <v>65.604181984766925</v>
          </cell>
          <cell r="AA15">
            <v>1082.8044292020406</v>
          </cell>
          <cell r="AB15">
            <v>1745.4457135990779</v>
          </cell>
          <cell r="AC15">
            <v>61.196765226141771</v>
          </cell>
          <cell r="AD15">
            <v>1082.8044292020406</v>
          </cell>
          <cell r="AE15">
            <v>1745.4457135990779</v>
          </cell>
          <cell r="AF15">
            <v>61.196765226141771</v>
          </cell>
          <cell r="AG15">
            <v>1082.8044292020406</v>
          </cell>
          <cell r="AH15">
            <v>1745.4457135990779</v>
          </cell>
          <cell r="AI15">
            <v>61.196765226141771</v>
          </cell>
          <cell r="AJ15">
            <v>1169.5403087619397</v>
          </cell>
          <cell r="AK15">
            <v>1775.4821409789261</v>
          </cell>
          <cell r="AL15">
            <v>51.810256361187626</v>
          </cell>
          <cell r="AM15">
            <v>1244.6527516066631</v>
          </cell>
          <cell r="AN15">
            <v>1693.2738709612095</v>
          </cell>
          <cell r="AO15">
            <v>36.043878003358181</v>
          </cell>
          <cell r="AP15">
            <v>1307.0235927293284</v>
          </cell>
          <cell r="AQ15">
            <v>1593.1809867157986</v>
          </cell>
          <cell r="AR15">
            <v>21.893820094625525</v>
          </cell>
          <cell r="AS15">
            <v>1307.0235927293284</v>
          </cell>
          <cell r="AT15">
            <v>1593.1809867157986</v>
          </cell>
          <cell r="AU15">
            <v>21.893820094625525</v>
          </cell>
          <cell r="AV15">
            <v>1377.394718613959</v>
          </cell>
          <cell r="AW15">
            <v>1476.1960787520984</v>
          </cell>
          <cell r="AX15">
            <v>7.1730607648591116</v>
          </cell>
          <cell r="AY15">
            <v>1375.8052310092237</v>
          </cell>
          <cell r="AZ15">
            <v>1356.2666269196066</v>
          </cell>
          <cell r="BA15">
            <v>-1.420157711952045</v>
          </cell>
          <cell r="BB15">
            <v>1323.5589987433341</v>
          </cell>
          <cell r="BC15">
            <v>1281.8005427133376</v>
          </cell>
          <cell r="BD15">
            <v>-3.1550128154199766</v>
          </cell>
          <cell r="BE15">
            <v>1323.5589987433341</v>
          </cell>
          <cell r="BF15">
            <v>1281.8005427133376</v>
          </cell>
          <cell r="BG15">
            <v>-3.1550128154199766</v>
          </cell>
          <cell r="BH15">
            <v>1323.5589987433341</v>
          </cell>
          <cell r="BI15">
            <v>1281.8005427133376</v>
          </cell>
          <cell r="BJ15">
            <v>-3.1550128154199766</v>
          </cell>
          <cell r="BK15">
            <v>1323.5589987433341</v>
          </cell>
          <cell r="BL15">
            <v>1281.8005427133376</v>
          </cell>
          <cell r="BM15">
            <v>-3.1550128154199766</v>
          </cell>
        </row>
        <row r="16">
          <cell r="C16">
            <v>11</v>
          </cell>
          <cell r="D16" t="str">
            <v>F/C stock</v>
          </cell>
          <cell r="E16" t="str">
            <v>KTON</v>
          </cell>
          <cell r="F16">
            <v>611.28482733440683</v>
          </cell>
          <cell r="G16">
            <v>771.63256450279994</v>
          </cell>
          <cell r="H16">
            <v>26.231264052080583</v>
          </cell>
          <cell r="I16">
            <v>610.37530529272885</v>
          </cell>
          <cell r="J16">
            <v>829.6057050068099</v>
          </cell>
          <cell r="K16">
            <v>35.917311498855724</v>
          </cell>
          <cell r="L16">
            <v>575.48836427381661</v>
          </cell>
          <cell r="M16">
            <v>718.42589763365345</v>
          </cell>
          <cell r="N16">
            <v>24.837606150422069</v>
          </cell>
          <cell r="O16">
            <v>575.48836427381661</v>
          </cell>
          <cell r="P16">
            <v>718.42589763365345</v>
          </cell>
          <cell r="Q16">
            <v>24.837606150422069</v>
          </cell>
          <cell r="R16">
            <v>552.81739272935818</v>
          </cell>
          <cell r="S16">
            <v>791.73059102940772</v>
          </cell>
          <cell r="T16">
            <v>43.217380900498156</v>
          </cell>
          <cell r="U16">
            <v>554.1673927293582</v>
          </cell>
          <cell r="V16">
            <v>803.44432702940776</v>
          </cell>
          <cell r="W16">
            <v>44.982244998631728</v>
          </cell>
          <cell r="X16">
            <v>615.36928629740476</v>
          </cell>
          <cell r="Y16">
            <v>830.15314138618271</v>
          </cell>
          <cell r="Z16">
            <v>34.903245883639059</v>
          </cell>
          <cell r="AA16">
            <v>646.6568977914427</v>
          </cell>
          <cell r="AB16">
            <v>1090.4989963250578</v>
          </cell>
          <cell r="AC16">
            <v>68.636412918425449</v>
          </cell>
          <cell r="AD16">
            <v>646.6568977914427</v>
          </cell>
          <cell r="AE16">
            <v>1090.4989963250578</v>
          </cell>
          <cell r="AF16">
            <v>68.636412918425449</v>
          </cell>
          <cell r="AG16">
            <v>646.6568977914427</v>
          </cell>
          <cell r="AH16">
            <v>1090.4989963250578</v>
          </cell>
          <cell r="AI16">
            <v>68.636412918425449</v>
          </cell>
          <cell r="AJ16">
            <v>659.6657505193391</v>
          </cell>
          <cell r="AK16">
            <v>1151.4925511377862</v>
          </cell>
          <cell r="AL16">
            <v>74.556970743326247</v>
          </cell>
          <cell r="AM16">
            <v>753.19139086041105</v>
          </cell>
          <cell r="AN16">
            <v>1132.8023799963064</v>
          </cell>
          <cell r="AO16">
            <v>50.400335657348037</v>
          </cell>
          <cell r="AP16">
            <v>792.87206176324628</v>
          </cell>
          <cell r="AQ16">
            <v>1218.1870167221612</v>
          </cell>
          <cell r="AR16">
            <v>53.642318284373481</v>
          </cell>
          <cell r="AS16">
            <v>792.87206176324628</v>
          </cell>
          <cell r="AT16">
            <v>1218.1870167221612</v>
          </cell>
          <cell r="AU16">
            <v>53.642318284373481</v>
          </cell>
          <cell r="AV16">
            <v>798.2620873043827</v>
          </cell>
          <cell r="AW16">
            <v>1315.9027829767497</v>
          </cell>
          <cell r="AX16">
            <v>64.845957725534205</v>
          </cell>
          <cell r="AY16">
            <v>816.56703952689952</v>
          </cell>
          <cell r="AZ16">
            <v>1399.7716100909051</v>
          </cell>
          <cell r="BA16">
            <v>71.421517442327968</v>
          </cell>
          <cell r="BB16">
            <v>944.34978593598873</v>
          </cell>
          <cell r="BC16">
            <v>1437.5940237480736</v>
          </cell>
          <cell r="BD16">
            <v>52.231095422254761</v>
          </cell>
          <cell r="BE16">
            <v>944.34978593598873</v>
          </cell>
          <cell r="BF16">
            <v>1437.5940237480736</v>
          </cell>
          <cell r="BG16">
            <v>52.231095422254761</v>
          </cell>
          <cell r="BH16">
            <v>944.34978593598873</v>
          </cell>
          <cell r="BI16">
            <v>1437.5940237480736</v>
          </cell>
          <cell r="BJ16">
            <v>52.231095422254761</v>
          </cell>
          <cell r="BK16">
            <v>944.34978593598873</v>
          </cell>
          <cell r="BL16">
            <v>1437.5940237480736</v>
          </cell>
          <cell r="BM16">
            <v>52.231095422254761</v>
          </cell>
        </row>
        <row r="17">
          <cell r="C17">
            <v>12</v>
          </cell>
          <cell r="D17" t="str">
            <v>Coal barging</v>
          </cell>
          <cell r="E17" t="str">
            <v>KTON</v>
          </cell>
          <cell r="F17">
            <v>918.3</v>
          </cell>
          <cell r="G17">
            <v>994.99796200000003</v>
          </cell>
          <cell r="H17">
            <v>8.3521683545682315</v>
          </cell>
          <cell r="I17">
            <v>898.6</v>
          </cell>
          <cell r="J17">
            <v>951.58797500000003</v>
          </cell>
          <cell r="K17">
            <v>5.8967254618295133</v>
          </cell>
          <cell r="L17">
            <v>913.5</v>
          </cell>
          <cell r="M17">
            <v>864.35708800000009</v>
          </cell>
          <cell r="N17">
            <v>-5.3796291187739369</v>
          </cell>
          <cell r="O17">
            <v>2730.4</v>
          </cell>
          <cell r="P17">
            <v>2810.943025</v>
          </cell>
          <cell r="Q17">
            <v>2.9498617418693209</v>
          </cell>
          <cell r="R17">
            <v>956.4</v>
          </cell>
          <cell r="S17">
            <v>878.97013100000004</v>
          </cell>
          <cell r="T17">
            <v>-8.0959712463404365</v>
          </cell>
          <cell r="U17">
            <v>3686.8</v>
          </cell>
          <cell r="V17">
            <v>3689.9131560000005</v>
          </cell>
          <cell r="W17">
            <v>8.4440598893358587E-2</v>
          </cell>
          <cell r="X17">
            <v>974.4</v>
          </cell>
          <cell r="Y17">
            <v>884.21937300000002</v>
          </cell>
          <cell r="Z17">
            <v>-9.2549904556650198</v>
          </cell>
          <cell r="AA17">
            <v>980.7</v>
          </cell>
          <cell r="AB17">
            <v>919</v>
          </cell>
          <cell r="AC17">
            <v>-6.2914244927092939</v>
          </cell>
          <cell r="AD17">
            <v>2911.5</v>
          </cell>
          <cell r="AE17">
            <v>2682.1895040000004</v>
          </cell>
          <cell r="AF17">
            <v>-7.8760259659968952</v>
          </cell>
          <cell r="AG17">
            <v>5641.9</v>
          </cell>
          <cell r="AH17">
            <v>5493.1325290000004</v>
          </cell>
          <cell r="AI17">
            <v>-2.6368328222761699</v>
          </cell>
          <cell r="AJ17">
            <v>995.6</v>
          </cell>
          <cell r="AK17">
            <v>973.3</v>
          </cell>
          <cell r="AL17">
            <v>-2.2398553635998462</v>
          </cell>
          <cell r="AM17">
            <v>1040.7</v>
          </cell>
          <cell r="AN17">
            <v>1129</v>
          </cell>
          <cell r="AO17">
            <v>8.4846737772652983</v>
          </cell>
          <cell r="AP17">
            <v>1065.5999999999999</v>
          </cell>
          <cell r="AQ17">
            <v>1170.5999999999999</v>
          </cell>
          <cell r="AR17">
            <v>9.8536036036036041</v>
          </cell>
          <cell r="AS17">
            <v>3101.9</v>
          </cell>
          <cell r="AT17">
            <v>3272.9</v>
          </cell>
          <cell r="AU17">
            <v>5.5127502498468681</v>
          </cell>
          <cell r="AV17">
            <v>1089.0999999999999</v>
          </cell>
          <cell r="AW17">
            <v>1182.7</v>
          </cell>
          <cell r="AX17">
            <v>8.5942521347902083</v>
          </cell>
          <cell r="AY17">
            <v>1089.0999999999999</v>
          </cell>
          <cell r="AZ17">
            <v>1161.897074</v>
          </cell>
          <cell r="BA17">
            <v>6.6841496648609011</v>
          </cell>
          <cell r="BB17">
            <v>1042.1399999999999</v>
          </cell>
          <cell r="BC17">
            <v>1066.9042251999999</v>
          </cell>
          <cell r="BD17">
            <v>2.3762858349166196</v>
          </cell>
          <cell r="BE17">
            <v>3220.34</v>
          </cell>
          <cell r="BF17">
            <v>3411.5012992000002</v>
          </cell>
          <cell r="BG17">
            <v>5.9360595216654151</v>
          </cell>
          <cell r="BH17">
            <v>6322.24</v>
          </cell>
          <cell r="BI17">
            <v>6684.4012992000007</v>
          </cell>
          <cell r="BJ17">
            <v>5.7283699954446679</v>
          </cell>
          <cell r="BK17">
            <v>11964.14</v>
          </cell>
          <cell r="BL17">
            <v>12177.533828199999</v>
          </cell>
          <cell r="BM17">
            <v>1.7836119286467722</v>
          </cell>
        </row>
        <row r="18">
          <cell r="C18">
            <v>13</v>
          </cell>
          <cell r="D18" t="str">
            <v>Coal sales</v>
          </cell>
          <cell r="E18" t="str">
            <v>KTON</v>
          </cell>
          <cell r="F18">
            <v>2460.4999999999995</v>
          </cell>
          <cell r="G18">
            <v>2331.6355749999998</v>
          </cell>
          <cell r="H18">
            <v>-5.2373267628530691</v>
          </cell>
          <cell r="I18">
            <v>2346.5</v>
          </cell>
          <cell r="J18">
            <v>2220.390993</v>
          </cell>
          <cell r="K18">
            <v>-5.3743450671212454</v>
          </cell>
          <cell r="L18">
            <v>2260</v>
          </cell>
          <cell r="M18">
            <v>2564.3588089999998</v>
          </cell>
          <cell r="N18">
            <v>13.467203938053091</v>
          </cell>
          <cell r="O18">
            <v>7067</v>
          </cell>
          <cell r="P18">
            <v>7116.3853769999987</v>
          </cell>
          <cell r="Q18">
            <v>0.69881671147585533</v>
          </cell>
          <cell r="R18">
            <v>2448.9999999999995</v>
          </cell>
          <cell r="S18">
            <v>2067.1137269999999</v>
          </cell>
          <cell r="T18">
            <v>-15.593559534503868</v>
          </cell>
          <cell r="U18">
            <v>9515.9999999999982</v>
          </cell>
          <cell r="V18">
            <v>9183.4991040000004</v>
          </cell>
          <cell r="W18">
            <v>-3.4941245901639113</v>
          </cell>
          <cell r="X18">
            <v>2279</v>
          </cell>
          <cell r="Y18">
            <v>2506.0507529999995</v>
          </cell>
          <cell r="Z18">
            <v>9.9627359806932656</v>
          </cell>
          <cell r="AA18">
            <v>2368</v>
          </cell>
          <cell r="AB18">
            <v>2230.3000000000002</v>
          </cell>
          <cell r="AC18">
            <v>-5.8150337837837762</v>
          </cell>
          <cell r="AD18">
            <v>7096</v>
          </cell>
          <cell r="AE18">
            <v>6803.4644799999996</v>
          </cell>
          <cell r="AF18">
            <v>-4.1225411499436353</v>
          </cell>
          <cell r="AG18">
            <v>14163</v>
          </cell>
          <cell r="AH18">
            <v>13919.849856999997</v>
          </cell>
          <cell r="AI18">
            <v>-1.7167982983831291</v>
          </cell>
          <cell r="AJ18">
            <v>2448</v>
          </cell>
          <cell r="AK18">
            <v>2440.6999999999998</v>
          </cell>
          <cell r="AL18">
            <v>-0.2982026143790924</v>
          </cell>
          <cell r="AM18">
            <v>2346.5</v>
          </cell>
          <cell r="AN18">
            <v>2576.7999999999997</v>
          </cell>
          <cell r="AO18">
            <v>9.8146175154485285</v>
          </cell>
          <cell r="AP18">
            <v>2435</v>
          </cell>
          <cell r="AQ18">
            <v>2549.2999999999997</v>
          </cell>
          <cell r="AR18">
            <v>4.694045174537977</v>
          </cell>
          <cell r="AS18">
            <v>7229.5</v>
          </cell>
          <cell r="AT18">
            <v>7566.8000000000011</v>
          </cell>
          <cell r="AU18">
            <v>4.6656061968324378</v>
          </cell>
          <cell r="AV18">
            <v>2468.5</v>
          </cell>
          <cell r="AW18">
            <v>2519.7999999999997</v>
          </cell>
          <cell r="AX18">
            <v>2.0781851326716518</v>
          </cell>
          <cell r="AY18">
            <v>2427.5</v>
          </cell>
          <cell r="AZ18">
            <v>2519.2999999999997</v>
          </cell>
          <cell r="BA18">
            <v>3.7816683831101843</v>
          </cell>
          <cell r="BB18">
            <v>2211.5</v>
          </cell>
          <cell r="BC18">
            <v>2477.8000000000002</v>
          </cell>
          <cell r="BD18">
            <v>12.041600723490852</v>
          </cell>
          <cell r="BE18">
            <v>7107.4999999999991</v>
          </cell>
          <cell r="BF18">
            <v>7516.9</v>
          </cell>
          <cell r="BG18">
            <v>5.7601125571579406</v>
          </cell>
          <cell r="BH18">
            <v>14337</v>
          </cell>
          <cell r="BI18">
            <v>15083.7</v>
          </cell>
          <cell r="BJ18">
            <v>5.208202552835326</v>
          </cell>
          <cell r="BK18">
            <v>28500.000000000004</v>
          </cell>
          <cell r="BL18">
            <v>29003.549857000002</v>
          </cell>
          <cell r="BM18">
            <v>1.7668416035087651</v>
          </cell>
        </row>
        <row r="19">
          <cell r="C19">
            <v>14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J19">
            <v>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S19">
            <v>0</v>
          </cell>
          <cell r="U19">
            <v>0</v>
          </cell>
          <cell r="V19">
            <v>0</v>
          </cell>
          <cell r="W19">
            <v>0</v>
          </cell>
          <cell r="Y19">
            <v>0</v>
          </cell>
          <cell r="AB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N19">
            <v>0</v>
          </cell>
          <cell r="AQ19">
            <v>0</v>
          </cell>
          <cell r="AS19">
            <v>0</v>
          </cell>
          <cell r="AT19">
            <v>0</v>
          </cell>
          <cell r="AU19">
            <v>0</v>
          </cell>
          <cell r="AW19">
            <v>0</v>
          </cell>
          <cell r="AZ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</row>
        <row r="20">
          <cell r="C20">
            <v>15</v>
          </cell>
          <cell r="D20">
            <v>0</v>
          </cell>
          <cell r="E20">
            <v>0</v>
          </cell>
          <cell r="F20" t="str">
            <v>JANUARY</v>
          </cell>
          <cell r="G20">
            <v>0</v>
          </cell>
          <cell r="H20">
            <v>0</v>
          </cell>
          <cell r="I20" t="str">
            <v>FEBRUARY</v>
          </cell>
          <cell r="J20">
            <v>0</v>
          </cell>
          <cell r="K20">
            <v>0</v>
          </cell>
          <cell r="L20" t="str">
            <v>MARCH</v>
          </cell>
          <cell r="M20">
            <v>0</v>
          </cell>
          <cell r="N20">
            <v>0</v>
          </cell>
          <cell r="O20" t="str">
            <v>Q1</v>
          </cell>
          <cell r="P20">
            <v>0</v>
          </cell>
          <cell r="Q20">
            <v>0</v>
          </cell>
          <cell r="R20" t="str">
            <v>APRIL</v>
          </cell>
          <cell r="S20">
            <v>0</v>
          </cell>
          <cell r="T20">
            <v>0</v>
          </cell>
          <cell r="U20" t="str">
            <v>JANUARY - APRIL</v>
          </cell>
          <cell r="V20">
            <v>0</v>
          </cell>
          <cell r="W20">
            <v>0</v>
          </cell>
          <cell r="X20" t="str">
            <v>MAY</v>
          </cell>
          <cell r="Y20">
            <v>0</v>
          </cell>
          <cell r="Z20">
            <v>0</v>
          </cell>
          <cell r="AA20" t="str">
            <v>JUNE</v>
          </cell>
          <cell r="AB20">
            <v>0</v>
          </cell>
          <cell r="AC20">
            <v>0</v>
          </cell>
          <cell r="AD20" t="str">
            <v>Q2</v>
          </cell>
          <cell r="AE20">
            <v>0</v>
          </cell>
          <cell r="AF20">
            <v>0</v>
          </cell>
          <cell r="AG20" t="str">
            <v>1st HALF</v>
          </cell>
          <cell r="AH20">
            <v>0</v>
          </cell>
          <cell r="AI20">
            <v>0</v>
          </cell>
          <cell r="AJ20" t="str">
            <v>JULY</v>
          </cell>
          <cell r="AK20">
            <v>0</v>
          </cell>
          <cell r="AL20">
            <v>0</v>
          </cell>
          <cell r="AM20" t="str">
            <v>AUGUST</v>
          </cell>
          <cell r="AN20">
            <v>0</v>
          </cell>
          <cell r="AO20">
            <v>0</v>
          </cell>
          <cell r="AP20" t="str">
            <v>SEPTEMBER</v>
          </cell>
          <cell r="AQ20">
            <v>0</v>
          </cell>
          <cell r="AR20">
            <v>0</v>
          </cell>
          <cell r="AS20" t="str">
            <v>Q3</v>
          </cell>
          <cell r="AT20">
            <v>0</v>
          </cell>
          <cell r="AU20">
            <v>0</v>
          </cell>
          <cell r="AV20" t="str">
            <v>OCTOBER</v>
          </cell>
          <cell r="AW20">
            <v>0</v>
          </cell>
          <cell r="AX20">
            <v>0</v>
          </cell>
          <cell r="AY20" t="str">
            <v>NOVEMBER</v>
          </cell>
          <cell r="AZ20">
            <v>0</v>
          </cell>
          <cell r="BA20">
            <v>0</v>
          </cell>
          <cell r="BB20" t="str">
            <v>DECEMBER</v>
          </cell>
          <cell r="BC20">
            <v>0</v>
          </cell>
          <cell r="BD20">
            <v>0</v>
          </cell>
          <cell r="BE20" t="str">
            <v>Q4</v>
          </cell>
          <cell r="BF20">
            <v>0</v>
          </cell>
          <cell r="BG20">
            <v>0</v>
          </cell>
          <cell r="BH20" t="str">
            <v>2nd HALF</v>
          </cell>
          <cell r="BI20">
            <v>0</v>
          </cell>
          <cell r="BJ20">
            <v>0</v>
          </cell>
          <cell r="BK20" t="str">
            <v>TOTAL 2012</v>
          </cell>
          <cell r="BL20">
            <v>0</v>
          </cell>
          <cell r="BM20">
            <v>0</v>
          </cell>
        </row>
        <row r="21">
          <cell r="C21">
            <v>16</v>
          </cell>
          <cell r="D21">
            <v>0</v>
          </cell>
          <cell r="E21">
            <v>0</v>
          </cell>
          <cell r="F21" t="str">
            <v>Plan</v>
          </cell>
          <cell r="G21" t="str">
            <v>Actual</v>
          </cell>
          <cell r="H21" t="str">
            <v>% var</v>
          </cell>
          <cell r="I21" t="str">
            <v>Plan</v>
          </cell>
          <cell r="J21" t="str">
            <v>Actual</v>
          </cell>
          <cell r="K21" t="str">
            <v>% var</v>
          </cell>
          <cell r="L21" t="str">
            <v>Plan</v>
          </cell>
          <cell r="M21" t="str">
            <v>Actual</v>
          </cell>
          <cell r="N21" t="str">
            <v>% var</v>
          </cell>
          <cell r="O21" t="str">
            <v>Plan</v>
          </cell>
          <cell r="P21" t="str">
            <v>Actual</v>
          </cell>
          <cell r="Q21" t="str">
            <v>% var</v>
          </cell>
          <cell r="R21" t="str">
            <v>Plan</v>
          </cell>
          <cell r="S21" t="str">
            <v>Est</v>
          </cell>
          <cell r="T21" t="str">
            <v>% var</v>
          </cell>
          <cell r="U21" t="str">
            <v>Plan</v>
          </cell>
          <cell r="V21" t="str">
            <v>Est.</v>
          </cell>
          <cell r="W21" t="str">
            <v>% var</v>
          </cell>
          <cell r="X21" t="str">
            <v>Plan</v>
          </cell>
          <cell r="Y21" t="str">
            <v>Est</v>
          </cell>
          <cell r="Z21" t="str">
            <v>% var</v>
          </cell>
          <cell r="AA21" t="str">
            <v>Plan</v>
          </cell>
          <cell r="AB21" t="str">
            <v>Est</v>
          </cell>
          <cell r="AC21" t="str">
            <v>% var</v>
          </cell>
          <cell r="AD21" t="str">
            <v>Plan</v>
          </cell>
          <cell r="AE21" t="str">
            <v>Est.</v>
          </cell>
          <cell r="AF21" t="str">
            <v>% var</v>
          </cell>
          <cell r="AG21" t="str">
            <v>Plan</v>
          </cell>
          <cell r="AH21" t="str">
            <v>Est</v>
          </cell>
          <cell r="AI21" t="str">
            <v>% var</v>
          </cell>
          <cell r="AJ21" t="str">
            <v>Plan</v>
          </cell>
          <cell r="AK21" t="str">
            <v>Est</v>
          </cell>
          <cell r="AL21" t="str">
            <v>% var</v>
          </cell>
          <cell r="AM21" t="str">
            <v>Plan</v>
          </cell>
          <cell r="AN21" t="str">
            <v>Est</v>
          </cell>
          <cell r="AO21" t="str">
            <v>% var</v>
          </cell>
          <cell r="AP21" t="str">
            <v>Plan</v>
          </cell>
          <cell r="AQ21" t="str">
            <v>Est</v>
          </cell>
          <cell r="AR21" t="str">
            <v>% var</v>
          </cell>
          <cell r="AS21" t="str">
            <v>Plan</v>
          </cell>
          <cell r="AT21" t="str">
            <v>Est.</v>
          </cell>
          <cell r="AU21" t="str">
            <v>% var</v>
          </cell>
          <cell r="AV21" t="str">
            <v>Plan</v>
          </cell>
          <cell r="AW21" t="str">
            <v>Est</v>
          </cell>
          <cell r="AX21" t="str">
            <v>% var</v>
          </cell>
          <cell r="AY21" t="str">
            <v>Plan</v>
          </cell>
          <cell r="AZ21" t="str">
            <v>Est</v>
          </cell>
          <cell r="BA21" t="str">
            <v>% var</v>
          </cell>
          <cell r="BB21" t="str">
            <v>Plan</v>
          </cell>
          <cell r="BC21" t="str">
            <v>Est</v>
          </cell>
          <cell r="BD21" t="str">
            <v>% var</v>
          </cell>
          <cell r="BE21" t="str">
            <v>Plan</v>
          </cell>
          <cell r="BF21" t="str">
            <v>Est.</v>
          </cell>
          <cell r="BG21" t="str">
            <v>% var</v>
          </cell>
          <cell r="BH21" t="str">
            <v>Plan</v>
          </cell>
          <cell r="BI21" t="str">
            <v>Est.</v>
          </cell>
          <cell r="BJ21" t="str">
            <v>% var</v>
          </cell>
          <cell r="BK21" t="str">
            <v>Plan</v>
          </cell>
          <cell r="BL21" t="str">
            <v>Est</v>
          </cell>
          <cell r="BM21" t="str">
            <v>% var</v>
          </cell>
        </row>
        <row r="22">
          <cell r="C22">
            <v>17</v>
          </cell>
          <cell r="D22" t="str">
            <v>OB Removal</v>
          </cell>
          <cell r="E22" t="str">
            <v>KBCM</v>
          </cell>
          <cell r="F22">
            <v>13617.909616489913</v>
          </cell>
          <cell r="G22">
            <v>14934.118472938797</v>
          </cell>
          <cell r="H22">
            <v>9.6652782513337296</v>
          </cell>
          <cell r="I22">
            <v>13603.170099124494</v>
          </cell>
          <cell r="J22">
            <v>13672.606725000001</v>
          </cell>
          <cell r="K22">
            <v>0.51044444324030125</v>
          </cell>
          <cell r="L22">
            <v>14040.104665009991</v>
          </cell>
          <cell r="M22">
            <v>17638.252049000002</v>
          </cell>
          <cell r="N22">
            <v>25.627639322070905</v>
          </cell>
          <cell r="O22">
            <v>41261.1843806244</v>
          </cell>
          <cell r="P22">
            <v>46244.977246938797</v>
          </cell>
          <cell r="Q22">
            <v>12.078647138046545</v>
          </cell>
          <cell r="R22">
            <v>13687.962071264523</v>
          </cell>
          <cell r="S22">
            <v>13885.094736000001</v>
          </cell>
          <cell r="T22">
            <v>1.4401900276252486</v>
          </cell>
          <cell r="U22">
            <v>54949.146451888926</v>
          </cell>
          <cell r="V22">
            <v>60130.071982938796</v>
          </cell>
          <cell r="W22">
            <v>9.428582363123807</v>
          </cell>
          <cell r="X22">
            <v>14520.869088360696</v>
          </cell>
          <cell r="Y22">
            <v>16897.903686669601</v>
          </cell>
          <cell r="Z22">
            <v>16.369781890081452</v>
          </cell>
          <cell r="AA22">
            <v>14194.782165827917</v>
          </cell>
          <cell r="AB22">
            <v>15819.844474144256</v>
          </cell>
          <cell r="AC22">
            <v>11.44830747898664</v>
          </cell>
          <cell r="AD22">
            <v>42403.613325453131</v>
          </cell>
          <cell r="AE22">
            <v>46602.842896813861</v>
          </cell>
          <cell r="AF22">
            <v>9.9029993956673206</v>
          </cell>
          <cell r="AG22">
            <v>83664.79770607753</v>
          </cell>
          <cell r="AH22">
            <v>92847.820143752659</v>
          </cell>
          <cell r="AI22">
            <v>10.975969212207945</v>
          </cell>
          <cell r="AJ22">
            <v>13760.150025638421</v>
          </cell>
          <cell r="AK22">
            <v>14185.729200480586</v>
          </cell>
          <cell r="AL22">
            <v>3.0928381888948184</v>
          </cell>
          <cell r="AM22">
            <v>12587.895114448998</v>
          </cell>
          <cell r="AN22">
            <v>12564.207441407136</v>
          </cell>
          <cell r="AO22">
            <v>-0.18817818885917406</v>
          </cell>
          <cell r="AP22">
            <v>13092.641441834403</v>
          </cell>
          <cell r="AQ22">
            <v>12749.822025296689</v>
          </cell>
          <cell r="AR22">
            <v>-2.618412931116529</v>
          </cell>
          <cell r="AS22">
            <v>39440.686581921822</v>
          </cell>
          <cell r="AT22">
            <v>39499.758667184411</v>
          </cell>
          <cell r="AU22">
            <v>0.14977448513704525</v>
          </cell>
          <cell r="AV22">
            <v>13360.016528809092</v>
          </cell>
          <cell r="AW22">
            <v>12675.270496788968</v>
          </cell>
          <cell r="AX22">
            <v>-5.1253382100505718</v>
          </cell>
          <cell r="AY22">
            <v>12506.420815975598</v>
          </cell>
          <cell r="AZ22">
            <v>11486.225285593</v>
          </cell>
          <cell r="BA22">
            <v>-8.1573740832341795</v>
          </cell>
          <cell r="BB22">
            <v>12057.487422108934</v>
          </cell>
          <cell r="BC22">
            <v>11056.125832463968</v>
          </cell>
          <cell r="BD22">
            <v>-8.3048943331994938</v>
          </cell>
          <cell r="BE22">
            <v>37923.924766893622</v>
          </cell>
          <cell r="BF22">
            <v>35217.621614845935</v>
          </cell>
          <cell r="BG22">
            <v>-7.1361368019857565</v>
          </cell>
          <cell r="BH22">
            <v>77364.611348815437</v>
          </cell>
          <cell r="BI22">
            <v>74717.380282030354</v>
          </cell>
          <cell r="BJ22">
            <v>-3.4217596658625449</v>
          </cell>
          <cell r="BK22">
            <v>161029.40905489298</v>
          </cell>
          <cell r="BL22">
            <v>167565.200425783</v>
          </cell>
          <cell r="BM22">
            <v>4.0587563534199171</v>
          </cell>
        </row>
        <row r="23">
          <cell r="C23">
            <v>18</v>
          </cell>
          <cell r="D23" t="str">
            <v>ROM Production</v>
          </cell>
          <cell r="E23" t="str">
            <v>KTON</v>
          </cell>
          <cell r="F23">
            <v>1048.0291990745116</v>
          </cell>
          <cell r="G23">
            <v>1214.8542109999999</v>
          </cell>
          <cell r="H23">
            <v>15.917973666459609</v>
          </cell>
          <cell r="I23">
            <v>1049.3161481548627</v>
          </cell>
          <cell r="J23">
            <v>1139.3777410184016</v>
          </cell>
          <cell r="K23">
            <v>8.582884483566259</v>
          </cell>
          <cell r="L23">
            <v>1049.9101871525709</v>
          </cell>
          <cell r="M23">
            <v>1317.2793240000001</v>
          </cell>
          <cell r="N23">
            <v>25.465905571652069</v>
          </cell>
          <cell r="O23">
            <v>3147.2555343819449</v>
          </cell>
          <cell r="P23">
            <v>3671.5112760184015</v>
          </cell>
          <cell r="Q23">
            <v>16.657552458301083</v>
          </cell>
          <cell r="R23">
            <v>1107.7312854083445</v>
          </cell>
          <cell r="S23">
            <v>996.02311364663888</v>
          </cell>
          <cell r="T23">
            <v>-10.08441065384612</v>
          </cell>
          <cell r="U23">
            <v>4254.9868197902897</v>
          </cell>
          <cell r="V23">
            <v>4667.5343896650402</v>
          </cell>
          <cell r="W23">
            <v>9.6956250946761617</v>
          </cell>
          <cell r="X23">
            <v>1172.822480642458</v>
          </cell>
          <cell r="Y23">
            <v>1260.5254210106912</v>
          </cell>
          <cell r="Z23">
            <v>7.477938205975601</v>
          </cell>
          <cell r="AA23">
            <v>1236.1599778649147</v>
          </cell>
          <cell r="AB23">
            <v>1276</v>
          </cell>
          <cell r="AC23">
            <v>3.2228856174341325</v>
          </cell>
          <cell r="AD23">
            <v>3516.7137439157173</v>
          </cell>
          <cell r="AE23">
            <v>3532.54853465733</v>
          </cell>
          <cell r="AF23">
            <v>0.45027238196479946</v>
          </cell>
          <cell r="AG23">
            <v>6663.9692782976617</v>
          </cell>
          <cell r="AH23">
            <v>7204.0598106757316</v>
          </cell>
          <cell r="AI23">
            <v>8.1046371887842525</v>
          </cell>
          <cell r="AJ23">
            <v>1274.363086577848</v>
          </cell>
          <cell r="AK23">
            <v>1281</v>
          </cell>
          <cell r="AL23">
            <v>0.5208023907828867</v>
          </cell>
          <cell r="AM23">
            <v>1251.5374813164112</v>
          </cell>
          <cell r="AN23">
            <v>1281</v>
          </cell>
          <cell r="AO23">
            <v>2.3541059795188115</v>
          </cell>
          <cell r="AP23">
            <v>1262.5610462631357</v>
          </cell>
          <cell r="AQ23">
            <v>1270</v>
          </cell>
          <cell r="AR23">
            <v>0.58919556871184298</v>
          </cell>
          <cell r="AS23">
            <v>3788.4616141573952</v>
          </cell>
          <cell r="AT23">
            <v>3832</v>
          </cell>
          <cell r="AU23">
            <v>1.1492365576545074</v>
          </cell>
          <cell r="AV23">
            <v>1270.9784991225551</v>
          </cell>
          <cell r="AW23">
            <v>1265</v>
          </cell>
          <cell r="AX23">
            <v>-0.47038554363291929</v>
          </cell>
          <cell r="AY23">
            <v>1279.5670819918757</v>
          </cell>
          <cell r="AZ23">
            <v>1265</v>
          </cell>
          <cell r="BA23">
            <v>-1.1384383200292603</v>
          </cell>
          <cell r="BB23">
            <v>1247.4154482293147</v>
          </cell>
          <cell r="BC23">
            <v>1265</v>
          </cell>
          <cell r="BD23">
            <v>1.4096788520333174</v>
          </cell>
          <cell r="BE23">
            <v>3797.9610293437458</v>
          </cell>
          <cell r="BF23">
            <v>3795</v>
          </cell>
          <cell r="BG23">
            <v>-7.7963657890862806E-2</v>
          </cell>
          <cell r="BH23">
            <v>7586.4226435011406</v>
          </cell>
          <cell r="BI23">
            <v>7627</v>
          </cell>
          <cell r="BJ23">
            <v>0.53486812435397035</v>
          </cell>
          <cell r="BK23">
            <v>14250.391921798802</v>
          </cell>
          <cell r="BL23">
            <v>14831.059810675732</v>
          </cell>
          <cell r="BM23">
            <v>4.0747503090682198</v>
          </cell>
        </row>
        <row r="24">
          <cell r="C24">
            <v>19</v>
          </cell>
          <cell r="D24" t="str">
            <v>F/C Production</v>
          </cell>
          <cell r="E24" t="str">
            <v>KTON</v>
          </cell>
          <cell r="F24">
            <v>1029.7838139195342</v>
          </cell>
          <cell r="G24">
            <v>1142.04937</v>
          </cell>
          <cell r="H24">
            <v>10.901856735654427</v>
          </cell>
          <cell r="I24">
            <v>1037.9803146249888</v>
          </cell>
          <cell r="J24">
            <v>1059.361856</v>
          </cell>
          <cell r="K24">
            <v>2.0599178109400045</v>
          </cell>
          <cell r="L24">
            <v>1038.5595026477542</v>
          </cell>
          <cell r="M24">
            <v>1256.7959000000001</v>
          </cell>
          <cell r="N24">
            <v>21.013374466832506</v>
          </cell>
          <cell r="O24">
            <v>3106.3236311922774</v>
          </cell>
          <cell r="P24">
            <v>3458.2071260000002</v>
          </cell>
          <cell r="Q24">
            <v>11.327972760927747</v>
          </cell>
          <cell r="R24">
            <v>1106.8651842172085</v>
          </cell>
          <cell r="S24">
            <v>1133.914079646639</v>
          </cell>
          <cell r="T24">
            <v>2.4437389318157967</v>
          </cell>
          <cell r="U24">
            <v>4213.1888154094859</v>
          </cell>
          <cell r="V24">
            <v>4592.1212056466393</v>
          </cell>
          <cell r="W24">
            <v>8.9939569964495973</v>
          </cell>
          <cell r="X24">
            <v>1165.4721444182883</v>
          </cell>
          <cell r="Y24">
            <v>1210</v>
          </cell>
          <cell r="Z24">
            <v>3.8205851418213443</v>
          </cell>
          <cell r="AA24">
            <v>1230.2221545065261</v>
          </cell>
          <cell r="AB24">
            <v>1262.2221545065258</v>
          </cell>
          <cell r="AC24">
            <v>2.6011562125407992</v>
          </cell>
          <cell r="AD24">
            <v>3502.5594831420231</v>
          </cell>
          <cell r="AE24">
            <v>3606.1362341531649</v>
          </cell>
          <cell r="AF24">
            <v>2.9571732188892552</v>
          </cell>
          <cell r="AG24">
            <v>6608.8831143343004</v>
          </cell>
          <cell r="AH24">
            <v>7064.3433601531651</v>
          </cell>
          <cell r="AI24">
            <v>6.8916371789205453</v>
          </cell>
          <cell r="AJ24">
            <v>1254.7060932201971</v>
          </cell>
          <cell r="AK24">
            <v>1262.206093220198</v>
          </cell>
          <cell r="AL24">
            <v>0.59774954792418322</v>
          </cell>
          <cell r="AM24">
            <v>1223.2338903009882</v>
          </cell>
          <cell r="AN24">
            <v>1258.2338903009882</v>
          </cell>
          <cell r="AO24">
            <v>2.8612680107634954</v>
          </cell>
          <cell r="AP24">
            <v>1243.1016039133528</v>
          </cell>
          <cell r="AQ24">
            <v>1258.8016039133531</v>
          </cell>
          <cell r="AR24">
            <v>1.2629699736993178</v>
          </cell>
          <cell r="AS24">
            <v>3721.0415874345381</v>
          </cell>
          <cell r="AT24">
            <v>3779.2415874345393</v>
          </cell>
          <cell r="AU24">
            <v>1.5640781924215745</v>
          </cell>
          <cell r="AV24">
            <v>1234.1300511564962</v>
          </cell>
          <cell r="AW24">
            <v>1259.2300511564961</v>
          </cell>
          <cell r="AX24">
            <v>2.0338213121444406</v>
          </cell>
          <cell r="AY24">
            <v>1246.0184078536461</v>
          </cell>
          <cell r="AZ24">
            <v>1259.5184078536458</v>
          </cell>
          <cell r="BA24">
            <v>1.08345108827521</v>
          </cell>
          <cell r="BB24">
            <v>1261.8977470307516</v>
          </cell>
          <cell r="BC24">
            <v>1258.5977470307512</v>
          </cell>
          <cell r="BD24">
            <v>-0.26151088769001429</v>
          </cell>
          <cell r="BE24">
            <v>3742.0462060408936</v>
          </cell>
          <cell r="BF24">
            <v>3777.3462060408933</v>
          </cell>
          <cell r="BG24">
            <v>0.94333415613665905</v>
          </cell>
          <cell r="BH24">
            <v>7463.0877934754317</v>
          </cell>
          <cell r="BI24">
            <v>7556.5877934754326</v>
          </cell>
          <cell r="BJ24">
            <v>1.2528326422977742</v>
          </cell>
          <cell r="BK24">
            <v>14071.970907809729</v>
          </cell>
          <cell r="BL24">
            <v>14620.931153628597</v>
          </cell>
          <cell r="BM24">
            <v>3.9010899710871549</v>
          </cell>
        </row>
        <row r="25">
          <cell r="C25">
            <v>20</v>
          </cell>
          <cell r="D25" t="str">
            <v>Washplant</v>
          </cell>
          <cell r="E25" t="str">
            <v>KTON</v>
          </cell>
          <cell r="F25">
            <v>25</v>
          </cell>
          <cell r="G25">
            <v>16.863253</v>
          </cell>
          <cell r="H25">
            <v>-32.546987999999999</v>
          </cell>
          <cell r="I25">
            <v>25</v>
          </cell>
          <cell r="J25">
            <v>16.840149999999998</v>
          </cell>
          <cell r="K25">
            <v>-32.639400000000009</v>
          </cell>
          <cell r="L25">
            <v>25</v>
          </cell>
          <cell r="M25">
            <v>17.288076</v>
          </cell>
          <cell r="N25">
            <v>-30.847695999999996</v>
          </cell>
          <cell r="O25">
            <v>75</v>
          </cell>
          <cell r="P25">
            <v>50.991478999999998</v>
          </cell>
          <cell r="Q25">
            <v>-32.01136133333334</v>
          </cell>
          <cell r="R25">
            <v>25</v>
          </cell>
          <cell r="S25">
            <v>23.238362000000002</v>
          </cell>
          <cell r="T25">
            <v>-7.0465519999999904</v>
          </cell>
          <cell r="U25">
            <v>100</v>
          </cell>
          <cell r="V25">
            <v>74.229840999999993</v>
          </cell>
          <cell r="W25">
            <v>-25.77015900000001</v>
          </cell>
          <cell r="X25">
            <v>25</v>
          </cell>
          <cell r="Y25">
            <v>25</v>
          </cell>
          <cell r="Z25">
            <v>0</v>
          </cell>
          <cell r="AA25">
            <v>25</v>
          </cell>
          <cell r="AB25">
            <v>25</v>
          </cell>
          <cell r="AC25">
            <v>0</v>
          </cell>
          <cell r="AD25">
            <v>75</v>
          </cell>
          <cell r="AE25">
            <v>73.238361999999995</v>
          </cell>
          <cell r="AF25">
            <v>-2.3488506666666731</v>
          </cell>
          <cell r="AG25">
            <v>150</v>
          </cell>
          <cell r="AH25">
            <v>124.22984099999999</v>
          </cell>
          <cell r="AI25">
            <v>-17.180106000000002</v>
          </cell>
          <cell r="AJ25">
            <v>25</v>
          </cell>
          <cell r="AK25">
            <v>25</v>
          </cell>
          <cell r="AL25">
            <v>0</v>
          </cell>
          <cell r="AM25">
            <v>25</v>
          </cell>
          <cell r="AN25">
            <v>25</v>
          </cell>
          <cell r="AO25">
            <v>0</v>
          </cell>
          <cell r="AP25">
            <v>25</v>
          </cell>
          <cell r="AQ25">
            <v>25</v>
          </cell>
          <cell r="AR25">
            <v>0</v>
          </cell>
          <cell r="AS25">
            <v>75</v>
          </cell>
          <cell r="AT25">
            <v>75</v>
          </cell>
          <cell r="AU25">
            <v>0</v>
          </cell>
          <cell r="AV25">
            <v>25</v>
          </cell>
          <cell r="AW25">
            <v>25</v>
          </cell>
          <cell r="AX25">
            <v>0</v>
          </cell>
          <cell r="AY25">
            <v>25</v>
          </cell>
          <cell r="AZ25">
            <v>25</v>
          </cell>
          <cell r="BA25">
            <v>0</v>
          </cell>
          <cell r="BB25">
            <v>25</v>
          </cell>
          <cell r="BC25">
            <v>25</v>
          </cell>
          <cell r="BD25">
            <v>0</v>
          </cell>
          <cell r="BE25">
            <v>75</v>
          </cell>
          <cell r="BF25">
            <v>75</v>
          </cell>
          <cell r="BG25">
            <v>0</v>
          </cell>
          <cell r="BH25">
            <v>150</v>
          </cell>
          <cell r="BI25">
            <v>150</v>
          </cell>
          <cell r="BJ25">
            <v>0</v>
          </cell>
          <cell r="BK25">
            <v>300</v>
          </cell>
          <cell r="BL25">
            <v>274.22984099999996</v>
          </cell>
          <cell r="BM25">
            <v>-8.5900530000000117</v>
          </cell>
        </row>
        <row r="26">
          <cell r="C26">
            <v>21</v>
          </cell>
          <cell r="D26" t="str">
            <v>Total FC + WP</v>
          </cell>
          <cell r="E26" t="str">
            <v>KTON</v>
          </cell>
          <cell r="F26">
            <v>1054.7838139195342</v>
          </cell>
          <cell r="G26">
            <v>1158.9126229999999</v>
          </cell>
          <cell r="H26">
            <v>9.8720522353796198</v>
          </cell>
          <cell r="I26">
            <v>1062.9803146249888</v>
          </cell>
          <cell r="J26">
            <v>1076.202006</v>
          </cell>
          <cell r="K26">
            <v>1.2438321945478119</v>
          </cell>
          <cell r="L26">
            <v>1063.5595026477542</v>
          </cell>
          <cell r="M26">
            <v>1274.0839760000001</v>
          </cell>
          <cell r="N26">
            <v>19.794329591164448</v>
          </cell>
          <cell r="O26">
            <v>3181.3236311922774</v>
          </cell>
          <cell r="P26">
            <v>3509.1986049999996</v>
          </cell>
          <cell r="Q26">
            <v>10.306243935479245</v>
          </cell>
          <cell r="R26">
            <v>1131.8651842172085</v>
          </cell>
          <cell r="S26">
            <v>1157.1524416466391</v>
          </cell>
          <cell r="T26">
            <v>2.2341227367037653</v>
          </cell>
          <cell r="U26">
            <v>4313.1888154094859</v>
          </cell>
          <cell r="V26">
            <v>4666.3510466466387</v>
          </cell>
          <cell r="W26">
            <v>8.187961305459897</v>
          </cell>
          <cell r="X26">
            <v>1190.4721444182883</v>
          </cell>
          <cell r="Y26">
            <v>1235</v>
          </cell>
          <cell r="Z26">
            <v>3.7403525811576035</v>
          </cell>
          <cell r="AA26">
            <v>1255.2221545065261</v>
          </cell>
          <cell r="AB26">
            <v>1287.2221545065258</v>
          </cell>
          <cell r="AC26">
            <v>2.5493495223226161</v>
          </cell>
          <cell r="AD26">
            <v>3577.5594831420231</v>
          </cell>
          <cell r="AE26">
            <v>3679.3745961531649</v>
          </cell>
          <cell r="AF26">
            <v>2.8459376703842212</v>
          </cell>
          <cell r="AG26">
            <v>6758.8831143343004</v>
          </cell>
          <cell r="AH26">
            <v>7188.5732011531645</v>
          </cell>
          <cell r="AI26">
            <v>6.3574126013153487</v>
          </cell>
          <cell r="AJ26">
            <v>1279.7060932201971</v>
          </cell>
          <cell r="AK26">
            <v>1287.206093220198</v>
          </cell>
          <cell r="AL26">
            <v>0.58607207074620027</v>
          </cell>
          <cell r="AM26">
            <v>1248.2338903009882</v>
          </cell>
          <cell r="AN26">
            <v>1283.2338903009882</v>
          </cell>
          <cell r="AO26">
            <v>2.8039616831394003</v>
          </cell>
          <cell r="AP26">
            <v>1268.1016039133528</v>
          </cell>
          <cell r="AQ26">
            <v>1283.8016039133531</v>
          </cell>
          <cell r="AR26">
            <v>1.2380711412674017</v>
          </cell>
          <cell r="AS26">
            <v>3796.0415874345381</v>
          </cell>
          <cell r="AT26">
            <v>3854.2415874345393</v>
          </cell>
          <cell r="AU26">
            <v>1.5331760377086445</v>
          </cell>
          <cell r="AV26">
            <v>1259.1300511564962</v>
          </cell>
          <cell r="AW26">
            <v>1284.2300511564961</v>
          </cell>
          <cell r="AX26">
            <v>1.9934398338714778</v>
          </cell>
          <cell r="AY26">
            <v>1271.0184078536461</v>
          </cell>
          <cell r="AZ26">
            <v>1284.5184078536458</v>
          </cell>
          <cell r="BA26">
            <v>1.0621403999016086</v>
          </cell>
          <cell r="BB26">
            <v>1286.8977470307516</v>
          </cell>
          <cell r="BC26">
            <v>1283.5977470307512</v>
          </cell>
          <cell r="BD26">
            <v>-0.25643062998707328</v>
          </cell>
          <cell r="BE26">
            <v>3817.0462060408936</v>
          </cell>
          <cell r="BF26">
            <v>3852.3462060408933</v>
          </cell>
          <cell r="BG26">
            <v>0.9247988652621919</v>
          </cell>
          <cell r="BH26">
            <v>7613.0877934754317</v>
          </cell>
          <cell r="BI26">
            <v>7706.5877934754326</v>
          </cell>
          <cell r="BJ26">
            <v>1.2281481908054741</v>
          </cell>
          <cell r="BK26">
            <v>14371.970907809729</v>
          </cell>
          <cell r="BL26">
            <v>14895.160994628597</v>
          </cell>
          <cell r="BM26">
            <v>3.6403503052915744</v>
          </cell>
        </row>
        <row r="27">
          <cell r="C27">
            <v>22</v>
          </cell>
          <cell r="D27" t="str">
            <v>Stripping Ratio</v>
          </cell>
          <cell r="E27" t="str">
            <v>OB: F/C</v>
          </cell>
          <cell r="F27">
            <v>13.224047059603519</v>
          </cell>
          <cell r="G27">
            <v>13.076596218374339</v>
          </cell>
          <cell r="H27">
            <v>-1.1150205422333137</v>
          </cell>
          <cell r="I27">
            <v>13.105422046504971</v>
          </cell>
          <cell r="J27">
            <v>12.906455568096273</v>
          </cell>
          <cell r="K27">
            <v>-1.5181997016399749</v>
          </cell>
          <cell r="L27">
            <v>13.518825478189227</v>
          </cell>
          <cell r="M27">
            <v>14.034301073865693</v>
          </cell>
          <cell r="N27">
            <v>3.8130205653450884</v>
          </cell>
          <cell r="O27">
            <v>13.282963811722162</v>
          </cell>
          <cell r="P27">
            <v>13.372529626479867</v>
          </cell>
          <cell r="Q27">
            <v>0.67429088889532107</v>
          </cell>
          <cell r="R27">
            <v>12.366422095880496</v>
          </cell>
          <cell r="S27">
            <v>12.245279413345855</v>
          </cell>
          <cell r="T27">
            <v>-0.9796097981727161</v>
          </cell>
          <cell r="U27">
            <v>13.042175145560938</v>
          </cell>
          <cell r="V27">
            <v>13.094182250459912</v>
          </cell>
          <cell r="W27">
            <v>0.39876097597627941</v>
          </cell>
          <cell r="X27">
            <v>12.459215913399944</v>
          </cell>
          <cell r="Y27">
            <v>13.965209658404628</v>
          </cell>
          <cell r="Z27">
            <v>12.087387805720427</v>
          </cell>
          <cell r="AA27">
            <v>11.538389317595904</v>
          </cell>
          <cell r="AB27">
            <v>12.533328160706489</v>
          </cell>
          <cell r="AC27">
            <v>8.6228572786438704</v>
          </cell>
          <cell r="AD27">
            <v>12.106464866490816</v>
          </cell>
          <cell r="AE27">
            <v>12.923206410075544</v>
          </cell>
          <cell r="AF27">
            <v>6.7463256416442965</v>
          </cell>
          <cell r="AG27">
            <v>12.659445818403601</v>
          </cell>
          <cell r="AH27">
            <v>13.143163548287605</v>
          </cell>
          <cell r="AI27">
            <v>3.8210024105541986</v>
          </cell>
          <cell r="AJ27">
            <v>10.966831276257743</v>
          </cell>
          <cell r="AK27">
            <v>11.23883752160418</v>
          </cell>
          <cell r="AL27">
            <v>2.480262880813239</v>
          </cell>
          <cell r="AM27">
            <v>10.290669032519716</v>
          </cell>
          <cell r="AN27">
            <v>9.9855897526346169</v>
          </cell>
          <cell r="AO27">
            <v>-2.9646204626833592</v>
          </cell>
          <cell r="AP27">
            <v>10.532237590731153</v>
          </cell>
          <cell r="AQ27">
            <v>10.128539704477765</v>
          </cell>
          <cell r="AR27">
            <v>-3.8329735991586502</v>
          </cell>
          <cell r="AS27">
            <v>10.599367315621457</v>
          </cell>
          <cell r="AT27">
            <v>10.451768629588461</v>
          </cell>
          <cell r="AU27">
            <v>-1.392523550112879</v>
          </cell>
          <cell r="AV27">
            <v>10.825452727846224</v>
          </cell>
          <cell r="AW27">
            <v>10.065889457726811</v>
          </cell>
          <cell r="AX27">
            <v>-7.0164573179059264</v>
          </cell>
          <cell r="AY27">
            <v>10.037107587775354</v>
          </cell>
          <cell r="AZ27">
            <v>9.1195374469887724</v>
          </cell>
          <cell r="BA27">
            <v>-9.1417784731542771</v>
          </cell>
          <cell r="BB27">
            <v>9.5550431486863587</v>
          </cell>
          <cell r="BC27">
            <v>8.7844792814441881</v>
          </cell>
          <cell r="BD27">
            <v>-8.0644729202307044</v>
          </cell>
          <cell r="BE27">
            <v>10.134542087073092</v>
          </cell>
          <cell r="BF27">
            <v>9.3233767025443441</v>
          </cell>
          <cell r="BG27">
            <v>-8.0039668054012321</v>
          </cell>
          <cell r="BH27">
            <v>10.366300583580308</v>
          </cell>
          <cell r="BI27">
            <v>9.8877141805383921</v>
          </cell>
          <cell r="BJ27">
            <v>-4.6167521304559962</v>
          </cell>
          <cell r="BK27">
            <v>11.443273306195092</v>
          </cell>
          <cell r="BL27">
            <v>11.460638085570697</v>
          </cell>
          <cell r="BM27">
            <v>0.15174661052798427</v>
          </cell>
        </row>
        <row r="28">
          <cell r="C28">
            <v>23</v>
          </cell>
          <cell r="D28" t="str">
            <v>S/R                          (OB/ (FC+WP)</v>
          </cell>
          <cell r="E28">
            <v>0</v>
          </cell>
          <cell r="F28">
            <v>12.91061678874869</v>
          </cell>
          <cell r="G28">
            <v>12.886319621128846</v>
          </cell>
          <cell r="H28">
            <v>-0.18819525060195766</v>
          </cell>
          <cell r="I28">
            <v>12.797198510607966</v>
          </cell>
          <cell r="J28">
            <v>12.704498457327723</v>
          </cell>
          <cell r="K28">
            <v>-0.72437770816324654</v>
          </cell>
          <cell r="L28">
            <v>13.201052343622381</v>
          </cell>
          <cell r="M28">
            <v>13.843869306303873</v>
          </cell>
          <cell r="N28">
            <v>4.8694372687041563</v>
          </cell>
          <cell r="O28">
            <v>12.969816706501117</v>
          </cell>
          <cell r="P28">
            <v>13.178216012353282</v>
          </cell>
          <cell r="Q28">
            <v>1.6068022437642069</v>
          </cell>
          <cell r="R28">
            <v>12.093279537289629</v>
          </cell>
          <cell r="S28">
            <v>11.999365197070645</v>
          </cell>
          <cell r="T28">
            <v>-0.77658289407268399</v>
          </cell>
          <cell r="U28">
            <v>12.739796193381384</v>
          </cell>
          <cell r="V28">
            <v>12.885886934320947</v>
          </cell>
          <cell r="W28">
            <v>1.1467274571900969</v>
          </cell>
          <cell r="X28">
            <v>12.197571489970617</v>
          </cell>
          <cell r="Y28">
            <v>13.682513106615062</v>
          </cell>
          <cell r="Z28">
            <v>12.174075945079966</v>
          </cell>
          <cell r="AA28">
            <v>11.308581604352264</v>
          </cell>
          <cell r="AB28">
            <v>12.289910035155517</v>
          </cell>
          <cell r="AC28">
            <v>8.677732231472552</v>
          </cell>
          <cell r="AD28">
            <v>11.85266479153319</v>
          </cell>
          <cell r="AE28">
            <v>12.665968544093813</v>
          </cell>
          <cell r="AF28">
            <v>6.8617797505046871</v>
          </cell>
          <cell r="AG28">
            <v>12.378494536862233</v>
          </cell>
          <cell r="AH28">
            <v>12.916029029078866</v>
          </cell>
          <cell r="AI28">
            <v>4.3424868073891796</v>
          </cell>
          <cell r="AJ28">
            <v>10.752586159071083</v>
          </cell>
          <cell r="AK28">
            <v>11.020557838560418</v>
          </cell>
          <cell r="AL28">
            <v>2.4921602628895867</v>
          </cell>
          <cell r="AM28">
            <v>10.08456444922647</v>
          </cell>
          <cell r="AN28">
            <v>9.7910502024382673</v>
          </cell>
          <cell r="AO28">
            <v>-2.9105297334949971</v>
          </cell>
          <cell r="AP28">
            <v>10.324599701972303</v>
          </cell>
          <cell r="AQ28">
            <v>9.9313024585979601</v>
          </cell>
          <cell r="AR28">
            <v>-3.8093219565617829</v>
          </cell>
          <cell r="AS28">
            <v>10.389951130271164</v>
          </cell>
          <cell r="AT28">
            <v>10.24838681518048</v>
          </cell>
          <cell r="AU28">
            <v>-1.3625118474160738</v>
          </cell>
          <cell r="AV28">
            <v>10.610513597493821</v>
          </cell>
          <cell r="AW28">
            <v>9.8699376216702159</v>
          </cell>
          <cell r="AX28">
            <v>-6.9796430589234362</v>
          </cell>
          <cell r="AY28">
            <v>9.8396850420876625</v>
          </cell>
          <cell r="AZ28">
            <v>8.9420480199935799</v>
          </cell>
          <cell r="BA28">
            <v>-9.1226194563604963</v>
          </cell>
          <cell r="BB28">
            <v>9.3694215021582519</v>
          </cell>
          <cell r="BC28">
            <v>8.6133883126853874</v>
          </cell>
          <cell r="BD28">
            <v>-8.069155489468713</v>
          </cell>
          <cell r="BE28">
            <v>9.9354114987853333</v>
          </cell>
          <cell r="BF28">
            <v>9.1418630962141769</v>
          </cell>
          <cell r="BG28">
            <v>-7.98707132229171</v>
          </cell>
          <cell r="BH28">
            <v>10.162054273841221</v>
          </cell>
          <cell r="BI28">
            <v>9.6952610265840011</v>
          </cell>
          <cell r="BJ28">
            <v>-4.5934929560337192</v>
          </cell>
          <cell r="BK28">
            <v>11.204406833817734</v>
          </cell>
          <cell r="BL28">
            <v>11.2496401003124</v>
          </cell>
          <cell r="BM28">
            <v>0.40370960431515684</v>
          </cell>
        </row>
        <row r="29">
          <cell r="C29">
            <v>24</v>
          </cell>
          <cell r="D29" t="str">
            <v>Hauling</v>
          </cell>
          <cell r="E29" t="str">
            <v>KTON</v>
          </cell>
          <cell r="F29">
            <v>1054.7838139195339</v>
          </cell>
          <cell r="G29">
            <v>1323.4159790717208</v>
          </cell>
          <cell r="H29">
            <v>25.467983259428355</v>
          </cell>
          <cell r="I29">
            <v>1062.980314624989</v>
          </cell>
          <cell r="J29">
            <v>991.43672471764205</v>
          </cell>
          <cell r="K29">
            <v>-6.7304717616136598</v>
          </cell>
          <cell r="L29">
            <v>1063.559502647754</v>
          </cell>
          <cell r="M29">
            <v>1300.9861235998919</v>
          </cell>
          <cell r="N29">
            <v>22.323774115229028</v>
          </cell>
          <cell r="O29">
            <v>3181.3236311922769</v>
          </cell>
          <cell r="P29">
            <v>3615.8388273892547</v>
          </cell>
          <cell r="Q29">
            <v>13.658314795031803</v>
          </cell>
          <cell r="R29">
            <v>1125.0464868297017</v>
          </cell>
          <cell r="S29">
            <v>1080.4199388439245</v>
          </cell>
          <cell r="T29">
            <v>-3.9666403573715083</v>
          </cell>
          <cell r="U29">
            <v>4306.3701180219787</v>
          </cell>
          <cell r="V29">
            <v>4696.2587662331789</v>
          </cell>
          <cell r="W29">
            <v>9.0537654109091221</v>
          </cell>
          <cell r="X29">
            <v>1185.3744343150661</v>
          </cell>
          <cell r="Y29">
            <v>1235</v>
          </cell>
          <cell r="Z29">
            <v>4.1864886105468093</v>
          </cell>
          <cell r="AA29">
            <v>1236.9087827721667</v>
          </cell>
          <cell r="AB29">
            <v>1287.2221545065258</v>
          </cell>
          <cell r="AC29">
            <v>4.0676703436122894</v>
          </cell>
          <cell r="AD29">
            <v>3547.3297039169347</v>
          </cell>
          <cell r="AE29">
            <v>3602.6420933504505</v>
          </cell>
          <cell r="AF29">
            <v>1.5592683525424855</v>
          </cell>
          <cell r="AG29">
            <v>6728.6533351092112</v>
          </cell>
          <cell r="AH29">
            <v>7218.4809207397047</v>
          </cell>
          <cell r="AI29">
            <v>7.2797268819696646</v>
          </cell>
          <cell r="AJ29">
            <v>1259.7993500877967</v>
          </cell>
          <cell r="AK29">
            <v>1277.206093220198</v>
          </cell>
          <cell r="AL29">
            <v>1.3817075815436954</v>
          </cell>
          <cell r="AM29">
            <v>1233.2004719940044</v>
          </cell>
          <cell r="AN29">
            <v>1273.2338903009882</v>
          </cell>
          <cell r="AO29">
            <v>3.2463025449748946</v>
          </cell>
          <cell r="AP29">
            <v>1248.2193724509566</v>
          </cell>
          <cell r="AQ29">
            <v>1273.8016039133531</v>
          </cell>
          <cell r="AR29">
            <v>2.0494980311164546</v>
          </cell>
          <cell r="AS29">
            <v>3741.2191945327577</v>
          </cell>
          <cell r="AT29">
            <v>3824.2415874345393</v>
          </cell>
          <cell r="AU29">
            <v>2.2191266692715201</v>
          </cell>
          <cell r="AV29">
            <v>1272.3421341855178</v>
          </cell>
          <cell r="AW29">
            <v>1274.2300511564961</v>
          </cell>
          <cell r="AX29">
            <v>0.14838123490949282</v>
          </cell>
          <cell r="AY29">
            <v>1276.769485873303</v>
          </cell>
          <cell r="AZ29">
            <v>1274.5184078536458</v>
          </cell>
          <cell r="BA29">
            <v>-0.17631044950274785</v>
          </cell>
          <cell r="BB29">
            <v>1287.5221349761118</v>
          </cell>
          <cell r="BC29">
            <v>1273.5977470307512</v>
          </cell>
          <cell r="BD29">
            <v>-1.081487266672817</v>
          </cell>
          <cell r="BE29">
            <v>3836.6337550349326</v>
          </cell>
          <cell r="BF29">
            <v>3822.3462060408933</v>
          </cell>
          <cell r="BG29">
            <v>-0.37239804230177842</v>
          </cell>
          <cell r="BH29">
            <v>7577.8529495676903</v>
          </cell>
          <cell r="BI29">
            <v>7646.5877934754326</v>
          </cell>
          <cell r="BJ29">
            <v>0.90704905947882708</v>
          </cell>
          <cell r="BK29">
            <v>14306.506284676901</v>
          </cell>
          <cell r="BL29">
            <v>14865.068714215136</v>
          </cell>
          <cell r="BM29">
            <v>3.9042545987379724</v>
          </cell>
        </row>
        <row r="30">
          <cell r="C30">
            <v>25</v>
          </cell>
          <cell r="D30" t="str">
            <v>ROM stock</v>
          </cell>
          <cell r="E30" t="str">
            <v>KTON</v>
          </cell>
          <cell r="F30">
            <v>193.28493050970502</v>
          </cell>
          <cell r="G30">
            <v>47.777940999999998</v>
          </cell>
          <cell r="H30">
            <v>-75.281083282588838</v>
          </cell>
          <cell r="I30">
            <v>204.62076403957886</v>
          </cell>
          <cell r="J30">
            <v>129.87534699999998</v>
          </cell>
          <cell r="K30">
            <v>-36.528754738263622</v>
          </cell>
          <cell r="L30">
            <v>215.9714485443954</v>
          </cell>
          <cell r="M30">
            <v>180.67277599999994</v>
          </cell>
          <cell r="N30">
            <v>-16.344138441586374</v>
          </cell>
          <cell r="O30">
            <v>215.9714485443954</v>
          </cell>
          <cell r="P30">
            <v>180.67277599999994</v>
          </cell>
          <cell r="Q30">
            <v>-16.344138441586374</v>
          </cell>
          <cell r="R30">
            <v>216.83754973553155</v>
          </cell>
          <cell r="S30">
            <v>77.100939999999994</v>
          </cell>
          <cell r="T30">
            <v>-64.442994262738594</v>
          </cell>
          <cell r="U30">
            <v>216.83754973553155</v>
          </cell>
          <cell r="V30">
            <v>77.100939999999994</v>
          </cell>
          <cell r="W30">
            <v>-64.442994262738594</v>
          </cell>
          <cell r="X30">
            <v>224.1878859597013</v>
          </cell>
          <cell r="Y30">
            <v>127.6263610106912</v>
          </cell>
          <cell r="Z30">
            <v>-43.071696106883955</v>
          </cell>
          <cell r="AA30">
            <v>230.1257093180898</v>
          </cell>
          <cell r="AB30">
            <v>141.40420650416524</v>
          </cell>
          <cell r="AC30">
            <v>-38.553494556008005</v>
          </cell>
          <cell r="AD30">
            <v>230.1257093180898</v>
          </cell>
          <cell r="AE30">
            <v>141.40420650416524</v>
          </cell>
          <cell r="AF30">
            <v>-38.553494556008005</v>
          </cell>
          <cell r="AG30">
            <v>230.1257093180898</v>
          </cell>
          <cell r="AH30">
            <v>141.40420650416524</v>
          </cell>
          <cell r="AI30">
            <v>-38.553494556008005</v>
          </cell>
          <cell r="AJ30">
            <v>249.78270267574055</v>
          </cell>
          <cell r="AK30">
            <v>160.19811328396713</v>
          </cell>
          <cell r="AL30">
            <v>-35.865009238877967</v>
          </cell>
          <cell r="AM30">
            <v>278.08629369116363</v>
          </cell>
          <cell r="AN30">
            <v>182.96422298297909</v>
          </cell>
          <cell r="AO30">
            <v>-34.205954362434333</v>
          </cell>
          <cell r="AP30">
            <v>297.54573604094645</v>
          </cell>
          <cell r="AQ30">
            <v>194.16261906962615</v>
          </cell>
          <cell r="AR30">
            <v>-34.745286001037954</v>
          </cell>
          <cell r="AS30">
            <v>297.54573604094645</v>
          </cell>
          <cell r="AT30">
            <v>194.16261906962615</v>
          </cell>
          <cell r="AU30">
            <v>-34.745286001037954</v>
          </cell>
          <cell r="AV30">
            <v>334.39418400700538</v>
          </cell>
          <cell r="AW30">
            <v>199.93256791313024</v>
          </cell>
          <cell r="AX30">
            <v>-40.210512779450205</v>
          </cell>
          <cell r="AY30">
            <v>367.94285814523511</v>
          </cell>
          <cell r="AZ30">
            <v>205.4141600594844</v>
          </cell>
          <cell r="BA30">
            <v>-44.172266015718414</v>
          </cell>
          <cell r="BB30">
            <v>353.46055934379859</v>
          </cell>
          <cell r="BC30">
            <v>211.81641302873334</v>
          </cell>
          <cell r="BD30">
            <v>-40.073536515086253</v>
          </cell>
          <cell r="BE30">
            <v>353.46055934379859</v>
          </cell>
          <cell r="BF30">
            <v>211.81641302873334</v>
          </cell>
          <cell r="BG30">
            <v>-40.073536515086253</v>
          </cell>
          <cell r="BH30">
            <v>353.46055934379859</v>
          </cell>
          <cell r="BI30">
            <v>211.81641302873334</v>
          </cell>
          <cell r="BJ30">
            <v>-40.073536515086253</v>
          </cell>
          <cell r="BK30">
            <v>353.46055934379859</v>
          </cell>
          <cell r="BL30">
            <v>211.81641302873334</v>
          </cell>
          <cell r="BM30">
            <v>-40.073536515086253</v>
          </cell>
        </row>
        <row r="31">
          <cell r="C31">
            <v>26</v>
          </cell>
          <cell r="D31" t="str">
            <v>F/C stock</v>
          </cell>
          <cell r="E31" t="str">
            <v>KTON</v>
          </cell>
          <cell r="F31">
            <v>160.96107837431947</v>
          </cell>
          <cell r="G31">
            <v>331.34342299999997</v>
          </cell>
          <cell r="H31">
            <v>105.85313315896879</v>
          </cell>
          <cell r="I31">
            <v>173.94139299930822</v>
          </cell>
          <cell r="J31">
            <v>306.01014793722197</v>
          </cell>
          <cell r="K31">
            <v>75.927157222685352</v>
          </cell>
          <cell r="L31">
            <v>146.20089564706257</v>
          </cell>
          <cell r="M31">
            <v>273.10515000000004</v>
          </cell>
          <cell r="N31">
            <v>86.801283802865129</v>
          </cell>
          <cell r="O31">
            <v>146.20089564706257</v>
          </cell>
          <cell r="P31">
            <v>273.10515000000004</v>
          </cell>
          <cell r="Q31">
            <v>86.801283802865129</v>
          </cell>
          <cell r="R31">
            <v>143.76607986427086</v>
          </cell>
          <cell r="S31">
            <v>371.34232560307424</v>
          </cell>
          <cell r="T31">
            <v>158.29620307770614</v>
          </cell>
          <cell r="U31">
            <v>143.76607986427086</v>
          </cell>
          <cell r="V31">
            <v>371.34232560307424</v>
          </cell>
          <cell r="W31">
            <v>158.29620307770614</v>
          </cell>
          <cell r="X31">
            <v>181.73822428255914</v>
          </cell>
          <cell r="Y31">
            <v>327.79232560307423</v>
          </cell>
          <cell r="Z31">
            <v>80.365097599631071</v>
          </cell>
          <cell r="AA31">
            <v>235.96037878908515</v>
          </cell>
          <cell r="AB31">
            <v>385.11448010959998</v>
          </cell>
          <cell r="AC31">
            <v>63.211502747178272</v>
          </cell>
          <cell r="AD31">
            <v>235.96037878908515</v>
          </cell>
          <cell r="AE31">
            <v>385.11448010959998</v>
          </cell>
          <cell r="AF31">
            <v>63.211502747178272</v>
          </cell>
          <cell r="AG31">
            <v>235.96037878908515</v>
          </cell>
          <cell r="AH31">
            <v>385.11448010959998</v>
          </cell>
          <cell r="AI31">
            <v>63.211502747178272</v>
          </cell>
          <cell r="AJ31">
            <v>223.16647200928236</v>
          </cell>
          <cell r="AK31">
            <v>399.94057332979787</v>
          </cell>
          <cell r="AL31">
            <v>79.2117649792675</v>
          </cell>
          <cell r="AM31">
            <v>306.40036231027045</v>
          </cell>
          <cell r="AN31">
            <v>411.87446363078607</v>
          </cell>
          <cell r="AO31">
            <v>34.423621605809096</v>
          </cell>
          <cell r="AP31">
            <v>334.50196622362319</v>
          </cell>
          <cell r="AQ31">
            <v>537.47606754413914</v>
          </cell>
          <cell r="AR31">
            <v>60.679494237956902</v>
          </cell>
          <cell r="AS31">
            <v>334.50196622362319</v>
          </cell>
          <cell r="AT31">
            <v>537.47606754413914</v>
          </cell>
          <cell r="AU31">
            <v>60.679494237956902</v>
          </cell>
          <cell r="AV31">
            <v>344.63201738011924</v>
          </cell>
          <cell r="AW31">
            <v>621.10611870063531</v>
          </cell>
          <cell r="AX31">
            <v>80.222987818213369</v>
          </cell>
          <cell r="AY31">
            <v>377.65042523376542</v>
          </cell>
          <cell r="AZ31">
            <v>715.62452655428115</v>
          </cell>
          <cell r="BA31">
            <v>89.493901962723839</v>
          </cell>
          <cell r="BB31">
            <v>501.54817226451706</v>
          </cell>
          <cell r="BC31">
            <v>751.62227358503242</v>
          </cell>
          <cell r="BD31">
            <v>49.860435178423103</v>
          </cell>
          <cell r="BE31">
            <v>501.54817226451706</v>
          </cell>
          <cell r="BF31">
            <v>751.62227358503242</v>
          </cell>
          <cell r="BG31">
            <v>49.860435178423103</v>
          </cell>
          <cell r="BH31">
            <v>501.54817226451706</v>
          </cell>
          <cell r="BI31">
            <v>751.62227358503242</v>
          </cell>
          <cell r="BJ31">
            <v>49.860435178423103</v>
          </cell>
          <cell r="BK31">
            <v>501.54817226451706</v>
          </cell>
          <cell r="BL31">
            <v>751.62227358503242</v>
          </cell>
          <cell r="BM31">
            <v>49.860435178423103</v>
          </cell>
        </row>
        <row r="32">
          <cell r="C32">
            <v>27</v>
          </cell>
          <cell r="D32" t="str">
            <v>Coal Sales</v>
          </cell>
          <cell r="E32" t="str">
            <v>KTON</v>
          </cell>
          <cell r="F32">
            <v>1184.0999999999999</v>
          </cell>
          <cell r="G32">
            <v>1286.21</v>
          </cell>
          <cell r="H32">
            <v>8.6234270754159397</v>
          </cell>
          <cell r="I32">
            <v>1050</v>
          </cell>
          <cell r="J32">
            <v>1068.021</v>
          </cell>
          <cell r="K32">
            <v>1.7162857142857104</v>
          </cell>
          <cell r="L32">
            <v>1091.3</v>
          </cell>
          <cell r="M32">
            <v>1290.5070000000001</v>
          </cell>
          <cell r="N32">
            <v>18.254100613946679</v>
          </cell>
          <cell r="O32">
            <v>3325.3999999999996</v>
          </cell>
          <cell r="P32">
            <v>3644.7379999999998</v>
          </cell>
          <cell r="Q32">
            <v>9.6029951284056132</v>
          </cell>
          <cell r="R32">
            <v>1134.3</v>
          </cell>
          <cell r="S32">
            <v>1061.2940000000001</v>
          </cell>
          <cell r="T32">
            <v>-6.4362161685620967</v>
          </cell>
          <cell r="U32">
            <v>4459.7</v>
          </cell>
          <cell r="V32">
            <v>4706.0320000000002</v>
          </cell>
          <cell r="W32">
            <v>5.5235105500370061</v>
          </cell>
          <cell r="X32">
            <v>1152.5</v>
          </cell>
          <cell r="Y32">
            <v>1278.55</v>
          </cell>
          <cell r="Z32">
            <v>10.937093275488065</v>
          </cell>
          <cell r="AA32">
            <v>1201</v>
          </cell>
          <cell r="AB32">
            <v>1229.9000000000001</v>
          </cell>
          <cell r="AC32">
            <v>2.4063280599500492</v>
          </cell>
          <cell r="AD32">
            <v>3487.8</v>
          </cell>
          <cell r="AE32">
            <v>3569.7440000000001</v>
          </cell>
          <cell r="AF32">
            <v>2.3494466425827158</v>
          </cell>
          <cell r="AG32">
            <v>6813.2</v>
          </cell>
          <cell r="AH32">
            <v>7214.482</v>
          </cell>
          <cell r="AI32">
            <v>5.8897727939881435</v>
          </cell>
          <cell r="AJ32">
            <v>1292.5</v>
          </cell>
          <cell r="AK32">
            <v>1272.3800000000001</v>
          </cell>
          <cell r="AL32">
            <v>-1.5566731141199142</v>
          </cell>
          <cell r="AM32">
            <v>1165</v>
          </cell>
          <cell r="AN32">
            <v>1271.3</v>
          </cell>
          <cell r="AO32">
            <v>9.1244635193133021</v>
          </cell>
          <cell r="AP32">
            <v>1240</v>
          </cell>
          <cell r="AQ32">
            <v>1158.2</v>
          </cell>
          <cell r="AR32">
            <v>-6.5967741935483843</v>
          </cell>
          <cell r="AS32">
            <v>3697.5</v>
          </cell>
          <cell r="AT32">
            <v>3701.88</v>
          </cell>
          <cell r="AU32">
            <v>0.11845841784990153</v>
          </cell>
          <cell r="AV32">
            <v>1249</v>
          </cell>
          <cell r="AW32">
            <v>1200.5999999999999</v>
          </cell>
          <cell r="AX32">
            <v>-3.8751000800640583</v>
          </cell>
          <cell r="AY32">
            <v>1238</v>
          </cell>
          <cell r="AZ32">
            <v>1190</v>
          </cell>
          <cell r="BA32">
            <v>-3.877221324717286</v>
          </cell>
          <cell r="BB32">
            <v>1163</v>
          </cell>
          <cell r="BC32">
            <v>1247.5999999999999</v>
          </cell>
          <cell r="BD32">
            <v>7.2742906276870078</v>
          </cell>
          <cell r="BE32">
            <v>3650</v>
          </cell>
          <cell r="BF32">
            <v>3638.2</v>
          </cell>
          <cell r="BG32">
            <v>-0.32328767123288171</v>
          </cell>
          <cell r="BH32">
            <v>7347.5</v>
          </cell>
          <cell r="BI32">
            <v>7340.08</v>
          </cell>
          <cell r="BJ32">
            <v>-0.10098673018033442</v>
          </cell>
          <cell r="BK32">
            <v>14160.7</v>
          </cell>
          <cell r="BL32">
            <v>14554.562000000002</v>
          </cell>
          <cell r="BM32">
            <v>2.7813738021425563</v>
          </cell>
        </row>
        <row r="33">
          <cell r="C33">
            <v>28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</row>
        <row r="34">
          <cell r="C34">
            <v>29</v>
          </cell>
          <cell r="D34">
            <v>0</v>
          </cell>
          <cell r="E34">
            <v>0</v>
          </cell>
          <cell r="F34" t="str">
            <v>JANUARY</v>
          </cell>
          <cell r="G34">
            <v>0</v>
          </cell>
          <cell r="H34">
            <v>0</v>
          </cell>
          <cell r="I34" t="str">
            <v>FEBRUARY</v>
          </cell>
          <cell r="J34">
            <v>0</v>
          </cell>
          <cell r="K34">
            <v>0</v>
          </cell>
          <cell r="L34" t="str">
            <v>MARCH</v>
          </cell>
          <cell r="M34">
            <v>0</v>
          </cell>
          <cell r="N34">
            <v>0</v>
          </cell>
          <cell r="O34" t="str">
            <v>Q1</v>
          </cell>
          <cell r="P34">
            <v>0</v>
          </cell>
          <cell r="Q34">
            <v>0</v>
          </cell>
          <cell r="R34" t="str">
            <v>APRIL</v>
          </cell>
          <cell r="S34">
            <v>0</v>
          </cell>
          <cell r="T34">
            <v>0</v>
          </cell>
          <cell r="U34" t="str">
            <v>JANUARY - APRIL</v>
          </cell>
          <cell r="V34">
            <v>0</v>
          </cell>
          <cell r="W34">
            <v>0</v>
          </cell>
          <cell r="X34" t="str">
            <v>MAY</v>
          </cell>
          <cell r="Y34">
            <v>0</v>
          </cell>
          <cell r="Z34">
            <v>0</v>
          </cell>
          <cell r="AA34" t="str">
            <v>JUNE</v>
          </cell>
          <cell r="AB34">
            <v>0</v>
          </cell>
          <cell r="AC34">
            <v>0</v>
          </cell>
          <cell r="AD34" t="str">
            <v>Q2</v>
          </cell>
          <cell r="AE34">
            <v>0</v>
          </cell>
          <cell r="AF34">
            <v>0</v>
          </cell>
          <cell r="AG34" t="str">
            <v>1st HALF</v>
          </cell>
          <cell r="AH34">
            <v>0</v>
          </cell>
          <cell r="AI34">
            <v>0</v>
          </cell>
          <cell r="AJ34" t="str">
            <v>JULY</v>
          </cell>
          <cell r="AK34">
            <v>0</v>
          </cell>
          <cell r="AL34">
            <v>0</v>
          </cell>
          <cell r="AM34" t="str">
            <v>AUGUST</v>
          </cell>
          <cell r="AN34">
            <v>0</v>
          </cell>
          <cell r="AO34">
            <v>0</v>
          </cell>
          <cell r="AP34" t="str">
            <v>SEPTEMBER</v>
          </cell>
          <cell r="AQ34">
            <v>0</v>
          </cell>
          <cell r="AR34">
            <v>0</v>
          </cell>
          <cell r="AS34" t="str">
            <v>Q3</v>
          </cell>
          <cell r="AT34">
            <v>0</v>
          </cell>
          <cell r="AU34">
            <v>0</v>
          </cell>
          <cell r="AV34" t="str">
            <v>OCTOBER</v>
          </cell>
          <cell r="AW34">
            <v>0</v>
          </cell>
          <cell r="AX34">
            <v>0</v>
          </cell>
          <cell r="AY34" t="str">
            <v>NOVEMBER</v>
          </cell>
          <cell r="AZ34">
            <v>0</v>
          </cell>
          <cell r="BA34">
            <v>0</v>
          </cell>
          <cell r="BB34" t="str">
            <v>DECEMBER</v>
          </cell>
          <cell r="BC34">
            <v>0</v>
          </cell>
          <cell r="BD34">
            <v>0</v>
          </cell>
          <cell r="BE34" t="str">
            <v>Q4</v>
          </cell>
          <cell r="BF34">
            <v>0</v>
          </cell>
          <cell r="BG34">
            <v>0</v>
          </cell>
          <cell r="BH34" t="str">
            <v>2nd HALF</v>
          </cell>
          <cell r="BI34">
            <v>0</v>
          </cell>
          <cell r="BJ34">
            <v>0</v>
          </cell>
          <cell r="BK34" t="str">
            <v>TOTAL 2012</v>
          </cell>
          <cell r="BL34">
            <v>0</v>
          </cell>
          <cell r="BM34">
            <v>0</v>
          </cell>
        </row>
        <row r="35">
          <cell r="C35">
            <v>30</v>
          </cell>
          <cell r="D35">
            <v>0</v>
          </cell>
          <cell r="E35">
            <v>0</v>
          </cell>
          <cell r="F35" t="str">
            <v>Plan</v>
          </cell>
          <cell r="G35" t="str">
            <v>Actual</v>
          </cell>
          <cell r="H35" t="str">
            <v>% var</v>
          </cell>
          <cell r="I35" t="str">
            <v>Plan</v>
          </cell>
          <cell r="J35" t="str">
            <v>Actual</v>
          </cell>
          <cell r="K35" t="str">
            <v>% var</v>
          </cell>
          <cell r="L35" t="str">
            <v>Plan</v>
          </cell>
          <cell r="M35" t="str">
            <v>Actual</v>
          </cell>
          <cell r="N35" t="str">
            <v>% var</v>
          </cell>
          <cell r="O35" t="str">
            <v>Plan</v>
          </cell>
          <cell r="P35" t="str">
            <v>Actual</v>
          </cell>
          <cell r="Q35" t="str">
            <v>% var</v>
          </cell>
          <cell r="R35" t="str">
            <v>Plan</v>
          </cell>
          <cell r="S35" t="str">
            <v>Est</v>
          </cell>
          <cell r="T35" t="str">
            <v>% var</v>
          </cell>
          <cell r="U35" t="str">
            <v>Plan</v>
          </cell>
          <cell r="V35" t="str">
            <v>Est.</v>
          </cell>
          <cell r="W35" t="str">
            <v>% var</v>
          </cell>
          <cell r="X35" t="str">
            <v>Plan</v>
          </cell>
          <cell r="Y35" t="str">
            <v>Est</v>
          </cell>
          <cell r="Z35" t="str">
            <v>% var</v>
          </cell>
          <cell r="AA35" t="str">
            <v>Plan</v>
          </cell>
          <cell r="AB35" t="str">
            <v>Est</v>
          </cell>
          <cell r="AC35" t="str">
            <v>% var</v>
          </cell>
          <cell r="AD35" t="str">
            <v>Plan</v>
          </cell>
          <cell r="AE35" t="str">
            <v>Est.</v>
          </cell>
          <cell r="AF35" t="str">
            <v>% var</v>
          </cell>
          <cell r="AG35" t="str">
            <v>Plan</v>
          </cell>
          <cell r="AH35" t="str">
            <v>Est</v>
          </cell>
          <cell r="AI35" t="str">
            <v>% var</v>
          </cell>
          <cell r="AJ35" t="str">
            <v>Plan</v>
          </cell>
          <cell r="AK35" t="str">
            <v>Est</v>
          </cell>
          <cell r="AL35" t="str">
            <v>% var</v>
          </cell>
          <cell r="AM35" t="str">
            <v>Plan</v>
          </cell>
          <cell r="AN35" t="str">
            <v>Est</v>
          </cell>
          <cell r="AO35" t="str">
            <v>% var</v>
          </cell>
          <cell r="AP35" t="str">
            <v>Plan</v>
          </cell>
          <cell r="AQ35" t="str">
            <v>Est</v>
          </cell>
          <cell r="AR35" t="str">
            <v>% var</v>
          </cell>
          <cell r="AS35" t="str">
            <v>Plan</v>
          </cell>
          <cell r="AT35" t="str">
            <v>Est.</v>
          </cell>
          <cell r="AU35" t="str">
            <v>% var</v>
          </cell>
          <cell r="AV35" t="str">
            <v>Plan</v>
          </cell>
          <cell r="AW35" t="str">
            <v>Est</v>
          </cell>
          <cell r="AX35" t="str">
            <v>% var</v>
          </cell>
          <cell r="AY35" t="str">
            <v>Plan</v>
          </cell>
          <cell r="AZ35" t="str">
            <v>Est</v>
          </cell>
          <cell r="BA35" t="str">
            <v>% var</v>
          </cell>
          <cell r="BB35" t="str">
            <v>Plan</v>
          </cell>
          <cell r="BC35" t="str">
            <v>Est</v>
          </cell>
          <cell r="BD35" t="str">
            <v>% var</v>
          </cell>
          <cell r="BE35" t="str">
            <v>Plan</v>
          </cell>
          <cell r="BF35" t="str">
            <v>Est.</v>
          </cell>
          <cell r="BG35" t="str">
            <v>% var</v>
          </cell>
          <cell r="BH35" t="str">
            <v>Plan</v>
          </cell>
          <cell r="BI35" t="str">
            <v>Est.</v>
          </cell>
          <cell r="BJ35" t="str">
            <v>% var</v>
          </cell>
          <cell r="BK35" t="str">
            <v>Plan</v>
          </cell>
          <cell r="BL35" t="str">
            <v>Est</v>
          </cell>
          <cell r="BM35" t="str">
            <v>% var</v>
          </cell>
        </row>
        <row r="36">
          <cell r="C36">
            <v>31</v>
          </cell>
          <cell r="D36" t="str">
            <v>OB Removal</v>
          </cell>
          <cell r="E36" t="str">
            <v>KBCM</v>
          </cell>
          <cell r="F36">
            <v>3656.7059428635548</v>
          </cell>
          <cell r="G36">
            <v>4217.6266459999997</v>
          </cell>
          <cell r="H36">
            <v>15.339508068214796</v>
          </cell>
          <cell r="I36">
            <v>3842.5353114929476</v>
          </cell>
          <cell r="J36">
            <v>3562.2179729999998</v>
          </cell>
          <cell r="K36">
            <v>-7.2951141829334434</v>
          </cell>
          <cell r="L36">
            <v>4052.5198298506903</v>
          </cell>
          <cell r="M36">
            <v>4494.965792</v>
          </cell>
          <cell r="N36">
            <v>10.917798819644791</v>
          </cell>
          <cell r="O36">
            <v>11551.761084207192</v>
          </cell>
          <cell r="P36">
            <v>12274.810410999999</v>
          </cell>
          <cell r="Q36">
            <v>6.2592129591505525</v>
          </cell>
          <cell r="R36">
            <v>3891.6279301830273</v>
          </cell>
          <cell r="S36">
            <v>3283.8046690000001</v>
          </cell>
          <cell r="T36">
            <v>-15.61874033405965</v>
          </cell>
          <cell r="U36">
            <v>15443.389014390219</v>
          </cell>
          <cell r="V36">
            <v>15558.61508</v>
          </cell>
          <cell r="W36">
            <v>0.74611903839508542</v>
          </cell>
          <cell r="X36">
            <v>4529.0901921154709</v>
          </cell>
          <cell r="Y36">
            <v>4158.8115214152704</v>
          </cell>
          <cell r="Z36">
            <v>-8.1755640756460384</v>
          </cell>
          <cell r="AA36">
            <v>4355.1565918287752</v>
          </cell>
          <cell r="AB36">
            <v>4355.1660000000002</v>
          </cell>
          <cell r="AC36">
            <v>2.16023718702934E-4</v>
          </cell>
          <cell r="AD36">
            <v>12775.874714127272</v>
          </cell>
          <cell r="AE36">
            <v>11797.78219041527</v>
          </cell>
          <cell r="AF36">
            <v>-7.6557773584805924</v>
          </cell>
          <cell r="AG36">
            <v>24327.635798334464</v>
          </cell>
          <cell r="AH36">
            <v>24072.592601415268</v>
          </cell>
          <cell r="AI36">
            <v>-1.0483681975239734</v>
          </cell>
          <cell r="AJ36">
            <v>4373.6170301148313</v>
          </cell>
          <cell r="AK36">
            <v>3815.1819999999998</v>
          </cell>
          <cell r="AL36">
            <v>-12.768265402976301</v>
          </cell>
          <cell r="AM36">
            <v>4009.6170525413008</v>
          </cell>
          <cell r="AN36">
            <v>3543.335</v>
          </cell>
          <cell r="AO36">
            <v>-11.629091916540274</v>
          </cell>
          <cell r="AP36">
            <v>4432.8461777093398</v>
          </cell>
          <cell r="AQ36">
            <v>3856.1709999999998</v>
          </cell>
          <cell r="AR36">
            <v>-13.009140281229772</v>
          </cell>
          <cell r="AS36">
            <v>12816.080260365472</v>
          </cell>
          <cell r="AT36">
            <v>11214.688</v>
          </cell>
          <cell r="AU36">
            <v>-12.495179710428916</v>
          </cell>
          <cell r="AV36">
            <v>4336.605966291093</v>
          </cell>
          <cell r="AW36">
            <v>3484.598</v>
          </cell>
          <cell r="AX36">
            <v>-19.646884520148777</v>
          </cell>
          <cell r="AY36">
            <v>4098.0241783742777</v>
          </cell>
          <cell r="AZ36">
            <v>3392.7179999999998</v>
          </cell>
          <cell r="BA36">
            <v>-17.210883774094253</v>
          </cell>
          <cell r="BB36">
            <v>3636.2277463003688</v>
          </cell>
          <cell r="BC36">
            <v>3058.0169999999998</v>
          </cell>
          <cell r="BD36">
            <v>-15.901389754496586</v>
          </cell>
          <cell r="BE36">
            <v>12070.857890965739</v>
          </cell>
          <cell r="BF36">
            <v>9935.3329999999987</v>
          </cell>
          <cell r="BG36">
            <v>-17.691575116330739</v>
          </cell>
          <cell r="BH36">
            <v>24886.938151331211</v>
          </cell>
          <cell r="BI36">
            <v>21150.021000000001</v>
          </cell>
          <cell r="BJ36">
            <v>-15.015576157291658</v>
          </cell>
          <cell r="BK36">
            <v>49214.573949665675</v>
          </cell>
          <cell r="BL36">
            <v>45222.613601415273</v>
          </cell>
          <cell r="BM36">
            <v>-8.1113378169913446</v>
          </cell>
        </row>
        <row r="37">
          <cell r="C37">
            <v>32</v>
          </cell>
          <cell r="D37" t="str">
            <v>ROM Production</v>
          </cell>
          <cell r="E37" t="str">
            <v>KTON</v>
          </cell>
          <cell r="F37">
            <v>222.54531255251072</v>
          </cell>
          <cell r="G37">
            <v>228.427311620056</v>
          </cell>
          <cell r="H37">
            <v>2.6430568229368534</v>
          </cell>
          <cell r="I37">
            <v>230.05290982681944</v>
          </cell>
          <cell r="J37">
            <v>179.180610922791</v>
          </cell>
          <cell r="K37">
            <v>-22.113303823161541</v>
          </cell>
          <cell r="L37">
            <v>218.85777893076479</v>
          </cell>
          <cell r="M37">
            <v>268.70977289120498</v>
          </cell>
          <cell r="N37">
            <v>22.778260020728236</v>
          </cell>
          <cell r="O37">
            <v>671.45600131009496</v>
          </cell>
          <cell r="P37">
            <v>676.31769543405198</v>
          </cell>
          <cell r="Q37">
            <v>0.72405252383942453</v>
          </cell>
          <cell r="R37">
            <v>236.52351335533996</v>
          </cell>
          <cell r="S37">
            <v>170.681223059204</v>
          </cell>
          <cell r="T37">
            <v>-27.837524211480023</v>
          </cell>
          <cell r="U37">
            <v>907.97951466543486</v>
          </cell>
          <cell r="V37">
            <v>846.99891849325604</v>
          </cell>
          <cell r="W37">
            <v>-6.7160762095660793</v>
          </cell>
          <cell r="X37">
            <v>278.74792820016057</v>
          </cell>
          <cell r="Y37">
            <v>259.7</v>
          </cell>
          <cell r="Z37">
            <v>-6.8333882598341082</v>
          </cell>
          <cell r="AA37">
            <v>286.22952992923672</v>
          </cell>
          <cell r="AB37">
            <v>284.81877694079571</v>
          </cell>
          <cell r="AC37">
            <v>-0.49287471798936278</v>
          </cell>
          <cell r="AD37">
            <v>801.50097148473731</v>
          </cell>
          <cell r="AE37">
            <v>715.1999999999997</v>
          </cell>
          <cell r="AF37">
            <v>-10.76741944864642</v>
          </cell>
          <cell r="AG37">
            <v>1472.9569727948324</v>
          </cell>
          <cell r="AH37">
            <v>1391.5176954340518</v>
          </cell>
          <cell r="AI37">
            <v>-5.5289651269483642</v>
          </cell>
          <cell r="AJ37">
            <v>318.61270806890803</v>
          </cell>
          <cell r="AK37">
            <v>215.9</v>
          </cell>
          <cell r="AL37">
            <v>-32.237480008705056</v>
          </cell>
          <cell r="AM37">
            <v>274.17312146926525</v>
          </cell>
          <cell r="AN37">
            <v>213.5</v>
          </cell>
          <cell r="AO37">
            <v>-22.129492907300431</v>
          </cell>
          <cell r="AP37">
            <v>310.68039366936478</v>
          </cell>
          <cell r="AQ37">
            <v>224.2</v>
          </cell>
          <cell r="AR37">
            <v>-27.835806646170202</v>
          </cell>
          <cell r="AS37">
            <v>903.46622320753806</v>
          </cell>
          <cell r="AT37">
            <v>653.59999999999991</v>
          </cell>
          <cell r="AU37">
            <v>-27.656398965359063</v>
          </cell>
          <cell r="AV37">
            <v>274.77830697238716</v>
          </cell>
          <cell r="AW37">
            <v>196.69</v>
          </cell>
          <cell r="AX37">
            <v>-28.418657874704188</v>
          </cell>
          <cell r="AY37">
            <v>242.54333538331016</v>
          </cell>
          <cell r="AZ37">
            <v>208.7</v>
          </cell>
          <cell r="BA37">
            <v>-13.953521060401396</v>
          </cell>
          <cell r="BB37">
            <v>212.14708344073284</v>
          </cell>
          <cell r="BC37">
            <v>209.489</v>
          </cell>
          <cell r="BD37">
            <v>-1.2529436641892002</v>
          </cell>
          <cell r="BE37">
            <v>729.46872579643014</v>
          </cell>
          <cell r="BF37">
            <v>614.87900000000002</v>
          </cell>
          <cell r="BG37">
            <v>-15.708655044987932</v>
          </cell>
          <cell r="BH37">
            <v>1632.9349490039681</v>
          </cell>
          <cell r="BI37">
            <v>1268.4789999999998</v>
          </cell>
          <cell r="BJ37">
            <v>-22.319073348651969</v>
          </cell>
          <cell r="BK37">
            <v>3105.8919217988009</v>
          </cell>
          <cell r="BL37">
            <v>2659.9966954340516</v>
          </cell>
          <cell r="BM37">
            <v>-14.356430860817129</v>
          </cell>
        </row>
        <row r="38">
          <cell r="C38">
            <v>33</v>
          </cell>
          <cell r="D38" t="str">
            <v>F/C Production</v>
          </cell>
          <cell r="E38" t="str">
            <v>KTON</v>
          </cell>
          <cell r="F38">
            <v>176.44080833333331</v>
          </cell>
          <cell r="G38">
            <v>269.29479599999996</v>
          </cell>
          <cell r="H38">
            <v>52.626140485168371</v>
          </cell>
          <cell r="I38">
            <v>190.48836333333333</v>
          </cell>
          <cell r="J38">
            <v>239.813401</v>
          </cell>
          <cell r="K38">
            <v>25.893989954836965</v>
          </cell>
          <cell r="L38">
            <v>189.28908333333331</v>
          </cell>
          <cell r="M38">
            <v>280.61119999999994</v>
          </cell>
          <cell r="N38">
            <v>48.244787844342127</v>
          </cell>
          <cell r="O38">
            <v>556.218255</v>
          </cell>
          <cell r="P38">
            <v>789.71939699999984</v>
          </cell>
          <cell r="Q38">
            <v>41.980129185080386</v>
          </cell>
          <cell r="R38">
            <v>183.80083833333333</v>
          </cell>
          <cell r="S38">
            <v>189.00686035336113</v>
          </cell>
          <cell r="T38">
            <v>2.832425612002043</v>
          </cell>
          <cell r="U38">
            <v>740.01909333333333</v>
          </cell>
          <cell r="V38">
            <v>978.72625735336101</v>
          </cell>
          <cell r="W38">
            <v>32.256892581622175</v>
          </cell>
          <cell r="X38">
            <v>214.0089383333333</v>
          </cell>
          <cell r="Y38">
            <v>234.84200000000001</v>
          </cell>
          <cell r="Z38">
            <v>9.7346689483678563</v>
          </cell>
          <cell r="AA38">
            <v>213.24095833333331</v>
          </cell>
          <cell r="AB38">
            <v>260.7659259259259</v>
          </cell>
          <cell r="AC38">
            <v>22.286978995049658</v>
          </cell>
          <cell r="AD38">
            <v>611.05073499999992</v>
          </cell>
          <cell r="AE38">
            <v>684.61478627928705</v>
          </cell>
          <cell r="AF38">
            <v>12.038943260462185</v>
          </cell>
          <cell r="AG38">
            <v>1167.26899</v>
          </cell>
          <cell r="AH38">
            <v>1474.3341832792869</v>
          </cell>
          <cell r="AI38">
            <v>26.306292372188079</v>
          </cell>
          <cell r="AJ38">
            <v>214.31312833333334</v>
          </cell>
          <cell r="AK38">
            <v>254.1037037037037</v>
          </cell>
          <cell r="AL38">
            <v>18.566559911570995</v>
          </cell>
          <cell r="AM38">
            <v>198.98421333333332</v>
          </cell>
          <cell r="AN38">
            <v>238.65703703703701</v>
          </cell>
          <cell r="AO38">
            <v>19.937673968760926</v>
          </cell>
          <cell r="AP38">
            <v>220.60089333333332</v>
          </cell>
          <cell r="AQ38">
            <v>264.98481481481485</v>
          </cell>
          <cell r="AR38">
            <v>20.119556548856014</v>
          </cell>
          <cell r="AS38">
            <v>633.89823499999989</v>
          </cell>
          <cell r="AT38">
            <v>757.7455555555556</v>
          </cell>
          <cell r="AU38">
            <v>19.537413691577125</v>
          </cell>
          <cell r="AV38">
            <v>216.92097333333334</v>
          </cell>
          <cell r="AW38">
            <v>251.80037037037036</v>
          </cell>
          <cell r="AX38">
            <v>16.079310589962788</v>
          </cell>
          <cell r="AY38">
            <v>202.93687833333334</v>
          </cell>
          <cell r="AZ38">
            <v>250.52370370370375</v>
          </cell>
          <cell r="BA38">
            <v>23.449077250615243</v>
          </cell>
          <cell r="BB38">
            <v>172.02482833333332</v>
          </cell>
          <cell r="BC38">
            <v>251.27296296296296</v>
          </cell>
          <cell r="BD38">
            <v>46.067846948273164</v>
          </cell>
          <cell r="BE38">
            <v>591.88267999999994</v>
          </cell>
          <cell r="BF38">
            <v>753.59703703703713</v>
          </cell>
          <cell r="BG38">
            <v>27.322028925907617</v>
          </cell>
          <cell r="BH38">
            <v>1225.7809149999998</v>
          </cell>
          <cell r="BI38">
            <v>1511.3425925925926</v>
          </cell>
          <cell r="BJ38">
            <v>23.296306387066959</v>
          </cell>
          <cell r="BK38">
            <v>2393.0499050000003</v>
          </cell>
          <cell r="BL38">
            <v>2985.6767758718797</v>
          </cell>
          <cell r="BM38">
            <v>24.764501134458346</v>
          </cell>
        </row>
        <row r="39">
          <cell r="C39">
            <v>34</v>
          </cell>
          <cell r="D39" t="str">
            <v>Stripping Ratio</v>
          </cell>
          <cell r="E39" t="str">
            <v>OB: ROM</v>
          </cell>
          <cell r="F39">
            <v>16.43128718786533</v>
          </cell>
          <cell r="G39">
            <v>18.463758191118554</v>
          </cell>
          <cell r="H39">
            <v>12.369517859527308</v>
          </cell>
          <cell r="I39">
            <v>16.702832902159567</v>
          </cell>
          <cell r="J39">
            <v>19.880599550667682</v>
          </cell>
          <cell r="K39">
            <v>19.025315448717986</v>
          </cell>
          <cell r="L39">
            <v>18.516681699180985</v>
          </cell>
          <cell r="M39">
            <v>16.727957988412719</v>
          </cell>
          <cell r="N39">
            <v>-9.6600662031544449</v>
          </cell>
          <cell r="O39">
            <v>17.204047713726968</v>
          </cell>
          <cell r="P39">
            <v>18.149473973355352</v>
          </cell>
          <cell r="Q39">
            <v>5.4953710624391965</v>
          </cell>
          <cell r="R39">
            <v>16.453450546950311</v>
          </cell>
          <cell r="S39">
            <v>19.239402027608804</v>
          </cell>
          <cell r="T39">
            <v>16.932323543372952</v>
          </cell>
          <cell r="U39">
            <v>17.008521409297078</v>
          </cell>
          <cell r="V39">
            <v>18.369108555271289</v>
          </cell>
          <cell r="W39">
            <v>7.9994440035833838</v>
          </cell>
          <cell r="X39">
            <v>16.247977953985963</v>
          </cell>
          <cell r="Y39">
            <v>16.0139065129583</v>
          </cell>
          <cell r="Z39">
            <v>-1.4406188984903197</v>
          </cell>
          <cell r="AA39">
            <v>15.215608930725915</v>
          </cell>
          <cell r="AB39">
            <v>15.291007309203119</v>
          </cell>
          <cell r="AC39">
            <v>0.4955330990726643</v>
          </cell>
          <cell r="AD39">
            <v>15.939936654675108</v>
          </cell>
          <cell r="AE39">
            <v>16.495780467582879</v>
          </cell>
          <cell r="AF39">
            <v>3.48711431512963</v>
          </cell>
          <cell r="AG39">
            <v>16.5161890317641</v>
          </cell>
          <cell r="AH39">
            <v>17.299523161224606</v>
          </cell>
          <cell r="AI39">
            <v>4.7428261323116994</v>
          </cell>
          <cell r="AJ39">
            <v>13.727063985059022</v>
          </cell>
          <cell r="AK39">
            <v>17.671060676238998</v>
          </cell>
          <cell r="AL39">
            <v>28.731538626706694</v>
          </cell>
          <cell r="AM39">
            <v>14.624398741401709</v>
          </cell>
          <cell r="AN39">
            <v>16.596416861826697</v>
          </cell>
          <cell r="AO39">
            <v>13.484438952298254</v>
          </cell>
          <cell r="AP39">
            <v>14.268187719714637</v>
          </cell>
          <cell r="AQ39">
            <v>17.199692239072256</v>
          </cell>
          <cell r="AR39">
            <v>20.545738372274851</v>
          </cell>
          <cell r="AS39">
            <v>14.185455893265253</v>
          </cell>
          <cell r="AT39">
            <v>17.158335373317016</v>
          </cell>
          <cell r="AU39">
            <v>20.957236076305303</v>
          </cell>
          <cell r="AV39">
            <v>15.782199162930588</v>
          </cell>
          <cell r="AW39">
            <v>17.716192994051553</v>
          </cell>
          <cell r="AX39">
            <v>12.254273382023667</v>
          </cell>
          <cell r="AY39">
            <v>16.896049408646295</v>
          </cell>
          <cell r="AZ39">
            <v>16.256435074269287</v>
          </cell>
          <cell r="BA39">
            <v>-3.7855851324019856</v>
          </cell>
          <cell r="BB39">
            <v>17.140126026367057</v>
          </cell>
          <cell r="BC39">
            <v>14.597506312980633</v>
          </cell>
          <cell r="BD39">
            <v>-14.834311658356844</v>
          </cell>
          <cell r="BE39">
            <v>16.547464564415478</v>
          </cell>
          <cell r="BF39">
            <v>16.158192099583818</v>
          </cell>
          <cell r="BG39">
            <v>-2.352459878770619</v>
          </cell>
          <cell r="BH39">
            <v>15.240618229471636</v>
          </cell>
          <cell r="BI39">
            <v>16.673528690660234</v>
          </cell>
          <cell r="BJ39">
            <v>9.4019182136437163</v>
          </cell>
          <cell r="BK39">
            <v>15.845552642785677</v>
          </cell>
          <cell r="BL39">
            <v>17.00100367757636</v>
          </cell>
          <cell r="BM39">
            <v>7.2919579445324612</v>
          </cell>
        </row>
        <row r="40">
          <cell r="C40">
            <v>35</v>
          </cell>
          <cell r="D40" t="str">
            <v>Hauling</v>
          </cell>
          <cell r="E40" t="str">
            <v>KTON</v>
          </cell>
          <cell r="F40">
            <v>168.56736001551263</v>
          </cell>
          <cell r="G40">
            <v>192.29906392827937</v>
          </cell>
          <cell r="H40">
            <v>14.078469230687835</v>
          </cell>
          <cell r="I40">
            <v>182.33396082976745</v>
          </cell>
          <cell r="J40">
            <v>247.37767832850216</v>
          </cell>
          <cell r="K40">
            <v>35.672848438509767</v>
          </cell>
          <cell r="L40">
            <v>181.15865970490844</v>
          </cell>
          <cell r="M40">
            <v>255.61235835396388</v>
          </cell>
          <cell r="N40">
            <v>41.098614203888445</v>
          </cell>
          <cell r="O40">
            <v>532.05998055018858</v>
          </cell>
          <cell r="P40">
            <v>695.28910061074544</v>
          </cell>
          <cell r="Q40">
            <v>30.678706542026728</v>
          </cell>
          <cell r="R40">
            <v>175.78017486607675</v>
          </cell>
          <cell r="S40">
            <v>209.8438751560756</v>
          </cell>
          <cell r="T40">
            <v>19.378579134962902</v>
          </cell>
          <cell r="U40">
            <v>707.84015541626536</v>
          </cell>
          <cell r="V40">
            <v>905.132975766821</v>
          </cell>
          <cell r="W40">
            <v>27.872510317605819</v>
          </cell>
          <cell r="X40">
            <v>205.38410051633645</v>
          </cell>
          <cell r="Y40">
            <v>225</v>
          </cell>
          <cell r="Z40">
            <v>9.5508364251902194</v>
          </cell>
          <cell r="AA40">
            <v>204.63143426833335</v>
          </cell>
          <cell r="AB40">
            <v>250</v>
          </cell>
          <cell r="AC40">
            <v>22.170868270499838</v>
          </cell>
          <cell r="AD40">
            <v>585.79570965074652</v>
          </cell>
          <cell r="AE40">
            <v>684.84387515607557</v>
          </cell>
          <cell r="AF40">
            <v>16.908311869402716</v>
          </cell>
          <cell r="AG40">
            <v>1117.855690200935</v>
          </cell>
          <cell r="AH40">
            <v>1380.1329757668209</v>
          </cell>
          <cell r="AI40">
            <v>23.462535268639321</v>
          </cell>
          <cell r="AJ40">
            <v>205.68223019682645</v>
          </cell>
          <cell r="AK40">
            <v>250</v>
          </cell>
          <cell r="AL40">
            <v>21.546717847605944</v>
          </cell>
          <cell r="AM40">
            <v>190.65982420700772</v>
          </cell>
          <cell r="AN40">
            <v>250</v>
          </cell>
          <cell r="AO40">
            <v>31.123586754472228</v>
          </cell>
          <cell r="AP40">
            <v>211.84424911889744</v>
          </cell>
          <cell r="AQ40">
            <v>250</v>
          </cell>
          <cell r="AR40">
            <v>18.011228079025017</v>
          </cell>
          <cell r="AS40">
            <v>608.18630352273158</v>
          </cell>
          <cell r="AT40">
            <v>750</v>
          </cell>
          <cell r="AU40">
            <v>23.317476183836487</v>
          </cell>
          <cell r="AV40">
            <v>208.23784169361537</v>
          </cell>
          <cell r="AW40">
            <v>250</v>
          </cell>
          <cell r="AX40">
            <v>20.055028407291196</v>
          </cell>
          <cell r="AY40">
            <v>194.53349347754357</v>
          </cell>
          <cell r="AZ40">
            <v>250</v>
          </cell>
          <cell r="BA40">
            <v>28.512574123313801</v>
          </cell>
          <cell r="BB40">
            <v>164.23967110517421</v>
          </cell>
          <cell r="BC40">
            <v>250</v>
          </cell>
          <cell r="BD40">
            <v>52.2165736924226</v>
          </cell>
          <cell r="BE40">
            <v>567.01100627633321</v>
          </cell>
          <cell r="BF40">
            <v>750</v>
          </cell>
          <cell r="BG40">
            <v>32.272564676546509</v>
          </cell>
          <cell r="BH40">
            <v>1175.1973097990649</v>
          </cell>
          <cell r="BI40">
            <v>1500</v>
          </cell>
          <cell r="BJ40">
            <v>27.638141058752918</v>
          </cell>
          <cell r="BK40">
            <v>2293.0529999999999</v>
          </cell>
          <cell r="BL40">
            <v>2880.1329757668209</v>
          </cell>
          <cell r="BM40">
            <v>25.602547161658322</v>
          </cell>
        </row>
        <row r="41">
          <cell r="C41">
            <v>36</v>
          </cell>
          <cell r="D41" t="str">
            <v>ROM Stock</v>
          </cell>
          <cell r="E41" t="str">
            <v>KTON</v>
          </cell>
          <cell r="F41">
            <v>48.538556313679834</v>
          </cell>
          <cell r="G41">
            <v>398.10576599999996</v>
          </cell>
          <cell r="H41">
            <v>720.18460422935993</v>
          </cell>
          <cell r="I41">
            <v>56.005264511458449</v>
          </cell>
          <cell r="J41">
            <v>327.45264299999997</v>
          </cell>
          <cell r="K41">
            <v>484.68189706166731</v>
          </cell>
          <cell r="L41">
            <v>52.882082815474234</v>
          </cell>
          <cell r="M41">
            <v>315.55144589120482</v>
          </cell>
          <cell r="N41">
            <v>496.7076731684042</v>
          </cell>
          <cell r="O41">
            <v>52.882082815474234</v>
          </cell>
          <cell r="P41">
            <v>315.55144589120482</v>
          </cell>
          <cell r="Q41">
            <v>496.7076731684042</v>
          </cell>
          <cell r="R41">
            <v>51.570655527727951</v>
          </cell>
          <cell r="S41">
            <v>313.27196299999997</v>
          </cell>
          <cell r="T41">
            <v>507.46166554265199</v>
          </cell>
          <cell r="U41">
            <v>51.570655527727951</v>
          </cell>
          <cell r="V41">
            <v>313.27196299999997</v>
          </cell>
          <cell r="W41">
            <v>507.46166554265199</v>
          </cell>
          <cell r="X41">
            <v>61.022376019702648</v>
          </cell>
          <cell r="Y41">
            <v>338.12996299999998</v>
          </cell>
          <cell r="Z41">
            <v>454.10815680272106</v>
          </cell>
          <cell r="AA41">
            <v>79.22420918731126</v>
          </cell>
          <cell r="AB41">
            <v>362.18281401486979</v>
          </cell>
          <cell r="AC41">
            <v>357.16179149047014</v>
          </cell>
          <cell r="AD41">
            <v>79.22420918731126</v>
          </cell>
          <cell r="AE41">
            <v>362.18281401486979</v>
          </cell>
          <cell r="AF41">
            <v>357.16179149047014</v>
          </cell>
          <cell r="AG41">
            <v>79.22420918731126</v>
          </cell>
          <cell r="AH41">
            <v>362.18281401486979</v>
          </cell>
          <cell r="AI41">
            <v>357.16179149047014</v>
          </cell>
          <cell r="AJ41">
            <v>102.17126572531993</v>
          </cell>
          <cell r="AK41">
            <v>323.9791103111661</v>
          </cell>
          <cell r="AL41">
            <v>217.09415363626849</v>
          </cell>
          <cell r="AM41">
            <v>118.93325592512255</v>
          </cell>
          <cell r="AN41">
            <v>298.82207327412908</v>
          </cell>
          <cell r="AO41">
            <v>151.25190675201904</v>
          </cell>
          <cell r="AP41">
            <v>139.56227337830018</v>
          </cell>
          <cell r="AQ41">
            <v>258.03725845931422</v>
          </cell>
          <cell r="AR41">
            <v>84.890409286952121</v>
          </cell>
          <cell r="AS41">
            <v>139.56227337830018</v>
          </cell>
          <cell r="AT41">
            <v>258.03725845931422</v>
          </cell>
          <cell r="AU41">
            <v>84.890409286952121</v>
          </cell>
          <cell r="AV41">
            <v>156.03054451451686</v>
          </cell>
          <cell r="AW41">
            <v>202.92688808894385</v>
          </cell>
          <cell r="AX41">
            <v>30.055873816465358</v>
          </cell>
          <cell r="AY41">
            <v>150.21921534726593</v>
          </cell>
          <cell r="AZ41">
            <v>161.10318438524007</v>
          </cell>
          <cell r="BA41">
            <v>7.2453906864134305</v>
          </cell>
          <cell r="BB41">
            <v>152.07531799999865</v>
          </cell>
          <cell r="BC41">
            <v>119.31922142227714</v>
          </cell>
          <cell r="BD41">
            <v>-21.539390486575737</v>
          </cell>
          <cell r="BE41">
            <v>152.07531799999865</v>
          </cell>
          <cell r="BF41">
            <v>119.31922142227714</v>
          </cell>
          <cell r="BG41">
            <v>-21.539390486575737</v>
          </cell>
          <cell r="BH41">
            <v>152.07531799999865</v>
          </cell>
          <cell r="BI41">
            <v>119.31922142227714</v>
          </cell>
          <cell r="BJ41">
            <v>-21.539390486575737</v>
          </cell>
          <cell r="BK41">
            <v>152.07531799999865</v>
          </cell>
          <cell r="BL41">
            <v>119.31922142227714</v>
          </cell>
          <cell r="BM41">
            <v>-21.539390486575737</v>
          </cell>
        </row>
        <row r="42">
          <cell r="C42">
            <v>37</v>
          </cell>
          <cell r="D42" t="str">
            <v>FC Stock</v>
          </cell>
          <cell r="E42" t="str">
            <v>KTON</v>
          </cell>
          <cell r="F42">
            <v>174.14482343008709</v>
          </cell>
          <cell r="G42">
            <v>145.11597499999999</v>
          </cell>
          <cell r="H42">
            <v>-16.66937199642982</v>
          </cell>
          <cell r="I42">
            <v>167.63318676342038</v>
          </cell>
          <cell r="J42">
            <v>167.06237610892231</v>
          </cell>
          <cell r="K42">
            <v>-0.34051172415140946</v>
          </cell>
          <cell r="L42">
            <v>167.92227009675372</v>
          </cell>
          <cell r="M42">
            <v>121.65334610892228</v>
          </cell>
          <cell r="N42">
            <v>-27.553774708483957</v>
          </cell>
          <cell r="O42">
            <v>167.92227009675372</v>
          </cell>
          <cell r="P42">
            <v>121.65334610892228</v>
          </cell>
          <cell r="Q42">
            <v>-27.553774708483957</v>
          </cell>
          <cell r="R42">
            <v>152.22310843008708</v>
          </cell>
          <cell r="S42">
            <v>94.006206999999989</v>
          </cell>
          <cell r="T42">
            <v>-38.24445711987606</v>
          </cell>
          <cell r="U42">
            <v>152.22310843008708</v>
          </cell>
          <cell r="V42">
            <v>94.006206999999989</v>
          </cell>
          <cell r="W42">
            <v>-38.24445711987606</v>
          </cell>
          <cell r="X42">
            <v>185.23204676342039</v>
          </cell>
          <cell r="Y42">
            <v>125.89820700000001</v>
          </cell>
          <cell r="Z42">
            <v>-32.032167651422618</v>
          </cell>
          <cell r="AA42">
            <v>157.4730050967537</v>
          </cell>
          <cell r="AB42">
            <v>287.66413292592591</v>
          </cell>
          <cell r="AC42">
            <v>82.675203759006749</v>
          </cell>
          <cell r="AD42">
            <v>157.4730050967537</v>
          </cell>
          <cell r="AE42">
            <v>287.66413292592591</v>
          </cell>
          <cell r="AF42">
            <v>82.675203759006749</v>
          </cell>
          <cell r="AG42">
            <v>157.4730050967537</v>
          </cell>
          <cell r="AH42">
            <v>287.66413292592591</v>
          </cell>
          <cell r="AI42">
            <v>82.675203759006749</v>
          </cell>
          <cell r="AJ42">
            <v>172.78613343008701</v>
          </cell>
          <cell r="AK42">
            <v>353.01783662962964</v>
          </cell>
          <cell r="AL42">
            <v>104.30912459330439</v>
          </cell>
          <cell r="AM42">
            <v>172.77034676342032</v>
          </cell>
          <cell r="AN42">
            <v>331.67487366666666</v>
          </cell>
          <cell r="AO42">
            <v>91.974421467613951</v>
          </cell>
          <cell r="AP42">
            <v>164.37124009675364</v>
          </cell>
          <cell r="AQ42">
            <v>283.90968848148151</v>
          </cell>
          <cell r="AR42">
            <v>72.72467392371324</v>
          </cell>
          <cell r="AS42">
            <v>164.37124009675364</v>
          </cell>
          <cell r="AT42">
            <v>283.90968848148151</v>
          </cell>
          <cell r="AU42">
            <v>72.72467392371324</v>
          </cell>
          <cell r="AV42">
            <v>152.292213430087</v>
          </cell>
          <cell r="AW42">
            <v>303.96005885185184</v>
          </cell>
          <cell r="AX42">
            <v>99.590019742796116</v>
          </cell>
          <cell r="AY42">
            <v>130.22909176342034</v>
          </cell>
          <cell r="AZ42">
            <v>291.48376255555559</v>
          </cell>
          <cell r="BA42">
            <v>123.82384658343257</v>
          </cell>
          <cell r="BB42">
            <v>126.75392009675369</v>
          </cell>
          <cell r="BC42">
            <v>303.70672551851857</v>
          </cell>
          <cell r="BD42">
            <v>139.60341840843535</v>
          </cell>
          <cell r="BE42">
            <v>126.75392009675369</v>
          </cell>
          <cell r="BF42">
            <v>303.70672551851857</v>
          </cell>
          <cell r="BG42">
            <v>139.60341840843535</v>
          </cell>
          <cell r="BH42">
            <v>126.75392009675369</v>
          </cell>
          <cell r="BI42">
            <v>303.70672551851857</v>
          </cell>
          <cell r="BJ42">
            <v>139.60341840843535</v>
          </cell>
          <cell r="BK42">
            <v>126.75392009675369</v>
          </cell>
          <cell r="BL42">
            <v>303.70672551851857</v>
          </cell>
          <cell r="BM42">
            <v>139.60341840843535</v>
          </cell>
        </row>
        <row r="43">
          <cell r="C43">
            <v>38</v>
          </cell>
          <cell r="D43" t="str">
            <v>Sales</v>
          </cell>
          <cell r="E43" t="str">
            <v>KTON</v>
          </cell>
          <cell r="F43">
            <v>123.5</v>
          </cell>
          <cell r="G43">
            <v>70.682000000000002</v>
          </cell>
          <cell r="H43">
            <v>-42.767611336032388</v>
          </cell>
          <cell r="I43">
            <v>197</v>
          </cell>
          <cell r="J43">
            <v>217.86699999999999</v>
          </cell>
          <cell r="K43">
            <v>10.592385786802025</v>
          </cell>
          <cell r="L43">
            <v>189</v>
          </cell>
          <cell r="M43">
            <v>326.44099999999997</v>
          </cell>
          <cell r="N43">
            <v>72.7201058201058</v>
          </cell>
          <cell r="O43">
            <v>509.5</v>
          </cell>
          <cell r="P43">
            <v>614.99</v>
          </cell>
          <cell r="Q43">
            <v>20.704612365063792</v>
          </cell>
          <cell r="R43">
            <v>199.5</v>
          </cell>
          <cell r="S43">
            <v>216.654</v>
          </cell>
          <cell r="T43">
            <v>8.5984962406015022</v>
          </cell>
          <cell r="U43">
            <v>709</v>
          </cell>
          <cell r="V43">
            <v>831.64400000000001</v>
          </cell>
          <cell r="W43">
            <v>17.298166431593796</v>
          </cell>
          <cell r="X43">
            <v>181</v>
          </cell>
          <cell r="Y43">
            <v>202.95</v>
          </cell>
          <cell r="Z43">
            <v>12.127071823204414</v>
          </cell>
          <cell r="AA43">
            <v>241</v>
          </cell>
          <cell r="AB43">
            <v>99.000000000000014</v>
          </cell>
          <cell r="AC43">
            <v>-58.921161825726145</v>
          </cell>
          <cell r="AD43">
            <v>621.5</v>
          </cell>
          <cell r="AE43">
            <v>518.60400000000004</v>
          </cell>
          <cell r="AF43">
            <v>-16.556074014481087</v>
          </cell>
          <cell r="AG43">
            <v>1131</v>
          </cell>
          <cell r="AH43">
            <v>1133.5940000000001</v>
          </cell>
          <cell r="AI43">
            <v>0.22935455349248901</v>
          </cell>
          <cell r="AJ43">
            <v>199</v>
          </cell>
          <cell r="AK43">
            <v>188.75</v>
          </cell>
          <cell r="AL43">
            <v>-5.1507537688442211</v>
          </cell>
          <cell r="AM43">
            <v>199</v>
          </cell>
          <cell r="AN43">
            <v>260</v>
          </cell>
          <cell r="AO43">
            <v>30.653266331658291</v>
          </cell>
          <cell r="AP43">
            <v>229</v>
          </cell>
          <cell r="AQ43">
            <v>312.75</v>
          </cell>
          <cell r="AR43">
            <v>36.572052401746724</v>
          </cell>
          <cell r="AS43">
            <v>627</v>
          </cell>
          <cell r="AT43">
            <v>761.5</v>
          </cell>
          <cell r="AU43">
            <v>21.451355661881976</v>
          </cell>
          <cell r="AV43">
            <v>229</v>
          </cell>
          <cell r="AW43">
            <v>231.75</v>
          </cell>
          <cell r="AX43">
            <v>1.2008733624454149</v>
          </cell>
          <cell r="AY43">
            <v>225</v>
          </cell>
          <cell r="AZ43">
            <v>263</v>
          </cell>
          <cell r="BA43">
            <v>16.888888888888889</v>
          </cell>
          <cell r="BB43">
            <v>175.5</v>
          </cell>
          <cell r="BC43">
            <v>239.05</v>
          </cell>
          <cell r="BD43">
            <v>36.21082621082622</v>
          </cell>
          <cell r="BE43">
            <v>629.5</v>
          </cell>
          <cell r="BF43">
            <v>733.8</v>
          </cell>
          <cell r="BG43">
            <v>16.568705321683868</v>
          </cell>
          <cell r="BH43">
            <v>1256.5</v>
          </cell>
          <cell r="BI43">
            <v>1495.3</v>
          </cell>
          <cell r="BJ43">
            <v>19.005173099880619</v>
          </cell>
          <cell r="BK43">
            <v>2387.5</v>
          </cell>
          <cell r="BL43">
            <v>2628.8940000000002</v>
          </cell>
          <cell r="BM43">
            <v>10.110743455497392</v>
          </cell>
        </row>
        <row r="44">
          <cell r="C44">
            <v>39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 t="str">
            <v xml:space="preserve"> 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</row>
        <row r="45">
          <cell r="C45">
            <v>40</v>
          </cell>
          <cell r="D45">
            <v>0</v>
          </cell>
          <cell r="E45">
            <v>0</v>
          </cell>
          <cell r="F45" t="str">
            <v>JANUARY</v>
          </cell>
          <cell r="G45">
            <v>0</v>
          </cell>
          <cell r="H45">
            <v>0</v>
          </cell>
          <cell r="I45" t="str">
            <v>FEBRUARY</v>
          </cell>
          <cell r="J45">
            <v>0</v>
          </cell>
          <cell r="K45">
            <v>0</v>
          </cell>
          <cell r="L45" t="str">
            <v>MARCH</v>
          </cell>
          <cell r="M45">
            <v>0</v>
          </cell>
          <cell r="N45">
            <v>0</v>
          </cell>
          <cell r="O45" t="str">
            <v>Q1</v>
          </cell>
          <cell r="P45">
            <v>0</v>
          </cell>
          <cell r="Q45">
            <v>0</v>
          </cell>
          <cell r="R45" t="str">
            <v>APRIL</v>
          </cell>
          <cell r="S45">
            <v>0</v>
          </cell>
          <cell r="T45">
            <v>0</v>
          </cell>
          <cell r="U45" t="str">
            <v>JANUARY - APRIL</v>
          </cell>
          <cell r="V45">
            <v>0</v>
          </cell>
          <cell r="W45">
            <v>0</v>
          </cell>
          <cell r="X45" t="str">
            <v>MAY</v>
          </cell>
          <cell r="Y45">
            <v>0</v>
          </cell>
          <cell r="Z45">
            <v>0</v>
          </cell>
          <cell r="AA45" t="str">
            <v>JUNE</v>
          </cell>
          <cell r="AB45">
            <v>0</v>
          </cell>
          <cell r="AC45">
            <v>0</v>
          </cell>
          <cell r="AD45" t="str">
            <v>Q2</v>
          </cell>
          <cell r="AE45">
            <v>0</v>
          </cell>
          <cell r="AF45">
            <v>0</v>
          </cell>
          <cell r="AG45" t="str">
            <v>1st HALF</v>
          </cell>
          <cell r="AH45">
            <v>0</v>
          </cell>
          <cell r="AI45">
            <v>0</v>
          </cell>
          <cell r="AJ45" t="str">
            <v>JULY</v>
          </cell>
          <cell r="AK45">
            <v>0</v>
          </cell>
          <cell r="AL45">
            <v>0</v>
          </cell>
          <cell r="AM45" t="str">
            <v>AUGUST</v>
          </cell>
          <cell r="AN45">
            <v>0</v>
          </cell>
          <cell r="AO45">
            <v>0</v>
          </cell>
          <cell r="AP45" t="str">
            <v>SEPTEMBER</v>
          </cell>
          <cell r="AQ45">
            <v>0</v>
          </cell>
          <cell r="AR45">
            <v>0</v>
          </cell>
          <cell r="AS45" t="str">
            <v>Q3</v>
          </cell>
          <cell r="AT45">
            <v>0</v>
          </cell>
          <cell r="AU45">
            <v>0</v>
          </cell>
          <cell r="AV45" t="str">
            <v>OCTOBER</v>
          </cell>
          <cell r="AW45">
            <v>0</v>
          </cell>
          <cell r="AX45">
            <v>0</v>
          </cell>
          <cell r="AY45" t="str">
            <v>NOVEMBER</v>
          </cell>
          <cell r="AZ45">
            <v>0</v>
          </cell>
          <cell r="BA45">
            <v>0</v>
          </cell>
          <cell r="BB45" t="str">
            <v>DECEMBER</v>
          </cell>
          <cell r="BC45">
            <v>0</v>
          </cell>
          <cell r="BD45">
            <v>0</v>
          </cell>
          <cell r="BE45" t="str">
            <v>Q4</v>
          </cell>
          <cell r="BF45">
            <v>0</v>
          </cell>
          <cell r="BG45">
            <v>0</v>
          </cell>
          <cell r="BH45" t="str">
            <v>2nd HALF</v>
          </cell>
          <cell r="BI45">
            <v>0</v>
          </cell>
          <cell r="BJ45">
            <v>0</v>
          </cell>
          <cell r="BK45" t="str">
            <v>TOTAL 2012</v>
          </cell>
          <cell r="BL45">
            <v>0</v>
          </cell>
          <cell r="BM45">
            <v>0</v>
          </cell>
        </row>
        <row r="46">
          <cell r="C46">
            <v>41</v>
          </cell>
          <cell r="D46">
            <v>0</v>
          </cell>
          <cell r="E46">
            <v>0</v>
          </cell>
          <cell r="F46" t="str">
            <v>Plan</v>
          </cell>
          <cell r="G46" t="str">
            <v>Actual</v>
          </cell>
          <cell r="H46" t="str">
            <v>% var</v>
          </cell>
          <cell r="I46" t="str">
            <v>Plan</v>
          </cell>
          <cell r="J46" t="str">
            <v>Actual</v>
          </cell>
          <cell r="K46" t="str">
            <v>% var</v>
          </cell>
          <cell r="L46" t="str">
            <v>Plan</v>
          </cell>
          <cell r="M46" t="str">
            <v>Actual</v>
          </cell>
          <cell r="N46" t="str">
            <v>% var</v>
          </cell>
          <cell r="O46" t="str">
            <v>Plan</v>
          </cell>
          <cell r="P46" t="str">
            <v>Actual</v>
          </cell>
          <cell r="Q46" t="str">
            <v>% var</v>
          </cell>
          <cell r="R46" t="str">
            <v>Plan</v>
          </cell>
          <cell r="S46" t="str">
            <v>Est</v>
          </cell>
          <cell r="T46" t="str">
            <v>% var</v>
          </cell>
          <cell r="U46" t="str">
            <v>Plan</v>
          </cell>
          <cell r="V46" t="str">
            <v>Est.</v>
          </cell>
          <cell r="W46" t="str">
            <v>% var</v>
          </cell>
          <cell r="X46" t="str">
            <v>Plan</v>
          </cell>
          <cell r="Y46" t="str">
            <v>Est</v>
          </cell>
          <cell r="Z46" t="str">
            <v>% var</v>
          </cell>
          <cell r="AA46" t="str">
            <v>Plan</v>
          </cell>
          <cell r="AB46" t="str">
            <v>Est</v>
          </cell>
          <cell r="AC46" t="str">
            <v>% var</v>
          </cell>
          <cell r="AD46" t="str">
            <v>Plan</v>
          </cell>
          <cell r="AE46" t="str">
            <v>Est.</v>
          </cell>
          <cell r="AF46" t="str">
            <v>% var</v>
          </cell>
          <cell r="AG46" t="str">
            <v>Plan</v>
          </cell>
          <cell r="AH46" t="str">
            <v>Est</v>
          </cell>
          <cell r="AI46" t="str">
            <v>% var</v>
          </cell>
          <cell r="AJ46" t="str">
            <v>Plan</v>
          </cell>
          <cell r="AK46" t="str">
            <v>Est</v>
          </cell>
          <cell r="AL46" t="str">
            <v>% var</v>
          </cell>
          <cell r="AM46" t="str">
            <v>Plan</v>
          </cell>
          <cell r="AN46" t="str">
            <v>Est</v>
          </cell>
          <cell r="AO46" t="str">
            <v>% var</v>
          </cell>
          <cell r="AP46" t="str">
            <v>Plan</v>
          </cell>
          <cell r="AQ46" t="str">
            <v>Est</v>
          </cell>
          <cell r="AR46" t="str">
            <v>% var</v>
          </cell>
          <cell r="AS46" t="str">
            <v>Plan</v>
          </cell>
          <cell r="AT46" t="str">
            <v>Est.</v>
          </cell>
          <cell r="AU46" t="str">
            <v>% var</v>
          </cell>
          <cell r="AV46" t="str">
            <v>Plan</v>
          </cell>
          <cell r="AW46" t="str">
            <v>Est</v>
          </cell>
          <cell r="AX46" t="str">
            <v>% var</v>
          </cell>
          <cell r="AY46" t="str">
            <v>Plan</v>
          </cell>
          <cell r="AZ46" t="str">
            <v>Est</v>
          </cell>
          <cell r="BA46" t="str">
            <v>% var</v>
          </cell>
          <cell r="BB46" t="str">
            <v>Plan</v>
          </cell>
          <cell r="BC46" t="str">
            <v>Est</v>
          </cell>
          <cell r="BD46" t="str">
            <v>% var</v>
          </cell>
          <cell r="BE46" t="str">
            <v>Plan</v>
          </cell>
          <cell r="BF46" t="str">
            <v>Est.</v>
          </cell>
          <cell r="BG46" t="str">
            <v>% var</v>
          </cell>
          <cell r="BH46" t="str">
            <v>Plan</v>
          </cell>
          <cell r="BI46" t="str">
            <v>Est.</v>
          </cell>
          <cell r="BJ46" t="str">
            <v>% var</v>
          </cell>
          <cell r="BK46" t="str">
            <v>Plan</v>
          </cell>
          <cell r="BL46" t="str">
            <v>Est</v>
          </cell>
          <cell r="BM46" t="str">
            <v>% var</v>
          </cell>
        </row>
        <row r="47">
          <cell r="C47">
            <v>42</v>
          </cell>
          <cell r="D47" t="str">
            <v>OB Removal</v>
          </cell>
          <cell r="E47" t="str">
            <v>KBCM</v>
          </cell>
          <cell r="F47">
            <v>608.00273309754471</v>
          </cell>
          <cell r="G47">
            <v>0</v>
          </cell>
          <cell r="H47">
            <v>-100</v>
          </cell>
          <cell r="I47">
            <v>683.12667930430177</v>
          </cell>
          <cell r="J47">
            <v>0</v>
          </cell>
          <cell r="K47">
            <v>-100</v>
          </cell>
          <cell r="L47">
            <v>690.58043605621253</v>
          </cell>
          <cell r="M47">
            <v>0</v>
          </cell>
          <cell r="N47">
            <v>-100</v>
          </cell>
          <cell r="O47">
            <v>1981.7098484580588</v>
          </cell>
          <cell r="P47">
            <v>0</v>
          </cell>
          <cell r="Q47">
            <v>-100</v>
          </cell>
          <cell r="R47">
            <v>847.79974031412166</v>
          </cell>
          <cell r="S47">
            <v>0</v>
          </cell>
          <cell r="T47">
            <v>-100</v>
          </cell>
          <cell r="U47">
            <v>2829.5095887721805</v>
          </cell>
          <cell r="V47">
            <v>0</v>
          </cell>
          <cell r="W47">
            <v>-100</v>
          </cell>
          <cell r="X47">
            <v>942.75898786382459</v>
          </cell>
          <cell r="Y47">
            <v>0</v>
          </cell>
          <cell r="Z47">
            <v>-100</v>
          </cell>
          <cell r="AA47">
            <v>803.25987462457101</v>
          </cell>
          <cell r="AB47">
            <v>0</v>
          </cell>
          <cell r="AC47">
            <v>-100</v>
          </cell>
          <cell r="AD47">
            <v>2593.8186028025175</v>
          </cell>
          <cell r="AE47">
            <v>0</v>
          </cell>
          <cell r="AF47">
            <v>-100</v>
          </cell>
          <cell r="AG47">
            <v>4575.5284512605758</v>
          </cell>
          <cell r="AH47">
            <v>0</v>
          </cell>
          <cell r="AI47">
            <v>-100</v>
          </cell>
          <cell r="AJ47">
            <v>1457.5927810424616</v>
          </cell>
          <cell r="AK47">
            <v>0</v>
          </cell>
          <cell r="AL47">
            <v>-100</v>
          </cell>
          <cell r="AM47">
            <v>1294.3360017247669</v>
          </cell>
          <cell r="AN47">
            <v>0</v>
          </cell>
          <cell r="AO47">
            <v>-100</v>
          </cell>
          <cell r="AP47">
            <v>1273.8698608869256</v>
          </cell>
          <cell r="AQ47">
            <v>0</v>
          </cell>
          <cell r="AR47">
            <v>-100</v>
          </cell>
          <cell r="AS47">
            <v>4025.7986436541541</v>
          </cell>
          <cell r="AT47">
            <v>0</v>
          </cell>
          <cell r="AU47">
            <v>-100</v>
          </cell>
          <cell r="AV47">
            <v>1102.3616510639508</v>
          </cell>
          <cell r="AW47">
            <v>0</v>
          </cell>
          <cell r="AX47">
            <v>-100</v>
          </cell>
          <cell r="AY47">
            <v>1011.8061125362592</v>
          </cell>
          <cell r="AZ47">
            <v>0</v>
          </cell>
          <cell r="BA47">
            <v>-100</v>
          </cell>
          <cell r="BB47">
            <v>866.56366342099375</v>
          </cell>
          <cell r="BC47">
            <v>0</v>
          </cell>
          <cell r="BD47">
            <v>-100</v>
          </cell>
          <cell r="BE47">
            <v>2980.7314270212037</v>
          </cell>
          <cell r="BF47">
            <v>0</v>
          </cell>
          <cell r="BG47">
            <v>-100</v>
          </cell>
          <cell r="BH47">
            <v>7006.5300706753578</v>
          </cell>
          <cell r="BI47">
            <v>0</v>
          </cell>
          <cell r="BJ47">
            <v>-100</v>
          </cell>
          <cell r="BK47">
            <v>11582.058521935933</v>
          </cell>
          <cell r="BL47">
            <v>0</v>
          </cell>
          <cell r="BM47">
            <v>-100</v>
          </cell>
        </row>
        <row r="48">
          <cell r="C48">
            <v>43</v>
          </cell>
          <cell r="D48" t="str">
            <v>ROM Production</v>
          </cell>
          <cell r="E48" t="str">
            <v>KTON</v>
          </cell>
          <cell r="F48">
            <v>23.691170905497597</v>
          </cell>
          <cell r="G48">
            <v>0</v>
          </cell>
          <cell r="H48">
            <v>-100</v>
          </cell>
          <cell r="I48">
            <v>32.097838295707504</v>
          </cell>
          <cell r="J48">
            <v>0</v>
          </cell>
          <cell r="K48">
            <v>-100</v>
          </cell>
          <cell r="L48">
            <v>32.6918772934157</v>
          </cell>
          <cell r="M48">
            <v>0</v>
          </cell>
          <cell r="N48">
            <v>-100</v>
          </cell>
          <cell r="O48">
            <v>88.480886494620805</v>
          </cell>
          <cell r="P48">
            <v>0</v>
          </cell>
          <cell r="Q48">
            <v>-100</v>
          </cell>
          <cell r="R48">
            <v>54.034102309752917</v>
          </cell>
          <cell r="S48">
            <v>0</v>
          </cell>
          <cell r="T48">
            <v>-100</v>
          </cell>
          <cell r="U48">
            <v>142.51498880437373</v>
          </cell>
          <cell r="V48">
            <v>0</v>
          </cell>
          <cell r="W48">
            <v>-100</v>
          </cell>
          <cell r="X48">
            <v>55.287269374852549</v>
          </cell>
          <cell r="Y48">
            <v>0</v>
          </cell>
          <cell r="Z48">
            <v>-100</v>
          </cell>
          <cell r="AA48">
            <v>54.786738428294825</v>
          </cell>
          <cell r="AB48">
            <v>0</v>
          </cell>
          <cell r="AC48">
            <v>-100</v>
          </cell>
          <cell r="AD48">
            <v>164.10811011290031</v>
          </cell>
          <cell r="AE48">
            <v>0</v>
          </cell>
          <cell r="AF48">
            <v>-100</v>
          </cell>
          <cell r="AG48">
            <v>252.5889966075211</v>
          </cell>
          <cell r="AH48">
            <v>0</v>
          </cell>
          <cell r="AI48">
            <v>-100</v>
          </cell>
          <cell r="AJ48">
            <v>81.352523197566029</v>
          </cell>
          <cell r="AK48">
            <v>0</v>
          </cell>
          <cell r="AL48">
            <v>-100</v>
          </cell>
          <cell r="AM48">
            <v>58.426917936129342</v>
          </cell>
          <cell r="AN48">
            <v>0</v>
          </cell>
          <cell r="AO48">
            <v>-100</v>
          </cell>
          <cell r="AP48">
            <v>69.450482882853777</v>
          </cell>
          <cell r="AQ48">
            <v>0</v>
          </cell>
          <cell r="AR48">
            <v>-100</v>
          </cell>
          <cell r="AS48">
            <v>209.22992401654915</v>
          </cell>
          <cell r="AT48">
            <v>0</v>
          </cell>
          <cell r="AU48">
            <v>-100</v>
          </cell>
          <cell r="AV48">
            <v>41.38906250283712</v>
          </cell>
          <cell r="AW48">
            <v>0</v>
          </cell>
          <cell r="AX48">
            <v>-100</v>
          </cell>
          <cell r="AY48">
            <v>45.417786217227757</v>
          </cell>
          <cell r="AZ48">
            <v>0</v>
          </cell>
          <cell r="BA48">
            <v>-100</v>
          </cell>
          <cell r="BB48">
            <v>38.266152454666852</v>
          </cell>
          <cell r="BC48">
            <v>0</v>
          </cell>
          <cell r="BD48">
            <v>-100</v>
          </cell>
          <cell r="BE48">
            <v>125.07300117473173</v>
          </cell>
          <cell r="BF48">
            <v>0</v>
          </cell>
          <cell r="BG48">
            <v>-100</v>
          </cell>
          <cell r="BH48">
            <v>334.30292519128091</v>
          </cell>
          <cell r="BI48">
            <v>0</v>
          </cell>
          <cell r="BJ48">
            <v>-100</v>
          </cell>
          <cell r="BK48">
            <v>586.89192179880195</v>
          </cell>
          <cell r="BL48">
            <v>0</v>
          </cell>
          <cell r="BM48">
            <v>-100</v>
          </cell>
        </row>
        <row r="49">
          <cell r="C49">
            <v>44</v>
          </cell>
          <cell r="D49" t="str">
            <v>Stripping Ratio</v>
          </cell>
          <cell r="E49" t="str">
            <v>OB: ROM</v>
          </cell>
          <cell r="F49">
            <v>25.663684396302088</v>
          </cell>
          <cell r="G49" t="e">
            <v>#DIV/0!</v>
          </cell>
          <cell r="H49" t="e">
            <v>#DIV/0!</v>
          </cell>
          <cell r="I49">
            <v>21.282638195471794</v>
          </cell>
          <cell r="J49" t="e">
            <v>#DIV/0!</v>
          </cell>
          <cell r="K49" t="e">
            <v>#DIV/0!</v>
          </cell>
          <cell r="L49">
            <v>21.123914966954153</v>
          </cell>
          <cell r="M49" t="e">
            <v>#DIV/0!</v>
          </cell>
          <cell r="N49" t="e">
            <v>#DIV/0!</v>
          </cell>
          <cell r="O49">
            <v>22.397038806551027</v>
          </cell>
          <cell r="P49" t="e">
            <v>#DIV/0!</v>
          </cell>
          <cell r="Q49" t="e">
            <v>#DIV/0!</v>
          </cell>
          <cell r="R49">
            <v>15.690086520806279</v>
          </cell>
          <cell r="S49" t="e">
            <v>#DIV/0!</v>
          </cell>
          <cell r="T49" t="e">
            <v>#DIV/0!</v>
          </cell>
          <cell r="U49">
            <v>19.854119293067257</v>
          </cell>
          <cell r="V49" t="e">
            <v>#DIV/0!</v>
          </cell>
          <cell r="W49" t="e">
            <v>#DIV/0!</v>
          </cell>
          <cell r="X49">
            <v>17.052008509804232</v>
          </cell>
          <cell r="Y49" t="e">
            <v>#DIV/0!</v>
          </cell>
          <cell r="Z49" t="e">
            <v>#DIV/0!</v>
          </cell>
          <cell r="AA49">
            <v>14.661575002787979</v>
          </cell>
          <cell r="AB49" t="e">
            <v>#DIV/0!</v>
          </cell>
          <cell r="AC49" t="e">
            <v>#DIV/0!</v>
          </cell>
          <cell r="AD49">
            <v>15.805547946521756</v>
          </cell>
          <cell r="AE49" t="e">
            <v>#DIV/0!</v>
          </cell>
          <cell r="AF49" t="e">
            <v>#DIV/0!</v>
          </cell>
          <cell r="AG49">
            <v>18.114520080897041</v>
          </cell>
          <cell r="AH49" t="e">
            <v>#DIV/0!</v>
          </cell>
          <cell r="AI49" t="e">
            <v>#DIV/0!</v>
          </cell>
          <cell r="AJ49">
            <v>17.916995364761728</v>
          </cell>
          <cell r="AK49" t="e">
            <v>#DIV/0!</v>
          </cell>
          <cell r="AL49" t="e">
            <v>#DIV/0!</v>
          </cell>
          <cell r="AM49">
            <v>22.153076825645645</v>
          </cell>
          <cell r="AN49" t="e">
            <v>#DIV/0!</v>
          </cell>
          <cell r="AO49" t="e">
            <v>#DIV/0!</v>
          </cell>
          <cell r="AP49">
            <v>18.342131084036335</v>
          </cell>
          <cell r="AQ49" t="e">
            <v>#DIV/0!</v>
          </cell>
          <cell r="AR49" t="e">
            <v>#DIV/0!</v>
          </cell>
          <cell r="AS49">
            <v>19.241027126386239</v>
          </cell>
          <cell r="AT49" t="e">
            <v>#DIV/0!</v>
          </cell>
          <cell r="AU49" t="e">
            <v>#DIV/0!</v>
          </cell>
          <cell r="AV49">
            <v>26.634129511592263</v>
          </cell>
          <cell r="AW49" t="e">
            <v>#DIV/0!</v>
          </cell>
          <cell r="AX49" t="e">
            <v>#DIV/0!</v>
          </cell>
          <cell r="AY49">
            <v>22.277750564435557</v>
          </cell>
          <cell r="AZ49" t="e">
            <v>#DIV/0!</v>
          </cell>
          <cell r="BA49" t="e">
            <v>#DIV/0!</v>
          </cell>
          <cell r="BB49">
            <v>22.645696204958011</v>
          </cell>
          <cell r="BC49" t="e">
            <v>#DIV/0!</v>
          </cell>
          <cell r="BD49" t="e">
            <v>#DIV/0!</v>
          </cell>
          <cell r="BE49">
            <v>23.831933343128217</v>
          </cell>
          <cell r="BF49" t="e">
            <v>#DIV/0!</v>
          </cell>
          <cell r="BG49" t="e">
            <v>#DIV/0!</v>
          </cell>
          <cell r="BH49">
            <v>20.958626271865175</v>
          </cell>
          <cell r="BI49" t="e">
            <v>#DIV/0!</v>
          </cell>
          <cell r="BJ49" t="e">
            <v>#DIV/0!</v>
          </cell>
          <cell r="BK49">
            <v>19.734567970261633</v>
          </cell>
          <cell r="BL49" t="e">
            <v>#DIV/0!</v>
          </cell>
          <cell r="BM49" t="e">
            <v>#DIV/0!</v>
          </cell>
        </row>
        <row r="50">
          <cell r="C50">
            <v>45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</row>
        <row r="51">
          <cell r="C51">
            <v>46</v>
          </cell>
          <cell r="D51">
            <v>0</v>
          </cell>
          <cell r="E51">
            <v>0</v>
          </cell>
          <cell r="F51" t="str">
            <v>JANUARY</v>
          </cell>
          <cell r="G51">
            <v>0</v>
          </cell>
          <cell r="H51">
            <v>0</v>
          </cell>
          <cell r="I51" t="str">
            <v>FEBRUARY</v>
          </cell>
          <cell r="J51">
            <v>0</v>
          </cell>
          <cell r="K51">
            <v>0</v>
          </cell>
          <cell r="L51" t="str">
            <v>MARCH</v>
          </cell>
          <cell r="M51">
            <v>0</v>
          </cell>
          <cell r="N51">
            <v>0</v>
          </cell>
          <cell r="O51" t="str">
            <v>Q1</v>
          </cell>
          <cell r="P51">
            <v>0</v>
          </cell>
          <cell r="Q51">
            <v>0</v>
          </cell>
          <cell r="R51" t="str">
            <v>APRIL</v>
          </cell>
          <cell r="S51">
            <v>0</v>
          </cell>
          <cell r="T51">
            <v>0</v>
          </cell>
          <cell r="U51" t="str">
            <v>JANUARY - APRIL</v>
          </cell>
          <cell r="V51">
            <v>0</v>
          </cell>
          <cell r="W51">
            <v>0</v>
          </cell>
          <cell r="X51" t="str">
            <v>MAY</v>
          </cell>
          <cell r="Y51">
            <v>0</v>
          </cell>
          <cell r="Z51">
            <v>0</v>
          </cell>
          <cell r="AA51" t="str">
            <v>JUNE</v>
          </cell>
          <cell r="AB51">
            <v>0</v>
          </cell>
          <cell r="AC51">
            <v>0</v>
          </cell>
          <cell r="AD51" t="str">
            <v>Q2</v>
          </cell>
          <cell r="AE51">
            <v>0</v>
          </cell>
          <cell r="AF51">
            <v>0</v>
          </cell>
          <cell r="AG51" t="str">
            <v>1st HALF</v>
          </cell>
          <cell r="AH51">
            <v>0</v>
          </cell>
          <cell r="AI51">
            <v>0</v>
          </cell>
          <cell r="AJ51" t="str">
            <v>JULY</v>
          </cell>
          <cell r="AK51">
            <v>0</v>
          </cell>
          <cell r="AL51">
            <v>0</v>
          </cell>
          <cell r="AM51" t="str">
            <v>AUGUST</v>
          </cell>
          <cell r="AN51">
            <v>0</v>
          </cell>
          <cell r="AO51">
            <v>0</v>
          </cell>
          <cell r="AP51" t="str">
            <v>SEPTEMBER</v>
          </cell>
          <cell r="AQ51">
            <v>0</v>
          </cell>
          <cell r="AR51">
            <v>0</v>
          </cell>
          <cell r="AS51" t="str">
            <v>Q3</v>
          </cell>
          <cell r="AT51">
            <v>0</v>
          </cell>
          <cell r="AU51">
            <v>0</v>
          </cell>
          <cell r="AV51" t="str">
            <v>OCTOBER</v>
          </cell>
          <cell r="AW51">
            <v>0</v>
          </cell>
          <cell r="AX51">
            <v>0</v>
          </cell>
          <cell r="AY51" t="str">
            <v>NOVEMBER</v>
          </cell>
          <cell r="AZ51">
            <v>0</v>
          </cell>
          <cell r="BA51">
            <v>0</v>
          </cell>
          <cell r="BB51" t="str">
            <v>DECEMBER</v>
          </cell>
          <cell r="BC51">
            <v>0</v>
          </cell>
          <cell r="BD51">
            <v>0</v>
          </cell>
          <cell r="BE51" t="str">
            <v>Q4</v>
          </cell>
          <cell r="BF51">
            <v>0</v>
          </cell>
          <cell r="BG51">
            <v>0</v>
          </cell>
          <cell r="BH51" t="str">
            <v>2nd HALF</v>
          </cell>
          <cell r="BI51">
            <v>0</v>
          </cell>
          <cell r="BJ51">
            <v>0</v>
          </cell>
          <cell r="BK51" t="str">
            <v>TOTAL 2012</v>
          </cell>
          <cell r="BL51">
            <v>0</v>
          </cell>
          <cell r="BM51">
            <v>0</v>
          </cell>
        </row>
        <row r="52">
          <cell r="C52">
            <v>47</v>
          </cell>
          <cell r="D52">
            <v>0</v>
          </cell>
          <cell r="E52">
            <v>0</v>
          </cell>
          <cell r="F52" t="str">
            <v>Plan</v>
          </cell>
          <cell r="G52" t="str">
            <v>Actual</v>
          </cell>
          <cell r="H52" t="str">
            <v>% var</v>
          </cell>
          <cell r="I52" t="str">
            <v>Plan</v>
          </cell>
          <cell r="J52" t="str">
            <v>Actual</v>
          </cell>
          <cell r="K52" t="str">
            <v>% var</v>
          </cell>
          <cell r="L52" t="str">
            <v>Plan</v>
          </cell>
          <cell r="M52" t="str">
            <v>Actual</v>
          </cell>
          <cell r="N52" t="str">
            <v>% var</v>
          </cell>
          <cell r="O52" t="str">
            <v>Plan</v>
          </cell>
          <cell r="P52" t="str">
            <v>Actual</v>
          </cell>
          <cell r="Q52" t="str">
            <v>% var</v>
          </cell>
          <cell r="R52" t="str">
            <v>Plan</v>
          </cell>
          <cell r="S52" t="str">
            <v>Est</v>
          </cell>
          <cell r="T52" t="str">
            <v>% var</v>
          </cell>
          <cell r="U52" t="str">
            <v>Plan</v>
          </cell>
          <cell r="V52" t="str">
            <v>Est.</v>
          </cell>
          <cell r="W52" t="str">
            <v>% var</v>
          </cell>
          <cell r="X52" t="str">
            <v>Plan</v>
          </cell>
          <cell r="Y52" t="str">
            <v>Est</v>
          </cell>
          <cell r="Z52" t="str">
            <v>% var</v>
          </cell>
          <cell r="AA52" t="str">
            <v>Plan</v>
          </cell>
          <cell r="AB52" t="str">
            <v>Est</v>
          </cell>
          <cell r="AC52" t="str">
            <v>% var</v>
          </cell>
          <cell r="AD52" t="str">
            <v>Plan</v>
          </cell>
          <cell r="AE52" t="str">
            <v>Est.</v>
          </cell>
          <cell r="AF52" t="str">
            <v>% var</v>
          </cell>
          <cell r="AG52" t="str">
            <v>Plan</v>
          </cell>
          <cell r="AH52" t="str">
            <v>Est</v>
          </cell>
          <cell r="AI52" t="str">
            <v>% var</v>
          </cell>
          <cell r="AJ52" t="str">
            <v>Plan</v>
          </cell>
          <cell r="AK52" t="str">
            <v>Est</v>
          </cell>
          <cell r="AL52" t="str">
            <v>% var</v>
          </cell>
          <cell r="AM52" t="str">
            <v>Plan</v>
          </cell>
          <cell r="AN52" t="str">
            <v>Est</v>
          </cell>
          <cell r="AO52" t="str">
            <v>% var</v>
          </cell>
          <cell r="AP52" t="str">
            <v>Plan</v>
          </cell>
          <cell r="AQ52" t="str">
            <v>Est</v>
          </cell>
          <cell r="AR52" t="str">
            <v>% var</v>
          </cell>
          <cell r="AS52" t="str">
            <v>Plan</v>
          </cell>
          <cell r="AT52" t="str">
            <v>Est.</v>
          </cell>
          <cell r="AU52" t="str">
            <v>% var</v>
          </cell>
          <cell r="AV52" t="str">
            <v>Plan</v>
          </cell>
          <cell r="AW52" t="str">
            <v>Est</v>
          </cell>
          <cell r="AX52" t="str">
            <v>% var</v>
          </cell>
          <cell r="AY52" t="str">
            <v>Plan</v>
          </cell>
          <cell r="AZ52" t="str">
            <v>Est</v>
          </cell>
          <cell r="BA52" t="str">
            <v>% var</v>
          </cell>
          <cell r="BB52" t="str">
            <v>Plan</v>
          </cell>
          <cell r="BC52" t="str">
            <v>Est</v>
          </cell>
          <cell r="BD52" t="str">
            <v>% var</v>
          </cell>
          <cell r="BE52" t="str">
            <v>Plan</v>
          </cell>
          <cell r="BF52" t="str">
            <v>Est.</v>
          </cell>
          <cell r="BG52" t="str">
            <v>% var</v>
          </cell>
          <cell r="BH52" t="str">
            <v>Plan</v>
          </cell>
          <cell r="BI52" t="str">
            <v>Est.</v>
          </cell>
          <cell r="BJ52" t="str">
            <v>% var</v>
          </cell>
          <cell r="BK52" t="str">
            <v>Plan</v>
          </cell>
          <cell r="BL52" t="str">
            <v>Est</v>
          </cell>
          <cell r="BM52" t="str">
            <v>% var</v>
          </cell>
        </row>
        <row r="53">
          <cell r="C53">
            <v>48</v>
          </cell>
          <cell r="D53" t="str">
            <v>OB Removal</v>
          </cell>
          <cell r="E53" t="str">
            <v>KBCM</v>
          </cell>
          <cell r="F53">
            <v>3048.7032097660099</v>
          </cell>
          <cell r="G53">
            <v>4217.6266459999997</v>
          </cell>
          <cell r="H53">
            <v>38.341660562088805</v>
          </cell>
          <cell r="I53">
            <v>3159.4086321886457</v>
          </cell>
          <cell r="J53">
            <v>3562.2179729999998</v>
          </cell>
          <cell r="K53">
            <v>12.749517004779227</v>
          </cell>
          <cell r="L53">
            <v>3361.9393937944778</v>
          </cell>
          <cell r="M53">
            <v>4494.965792</v>
          </cell>
          <cell r="N53">
            <v>33.70157119122613</v>
          </cell>
          <cell r="O53">
            <v>9570.0512357491334</v>
          </cell>
          <cell r="P53">
            <v>12274.810410999999</v>
          </cell>
          <cell r="Q53">
            <v>28.262744980373551</v>
          </cell>
          <cell r="R53">
            <v>3043.8281898689056</v>
          </cell>
          <cell r="S53">
            <v>3283.8046690000001</v>
          </cell>
          <cell r="T53">
            <v>7.8840349770671532</v>
          </cell>
          <cell r="U53">
            <v>12613.879425618039</v>
          </cell>
          <cell r="V53">
            <v>15558.61508</v>
          </cell>
          <cell r="W53">
            <v>23.345202177859552</v>
          </cell>
          <cell r="X53">
            <v>3586.3312042516459</v>
          </cell>
          <cell r="Y53">
            <v>4158.8115214152704</v>
          </cell>
          <cell r="Z53">
            <v>15.96284014384787</v>
          </cell>
          <cell r="AA53">
            <v>3551.8967172042044</v>
          </cell>
          <cell r="AB53">
            <v>4355.1660000000002</v>
          </cell>
          <cell r="AC53">
            <v>22.615220732771508</v>
          </cell>
          <cell r="AD53">
            <v>10182.056111324757</v>
          </cell>
          <cell r="AE53">
            <v>11797.78219041527</v>
          </cell>
          <cell r="AF53">
            <v>15.868367463556392</v>
          </cell>
          <cell r="AG53">
            <v>19752.107347073892</v>
          </cell>
          <cell r="AH53">
            <v>24072.592601415268</v>
          </cell>
          <cell r="AI53">
            <v>21.873540774278041</v>
          </cell>
          <cell r="AJ53">
            <v>2916.0242490723699</v>
          </cell>
          <cell r="AK53">
            <v>3815.1819999999998</v>
          </cell>
          <cell r="AL53">
            <v>30.835057397539305</v>
          </cell>
          <cell r="AM53">
            <v>2715.2810508165339</v>
          </cell>
          <cell r="AN53">
            <v>3543.335</v>
          </cell>
          <cell r="AO53">
            <v>30.496067761915675</v>
          </cell>
          <cell r="AP53">
            <v>3158.9763168224144</v>
          </cell>
          <cell r="AQ53">
            <v>3856.1709999999998</v>
          </cell>
          <cell r="AR53">
            <v>22.070272558386485</v>
          </cell>
          <cell r="AS53">
            <v>8790.2816167113178</v>
          </cell>
          <cell r="AT53">
            <v>11214.688</v>
          </cell>
          <cell r="AU53">
            <v>27.580531420968491</v>
          </cell>
          <cell r="AV53">
            <v>3234.2443152271421</v>
          </cell>
          <cell r="AW53">
            <v>3484.598</v>
          </cell>
          <cell r="AX53">
            <v>7.7407165437121712</v>
          </cell>
          <cell r="AY53">
            <v>3086.2180658380184</v>
          </cell>
          <cell r="AZ53">
            <v>3392.7179999999998</v>
          </cell>
          <cell r="BA53">
            <v>9.931246840743114</v>
          </cell>
          <cell r="BB53">
            <v>2769.6640828793752</v>
          </cell>
          <cell r="BC53">
            <v>3058.0169999999998</v>
          </cell>
          <cell r="BD53">
            <v>10.411115156638402</v>
          </cell>
          <cell r="BE53">
            <v>9090.1264639445362</v>
          </cell>
          <cell r="BF53">
            <v>9935.3329999999987</v>
          </cell>
          <cell r="BG53">
            <v>9.2980723580461238</v>
          </cell>
          <cell r="BH53">
            <v>17880.408080655856</v>
          </cell>
          <cell r="BI53">
            <v>21150.021000000001</v>
          </cell>
          <cell r="BJ53">
            <v>18.28600837629325</v>
          </cell>
          <cell r="BK53">
            <v>37632.515427729741</v>
          </cell>
          <cell r="BL53">
            <v>45222.613601415273</v>
          </cell>
          <cell r="BM53">
            <v>20.16898973511806</v>
          </cell>
        </row>
        <row r="54">
          <cell r="C54">
            <v>49</v>
          </cell>
          <cell r="D54" t="str">
            <v>ROM Production</v>
          </cell>
          <cell r="E54" t="str">
            <v>KTON</v>
          </cell>
          <cell r="F54">
            <v>198.85414164701314</v>
          </cell>
          <cell r="G54">
            <v>228.427311620056</v>
          </cell>
          <cell r="H54">
            <v>14.8717898094063</v>
          </cell>
          <cell r="I54">
            <v>197.95507153111194</v>
          </cell>
          <cell r="J54">
            <v>179.180610922791</v>
          </cell>
          <cell r="K54">
            <v>-9.484202886598041</v>
          </cell>
          <cell r="L54">
            <v>186.16590163734909</v>
          </cell>
          <cell r="M54">
            <v>268.70977289120498</v>
          </cell>
          <cell r="N54">
            <v>44.3388775967423</v>
          </cell>
          <cell r="O54">
            <v>582.97511481547417</v>
          </cell>
          <cell r="P54">
            <v>676.31769543405198</v>
          </cell>
          <cell r="Q54">
            <v>16.011417682575185</v>
          </cell>
          <cell r="R54">
            <v>182.48941104558705</v>
          </cell>
          <cell r="S54">
            <v>170.681223059204</v>
          </cell>
          <cell r="T54">
            <v>-6.4706154284389052</v>
          </cell>
          <cell r="U54">
            <v>765.46452586106125</v>
          </cell>
          <cell r="V54">
            <v>846.99891849325604</v>
          </cell>
          <cell r="W54">
            <v>10.651622626205675</v>
          </cell>
          <cell r="X54">
            <v>223.460658825308</v>
          </cell>
          <cell r="Y54">
            <v>259.7</v>
          </cell>
          <cell r="Z54">
            <v>16.217324948917451</v>
          </cell>
          <cell r="AA54">
            <v>231.44279150094192</v>
          </cell>
          <cell r="AB54">
            <v>284.81877694079571</v>
          </cell>
          <cell r="AC54">
            <v>23.062280356066552</v>
          </cell>
          <cell r="AD54">
            <v>637.39286137183694</v>
          </cell>
          <cell r="AE54">
            <v>715.1999999999997</v>
          </cell>
          <cell r="AF54">
            <v>12.207092884708711</v>
          </cell>
          <cell r="AG54">
            <v>1220.3679761873111</v>
          </cell>
          <cell r="AH54">
            <v>1391.5176954340518</v>
          </cell>
          <cell r="AI54">
            <v>14.02443546424815</v>
          </cell>
          <cell r="AJ54">
            <v>237.26018487134201</v>
          </cell>
          <cell r="AK54">
            <v>215.9</v>
          </cell>
          <cell r="AL54">
            <v>-9.002852662752872</v>
          </cell>
          <cell r="AM54">
            <v>215.74620353313591</v>
          </cell>
          <cell r="AN54">
            <v>213.5</v>
          </cell>
          <cell r="AO54">
            <v>-1.0411323566075743</v>
          </cell>
          <cell r="AP54">
            <v>241.22991078651097</v>
          </cell>
          <cell r="AQ54">
            <v>224.2</v>
          </cell>
          <cell r="AR54">
            <v>-7.0596182417786864</v>
          </cell>
          <cell r="AS54">
            <v>694.2362991909888</v>
          </cell>
          <cell r="AT54">
            <v>653.59999999999991</v>
          </cell>
          <cell r="AU54">
            <v>-5.853381512655476</v>
          </cell>
          <cell r="AV54">
            <v>233.38924446955002</v>
          </cell>
          <cell r="AW54">
            <v>196.69</v>
          </cell>
          <cell r="AX54">
            <v>-15.724479743254888</v>
          </cell>
          <cell r="AY54">
            <v>197.12554916608241</v>
          </cell>
          <cell r="AZ54">
            <v>208.7</v>
          </cell>
          <cell r="BA54">
            <v>5.8716137420451089</v>
          </cell>
          <cell r="BB54">
            <v>173.88093098606601</v>
          </cell>
          <cell r="BC54">
            <v>209.489</v>
          </cell>
          <cell r="BD54">
            <v>20.478420958527916</v>
          </cell>
          <cell r="BE54">
            <v>604.39572462169849</v>
          </cell>
          <cell r="BF54">
            <v>614.87900000000002</v>
          </cell>
          <cell r="BG54">
            <v>1.7345052175647315</v>
          </cell>
          <cell r="BH54">
            <v>1298.6320238126873</v>
          </cell>
          <cell r="BI54">
            <v>1268.4789999999998</v>
          </cell>
          <cell r="BJ54">
            <v>-2.3219066879438595</v>
          </cell>
          <cell r="BK54">
            <v>2518.9999999999982</v>
          </cell>
          <cell r="BL54">
            <v>2659.9966954340516</v>
          </cell>
          <cell r="BM54">
            <v>5.5973281236226091</v>
          </cell>
        </row>
        <row r="55">
          <cell r="C55">
            <v>50</v>
          </cell>
          <cell r="D55" t="str">
            <v>F/C Production</v>
          </cell>
          <cell r="E55" t="str">
            <v>KTON</v>
          </cell>
          <cell r="F55">
            <v>176.44080833333331</v>
          </cell>
          <cell r="G55">
            <v>269.29479599999996</v>
          </cell>
          <cell r="H55">
            <v>52.626140485168371</v>
          </cell>
          <cell r="I55">
            <v>190.48836333333333</v>
          </cell>
          <cell r="J55">
            <v>239.813401</v>
          </cell>
          <cell r="K55">
            <v>25.893989954836965</v>
          </cell>
          <cell r="L55">
            <v>189.28908333333331</v>
          </cell>
          <cell r="M55">
            <v>280.61119999999994</v>
          </cell>
          <cell r="N55">
            <v>48.244787844342127</v>
          </cell>
          <cell r="O55">
            <v>556.218255</v>
          </cell>
          <cell r="P55">
            <v>789.71939699999984</v>
          </cell>
          <cell r="Q55">
            <v>41.980129185080386</v>
          </cell>
          <cell r="R55">
            <v>183.80083833333333</v>
          </cell>
          <cell r="S55">
            <v>189.00686035336113</v>
          </cell>
          <cell r="T55">
            <v>2.832425612002043</v>
          </cell>
          <cell r="U55">
            <v>740.01909333333333</v>
          </cell>
          <cell r="V55">
            <v>978.72625735336101</v>
          </cell>
          <cell r="W55">
            <v>32.256892581622175</v>
          </cell>
          <cell r="X55">
            <v>214.0089383333333</v>
          </cell>
          <cell r="Y55">
            <v>234.84200000000001</v>
          </cell>
          <cell r="Z55">
            <v>9.7346689483678563</v>
          </cell>
          <cell r="AA55">
            <v>213.24095833333331</v>
          </cell>
          <cell r="AB55">
            <v>260.7659259259259</v>
          </cell>
          <cell r="AC55">
            <v>22.286978995049658</v>
          </cell>
          <cell r="AD55">
            <v>611.05073499999992</v>
          </cell>
          <cell r="AE55">
            <v>684.61478627928705</v>
          </cell>
          <cell r="AF55">
            <v>12.038943260462185</v>
          </cell>
          <cell r="AG55">
            <v>1167.26899</v>
          </cell>
          <cell r="AH55">
            <v>1474.3341832792869</v>
          </cell>
          <cell r="AI55">
            <v>26.306292372188079</v>
          </cell>
          <cell r="AJ55">
            <v>214.31312833333334</v>
          </cell>
          <cell r="AK55">
            <v>254.1037037037037</v>
          </cell>
          <cell r="AL55">
            <v>18.566559911570995</v>
          </cell>
          <cell r="AM55">
            <v>198.98421333333332</v>
          </cell>
          <cell r="AN55">
            <v>238.65703703703701</v>
          </cell>
          <cell r="AO55">
            <v>19.937673968760926</v>
          </cell>
          <cell r="AP55">
            <v>220.60089333333332</v>
          </cell>
          <cell r="AQ55">
            <v>264.98481481481485</v>
          </cell>
          <cell r="AR55">
            <v>20.119556548856014</v>
          </cell>
          <cell r="AS55">
            <v>633.89823499999989</v>
          </cell>
          <cell r="AT55">
            <v>757.7455555555556</v>
          </cell>
          <cell r="AU55">
            <v>19.537413691577125</v>
          </cell>
          <cell r="AV55">
            <v>216.92097333333334</v>
          </cell>
          <cell r="AW55">
            <v>251.80037037037036</v>
          </cell>
          <cell r="AX55">
            <v>16.079310589962788</v>
          </cell>
          <cell r="AY55">
            <v>202.93687833333334</v>
          </cell>
          <cell r="AZ55">
            <v>250.52370370370375</v>
          </cell>
          <cell r="BA55">
            <v>23.449077250615243</v>
          </cell>
          <cell r="BB55">
            <v>172.02482833333332</v>
          </cell>
          <cell r="BC55">
            <v>251.27296296296296</v>
          </cell>
          <cell r="BD55">
            <v>46.067846948273164</v>
          </cell>
          <cell r="BE55">
            <v>591.88267999999994</v>
          </cell>
          <cell r="BF55">
            <v>753.59703703703713</v>
          </cell>
          <cell r="BG55">
            <v>27.322028925907617</v>
          </cell>
          <cell r="BH55">
            <v>1225.7809149999998</v>
          </cell>
          <cell r="BI55">
            <v>1511.3425925925926</v>
          </cell>
          <cell r="BJ55">
            <v>23.296306387066959</v>
          </cell>
          <cell r="BK55">
            <v>2393.0499050000003</v>
          </cell>
          <cell r="BL55">
            <v>2985.6767758718797</v>
          </cell>
          <cell r="BM55">
            <v>24.764501134458346</v>
          </cell>
        </row>
        <row r="56">
          <cell r="C56">
            <v>51</v>
          </cell>
          <cell r="D56" t="str">
            <v>Stripping Ratio</v>
          </cell>
          <cell r="E56" t="str">
            <v>OB: ROM</v>
          </cell>
          <cell r="F56">
            <v>15.331353848177708</v>
          </cell>
          <cell r="G56">
            <v>18.463758191118554</v>
          </cell>
          <cell r="H56">
            <v>20.431361600287936</v>
          </cell>
          <cell r="I56">
            <v>15.960230812738192</v>
          </cell>
          <cell r="J56">
            <v>19.880599550667682</v>
          </cell>
          <cell r="K56">
            <v>24.563358662711583</v>
          </cell>
          <cell r="L56">
            <v>18.058835502236768</v>
          </cell>
          <cell r="M56">
            <v>16.727957988412719</v>
          </cell>
          <cell r="N56">
            <v>-7.3696751579536048</v>
          </cell>
          <cell r="O56">
            <v>16.415882929716972</v>
          </cell>
          <cell r="P56">
            <v>18.149473973355352</v>
          </cell>
          <cell r="Q56">
            <v>10.560449602745003</v>
          </cell>
          <cell r="R56">
            <v>16.679478400577104</v>
          </cell>
          <cell r="S56">
            <v>19.239402027608804</v>
          </cell>
          <cell r="T56">
            <v>15.347743889539906</v>
          </cell>
          <cell r="U56">
            <v>16.478725008750533</v>
          </cell>
          <cell r="V56">
            <v>18.369108555271289</v>
          </cell>
          <cell r="W56">
            <v>11.471661463595781</v>
          </cell>
          <cell r="X56">
            <v>16.049049631842742</v>
          </cell>
          <cell r="Y56">
            <v>16.0139065129583</v>
          </cell>
          <cell r="Z56">
            <v>-0.21897320832452583</v>
          </cell>
          <cell r="AA56">
            <v>15.346758886589686</v>
          </cell>
          <cell r="AB56">
            <v>15.291007309203119</v>
          </cell>
          <cell r="AC56">
            <v>-0.36327916401478527</v>
          </cell>
          <cell r="AD56">
            <v>15.974537413880501</v>
          </cell>
          <cell r="AE56">
            <v>16.495780467582879</v>
          </cell>
          <cell r="AF56">
            <v>3.2629618010062833</v>
          </cell>
          <cell r="AG56">
            <v>16.185370095324586</v>
          </cell>
          <cell r="AH56">
            <v>17.299523161224606</v>
          </cell>
          <cell r="AI56">
            <v>6.883704600748433</v>
          </cell>
          <cell r="AJ56">
            <v>12.290407051033991</v>
          </cell>
          <cell r="AK56">
            <v>17.671060676238998</v>
          </cell>
          <cell r="AL56">
            <v>43.779295534010267</v>
          </cell>
          <cell r="AM56">
            <v>12.585533401515919</v>
          </cell>
          <cell r="AN56">
            <v>16.596416861826697</v>
          </cell>
          <cell r="AO56">
            <v>31.868998574408213</v>
          </cell>
          <cell r="AP56">
            <v>13.095292812250451</v>
          </cell>
          <cell r="AQ56">
            <v>17.199692239072256</v>
          </cell>
          <cell r="AR56">
            <v>31.342555570671937</v>
          </cell>
          <cell r="AS56">
            <v>12.661800638996919</v>
          </cell>
          <cell r="AT56">
            <v>17.158335373317016</v>
          </cell>
          <cell r="AU56">
            <v>35.512600952437026</v>
          </cell>
          <cell r="AV56">
            <v>13.857726488544804</v>
          </cell>
          <cell r="AW56">
            <v>17.716192994051553</v>
          </cell>
          <cell r="AX56">
            <v>27.843430945878957</v>
          </cell>
          <cell r="AY56">
            <v>15.656103832780271</v>
          </cell>
          <cell r="AZ56">
            <v>16.256435074269287</v>
          </cell>
          <cell r="BA56">
            <v>3.834486842327022</v>
          </cell>
          <cell r="BB56">
            <v>15.928509625367274</v>
          </cell>
          <cell r="BC56">
            <v>14.597506312980633</v>
          </cell>
          <cell r="BD56">
            <v>-8.3561070287889656</v>
          </cell>
          <cell r="BE56">
            <v>15.040024430408074</v>
          </cell>
          <cell r="BF56">
            <v>16.158192099583818</v>
          </cell>
          <cell r="BG56">
            <v>7.4346133834398644</v>
          </cell>
          <cell r="BH56">
            <v>13.768648664738995</v>
          </cell>
          <cell r="BI56">
            <v>16.673528690660234</v>
          </cell>
          <cell r="BJ56">
            <v>21.097785967627527</v>
          </cell>
          <cell r="BK56">
            <v>14.939466227760924</v>
          </cell>
          <cell r="BL56">
            <v>17.00100367757636</v>
          </cell>
          <cell r="BM56">
            <v>13.799271127803955</v>
          </cell>
        </row>
        <row r="57">
          <cell r="C57">
            <v>52</v>
          </cell>
          <cell r="D57" t="str">
            <v>Hauling</v>
          </cell>
          <cell r="E57" t="str">
            <v>KTON</v>
          </cell>
          <cell r="F57">
            <v>168.56736001551263</v>
          </cell>
          <cell r="G57">
            <v>192.29906392827937</v>
          </cell>
          <cell r="H57">
            <v>14.078469230687835</v>
          </cell>
          <cell r="I57">
            <v>182.33396082976745</v>
          </cell>
          <cell r="J57">
            <v>247.37767832850216</v>
          </cell>
          <cell r="K57">
            <v>35.672848438509767</v>
          </cell>
          <cell r="L57">
            <v>181.15865970490844</v>
          </cell>
          <cell r="M57">
            <v>255.61235835396388</v>
          </cell>
          <cell r="N57">
            <v>41.098614203888445</v>
          </cell>
          <cell r="O57">
            <v>532.05998055018858</v>
          </cell>
          <cell r="P57">
            <v>695.28910061074544</v>
          </cell>
          <cell r="Q57">
            <v>30.678706542026728</v>
          </cell>
          <cell r="R57">
            <v>175.78017486607675</v>
          </cell>
          <cell r="S57">
            <v>209.8438751560756</v>
          </cell>
          <cell r="T57">
            <v>19.378579134962902</v>
          </cell>
          <cell r="U57">
            <v>707.84015541626536</v>
          </cell>
          <cell r="V57">
            <v>905.132975766821</v>
          </cell>
          <cell r="W57">
            <v>27.872510317605819</v>
          </cell>
          <cell r="X57">
            <v>205.38410051633645</v>
          </cell>
          <cell r="Y57">
            <v>225</v>
          </cell>
          <cell r="Z57">
            <v>9.5508364251902194</v>
          </cell>
          <cell r="AA57">
            <v>204.63143426833335</v>
          </cell>
          <cell r="AB57">
            <v>250</v>
          </cell>
          <cell r="AC57">
            <v>22.170868270499838</v>
          </cell>
          <cell r="AD57">
            <v>585.79570965074652</v>
          </cell>
          <cell r="AE57">
            <v>684.84387515607557</v>
          </cell>
          <cell r="AF57">
            <v>16.908311869402716</v>
          </cell>
          <cell r="AG57">
            <v>1117.855690200935</v>
          </cell>
          <cell r="AH57">
            <v>1380.1329757668209</v>
          </cell>
          <cell r="AI57">
            <v>23.462535268639321</v>
          </cell>
          <cell r="AJ57">
            <v>205.68223019682645</v>
          </cell>
          <cell r="AK57">
            <v>250</v>
          </cell>
          <cell r="AL57">
            <v>21.546717847605944</v>
          </cell>
          <cell r="AM57">
            <v>190.65982420700772</v>
          </cell>
          <cell r="AN57">
            <v>250</v>
          </cell>
          <cell r="AO57">
            <v>31.123586754472228</v>
          </cell>
          <cell r="AP57">
            <v>211.84424911889744</v>
          </cell>
          <cell r="AQ57">
            <v>250</v>
          </cell>
          <cell r="AR57">
            <v>18.011228079025017</v>
          </cell>
          <cell r="AS57">
            <v>608.18630352273158</v>
          </cell>
          <cell r="AT57">
            <v>750</v>
          </cell>
          <cell r="AU57">
            <v>23.317476183836487</v>
          </cell>
          <cell r="AV57">
            <v>208.23784169361537</v>
          </cell>
          <cell r="AW57">
            <v>250</v>
          </cell>
          <cell r="AX57">
            <v>20.055028407291196</v>
          </cell>
          <cell r="AY57">
            <v>194.53349347754357</v>
          </cell>
          <cell r="AZ57">
            <v>250</v>
          </cell>
          <cell r="BA57">
            <v>28.512574123313801</v>
          </cell>
          <cell r="BB57">
            <v>164.23967110517421</v>
          </cell>
          <cell r="BC57">
            <v>250</v>
          </cell>
          <cell r="BD57">
            <v>52.2165736924226</v>
          </cell>
          <cell r="BE57">
            <v>567.01100627633321</v>
          </cell>
          <cell r="BF57">
            <v>750</v>
          </cell>
          <cell r="BG57">
            <v>32.272564676546509</v>
          </cell>
          <cell r="BH57">
            <v>1175.1973097990649</v>
          </cell>
          <cell r="BI57">
            <v>1500</v>
          </cell>
          <cell r="BJ57">
            <v>27.638141058752918</v>
          </cell>
          <cell r="BK57">
            <v>2293.0529999999999</v>
          </cell>
          <cell r="BL57">
            <v>2880.1329757668209</v>
          </cell>
          <cell r="BM57">
            <v>25.602547161658322</v>
          </cell>
        </row>
        <row r="58">
          <cell r="C58">
            <v>53</v>
          </cell>
          <cell r="D58" t="str">
            <v>ROM Stock</v>
          </cell>
          <cell r="E58" t="str">
            <v>KTON</v>
          </cell>
          <cell r="F58">
            <v>48.538556313679834</v>
          </cell>
          <cell r="G58">
            <v>398.10576599999996</v>
          </cell>
          <cell r="H58">
            <v>720.18460422935993</v>
          </cell>
          <cell r="I58">
            <v>56.005264511458449</v>
          </cell>
          <cell r="J58">
            <v>327.45264299999997</v>
          </cell>
          <cell r="K58">
            <v>484.68189706166731</v>
          </cell>
          <cell r="L58">
            <v>52.882082815474234</v>
          </cell>
          <cell r="M58">
            <v>315.55144589120482</v>
          </cell>
          <cell r="N58">
            <v>496.7076731684042</v>
          </cell>
          <cell r="O58">
            <v>52.882082815474234</v>
          </cell>
          <cell r="P58">
            <v>315.55144589120482</v>
          </cell>
          <cell r="Q58">
            <v>496.7076731684042</v>
          </cell>
          <cell r="R58">
            <v>51.570655527727951</v>
          </cell>
          <cell r="S58">
            <v>313.27196299999997</v>
          </cell>
          <cell r="T58">
            <v>507.46166554265199</v>
          </cell>
          <cell r="U58">
            <v>51.570655527727951</v>
          </cell>
          <cell r="V58">
            <v>313.27196299999997</v>
          </cell>
          <cell r="W58">
            <v>507.46166554265199</v>
          </cell>
          <cell r="X58">
            <v>61.022376019702648</v>
          </cell>
          <cell r="Y58">
            <v>338.12996299999998</v>
          </cell>
          <cell r="Z58">
            <v>454.10815680272106</v>
          </cell>
          <cell r="AA58">
            <v>79.22420918731126</v>
          </cell>
          <cell r="AB58">
            <v>362.18281401486979</v>
          </cell>
          <cell r="AC58">
            <v>357.16179149047014</v>
          </cell>
          <cell r="AD58">
            <v>79.22420918731126</v>
          </cell>
          <cell r="AE58">
            <v>362.18281401486979</v>
          </cell>
          <cell r="AF58">
            <v>357.16179149047014</v>
          </cell>
          <cell r="AG58">
            <v>79.22420918731126</v>
          </cell>
          <cell r="AH58">
            <v>362.18281401486979</v>
          </cell>
          <cell r="AI58">
            <v>357.16179149047014</v>
          </cell>
          <cell r="AJ58">
            <v>102.17126572531993</v>
          </cell>
          <cell r="AK58">
            <v>323.9791103111661</v>
          </cell>
          <cell r="AL58">
            <v>217.09415363626849</v>
          </cell>
          <cell r="AM58">
            <v>118.93325592512255</v>
          </cell>
          <cell r="AN58">
            <v>298.82207327412908</v>
          </cell>
          <cell r="AO58">
            <v>151.25190675201904</v>
          </cell>
          <cell r="AP58">
            <v>139.56227337830018</v>
          </cell>
          <cell r="AQ58">
            <v>258.03725845931422</v>
          </cell>
          <cell r="AR58">
            <v>84.890409286952121</v>
          </cell>
          <cell r="AS58">
            <v>139.56227337830018</v>
          </cell>
          <cell r="AT58">
            <v>258.03725845931422</v>
          </cell>
          <cell r="AU58">
            <v>84.890409286952121</v>
          </cell>
          <cell r="AV58">
            <v>156.03054451451686</v>
          </cell>
          <cell r="AW58">
            <v>202.92688808894385</v>
          </cell>
          <cell r="AX58">
            <v>30.055873816465358</v>
          </cell>
          <cell r="AY58">
            <v>150.21921534726593</v>
          </cell>
          <cell r="AZ58">
            <v>161.10318438524007</v>
          </cell>
          <cell r="BA58">
            <v>7.2453906864134305</v>
          </cell>
          <cell r="BB58">
            <v>152.07531799999865</v>
          </cell>
          <cell r="BC58">
            <v>119.31922142227714</v>
          </cell>
          <cell r="BD58">
            <v>-21.539390486575737</v>
          </cell>
          <cell r="BE58">
            <v>152.07531799999865</v>
          </cell>
          <cell r="BF58">
            <v>119.31922142227714</v>
          </cell>
          <cell r="BG58">
            <v>-21.539390486575737</v>
          </cell>
          <cell r="BH58">
            <v>152.07531799999865</v>
          </cell>
          <cell r="BI58">
            <v>119.31922142227714</v>
          </cell>
          <cell r="BJ58">
            <v>-21.539390486575737</v>
          </cell>
          <cell r="BK58">
            <v>152.07531799999865</v>
          </cell>
          <cell r="BL58">
            <v>119.31922142227714</v>
          </cell>
          <cell r="BM58">
            <v>-21.539390486575737</v>
          </cell>
        </row>
        <row r="59">
          <cell r="C59">
            <v>54</v>
          </cell>
          <cell r="D59" t="str">
            <v>FC Stock</v>
          </cell>
          <cell r="E59" t="str">
            <v>KTON</v>
          </cell>
          <cell r="F59">
            <v>174.14482343008709</v>
          </cell>
          <cell r="G59">
            <v>145.11597499999999</v>
          </cell>
          <cell r="H59">
            <v>-16.66937199642982</v>
          </cell>
          <cell r="I59">
            <v>167.63318676342038</v>
          </cell>
          <cell r="J59">
            <v>167.06237610892231</v>
          </cell>
          <cell r="K59">
            <v>-0.34051172415140946</v>
          </cell>
          <cell r="L59">
            <v>167.92227009675372</v>
          </cell>
          <cell r="M59">
            <v>121.65334610892228</v>
          </cell>
          <cell r="N59">
            <v>-27.553774708483957</v>
          </cell>
          <cell r="O59">
            <v>167.92227009675372</v>
          </cell>
          <cell r="P59">
            <v>121.65334610892228</v>
          </cell>
          <cell r="Q59">
            <v>-27.553774708483957</v>
          </cell>
          <cell r="R59">
            <v>152.22310843008708</v>
          </cell>
          <cell r="S59">
            <v>94.006206999999989</v>
          </cell>
          <cell r="T59">
            <v>-38.24445711987606</v>
          </cell>
          <cell r="U59">
            <v>152.22310843008708</v>
          </cell>
          <cell r="V59">
            <v>94.006206999999989</v>
          </cell>
          <cell r="W59">
            <v>-38.24445711987606</v>
          </cell>
          <cell r="X59">
            <v>185.23204676342039</v>
          </cell>
          <cell r="Y59">
            <v>125.89820700000001</v>
          </cell>
          <cell r="Z59">
            <v>-32.032167651422618</v>
          </cell>
          <cell r="AA59">
            <v>157.4730050967537</v>
          </cell>
          <cell r="AB59">
            <v>287.66413292592591</v>
          </cell>
          <cell r="AC59">
            <v>82.675203759006749</v>
          </cell>
          <cell r="AD59">
            <v>157.4730050967537</v>
          </cell>
          <cell r="AE59">
            <v>287.66413292592591</v>
          </cell>
          <cell r="AF59">
            <v>82.675203759006749</v>
          </cell>
          <cell r="AG59">
            <v>157.4730050967537</v>
          </cell>
          <cell r="AH59">
            <v>287.66413292592591</v>
          </cell>
          <cell r="AI59">
            <v>82.675203759006749</v>
          </cell>
          <cell r="AJ59">
            <v>172.78613343008701</v>
          </cell>
          <cell r="AK59">
            <v>353.01783662962964</v>
          </cell>
          <cell r="AL59">
            <v>104.30912459330439</v>
          </cell>
          <cell r="AM59">
            <v>172.77034676342032</v>
          </cell>
          <cell r="AN59">
            <v>331.67487366666666</v>
          </cell>
          <cell r="AO59">
            <v>91.974421467613951</v>
          </cell>
          <cell r="AP59">
            <v>164.37124009675364</v>
          </cell>
          <cell r="AQ59">
            <v>283.90968848148151</v>
          </cell>
          <cell r="AR59">
            <v>72.72467392371324</v>
          </cell>
          <cell r="AS59">
            <v>164.37124009675364</v>
          </cell>
          <cell r="AT59">
            <v>283.90968848148151</v>
          </cell>
          <cell r="AU59">
            <v>72.72467392371324</v>
          </cell>
          <cell r="AV59">
            <v>152.292213430087</v>
          </cell>
          <cell r="AW59">
            <v>303.96005885185184</v>
          </cell>
          <cell r="AX59">
            <v>99.590019742796116</v>
          </cell>
          <cell r="AY59">
            <v>130.22909176342034</v>
          </cell>
          <cell r="AZ59">
            <v>291.48376255555559</v>
          </cell>
          <cell r="BA59">
            <v>123.82384658343257</v>
          </cell>
          <cell r="BB59">
            <v>126.75392009675369</v>
          </cell>
          <cell r="BC59">
            <v>303.70672551851857</v>
          </cell>
          <cell r="BD59">
            <v>139.60341840843535</v>
          </cell>
          <cell r="BE59">
            <v>126.75392009675369</v>
          </cell>
          <cell r="BF59">
            <v>303.70672551851857</v>
          </cell>
          <cell r="BG59">
            <v>139.60341840843535</v>
          </cell>
          <cell r="BH59">
            <v>126.75392009675369</v>
          </cell>
          <cell r="BI59">
            <v>303.70672551851857</v>
          </cell>
          <cell r="BJ59">
            <v>139.60341840843535</v>
          </cell>
          <cell r="BK59">
            <v>126.75392009675369</v>
          </cell>
          <cell r="BL59">
            <v>303.70672551851857</v>
          </cell>
          <cell r="BM59">
            <v>139.60341840843535</v>
          </cell>
        </row>
        <row r="60">
          <cell r="C60">
            <v>55</v>
          </cell>
          <cell r="D60" t="str">
            <v>Sales</v>
          </cell>
          <cell r="E60" t="str">
            <v>KTON</v>
          </cell>
          <cell r="F60">
            <v>123.5</v>
          </cell>
          <cell r="G60">
            <v>70.682000000000002</v>
          </cell>
          <cell r="H60">
            <v>-42.767611336032388</v>
          </cell>
          <cell r="I60">
            <v>197</v>
          </cell>
          <cell r="J60">
            <v>217.86699999999999</v>
          </cell>
          <cell r="K60">
            <v>10.592385786802025</v>
          </cell>
          <cell r="L60">
            <v>189</v>
          </cell>
          <cell r="M60">
            <v>326.44099999999997</v>
          </cell>
          <cell r="N60">
            <v>72.7201058201058</v>
          </cell>
          <cell r="O60">
            <v>509.5</v>
          </cell>
          <cell r="P60">
            <v>614.99</v>
          </cell>
          <cell r="Q60">
            <v>20.704612365063792</v>
          </cell>
          <cell r="R60">
            <v>199.5</v>
          </cell>
          <cell r="S60">
            <v>216.654</v>
          </cell>
          <cell r="T60">
            <v>8.5984962406015022</v>
          </cell>
          <cell r="U60">
            <v>709</v>
          </cell>
          <cell r="V60">
            <v>831.64400000000001</v>
          </cell>
          <cell r="W60">
            <v>17.298166431593796</v>
          </cell>
          <cell r="X60">
            <v>181</v>
          </cell>
          <cell r="Y60">
            <v>202.95</v>
          </cell>
          <cell r="Z60">
            <v>12.127071823204414</v>
          </cell>
          <cell r="AA60">
            <v>241</v>
          </cell>
          <cell r="AB60">
            <v>99.000000000000014</v>
          </cell>
          <cell r="AC60">
            <v>-58.921161825726145</v>
          </cell>
          <cell r="AD60">
            <v>621.5</v>
          </cell>
          <cell r="AE60">
            <v>518.60400000000004</v>
          </cell>
          <cell r="AF60">
            <v>-16.556074014481087</v>
          </cell>
          <cell r="AG60">
            <v>1131</v>
          </cell>
          <cell r="AH60">
            <v>1133.5940000000001</v>
          </cell>
          <cell r="AI60">
            <v>0.22935455349248901</v>
          </cell>
          <cell r="AJ60">
            <v>199</v>
          </cell>
          <cell r="AK60">
            <v>188.75</v>
          </cell>
          <cell r="AL60">
            <v>-5.1507537688442211</v>
          </cell>
          <cell r="AM60">
            <v>199</v>
          </cell>
          <cell r="AN60">
            <v>260</v>
          </cell>
          <cell r="AO60">
            <v>30.653266331658291</v>
          </cell>
          <cell r="AP60">
            <v>229</v>
          </cell>
          <cell r="AQ60">
            <v>312.75</v>
          </cell>
          <cell r="AR60">
            <v>36.572052401746724</v>
          </cell>
          <cell r="AS60">
            <v>627</v>
          </cell>
          <cell r="AT60">
            <v>761.5</v>
          </cell>
          <cell r="AU60">
            <v>21.451355661881976</v>
          </cell>
          <cell r="AV60">
            <v>229</v>
          </cell>
          <cell r="AW60">
            <v>231.75</v>
          </cell>
          <cell r="AX60">
            <v>1.2008733624454149</v>
          </cell>
          <cell r="AY60">
            <v>225</v>
          </cell>
          <cell r="AZ60">
            <v>263</v>
          </cell>
          <cell r="BA60">
            <v>16.888888888888889</v>
          </cell>
          <cell r="BB60">
            <v>175.5</v>
          </cell>
          <cell r="BC60">
            <v>239.05</v>
          </cell>
          <cell r="BD60">
            <v>36.21082621082622</v>
          </cell>
          <cell r="BE60">
            <v>629.5</v>
          </cell>
          <cell r="BF60">
            <v>733.8</v>
          </cell>
          <cell r="BG60">
            <v>16.568705321683868</v>
          </cell>
          <cell r="BH60">
            <v>1256.5</v>
          </cell>
          <cell r="BI60">
            <v>1495.3</v>
          </cell>
          <cell r="BJ60">
            <v>19.005173099880619</v>
          </cell>
          <cell r="BK60">
            <v>2387.5</v>
          </cell>
          <cell r="BL60">
            <v>2628.8940000000002</v>
          </cell>
          <cell r="BM60">
            <v>10.110743455497392</v>
          </cell>
        </row>
        <row r="61">
          <cell r="C61">
            <v>56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</row>
        <row r="62">
          <cell r="C62">
            <v>57</v>
          </cell>
          <cell r="D62">
            <v>0</v>
          </cell>
          <cell r="E62">
            <v>0</v>
          </cell>
          <cell r="F62" t="str">
            <v>JANUARY</v>
          </cell>
          <cell r="G62">
            <v>0</v>
          </cell>
          <cell r="H62">
            <v>0</v>
          </cell>
          <cell r="I62" t="str">
            <v>FEBRUARY</v>
          </cell>
          <cell r="J62">
            <v>0</v>
          </cell>
          <cell r="K62">
            <v>0</v>
          </cell>
          <cell r="L62" t="str">
            <v>MARCH</v>
          </cell>
          <cell r="M62">
            <v>0</v>
          </cell>
          <cell r="N62">
            <v>0</v>
          </cell>
          <cell r="O62" t="str">
            <v>Q1</v>
          </cell>
          <cell r="P62">
            <v>0</v>
          </cell>
          <cell r="Q62">
            <v>0</v>
          </cell>
          <cell r="R62" t="str">
            <v>APRIL</v>
          </cell>
          <cell r="S62">
            <v>0</v>
          </cell>
          <cell r="T62">
            <v>0</v>
          </cell>
          <cell r="U62" t="str">
            <v>JANUARY - APRIL</v>
          </cell>
          <cell r="V62">
            <v>0</v>
          </cell>
          <cell r="W62">
            <v>0</v>
          </cell>
          <cell r="X62" t="str">
            <v>MAY</v>
          </cell>
          <cell r="Y62">
            <v>0</v>
          </cell>
          <cell r="Z62">
            <v>0</v>
          </cell>
          <cell r="AA62" t="str">
            <v>JUNE</v>
          </cell>
          <cell r="AB62">
            <v>0</v>
          </cell>
          <cell r="AC62">
            <v>0</v>
          </cell>
          <cell r="AD62" t="str">
            <v>Q2</v>
          </cell>
          <cell r="AE62">
            <v>0</v>
          </cell>
          <cell r="AF62">
            <v>0</v>
          </cell>
          <cell r="AG62" t="str">
            <v>1st HALF</v>
          </cell>
          <cell r="AH62">
            <v>0</v>
          </cell>
          <cell r="AI62">
            <v>0</v>
          </cell>
          <cell r="AJ62" t="str">
            <v>JULY</v>
          </cell>
          <cell r="AK62">
            <v>0</v>
          </cell>
          <cell r="AL62">
            <v>0</v>
          </cell>
          <cell r="AM62" t="str">
            <v>AUGUST</v>
          </cell>
          <cell r="AN62">
            <v>0</v>
          </cell>
          <cell r="AO62">
            <v>0</v>
          </cell>
          <cell r="AP62" t="str">
            <v>SEPTEMBER</v>
          </cell>
          <cell r="AQ62">
            <v>0</v>
          </cell>
          <cell r="AR62">
            <v>0</v>
          </cell>
          <cell r="AS62" t="str">
            <v>Q3</v>
          </cell>
          <cell r="AT62">
            <v>0</v>
          </cell>
          <cell r="AU62">
            <v>0</v>
          </cell>
          <cell r="AV62" t="str">
            <v>OCTOBER</v>
          </cell>
          <cell r="AW62">
            <v>0</v>
          </cell>
          <cell r="AX62">
            <v>0</v>
          </cell>
          <cell r="AY62" t="str">
            <v>NOVEMBER</v>
          </cell>
          <cell r="AZ62">
            <v>0</v>
          </cell>
          <cell r="BA62">
            <v>0</v>
          </cell>
          <cell r="BB62" t="str">
            <v>DECEMBER</v>
          </cell>
          <cell r="BC62">
            <v>0</v>
          </cell>
          <cell r="BD62">
            <v>0</v>
          </cell>
          <cell r="BE62" t="str">
            <v>Q4</v>
          </cell>
          <cell r="BF62">
            <v>0</v>
          </cell>
          <cell r="BG62">
            <v>0</v>
          </cell>
          <cell r="BH62" t="str">
            <v>2nd HALF</v>
          </cell>
          <cell r="BI62">
            <v>0</v>
          </cell>
          <cell r="BJ62">
            <v>0</v>
          </cell>
          <cell r="BK62" t="str">
            <v>TOTAL 2012</v>
          </cell>
          <cell r="BL62">
            <v>0</v>
          </cell>
          <cell r="BM62">
            <v>0</v>
          </cell>
        </row>
        <row r="63">
          <cell r="C63">
            <v>58</v>
          </cell>
          <cell r="D63">
            <v>0</v>
          </cell>
          <cell r="E63">
            <v>0</v>
          </cell>
          <cell r="F63" t="str">
            <v>Plan</v>
          </cell>
          <cell r="G63" t="str">
            <v>Actual</v>
          </cell>
          <cell r="H63" t="str">
            <v>% var</v>
          </cell>
          <cell r="I63" t="str">
            <v>Plan</v>
          </cell>
          <cell r="J63" t="str">
            <v>Actual</v>
          </cell>
          <cell r="K63" t="str">
            <v>% var</v>
          </cell>
          <cell r="L63" t="str">
            <v>Plan</v>
          </cell>
          <cell r="M63" t="str">
            <v>Actual</v>
          </cell>
          <cell r="N63" t="str">
            <v>% var</v>
          </cell>
          <cell r="O63" t="str">
            <v>Plan</v>
          </cell>
          <cell r="P63" t="str">
            <v>Actual</v>
          </cell>
          <cell r="Q63" t="str">
            <v>% var</v>
          </cell>
          <cell r="R63" t="str">
            <v>Plan</v>
          </cell>
          <cell r="S63" t="str">
            <v>Est</v>
          </cell>
          <cell r="T63" t="str">
            <v>% var</v>
          </cell>
          <cell r="U63" t="str">
            <v>Plan</v>
          </cell>
          <cell r="V63" t="str">
            <v>Est.</v>
          </cell>
          <cell r="W63" t="str">
            <v>% var</v>
          </cell>
          <cell r="X63" t="str">
            <v>Plan</v>
          </cell>
          <cell r="Y63" t="str">
            <v>Est</v>
          </cell>
          <cell r="Z63" t="str">
            <v>% var</v>
          </cell>
          <cell r="AA63" t="str">
            <v>Plan</v>
          </cell>
          <cell r="AB63" t="str">
            <v>Est</v>
          </cell>
          <cell r="AC63" t="str">
            <v>% var</v>
          </cell>
          <cell r="AD63" t="str">
            <v>Plan</v>
          </cell>
          <cell r="AE63" t="str">
            <v>Est.</v>
          </cell>
          <cell r="AF63" t="str">
            <v>% var</v>
          </cell>
          <cell r="AG63" t="str">
            <v>Plan</v>
          </cell>
          <cell r="AH63" t="str">
            <v>Est</v>
          </cell>
          <cell r="AI63" t="str">
            <v>% var</v>
          </cell>
          <cell r="AJ63" t="str">
            <v>Plan</v>
          </cell>
          <cell r="AK63" t="str">
            <v>Est</v>
          </cell>
          <cell r="AL63" t="str">
            <v>% var</v>
          </cell>
          <cell r="AM63" t="str">
            <v>Plan</v>
          </cell>
          <cell r="AN63" t="str">
            <v>Est</v>
          </cell>
          <cell r="AO63" t="str">
            <v>% var</v>
          </cell>
          <cell r="AP63" t="str">
            <v>Plan</v>
          </cell>
          <cell r="AQ63" t="str">
            <v>Est</v>
          </cell>
          <cell r="AR63" t="str">
            <v>% var</v>
          </cell>
          <cell r="AS63" t="str">
            <v>Plan</v>
          </cell>
          <cell r="AT63" t="str">
            <v>Est.</v>
          </cell>
          <cell r="AU63" t="str">
            <v>% var</v>
          </cell>
          <cell r="AV63" t="str">
            <v>Plan</v>
          </cell>
          <cell r="AW63" t="str">
            <v>Est</v>
          </cell>
          <cell r="AX63" t="str">
            <v>% var</v>
          </cell>
          <cell r="AY63" t="str">
            <v>Plan</v>
          </cell>
          <cell r="AZ63" t="str">
            <v>Est</v>
          </cell>
          <cell r="BA63" t="str">
            <v>% var</v>
          </cell>
          <cell r="BB63" t="str">
            <v>Plan</v>
          </cell>
          <cell r="BC63" t="str">
            <v>Est</v>
          </cell>
          <cell r="BD63" t="str">
            <v>% var</v>
          </cell>
          <cell r="BE63" t="str">
            <v>Plan</v>
          </cell>
          <cell r="BF63" t="str">
            <v>Est.</v>
          </cell>
          <cell r="BG63" t="str">
            <v>% var</v>
          </cell>
          <cell r="BH63" t="str">
            <v>Plan</v>
          </cell>
          <cell r="BI63" t="str">
            <v>Est.</v>
          </cell>
          <cell r="BJ63" t="str">
            <v>% var</v>
          </cell>
          <cell r="BK63" t="str">
            <v>Plan</v>
          </cell>
          <cell r="BL63" t="str">
            <v>Est</v>
          </cell>
          <cell r="BM63" t="str">
            <v>% var</v>
          </cell>
        </row>
        <row r="64">
          <cell r="C64">
            <v>59</v>
          </cell>
          <cell r="D64" t="str">
            <v>OB Removal</v>
          </cell>
          <cell r="E64" t="str">
            <v>KTON</v>
          </cell>
          <cell r="F64">
            <v>995</v>
          </cell>
          <cell r="G64">
            <v>1318.45218</v>
          </cell>
          <cell r="H64">
            <v>32.507756783919604</v>
          </cell>
          <cell r="I64">
            <v>931</v>
          </cell>
          <cell r="J64">
            <v>1134.707975</v>
          </cell>
          <cell r="K64">
            <v>21.880555853920519</v>
          </cell>
          <cell r="L64">
            <v>1029</v>
          </cell>
          <cell r="M64">
            <v>408.76806699999997</v>
          </cell>
          <cell r="N64">
            <v>-60.275212147716232</v>
          </cell>
          <cell r="O64">
            <v>2955</v>
          </cell>
          <cell r="P64">
            <v>2861.928222</v>
          </cell>
          <cell r="Q64">
            <v>-3.1496371573604063</v>
          </cell>
          <cell r="R64">
            <v>1021</v>
          </cell>
          <cell r="S64">
            <v>1117.2450103076922</v>
          </cell>
          <cell r="T64">
            <v>9.4265436148572128</v>
          </cell>
          <cell r="U64">
            <v>3976</v>
          </cell>
          <cell r="V64">
            <v>3979.1732323076922</v>
          </cell>
          <cell r="W64">
            <v>7.9809665686422546E-2</v>
          </cell>
          <cell r="X64">
            <v>1039</v>
          </cell>
          <cell r="Y64">
            <v>1111</v>
          </cell>
          <cell r="Z64">
            <v>6.9297401347449465</v>
          </cell>
          <cell r="AA64">
            <v>1019</v>
          </cell>
          <cell r="AB64">
            <v>1094</v>
          </cell>
          <cell r="AC64">
            <v>7.3601570166830221</v>
          </cell>
          <cell r="AD64">
            <v>3079</v>
          </cell>
          <cell r="AE64">
            <v>3322.2450103076922</v>
          </cell>
          <cell r="AF64">
            <v>7.9001302470832133</v>
          </cell>
          <cell r="AG64">
            <v>6034</v>
          </cell>
          <cell r="AH64">
            <v>6184.1732323076922</v>
          </cell>
          <cell r="AI64">
            <v>2.4887840952550904</v>
          </cell>
          <cell r="AJ64">
            <v>1065</v>
          </cell>
          <cell r="AK64">
            <v>1005</v>
          </cell>
          <cell r="AL64">
            <v>-5.6338028169014089</v>
          </cell>
          <cell r="AM64">
            <v>947</v>
          </cell>
          <cell r="AN64">
            <v>947</v>
          </cell>
          <cell r="AO64">
            <v>0</v>
          </cell>
          <cell r="AP64">
            <v>952</v>
          </cell>
          <cell r="AQ64">
            <v>952</v>
          </cell>
          <cell r="AR64">
            <v>0</v>
          </cell>
          <cell r="AS64">
            <v>2964</v>
          </cell>
          <cell r="AT64">
            <v>2904</v>
          </cell>
          <cell r="AU64">
            <v>-2.0242914979757085</v>
          </cell>
          <cell r="AV64">
            <v>958</v>
          </cell>
          <cell r="AW64">
            <v>958</v>
          </cell>
          <cell r="AX64">
            <v>0</v>
          </cell>
          <cell r="AY64">
            <v>892</v>
          </cell>
          <cell r="AZ64">
            <v>887</v>
          </cell>
          <cell r="BA64">
            <v>-0.5605381165919282</v>
          </cell>
          <cell r="BB64">
            <v>815</v>
          </cell>
          <cell r="BC64">
            <v>815</v>
          </cell>
          <cell r="BD64">
            <v>0</v>
          </cell>
          <cell r="BE64">
            <v>2665</v>
          </cell>
          <cell r="BF64">
            <v>2660</v>
          </cell>
          <cell r="BG64">
            <v>-0.18761726078799248</v>
          </cell>
          <cell r="BH64">
            <v>5629</v>
          </cell>
          <cell r="BI64">
            <v>5564</v>
          </cell>
          <cell r="BJ64">
            <v>-1.1547344110854503</v>
          </cell>
          <cell r="BK64">
            <v>11663</v>
          </cell>
          <cell r="BL64">
            <v>11748.173232307692</v>
          </cell>
          <cell r="BM64">
            <v>0.73028579531588922</v>
          </cell>
        </row>
        <row r="65">
          <cell r="C65">
            <v>60</v>
          </cell>
          <cell r="D65" t="str">
            <v>ROM Production</v>
          </cell>
          <cell r="E65" t="str">
            <v>KTON</v>
          </cell>
          <cell r="F65">
            <v>75</v>
          </cell>
          <cell r="G65">
            <v>100.30617000000001</v>
          </cell>
          <cell r="H65">
            <v>33.741560000000007</v>
          </cell>
          <cell r="I65">
            <v>70</v>
          </cell>
          <cell r="J65">
            <v>75.64694999999999</v>
          </cell>
          <cell r="K65">
            <v>8.0670714285714133</v>
          </cell>
          <cell r="L65">
            <v>75</v>
          </cell>
          <cell r="M65">
            <v>32.126739999999998</v>
          </cell>
          <cell r="N65">
            <v>-57.164346666666667</v>
          </cell>
          <cell r="O65">
            <v>220</v>
          </cell>
          <cell r="P65">
            <v>208.07986</v>
          </cell>
          <cell r="Q65">
            <v>-5.4182454545454561</v>
          </cell>
          <cell r="R65">
            <v>80</v>
          </cell>
          <cell r="S65">
            <v>104.19136</v>
          </cell>
          <cell r="T65">
            <v>30.239200000000004</v>
          </cell>
          <cell r="U65">
            <v>300</v>
          </cell>
          <cell r="V65">
            <v>312.27121999999997</v>
          </cell>
          <cell r="W65">
            <v>4.0904066666666576</v>
          </cell>
          <cell r="X65">
            <v>80</v>
          </cell>
          <cell r="Y65">
            <v>100</v>
          </cell>
          <cell r="Z65">
            <v>25</v>
          </cell>
          <cell r="AA65">
            <v>90</v>
          </cell>
          <cell r="AB65">
            <v>100</v>
          </cell>
          <cell r="AC65">
            <v>11.111111111111111</v>
          </cell>
          <cell r="AD65">
            <v>250</v>
          </cell>
          <cell r="AE65">
            <v>304.19136000000003</v>
          </cell>
          <cell r="AF65">
            <v>21.67654400000001</v>
          </cell>
          <cell r="AG65">
            <v>470</v>
          </cell>
          <cell r="AH65">
            <v>512.27122000000008</v>
          </cell>
          <cell r="AI65">
            <v>8.9938765957446982</v>
          </cell>
          <cell r="AJ65">
            <v>95</v>
          </cell>
          <cell r="AK65">
            <v>85</v>
          </cell>
          <cell r="AL65">
            <v>-10.526315789473683</v>
          </cell>
          <cell r="AM65">
            <v>90</v>
          </cell>
          <cell r="AN65">
            <v>75</v>
          </cell>
          <cell r="AO65">
            <v>-16.666666666666664</v>
          </cell>
          <cell r="AP65">
            <v>95</v>
          </cell>
          <cell r="AQ65">
            <v>95</v>
          </cell>
          <cell r="AR65">
            <v>0</v>
          </cell>
          <cell r="AS65">
            <v>280</v>
          </cell>
          <cell r="AT65">
            <v>255</v>
          </cell>
          <cell r="AU65">
            <v>-8.9285714285714288</v>
          </cell>
          <cell r="AV65">
            <v>95</v>
          </cell>
          <cell r="AW65">
            <v>90</v>
          </cell>
          <cell r="AX65">
            <v>-5.2631578947368416</v>
          </cell>
          <cell r="AY65">
            <v>95</v>
          </cell>
          <cell r="AZ65">
            <v>90</v>
          </cell>
          <cell r="BA65">
            <v>-5.2631578947368416</v>
          </cell>
          <cell r="BB65">
            <v>93</v>
          </cell>
          <cell r="BC65">
            <v>90</v>
          </cell>
          <cell r="BD65">
            <v>-3.225806451612903</v>
          </cell>
          <cell r="BE65">
            <v>283</v>
          </cell>
          <cell r="BF65">
            <v>270</v>
          </cell>
          <cell r="BG65">
            <v>-4.5936395759717312</v>
          </cell>
          <cell r="BH65">
            <v>563</v>
          </cell>
          <cell r="BI65">
            <v>525</v>
          </cell>
          <cell r="BJ65">
            <v>-6.74955595026643</v>
          </cell>
          <cell r="BK65">
            <v>1033</v>
          </cell>
          <cell r="BL65">
            <v>1037.2712200000001</v>
          </cell>
          <cell r="BM65">
            <v>0.41347725072604891</v>
          </cell>
        </row>
        <row r="66">
          <cell r="C66">
            <v>61</v>
          </cell>
          <cell r="D66" t="str">
            <v>F/C Production+WP</v>
          </cell>
          <cell r="E66" t="str">
            <v>KTON</v>
          </cell>
          <cell r="F66">
            <v>83.3</v>
          </cell>
          <cell r="G66">
            <v>105.98062</v>
          </cell>
          <cell r="H66">
            <v>27.227635054021615</v>
          </cell>
          <cell r="I66">
            <v>68.599999999999994</v>
          </cell>
          <cell r="J66">
            <v>79.334182000000013</v>
          </cell>
          <cell r="K66">
            <v>15.647495626822186</v>
          </cell>
          <cell r="L66">
            <v>73.5</v>
          </cell>
          <cell r="M66">
            <v>31.430359999999993</v>
          </cell>
          <cell r="N66">
            <v>-57.237605442176879</v>
          </cell>
          <cell r="O66">
            <v>225.39999999999998</v>
          </cell>
          <cell r="P66">
            <v>216.74516199999999</v>
          </cell>
          <cell r="Q66">
            <v>-3.8397684117125039</v>
          </cell>
          <cell r="R66">
            <v>78.400000000000006</v>
          </cell>
          <cell r="S66">
            <v>115.306229</v>
          </cell>
          <cell r="T66">
            <v>47.074271683673466</v>
          </cell>
          <cell r="U66">
            <v>303.79999999999995</v>
          </cell>
          <cell r="V66">
            <v>332.05139099999997</v>
          </cell>
          <cell r="W66">
            <v>9.2993387096774249</v>
          </cell>
          <cell r="X66">
            <v>78.400000000000006</v>
          </cell>
          <cell r="Y66">
            <v>98</v>
          </cell>
          <cell r="Z66">
            <v>24.999999999999993</v>
          </cell>
          <cell r="AA66">
            <v>88.2</v>
          </cell>
          <cell r="AB66">
            <v>98</v>
          </cell>
          <cell r="AC66">
            <v>11.111111111111107</v>
          </cell>
          <cell r="AD66">
            <v>245</v>
          </cell>
          <cell r="AE66">
            <v>311.30622900000003</v>
          </cell>
          <cell r="AF66">
            <v>27.063766938775522</v>
          </cell>
          <cell r="AG66">
            <v>470.4</v>
          </cell>
          <cell r="AH66">
            <v>528.05139099999997</v>
          </cell>
          <cell r="AI66">
            <v>12.255822916666666</v>
          </cell>
          <cell r="AJ66">
            <v>93.1</v>
          </cell>
          <cell r="AK66">
            <v>83.3</v>
          </cell>
          <cell r="AL66">
            <v>-10.526315789473681</v>
          </cell>
          <cell r="AM66">
            <v>88.2</v>
          </cell>
          <cell r="AN66">
            <v>73.5</v>
          </cell>
          <cell r="AO66">
            <v>-16.666666666666668</v>
          </cell>
          <cell r="AP66">
            <v>93.1</v>
          </cell>
          <cell r="AQ66">
            <v>93.1</v>
          </cell>
          <cell r="AR66">
            <v>0</v>
          </cell>
          <cell r="AS66">
            <v>274.39999999999998</v>
          </cell>
          <cell r="AT66">
            <v>249.9</v>
          </cell>
          <cell r="AU66">
            <v>-8.9285714285714199</v>
          </cell>
          <cell r="AV66">
            <v>93.1</v>
          </cell>
          <cell r="AW66">
            <v>88.2</v>
          </cell>
          <cell r="AX66">
            <v>-5.2631578947368336</v>
          </cell>
          <cell r="AY66">
            <v>93.1</v>
          </cell>
          <cell r="AZ66">
            <v>88.2</v>
          </cell>
          <cell r="BA66">
            <v>-5.2631578947368336</v>
          </cell>
          <cell r="BB66">
            <v>91.14</v>
          </cell>
          <cell r="BC66">
            <v>81.904225199999985</v>
          </cell>
          <cell r="BD66">
            <v>-10.133612903225824</v>
          </cell>
          <cell r="BE66">
            <v>277.33999999999997</v>
          </cell>
          <cell r="BF66">
            <v>258.30422520000002</v>
          </cell>
          <cell r="BG66">
            <v>-6.86369611307419</v>
          </cell>
          <cell r="BH66">
            <v>551.74</v>
          </cell>
          <cell r="BI66">
            <v>508.2042252</v>
          </cell>
          <cell r="BJ66">
            <v>-7.8906323268206053</v>
          </cell>
          <cell r="BK66">
            <v>1022.14</v>
          </cell>
          <cell r="BL66">
            <v>1036.2556162000001</v>
          </cell>
          <cell r="BM66">
            <v>1.3809865771812169</v>
          </cell>
        </row>
        <row r="67">
          <cell r="C67">
            <v>62</v>
          </cell>
          <cell r="D67" t="str">
            <v>Stripping Ratio</v>
          </cell>
          <cell r="E67" t="str">
            <v>OB: ROM</v>
          </cell>
          <cell r="F67">
            <v>11.944777911164467</v>
          </cell>
          <cell r="G67">
            <v>12.440502612647482</v>
          </cell>
          <cell r="H67">
            <v>4.1501374506065458</v>
          </cell>
          <cell r="I67">
            <v>13.571428571428573</v>
          </cell>
          <cell r="J67">
            <v>14.302888696829317</v>
          </cell>
          <cell r="K67">
            <v>5.3897061871633785</v>
          </cell>
          <cell r="L67">
            <v>14</v>
          </cell>
          <cell r="M67">
            <v>13.005516545149341</v>
          </cell>
          <cell r="N67">
            <v>-7.1034532489332793</v>
          </cell>
          <cell r="O67">
            <v>13.11002661934339</v>
          </cell>
          <cell r="P67">
            <v>13.20411581781927</v>
          </cell>
          <cell r="Q67">
            <v>0.71768884387354515</v>
          </cell>
          <cell r="R67">
            <v>13.022959183673468</v>
          </cell>
          <cell r="S67">
            <v>9.6893725516571365</v>
          </cell>
          <cell r="T67">
            <v>-25.597766106765956</v>
          </cell>
          <cell r="U67">
            <v>13.087557603686639</v>
          </cell>
          <cell r="V67">
            <v>11.983606574645226</v>
          </cell>
          <cell r="W67">
            <v>-8.4351187782389641</v>
          </cell>
          <cell r="X67">
            <v>13.252551020408163</v>
          </cell>
          <cell r="Y67">
            <v>11.336734693877551</v>
          </cell>
          <cell r="Z67">
            <v>-14.45620789220404</v>
          </cell>
          <cell r="AA67">
            <v>11.553287981859411</v>
          </cell>
          <cell r="AB67">
            <v>11.163265306122449</v>
          </cell>
          <cell r="AC67">
            <v>-3.3758586849852805</v>
          </cell>
          <cell r="AD67">
            <v>12.567346938775509</v>
          </cell>
          <cell r="AE67">
            <v>10.6719516052719</v>
          </cell>
          <cell r="AF67">
            <v>-15.081905057108941</v>
          </cell>
          <cell r="AG67">
            <v>12.827380952380953</v>
          </cell>
          <cell r="AH67">
            <v>11.71130942500953</v>
          </cell>
          <cell r="AI67">
            <v>-8.7006968259117876</v>
          </cell>
          <cell r="AJ67">
            <v>11.439312567132117</v>
          </cell>
          <cell r="AK67">
            <v>12.06482593037215</v>
          </cell>
          <cell r="AL67">
            <v>5.4681027340513717</v>
          </cell>
          <cell r="AM67">
            <v>10.736961451247165</v>
          </cell>
          <cell r="AN67">
            <v>12.884353741496598</v>
          </cell>
          <cell r="AO67">
            <v>20.000000000000004</v>
          </cell>
          <cell r="AP67">
            <v>10.225563909774436</v>
          </cell>
          <cell r="AQ67">
            <v>10.225563909774436</v>
          </cell>
          <cell r="AR67">
            <v>0</v>
          </cell>
          <cell r="AS67">
            <v>10.801749271137027</v>
          </cell>
          <cell r="AT67">
            <v>11.620648259303721</v>
          </cell>
          <cell r="AU67">
            <v>7.5811701198697996</v>
          </cell>
          <cell r="AV67">
            <v>10.290010741138561</v>
          </cell>
          <cell r="AW67">
            <v>10.861678004535147</v>
          </cell>
          <cell r="AX67">
            <v>5.5555555555555491</v>
          </cell>
          <cell r="AY67">
            <v>9.5810955961331903</v>
          </cell>
          <cell r="AZ67">
            <v>10.056689342403628</v>
          </cell>
          <cell r="BA67">
            <v>4.9638764324862912</v>
          </cell>
          <cell r="BB67">
            <v>8.9422865920561776</v>
          </cell>
          <cell r="BC67">
            <v>9.9506465998533145</v>
          </cell>
          <cell r="BD67">
            <v>11.2763105657216</v>
          </cell>
          <cell r="BE67">
            <v>9.6091440109612751</v>
          </cell>
          <cell r="BF67">
            <v>10.297934530263348</v>
          </cell>
          <cell r="BG67">
            <v>7.1680736443991284</v>
          </cell>
          <cell r="BH67">
            <v>10.202269184760938</v>
          </cell>
          <cell r="BI67">
            <v>10.948354468738092</v>
          </cell>
          <cell r="BJ67">
            <v>7.3129347056591714</v>
          </cell>
          <cell r="BK67">
            <v>11.410374312716458</v>
          </cell>
          <cell r="BL67">
            <v>11.337138297391157</v>
          </cell>
          <cell r="BM67">
            <v>-0.64183709769873731</v>
          </cell>
        </row>
        <row r="68">
          <cell r="C68">
            <v>63</v>
          </cell>
          <cell r="D68" t="str">
            <v>ROM Stock</v>
          </cell>
          <cell r="E68" t="str">
            <v>KTON</v>
          </cell>
          <cell r="F68">
            <v>11.700000000000003</v>
          </cell>
          <cell r="G68">
            <v>14.085800000000017</v>
          </cell>
          <cell r="H68">
            <v>20.391452991453104</v>
          </cell>
          <cell r="I68">
            <v>13.100000000000009</v>
          </cell>
          <cell r="J68">
            <v>8.9484399999999997</v>
          </cell>
          <cell r="K68">
            <v>-31.69129770992371</v>
          </cell>
          <cell r="L68">
            <v>14.600000000000009</v>
          </cell>
          <cell r="M68">
            <v>10</v>
          </cell>
          <cell r="N68">
            <v>-31.506849315068536</v>
          </cell>
          <cell r="O68">
            <v>14.600000000000009</v>
          </cell>
          <cell r="P68">
            <v>10</v>
          </cell>
          <cell r="Q68">
            <v>-31.506849315068536</v>
          </cell>
          <cell r="R68">
            <v>16.200000000000003</v>
          </cell>
          <cell r="S68">
            <v>3.5757399999999953</v>
          </cell>
          <cell r="T68">
            <v>-77.927530864197564</v>
          </cell>
          <cell r="U68">
            <v>16.200000000000003</v>
          </cell>
          <cell r="V68">
            <v>3.5757399999999953</v>
          </cell>
          <cell r="W68">
            <v>-77.927530864197564</v>
          </cell>
          <cell r="X68">
            <v>17.799999999999997</v>
          </cell>
          <cell r="Y68">
            <v>3.5757399999999953</v>
          </cell>
          <cell r="Z68">
            <v>-79.911573033707882</v>
          </cell>
          <cell r="AA68">
            <v>19.599999999999994</v>
          </cell>
          <cell r="AB68">
            <v>3.5757399999999953</v>
          </cell>
          <cell r="AC68">
            <v>-81.756428571428586</v>
          </cell>
          <cell r="AD68">
            <v>19.599999999999994</v>
          </cell>
          <cell r="AE68">
            <v>3.5757399999999953</v>
          </cell>
          <cell r="AF68">
            <v>-81.756428571428586</v>
          </cell>
          <cell r="AG68">
            <v>19.599999999999994</v>
          </cell>
          <cell r="AH68">
            <v>3.5757399999999953</v>
          </cell>
          <cell r="AI68">
            <v>-81.756428571428586</v>
          </cell>
          <cell r="AJ68">
            <v>21.5</v>
          </cell>
          <cell r="AK68">
            <v>3.5757399999999953</v>
          </cell>
          <cell r="AL68">
            <v>-83.368651162790712</v>
          </cell>
          <cell r="AM68">
            <v>23.299999999999997</v>
          </cell>
          <cell r="AN68">
            <v>3.5757399999999953</v>
          </cell>
          <cell r="AO68">
            <v>-84.653476394849804</v>
          </cell>
          <cell r="AP68">
            <v>25.200000000000003</v>
          </cell>
          <cell r="AQ68">
            <v>3.5757399999999953</v>
          </cell>
          <cell r="AR68">
            <v>-85.810555555555567</v>
          </cell>
          <cell r="AS68">
            <v>25.200000000000003</v>
          </cell>
          <cell r="AT68">
            <v>3.5757399999999953</v>
          </cell>
          <cell r="AU68">
            <v>-85.810555555555567</v>
          </cell>
          <cell r="AV68">
            <v>27.100000000000009</v>
          </cell>
          <cell r="AW68">
            <v>3.5757399999999953</v>
          </cell>
          <cell r="AX68">
            <v>-86.805387453874559</v>
          </cell>
          <cell r="AY68">
            <v>29.000000000000014</v>
          </cell>
          <cell r="AZ68">
            <v>3.5757399999999953</v>
          </cell>
          <cell r="BA68">
            <v>-87.669862068965529</v>
          </cell>
          <cell r="BB68">
            <v>30.860000000000014</v>
          </cell>
          <cell r="BC68">
            <v>10</v>
          </cell>
          <cell r="BD68">
            <v>-67.595593000648108</v>
          </cell>
          <cell r="BE68">
            <v>30.860000000000014</v>
          </cell>
          <cell r="BF68">
            <v>10</v>
          </cell>
          <cell r="BG68">
            <v>-67.595593000648108</v>
          </cell>
          <cell r="BH68">
            <v>30.860000000000014</v>
          </cell>
          <cell r="BI68">
            <v>10</v>
          </cell>
          <cell r="BJ68">
            <v>-67.595593000648108</v>
          </cell>
          <cell r="BK68">
            <v>30.860000000000014</v>
          </cell>
          <cell r="BL68">
            <v>10</v>
          </cell>
          <cell r="BM68">
            <v>-67.595593000648108</v>
          </cell>
        </row>
        <row r="69">
          <cell r="C69">
            <v>64</v>
          </cell>
          <cell r="D69" t="str">
            <v>F/C Stock</v>
          </cell>
          <cell r="E69" t="str">
            <v>KTON</v>
          </cell>
          <cell r="F69">
            <v>20</v>
          </cell>
          <cell r="G69">
            <v>24.442998999999997</v>
          </cell>
          <cell r="H69">
            <v>22.214994999999984</v>
          </cell>
          <cell r="I69">
            <v>20</v>
          </cell>
          <cell r="J69">
            <v>1.8381959999999999</v>
          </cell>
          <cell r="K69">
            <v>-90.80901999999999</v>
          </cell>
          <cell r="L69">
            <v>20</v>
          </cell>
          <cell r="M69">
            <v>6.7096879999999874</v>
          </cell>
          <cell r="N69">
            <v>-66.451560000000072</v>
          </cell>
          <cell r="O69">
            <v>20</v>
          </cell>
          <cell r="P69">
            <v>6.7096879999999874</v>
          </cell>
          <cell r="Q69">
            <v>-66.451560000000072</v>
          </cell>
          <cell r="R69">
            <v>20</v>
          </cell>
          <cell r="S69">
            <v>10.712937999999999</v>
          </cell>
          <cell r="T69">
            <v>-46.435310000000001</v>
          </cell>
          <cell r="U69">
            <v>20</v>
          </cell>
          <cell r="V69">
            <v>10.712937999999999</v>
          </cell>
          <cell r="W69">
            <v>-46.435310000000001</v>
          </cell>
          <cell r="X69">
            <v>20</v>
          </cell>
          <cell r="Y69">
            <v>10.702937999999994</v>
          </cell>
          <cell r="Z69">
            <v>-46.485310000000027</v>
          </cell>
          <cell r="AA69">
            <v>20</v>
          </cell>
          <cell r="AB69">
            <v>10.692937999999989</v>
          </cell>
          <cell r="AC69">
            <v>-46.535310000000052</v>
          </cell>
          <cell r="AD69">
            <v>20</v>
          </cell>
          <cell r="AE69">
            <v>10.692937999999989</v>
          </cell>
          <cell r="AF69">
            <v>-46.535310000000052</v>
          </cell>
          <cell r="AG69">
            <v>20</v>
          </cell>
          <cell r="AH69">
            <v>10.692937999999989</v>
          </cell>
          <cell r="AI69">
            <v>-46.535310000000052</v>
          </cell>
          <cell r="AJ69">
            <v>20</v>
          </cell>
          <cell r="AK69">
            <v>10.682937999999984</v>
          </cell>
          <cell r="AL69">
            <v>-46.585310000000078</v>
          </cell>
          <cell r="AM69">
            <v>20</v>
          </cell>
          <cell r="AN69">
            <v>10.672937999999979</v>
          </cell>
          <cell r="AO69">
            <v>-46.635310000000111</v>
          </cell>
          <cell r="AP69">
            <v>20</v>
          </cell>
          <cell r="AQ69">
            <v>10.662937999999974</v>
          </cell>
          <cell r="AR69">
            <v>-46.685310000000129</v>
          </cell>
          <cell r="AS69">
            <v>20</v>
          </cell>
          <cell r="AT69">
            <v>10.662937999999974</v>
          </cell>
          <cell r="AU69">
            <v>-46.685310000000129</v>
          </cell>
          <cell r="AV69">
            <v>20</v>
          </cell>
          <cell r="AW69">
            <v>10.652937999999969</v>
          </cell>
          <cell r="AX69">
            <v>-46.735310000000155</v>
          </cell>
          <cell r="AY69">
            <v>20</v>
          </cell>
          <cell r="AZ69">
            <v>10.642937999999964</v>
          </cell>
          <cell r="BA69">
            <v>-46.78531000000018</v>
          </cell>
          <cell r="BB69">
            <v>20</v>
          </cell>
          <cell r="BC69">
            <v>10.632937999999958</v>
          </cell>
          <cell r="BD69">
            <v>-46.835310000000206</v>
          </cell>
          <cell r="BE69">
            <v>20</v>
          </cell>
          <cell r="BF69">
            <v>10.632937999999958</v>
          </cell>
          <cell r="BG69">
            <v>-46.835310000000206</v>
          </cell>
          <cell r="BH69">
            <v>20</v>
          </cell>
          <cell r="BI69">
            <v>10.632937999999958</v>
          </cell>
          <cell r="BJ69">
            <v>-46.835310000000206</v>
          </cell>
          <cell r="BK69">
            <v>20</v>
          </cell>
          <cell r="BL69">
            <v>10.632937999999958</v>
          </cell>
          <cell r="BM69">
            <v>-46.835310000000206</v>
          </cell>
        </row>
        <row r="70">
          <cell r="C70">
            <v>65</v>
          </cell>
          <cell r="D70" t="str">
            <v>Coal Barging</v>
          </cell>
          <cell r="E70" t="str">
            <v>KTON</v>
          </cell>
          <cell r="F70">
            <v>98.3</v>
          </cell>
          <cell r="G70">
            <v>112.061914</v>
          </cell>
          <cell r="H70">
            <v>13.999912512716181</v>
          </cell>
          <cell r="I70">
            <v>68.599999999999994</v>
          </cell>
          <cell r="J70">
            <v>101.938985</v>
          </cell>
          <cell r="K70">
            <v>48.599103498542291</v>
          </cell>
          <cell r="L70">
            <v>73.5</v>
          </cell>
          <cell r="M70">
            <v>26.548868000000002</v>
          </cell>
          <cell r="N70">
            <v>-63.879091156462586</v>
          </cell>
          <cell r="O70">
            <v>240.39999999999998</v>
          </cell>
          <cell r="P70">
            <v>240.549767</v>
          </cell>
          <cell r="Q70">
            <v>6.229908485857967E-2</v>
          </cell>
          <cell r="R70">
            <v>78.400000000000006</v>
          </cell>
          <cell r="S70">
            <v>111.31297900000001</v>
          </cell>
          <cell r="T70">
            <v>41.980840561224497</v>
          </cell>
          <cell r="U70">
            <v>318.79999999999995</v>
          </cell>
          <cell r="V70">
            <v>351.86274600000002</v>
          </cell>
          <cell r="W70">
            <v>10.370999372647448</v>
          </cell>
          <cell r="X70">
            <v>78.400000000000006</v>
          </cell>
          <cell r="Y70">
            <v>98</v>
          </cell>
          <cell r="Z70">
            <v>24.999999999999993</v>
          </cell>
          <cell r="AA70">
            <v>88.2</v>
          </cell>
          <cell r="AB70">
            <v>98</v>
          </cell>
          <cell r="AC70">
            <v>0</v>
          </cell>
          <cell r="AD70">
            <v>245</v>
          </cell>
          <cell r="AE70">
            <v>307.31297900000004</v>
          </cell>
          <cell r="AF70">
            <v>25.433868979591857</v>
          </cell>
          <cell r="AG70">
            <v>485.4</v>
          </cell>
          <cell r="AH70">
            <v>547.86274600000002</v>
          </cell>
          <cell r="AI70">
            <v>12.868303667078706</v>
          </cell>
          <cell r="AJ70">
            <v>93.1</v>
          </cell>
          <cell r="AK70">
            <v>83.3</v>
          </cell>
          <cell r="AL70">
            <v>-10.526315789473681</v>
          </cell>
          <cell r="AM70">
            <v>88.2</v>
          </cell>
          <cell r="AN70">
            <v>73.5</v>
          </cell>
          <cell r="AO70">
            <v>-16.666666666666668</v>
          </cell>
          <cell r="AP70">
            <v>93.1</v>
          </cell>
          <cell r="AQ70">
            <v>93.1</v>
          </cell>
          <cell r="AR70">
            <v>0</v>
          </cell>
          <cell r="AS70">
            <v>274.39999999999998</v>
          </cell>
          <cell r="AT70">
            <v>249.9</v>
          </cell>
          <cell r="AU70">
            <v>-8.9285714285714199</v>
          </cell>
          <cell r="AV70">
            <v>93.1</v>
          </cell>
          <cell r="AW70">
            <v>88.2</v>
          </cell>
          <cell r="AX70">
            <v>-5.2631578947368336</v>
          </cell>
          <cell r="AY70">
            <v>93.1</v>
          </cell>
          <cell r="AZ70">
            <v>88.2</v>
          </cell>
          <cell r="BA70">
            <v>-5.2631578947368336</v>
          </cell>
          <cell r="BB70">
            <v>91.14</v>
          </cell>
          <cell r="BC70">
            <v>81.904225199999985</v>
          </cell>
          <cell r="BD70">
            <v>-10.133612903225824</v>
          </cell>
          <cell r="BE70">
            <v>277.33999999999997</v>
          </cell>
          <cell r="BF70">
            <v>258.30422520000002</v>
          </cell>
          <cell r="BG70">
            <v>-6.86369611307419</v>
          </cell>
          <cell r="BH70">
            <v>551.74</v>
          </cell>
          <cell r="BI70">
            <v>508.2042252</v>
          </cell>
          <cell r="BJ70">
            <v>-7.8906323268206053</v>
          </cell>
          <cell r="BK70">
            <v>1037.1400000000001</v>
          </cell>
          <cell r="BL70">
            <v>1056.0669712000001</v>
          </cell>
          <cell r="BM70">
            <v>1.8249196058391366</v>
          </cell>
        </row>
        <row r="71">
          <cell r="C71">
            <v>66</v>
          </cell>
          <cell r="D71" t="str">
            <v>Sales</v>
          </cell>
          <cell r="E71" t="str">
            <v>KTON</v>
          </cell>
          <cell r="F71">
            <v>65</v>
          </cell>
          <cell r="G71">
            <v>101.61500000000001</v>
          </cell>
          <cell r="H71">
            <v>56.330769230769242</v>
          </cell>
          <cell r="I71">
            <v>72.599999999999994</v>
          </cell>
          <cell r="J71">
            <v>144.15099999999998</v>
          </cell>
          <cell r="K71">
            <v>98.555096418732774</v>
          </cell>
          <cell r="L71">
            <v>87.2</v>
          </cell>
          <cell r="M71">
            <v>34.516999999999996</v>
          </cell>
          <cell r="N71">
            <v>-60.416284403669728</v>
          </cell>
          <cell r="O71">
            <v>224.8</v>
          </cell>
          <cell r="P71">
            <v>280.28300000000002</v>
          </cell>
          <cell r="Q71">
            <v>24.681049822064058</v>
          </cell>
          <cell r="R71">
            <v>90.1</v>
          </cell>
          <cell r="S71">
            <v>112.207379</v>
          </cell>
          <cell r="T71">
            <v>24.536491675915663</v>
          </cell>
          <cell r="U71">
            <v>314.89999999999998</v>
          </cell>
          <cell r="V71">
            <v>392.49037900000002</v>
          </cell>
          <cell r="W71">
            <v>24.639688472530977</v>
          </cell>
          <cell r="X71">
            <v>72.600000000000009</v>
          </cell>
          <cell r="Y71">
            <v>14.599999999999996</v>
          </cell>
          <cell r="Z71">
            <v>-79.889807162534439</v>
          </cell>
          <cell r="AA71">
            <v>99</v>
          </cell>
          <cell r="AB71">
            <v>84.5</v>
          </cell>
          <cell r="AC71">
            <v>-14.646464646464647</v>
          </cell>
          <cell r="AD71">
            <v>261.7</v>
          </cell>
          <cell r="AE71">
            <v>211.307379</v>
          </cell>
          <cell r="AF71">
            <v>-19.255873519296902</v>
          </cell>
          <cell r="AG71">
            <v>486.5</v>
          </cell>
          <cell r="AH71">
            <v>491.59037899999998</v>
          </cell>
          <cell r="AI71">
            <v>1.0463266187050326</v>
          </cell>
          <cell r="AJ71">
            <v>90</v>
          </cell>
          <cell r="AK71">
            <v>109.64999999999999</v>
          </cell>
          <cell r="AL71">
            <v>21.833333333333325</v>
          </cell>
          <cell r="AM71">
            <v>90</v>
          </cell>
          <cell r="AN71">
            <v>90</v>
          </cell>
          <cell r="AO71">
            <v>0</v>
          </cell>
          <cell r="AP71">
            <v>109</v>
          </cell>
          <cell r="AQ71">
            <v>103.25</v>
          </cell>
          <cell r="AR71">
            <v>-5.2752293577981657</v>
          </cell>
          <cell r="AS71">
            <v>289</v>
          </cell>
          <cell r="AT71">
            <v>302.89999999999998</v>
          </cell>
          <cell r="AU71">
            <v>4.8096885813148704</v>
          </cell>
          <cell r="AV71">
            <v>88.6</v>
          </cell>
          <cell r="AW71">
            <v>87.25</v>
          </cell>
          <cell r="AX71">
            <v>-1.5237020316027023</v>
          </cell>
          <cell r="AY71">
            <v>90</v>
          </cell>
          <cell r="AZ71">
            <v>90.8</v>
          </cell>
          <cell r="BA71">
            <v>0.88888888888888573</v>
          </cell>
          <cell r="BB71">
            <v>70</v>
          </cell>
          <cell r="BC71">
            <v>83.25</v>
          </cell>
          <cell r="BD71">
            <v>18.928571428571427</v>
          </cell>
          <cell r="BE71">
            <v>248.6</v>
          </cell>
          <cell r="BF71">
            <v>261.3</v>
          </cell>
          <cell r="BG71">
            <v>5.1086082059533462</v>
          </cell>
          <cell r="BH71">
            <v>537.6</v>
          </cell>
          <cell r="BI71">
            <v>564.20000000000005</v>
          </cell>
          <cell r="BJ71">
            <v>4.9479166666666705</v>
          </cell>
          <cell r="BK71">
            <v>1024.0999999999999</v>
          </cell>
          <cell r="BL71">
            <v>1055.790379</v>
          </cell>
          <cell r="BM71">
            <v>3.0944613807245505</v>
          </cell>
        </row>
        <row r="72">
          <cell r="C72">
            <v>67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</row>
        <row r="73">
          <cell r="C73">
            <v>68</v>
          </cell>
          <cell r="D73">
            <v>0</v>
          </cell>
          <cell r="E73">
            <v>0</v>
          </cell>
          <cell r="F73" t="str">
            <v>JANUARY</v>
          </cell>
          <cell r="G73">
            <v>0</v>
          </cell>
          <cell r="H73">
            <v>0</v>
          </cell>
          <cell r="I73" t="str">
            <v>FEBRUARY</v>
          </cell>
          <cell r="J73">
            <v>0</v>
          </cell>
          <cell r="K73">
            <v>0</v>
          </cell>
          <cell r="L73" t="str">
            <v>MARCH</v>
          </cell>
          <cell r="M73">
            <v>0</v>
          </cell>
          <cell r="N73">
            <v>0</v>
          </cell>
          <cell r="O73" t="str">
            <v>Q1</v>
          </cell>
          <cell r="P73">
            <v>0</v>
          </cell>
          <cell r="Q73">
            <v>0</v>
          </cell>
          <cell r="R73" t="str">
            <v>APRIL</v>
          </cell>
          <cell r="S73">
            <v>0</v>
          </cell>
          <cell r="T73">
            <v>0</v>
          </cell>
          <cell r="U73" t="str">
            <v>JANUARY - APRIL</v>
          </cell>
          <cell r="V73">
            <v>0</v>
          </cell>
          <cell r="W73">
            <v>0</v>
          </cell>
          <cell r="X73" t="str">
            <v>MAY</v>
          </cell>
          <cell r="Y73">
            <v>0</v>
          </cell>
          <cell r="Z73">
            <v>0</v>
          </cell>
          <cell r="AA73" t="str">
            <v>JUNE</v>
          </cell>
          <cell r="AB73">
            <v>0</v>
          </cell>
          <cell r="AC73">
            <v>0</v>
          </cell>
          <cell r="AD73" t="str">
            <v>Q2</v>
          </cell>
          <cell r="AE73">
            <v>0</v>
          </cell>
          <cell r="AF73">
            <v>0</v>
          </cell>
          <cell r="AG73" t="str">
            <v>1st HALF</v>
          </cell>
          <cell r="AH73">
            <v>0</v>
          </cell>
          <cell r="AI73">
            <v>0</v>
          </cell>
          <cell r="AJ73" t="str">
            <v>JULY</v>
          </cell>
          <cell r="AK73">
            <v>0</v>
          </cell>
          <cell r="AL73">
            <v>0</v>
          </cell>
          <cell r="AM73" t="str">
            <v>AUGUST</v>
          </cell>
          <cell r="AN73">
            <v>0</v>
          </cell>
          <cell r="AO73">
            <v>0</v>
          </cell>
          <cell r="AP73" t="str">
            <v>SEPTEMBER</v>
          </cell>
          <cell r="AQ73">
            <v>0</v>
          </cell>
          <cell r="AR73">
            <v>0</v>
          </cell>
          <cell r="AS73" t="str">
            <v>Q3</v>
          </cell>
          <cell r="AT73">
            <v>0</v>
          </cell>
          <cell r="AU73">
            <v>0</v>
          </cell>
          <cell r="AV73" t="str">
            <v>OCTOBER</v>
          </cell>
          <cell r="AW73">
            <v>0</v>
          </cell>
          <cell r="AX73">
            <v>0</v>
          </cell>
          <cell r="AY73" t="str">
            <v>NOVEMBER</v>
          </cell>
          <cell r="AZ73">
            <v>0</v>
          </cell>
          <cell r="BA73">
            <v>0</v>
          </cell>
          <cell r="BB73" t="str">
            <v>DECEMBER</v>
          </cell>
          <cell r="BC73">
            <v>0</v>
          </cell>
          <cell r="BD73">
            <v>0</v>
          </cell>
          <cell r="BE73" t="str">
            <v>Q4</v>
          </cell>
          <cell r="BF73">
            <v>0</v>
          </cell>
          <cell r="BG73">
            <v>0</v>
          </cell>
          <cell r="BH73" t="str">
            <v>2nd HALF</v>
          </cell>
          <cell r="BI73">
            <v>0</v>
          </cell>
          <cell r="BJ73">
            <v>0</v>
          </cell>
          <cell r="BK73" t="str">
            <v>TOTAL 2012</v>
          </cell>
          <cell r="BL73">
            <v>0</v>
          </cell>
          <cell r="BM73">
            <v>0</v>
          </cell>
        </row>
        <row r="74">
          <cell r="C74">
            <v>69</v>
          </cell>
          <cell r="D74">
            <v>0</v>
          </cell>
          <cell r="E74">
            <v>0</v>
          </cell>
          <cell r="F74" t="str">
            <v>Plan</v>
          </cell>
          <cell r="G74" t="str">
            <v>Actual</v>
          </cell>
          <cell r="H74" t="str">
            <v>% var</v>
          </cell>
          <cell r="I74" t="str">
            <v>Plan</v>
          </cell>
          <cell r="J74" t="str">
            <v>Actual</v>
          </cell>
          <cell r="K74" t="str">
            <v>% var</v>
          </cell>
          <cell r="L74" t="str">
            <v>Plan</v>
          </cell>
          <cell r="M74" t="str">
            <v>Actual</v>
          </cell>
          <cell r="N74" t="str">
            <v>% var</v>
          </cell>
          <cell r="O74" t="str">
            <v>Plan</v>
          </cell>
          <cell r="P74" t="str">
            <v>Actual</v>
          </cell>
          <cell r="Q74" t="str">
            <v>% var</v>
          </cell>
          <cell r="R74" t="str">
            <v>Plan</v>
          </cell>
          <cell r="S74" t="str">
            <v>Est</v>
          </cell>
          <cell r="T74" t="str">
            <v>% var</v>
          </cell>
          <cell r="U74" t="str">
            <v>Plan</v>
          </cell>
          <cell r="V74" t="str">
            <v>Est.</v>
          </cell>
          <cell r="W74" t="str">
            <v>% var</v>
          </cell>
          <cell r="X74" t="str">
            <v>Plan</v>
          </cell>
          <cell r="Y74" t="str">
            <v>Est</v>
          </cell>
          <cell r="Z74" t="str">
            <v>% var</v>
          </cell>
          <cell r="AA74" t="str">
            <v>Plan</v>
          </cell>
          <cell r="AB74" t="str">
            <v>Est</v>
          </cell>
          <cell r="AC74" t="str">
            <v>% var</v>
          </cell>
          <cell r="AD74" t="str">
            <v>Plan</v>
          </cell>
          <cell r="AE74" t="str">
            <v>Est.</v>
          </cell>
          <cell r="AF74" t="str">
            <v>% var</v>
          </cell>
          <cell r="AG74" t="str">
            <v>Plan</v>
          </cell>
          <cell r="AH74" t="str">
            <v>Est</v>
          </cell>
          <cell r="AI74" t="str">
            <v>% var</v>
          </cell>
          <cell r="AJ74" t="str">
            <v>Plan</v>
          </cell>
          <cell r="AK74" t="str">
            <v>Est</v>
          </cell>
          <cell r="AL74" t="str">
            <v>% var</v>
          </cell>
          <cell r="AM74" t="str">
            <v>Plan</v>
          </cell>
          <cell r="AN74" t="str">
            <v>Est</v>
          </cell>
          <cell r="AO74" t="str">
            <v>% var</v>
          </cell>
          <cell r="AP74" t="str">
            <v>Plan</v>
          </cell>
          <cell r="AQ74" t="str">
            <v>Est</v>
          </cell>
          <cell r="AR74" t="str">
            <v>% var</v>
          </cell>
          <cell r="AS74" t="str">
            <v>Plan</v>
          </cell>
          <cell r="AT74" t="str">
            <v>Est.</v>
          </cell>
          <cell r="AU74" t="str">
            <v>% var</v>
          </cell>
          <cell r="AV74" t="str">
            <v>Plan</v>
          </cell>
          <cell r="AW74" t="str">
            <v>Est</v>
          </cell>
          <cell r="AX74" t="str">
            <v>% var</v>
          </cell>
          <cell r="AY74" t="str">
            <v>Plan</v>
          </cell>
          <cell r="AZ74" t="str">
            <v>Est</v>
          </cell>
          <cell r="BA74" t="str">
            <v>% var</v>
          </cell>
          <cell r="BB74" t="str">
            <v>Plan</v>
          </cell>
          <cell r="BC74" t="str">
            <v>Est</v>
          </cell>
          <cell r="BD74" t="str">
            <v>% var</v>
          </cell>
          <cell r="BE74" t="str">
            <v>Plan</v>
          </cell>
          <cell r="BF74" t="str">
            <v>Est.</v>
          </cell>
          <cell r="BG74" t="str">
            <v>% var</v>
          </cell>
          <cell r="BH74" t="str">
            <v>Plan</v>
          </cell>
          <cell r="BI74" t="str">
            <v>Est.</v>
          </cell>
          <cell r="BJ74" t="str">
            <v>% var</v>
          </cell>
          <cell r="BK74" t="str">
            <v>Plan</v>
          </cell>
          <cell r="BL74" t="str">
            <v>Est</v>
          </cell>
          <cell r="BM74" t="str">
            <v>% var</v>
          </cell>
        </row>
        <row r="75">
          <cell r="C75">
            <v>70</v>
          </cell>
          <cell r="D75" t="str">
            <v>OB Removal</v>
          </cell>
          <cell r="E75" t="str">
            <v>KBCM</v>
          </cell>
          <cell r="F75">
            <v>6410.7133344156682</v>
          </cell>
          <cell r="G75">
            <v>6991.1719829298618</v>
          </cell>
          <cell r="H75">
            <v>9.0545095098547552</v>
          </cell>
          <cell r="I75">
            <v>6272.0776007532831</v>
          </cell>
          <cell r="J75">
            <v>6544.6544190361183</v>
          </cell>
          <cell r="K75">
            <v>4.3458776442768876</v>
          </cell>
          <cell r="L75">
            <v>7074.9979649651286</v>
          </cell>
          <cell r="M75">
            <v>7485.7132472158064</v>
          </cell>
          <cell r="N75">
            <v>5.8051646697922701</v>
          </cell>
          <cell r="O75">
            <v>19757.788900134081</v>
          </cell>
          <cell r="P75">
            <v>21021.539649181788</v>
          </cell>
          <cell r="Q75">
            <v>6.3962154643687441</v>
          </cell>
          <cell r="R75">
            <v>7019.0004154992675</v>
          </cell>
          <cell r="S75">
            <v>7244.1289115</v>
          </cell>
          <cell r="T75">
            <v>3.2074153394207889</v>
          </cell>
          <cell r="U75">
            <v>26776.789315633348</v>
          </cell>
          <cell r="V75">
            <v>28265.668560681788</v>
          </cell>
          <cell r="W75">
            <v>5.5603352123294831</v>
          </cell>
          <cell r="X75">
            <v>7385.5741302982369</v>
          </cell>
          <cell r="Y75">
            <v>7275.4481089705059</v>
          </cell>
          <cell r="Z75">
            <v>-1.491096282900406</v>
          </cell>
          <cell r="AA75">
            <v>7500.2129588880753</v>
          </cell>
          <cell r="AB75">
            <v>7500.476752186587</v>
          </cell>
          <cell r="AC75">
            <v>3.5171441125427514E-3</v>
          </cell>
          <cell r="AD75">
            <v>21904.787504685581</v>
          </cell>
          <cell r="AE75">
            <v>22020.053772657091</v>
          </cell>
          <cell r="AF75">
            <v>0.52621495619098868</v>
          </cell>
          <cell r="AG75">
            <v>41662.576404819658</v>
          </cell>
          <cell r="AH75">
            <v>43041.593421838879</v>
          </cell>
          <cell r="AI75">
            <v>3.3099657678868182</v>
          </cell>
          <cell r="AJ75">
            <v>7633.1886019400145</v>
          </cell>
          <cell r="AK75">
            <v>7633.2043686339612</v>
          </cell>
          <cell r="AL75">
            <v>2.0655449208616529E-4</v>
          </cell>
          <cell r="AM75">
            <v>7244.591899094059</v>
          </cell>
          <cell r="AN75">
            <v>7244.2955159032881</v>
          </cell>
          <cell r="AO75">
            <v>-4.0910957428533972E-3</v>
          </cell>
          <cell r="AP75">
            <v>7573.4276648966597</v>
          </cell>
          <cell r="AQ75">
            <v>7573.0900867778691</v>
          </cell>
          <cell r="AR75">
            <v>-4.4574020341580029E-3</v>
          </cell>
          <cell r="AS75">
            <v>22451.208165930733</v>
          </cell>
          <cell r="AT75">
            <v>22450.589971315119</v>
          </cell>
          <cell r="AU75">
            <v>-2.7535026669611488E-3</v>
          </cell>
          <cell r="AV75">
            <v>7607.8966911735861</v>
          </cell>
          <cell r="AW75">
            <v>7607.6586824294136</v>
          </cell>
          <cell r="AX75">
            <v>-3.1284434296880606E-3</v>
          </cell>
          <cell r="AY75">
            <v>6943.4259843463988</v>
          </cell>
          <cell r="AZ75">
            <v>6944.0571969318262</v>
          </cell>
          <cell r="BA75">
            <v>9.090794470200397E-3</v>
          </cell>
          <cell r="BB75">
            <v>6335.066532530589</v>
          </cell>
          <cell r="BC75">
            <v>6335.042159740502</v>
          </cell>
          <cell r="BD75">
            <v>-3.8472824179265554E-4</v>
          </cell>
          <cell r="BE75">
            <v>20886.389208050576</v>
          </cell>
          <cell r="BF75">
            <v>20886.75803910174</v>
          </cell>
          <cell r="BG75">
            <v>1.7658918805465056E-3</v>
          </cell>
          <cell r="BH75">
            <v>43337.597373981305</v>
          </cell>
          <cell r="BI75">
            <v>43337.348010416856</v>
          </cell>
          <cell r="BJ75">
            <v>-5.7539775981975936E-4</v>
          </cell>
          <cell r="BK75">
            <v>85000.173778800978</v>
          </cell>
          <cell r="BL75">
            <v>86378.941432255742</v>
          </cell>
          <cell r="BM75">
            <v>1.6220762760353657</v>
          </cell>
        </row>
        <row r="76">
          <cell r="C76">
            <v>71</v>
          </cell>
          <cell r="D76" t="str">
            <v>ROM Production</v>
          </cell>
          <cell r="E76" t="str">
            <v>KTON</v>
          </cell>
          <cell r="F76">
            <v>558.67485931533793</v>
          </cell>
          <cell r="G76">
            <v>606.04472539999995</v>
          </cell>
          <cell r="H76">
            <v>8.4789686335115029</v>
          </cell>
          <cell r="I76">
            <v>561.63133722842258</v>
          </cell>
          <cell r="J76">
            <v>520.844358754415</v>
          </cell>
          <cell r="K76">
            <v>-7.2622333852106618</v>
          </cell>
          <cell r="L76">
            <v>619.60302505614186</v>
          </cell>
          <cell r="M76">
            <v>635.72571587294362</v>
          </cell>
          <cell r="N76">
            <v>2.6021000809899042</v>
          </cell>
          <cell r="O76">
            <v>1739.9092215999024</v>
          </cell>
          <cell r="P76">
            <v>1762.6148000273583</v>
          </cell>
          <cell r="Q76">
            <v>1.3049863835181854</v>
          </cell>
          <cell r="R76">
            <v>622.17741878120523</v>
          </cell>
          <cell r="S76">
            <v>600.91612029892462</v>
          </cell>
          <cell r="T76">
            <v>-3.4172404591490571</v>
          </cell>
          <cell r="U76">
            <v>2362.0866403811078</v>
          </cell>
          <cell r="V76">
            <v>2363.5309203262832</v>
          </cell>
          <cell r="W76">
            <v>6.1144240879426069E-2</v>
          </cell>
          <cell r="X76">
            <v>641.58899762799638</v>
          </cell>
          <cell r="Y76">
            <v>635.51752376158697</v>
          </cell>
          <cell r="Z76">
            <v>-0.94631826431813981</v>
          </cell>
          <cell r="AA76">
            <v>668.03960292100624</v>
          </cell>
          <cell r="AB76">
            <v>678.03960292100624</v>
          </cell>
          <cell r="AC76">
            <v>1.4969172420729182</v>
          </cell>
          <cell r="AD76">
            <v>1931.8060193302078</v>
          </cell>
          <cell r="AE76">
            <v>1914.4732469815178</v>
          </cell>
          <cell r="AF76">
            <v>-0.89723151161417336</v>
          </cell>
          <cell r="AG76">
            <v>3671.7152409301102</v>
          </cell>
          <cell r="AH76">
            <v>3677.0880470088759</v>
          </cell>
          <cell r="AI76">
            <v>0.14632959601204554</v>
          </cell>
          <cell r="AJ76">
            <v>651.21564120338189</v>
          </cell>
          <cell r="AK76">
            <v>651.21564120338189</v>
          </cell>
          <cell r="AL76">
            <v>0</v>
          </cell>
          <cell r="AM76">
            <v>700.65067459069201</v>
          </cell>
          <cell r="AN76">
            <v>700.65067459069201</v>
          </cell>
          <cell r="AO76">
            <v>0</v>
          </cell>
          <cell r="AP76">
            <v>726.520316431428</v>
          </cell>
          <cell r="AQ76">
            <v>726.520316431428</v>
          </cell>
          <cell r="AR76">
            <v>0</v>
          </cell>
          <cell r="AS76">
            <v>2078.3866322255017</v>
          </cell>
          <cell r="AT76">
            <v>2078.3866322255017</v>
          </cell>
          <cell r="AU76">
            <v>0</v>
          </cell>
          <cell r="AV76">
            <v>729.520316431428</v>
          </cell>
          <cell r="AW76">
            <v>729.520316431428</v>
          </cell>
          <cell r="AX76">
            <v>0</v>
          </cell>
          <cell r="AY76">
            <v>688.520316431428</v>
          </cell>
          <cell r="AZ76">
            <v>688.520316431428</v>
          </cell>
          <cell r="BA76">
            <v>0</v>
          </cell>
          <cell r="BB76">
            <v>632.86513200640013</v>
          </cell>
          <cell r="BC76">
            <v>632.86513200640013</v>
          </cell>
          <cell r="BD76">
            <v>0</v>
          </cell>
          <cell r="BE76">
            <v>2050.905764869256</v>
          </cell>
          <cell r="BF76">
            <v>2050.905764869256</v>
          </cell>
          <cell r="BG76">
            <v>0</v>
          </cell>
          <cell r="BH76">
            <v>4129.2923970947577</v>
          </cell>
          <cell r="BI76">
            <v>4129.2923970947577</v>
          </cell>
          <cell r="BJ76">
            <v>0</v>
          </cell>
          <cell r="BK76">
            <v>7801.0076380248684</v>
          </cell>
          <cell r="BL76">
            <v>7806.3804441036336</v>
          </cell>
          <cell r="BM76">
            <v>6.8873231870410223E-2</v>
          </cell>
        </row>
        <row r="77">
          <cell r="C77">
            <v>72</v>
          </cell>
          <cell r="D77" t="str">
            <v>Washplant</v>
          </cell>
          <cell r="E77" t="str">
            <v>KTON</v>
          </cell>
          <cell r="F77">
            <v>5</v>
          </cell>
          <cell r="G77">
            <v>7.1940999999999997</v>
          </cell>
          <cell r="H77">
            <v>43.881999999999991</v>
          </cell>
          <cell r="I77">
            <v>5</v>
          </cell>
          <cell r="J77">
            <v>7.2908999999999997</v>
          </cell>
          <cell r="K77">
            <v>45.817999999999991</v>
          </cell>
          <cell r="L77">
            <v>5</v>
          </cell>
          <cell r="M77">
            <v>7.0305</v>
          </cell>
          <cell r="N77">
            <v>40.61</v>
          </cell>
          <cell r="O77">
            <v>15</v>
          </cell>
          <cell r="P77">
            <v>21.515499999999999</v>
          </cell>
          <cell r="Q77">
            <v>43.43666666666666</v>
          </cell>
          <cell r="R77">
            <v>5</v>
          </cell>
          <cell r="S77">
            <v>4.8727399999999985</v>
          </cell>
          <cell r="T77">
            <v>-2.5452000000000297</v>
          </cell>
          <cell r="U77">
            <v>20</v>
          </cell>
          <cell r="V77">
            <v>26.388239999999996</v>
          </cell>
          <cell r="W77">
            <v>31.941199999999981</v>
          </cell>
          <cell r="X77">
            <v>5</v>
          </cell>
          <cell r="Y77">
            <v>5</v>
          </cell>
          <cell r="Z77">
            <v>0</v>
          </cell>
          <cell r="AA77">
            <v>5</v>
          </cell>
          <cell r="AB77">
            <v>5</v>
          </cell>
          <cell r="AC77">
            <v>0</v>
          </cell>
          <cell r="AD77">
            <v>15</v>
          </cell>
          <cell r="AE77">
            <v>14.872739999999999</v>
          </cell>
          <cell r="AF77">
            <v>-0.84840000000000992</v>
          </cell>
          <cell r="AG77">
            <v>30</v>
          </cell>
          <cell r="AH77">
            <v>36.388239999999996</v>
          </cell>
          <cell r="AI77">
            <v>21.29413333333332</v>
          </cell>
          <cell r="AJ77">
            <v>5</v>
          </cell>
          <cell r="AK77">
            <v>5</v>
          </cell>
          <cell r="AL77">
            <v>0</v>
          </cell>
          <cell r="AM77">
            <v>5</v>
          </cell>
          <cell r="AN77">
            <v>5</v>
          </cell>
          <cell r="AO77">
            <v>0</v>
          </cell>
          <cell r="AP77">
            <v>5</v>
          </cell>
          <cell r="AQ77">
            <v>5</v>
          </cell>
          <cell r="AR77">
            <v>0</v>
          </cell>
          <cell r="AS77">
            <v>15</v>
          </cell>
          <cell r="AT77">
            <v>15</v>
          </cell>
          <cell r="AU77">
            <v>0</v>
          </cell>
          <cell r="AV77">
            <v>5</v>
          </cell>
          <cell r="AW77">
            <v>5</v>
          </cell>
          <cell r="AX77">
            <v>0</v>
          </cell>
          <cell r="AY77">
            <v>5</v>
          </cell>
          <cell r="AZ77">
            <v>5</v>
          </cell>
          <cell r="BA77">
            <v>0</v>
          </cell>
          <cell r="BB77">
            <v>5</v>
          </cell>
          <cell r="BC77">
            <v>5</v>
          </cell>
          <cell r="BD77">
            <v>0</v>
          </cell>
          <cell r="BE77">
            <v>15</v>
          </cell>
          <cell r="BF77">
            <v>15</v>
          </cell>
          <cell r="BG77">
            <v>0</v>
          </cell>
          <cell r="BH77">
            <v>30</v>
          </cell>
          <cell r="BI77">
            <v>30</v>
          </cell>
          <cell r="BJ77">
            <v>0</v>
          </cell>
          <cell r="BK77">
            <v>60</v>
          </cell>
          <cell r="BL77">
            <v>66.388239999999996</v>
          </cell>
          <cell r="BM77">
            <v>10.64706666666666</v>
          </cell>
        </row>
        <row r="78">
          <cell r="C78">
            <v>73</v>
          </cell>
          <cell r="D78" t="str">
            <v>F/C Prod (incl WP)</v>
          </cell>
          <cell r="E78" t="str">
            <v>KTON</v>
          </cell>
          <cell r="F78">
            <v>570</v>
          </cell>
          <cell r="G78">
            <v>713.37058265999985</v>
          </cell>
          <cell r="H78">
            <v>25.152733799999975</v>
          </cell>
          <cell r="I78">
            <v>580</v>
          </cell>
          <cell r="J78">
            <v>609.93658000000005</v>
          </cell>
          <cell r="K78">
            <v>5.161479310344836</v>
          </cell>
          <cell r="L78">
            <v>590</v>
          </cell>
          <cell r="M78">
            <v>648.84168</v>
          </cell>
          <cell r="N78">
            <v>9.9731661016949147</v>
          </cell>
          <cell r="O78">
            <v>1740</v>
          </cell>
          <cell r="P78">
            <v>1972.1488426599999</v>
          </cell>
          <cell r="Q78">
            <v>13.341887509195397</v>
          </cell>
          <cell r="R78">
            <v>620</v>
          </cell>
          <cell r="S78">
            <v>542.72025000000008</v>
          </cell>
          <cell r="T78">
            <v>-12.464475806451599</v>
          </cell>
          <cell r="U78">
            <v>2360</v>
          </cell>
          <cell r="V78">
            <v>2514.8690926600002</v>
          </cell>
          <cell r="W78">
            <v>6.5622496889830604</v>
          </cell>
          <cell r="X78">
            <v>630</v>
          </cell>
          <cell r="Y78">
            <v>567</v>
          </cell>
          <cell r="Z78">
            <v>-10</v>
          </cell>
          <cell r="AA78">
            <v>630</v>
          </cell>
          <cell r="AB78">
            <v>581</v>
          </cell>
          <cell r="AC78">
            <v>-7.7777777777777777</v>
          </cell>
          <cell r="AD78">
            <v>1880</v>
          </cell>
          <cell r="AE78">
            <v>1690.7202500000001</v>
          </cell>
          <cell r="AF78">
            <v>-10.068071808510634</v>
          </cell>
          <cell r="AG78">
            <v>3620</v>
          </cell>
          <cell r="AH78">
            <v>3662.8690926600002</v>
          </cell>
          <cell r="AI78">
            <v>1.1842290790055305</v>
          </cell>
          <cell r="AJ78">
            <v>630</v>
          </cell>
          <cell r="AK78">
            <v>576</v>
          </cell>
          <cell r="AL78">
            <v>-8.5714285714285712</v>
          </cell>
          <cell r="AM78">
            <v>680</v>
          </cell>
          <cell r="AN78">
            <v>741.5</v>
          </cell>
          <cell r="AO78">
            <v>9.0441176470588225</v>
          </cell>
          <cell r="AP78">
            <v>700</v>
          </cell>
          <cell r="AQ78">
            <v>761.5</v>
          </cell>
          <cell r="AR78">
            <v>8.7857142857142847</v>
          </cell>
          <cell r="AS78">
            <v>2010</v>
          </cell>
          <cell r="AT78">
            <v>2079</v>
          </cell>
          <cell r="AU78">
            <v>3.4328358208955225</v>
          </cell>
          <cell r="AV78">
            <v>700</v>
          </cell>
          <cell r="AW78">
            <v>761.5</v>
          </cell>
          <cell r="AX78">
            <v>8.7857142857142847</v>
          </cell>
          <cell r="AY78">
            <v>700</v>
          </cell>
          <cell r="AZ78">
            <v>761.5</v>
          </cell>
          <cell r="BA78">
            <v>8.7857142857142847</v>
          </cell>
          <cell r="BB78">
            <v>655</v>
          </cell>
          <cell r="BC78">
            <v>660</v>
          </cell>
          <cell r="BD78">
            <v>0.76335877862595414</v>
          </cell>
          <cell r="BE78">
            <v>2055</v>
          </cell>
          <cell r="BF78">
            <v>2183</v>
          </cell>
          <cell r="BG78">
            <v>6.228710462287105</v>
          </cell>
          <cell r="BH78">
            <v>4065</v>
          </cell>
          <cell r="BI78">
            <v>4262</v>
          </cell>
          <cell r="BJ78">
            <v>4.8462484624846249</v>
          </cell>
          <cell r="BK78">
            <v>7685</v>
          </cell>
          <cell r="BL78">
            <v>7924.8690926600002</v>
          </cell>
          <cell r="BM78">
            <v>3.1212634048145764</v>
          </cell>
        </row>
        <row r="79">
          <cell r="C79">
            <v>74</v>
          </cell>
          <cell r="D79" t="str">
            <v>Stripping Ratio</v>
          </cell>
          <cell r="E79" t="str">
            <v>OB: F/C</v>
          </cell>
          <cell r="F79">
            <v>11.246865498974856</v>
          </cell>
          <cell r="G79">
            <v>9.8001966339309092</v>
          </cell>
          <cell r="H79">
            <v>-12.862862680947055</v>
          </cell>
          <cell r="I79">
            <v>10.813926897850488</v>
          </cell>
          <cell r="J79">
            <v>10.730057244699307</v>
          </cell>
          <cell r="K79">
            <v>-0.7755707426490196</v>
          </cell>
          <cell r="L79">
            <v>11.991521974517168</v>
          </cell>
          <cell r="M79">
            <v>11.537041281342788</v>
          </cell>
          <cell r="N79">
            <v>-3.7900167646791121</v>
          </cell>
          <cell r="O79">
            <v>11.355051092031081</v>
          </cell>
          <cell r="P79">
            <v>10.659205428342975</v>
          </cell>
          <cell r="Q79">
            <v>-6.1280716224733389</v>
          </cell>
          <cell r="R79">
            <v>11.320968412095592</v>
          </cell>
          <cell r="S79">
            <v>13.347813927156761</v>
          </cell>
          <cell r="T79">
            <v>17.903464096725493</v>
          </cell>
          <cell r="U79">
            <v>11.346097167641249</v>
          </cell>
          <cell r="V79">
            <v>11.239419436653433</v>
          </cell>
          <cell r="W79">
            <v>-0.94021520714680129</v>
          </cell>
          <cell r="X79">
            <v>11.723133540155931</v>
          </cell>
          <cell r="Y79">
            <v>12.831478146332461</v>
          </cell>
          <cell r="Z79">
            <v>9.4543374634439914</v>
          </cell>
          <cell r="AA79">
            <v>11.905099934742976</v>
          </cell>
          <cell r="AB79">
            <v>12.909598540768652</v>
          </cell>
          <cell r="AC79">
            <v>8.4375487104834814</v>
          </cell>
          <cell r="AD79">
            <v>11.651482715258288</v>
          </cell>
          <cell r="AE79">
            <v>13.024066975395304</v>
          </cell>
          <cell r="AF79">
            <v>11.780339838976353</v>
          </cell>
          <cell r="AG79">
            <v>11.508999006856259</v>
          </cell>
          <cell r="AH79">
            <v>11.75078670108349</v>
          </cell>
          <cell r="AI79">
            <v>2.1008577208425385</v>
          </cell>
          <cell r="AJ79">
            <v>12.116172384031769</v>
          </cell>
          <cell r="AK79">
            <v>13.252090917767294</v>
          </cell>
          <cell r="AL79">
            <v>9.3752259189757243</v>
          </cell>
          <cell r="AM79">
            <v>10.653811616314792</v>
          </cell>
          <cell r="AN79">
            <v>9.7697849169295861</v>
          </cell>
          <cell r="AO79">
            <v>-8.297750431699443</v>
          </cell>
          <cell r="AP79">
            <v>10.8191823784238</v>
          </cell>
          <cell r="AQ79">
            <v>9.9449640010214964</v>
          </cell>
          <cell r="AR79">
            <v>-8.0802628777727019</v>
          </cell>
          <cell r="AS79">
            <v>11.169755306433201</v>
          </cell>
          <cell r="AT79">
            <v>10.798744574947147</v>
          </cell>
          <cell r="AU79">
            <v>-3.3215654354788868</v>
          </cell>
          <cell r="AV79">
            <v>10.868423844533694</v>
          </cell>
          <cell r="AW79">
            <v>9.990359399119388</v>
          </cell>
          <cell r="AX79">
            <v>-8.0790412480640565</v>
          </cell>
          <cell r="AY79">
            <v>9.9191799776377128</v>
          </cell>
          <cell r="AZ79">
            <v>9.1189194969557796</v>
          </cell>
          <cell r="BA79">
            <v>-8.0678088560352741</v>
          </cell>
          <cell r="BB79">
            <v>9.6718573015734179</v>
          </cell>
          <cell r="BC79">
            <v>9.5985487268795477</v>
          </cell>
          <cell r="BD79">
            <v>-0.75795757120966167</v>
          </cell>
          <cell r="BE79">
            <v>10.163693045280086</v>
          </cell>
          <cell r="BF79">
            <v>9.5679148140640127</v>
          </cell>
          <cell r="BG79">
            <v>-5.8618282602773641</v>
          </cell>
          <cell r="BH79">
            <v>10.661155565555056</v>
          </cell>
          <cell r="BI79">
            <v>10.168312531773077</v>
          </cell>
          <cell r="BJ79">
            <v>-4.6227918798436516</v>
          </cell>
          <cell r="BK79">
            <v>11.06053009483422</v>
          </cell>
          <cell r="BL79">
            <v>10.899731014138741</v>
          </cell>
          <cell r="BM79">
            <v>-1.4538098926251297</v>
          </cell>
        </row>
        <row r="80">
          <cell r="C80">
            <v>75</v>
          </cell>
          <cell r="D80" t="str">
            <v>S/R                          (OB/ (FC+WP)</v>
          </cell>
          <cell r="E80">
            <v>0</v>
          </cell>
          <cell r="F80" t="e">
            <v>#REF!</v>
          </cell>
          <cell r="G80" t="e">
            <v>#REF!</v>
          </cell>
          <cell r="H80" t="e">
            <v>#REF!</v>
          </cell>
          <cell r="I80" t="e">
            <v>#REF!</v>
          </cell>
          <cell r="J80" t="e">
            <v>#REF!</v>
          </cell>
          <cell r="K80" t="e">
            <v>#REF!</v>
          </cell>
          <cell r="L80" t="e">
            <v>#REF!</v>
          </cell>
          <cell r="M80" t="e">
            <v>#REF!</v>
          </cell>
          <cell r="N80" t="e">
            <v>#REF!</v>
          </cell>
          <cell r="O80" t="e">
            <v>#REF!</v>
          </cell>
          <cell r="P80" t="e">
            <v>#REF!</v>
          </cell>
          <cell r="Q80" t="e">
            <v>#REF!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V80" t="e">
            <v>#REF!</v>
          </cell>
          <cell r="W80" t="e">
            <v>#REF!</v>
          </cell>
          <cell r="X80" t="e">
            <v>#REF!</v>
          </cell>
          <cell r="Y80" t="e">
            <v>#REF!</v>
          </cell>
          <cell r="Z80" t="e">
            <v>#REF!</v>
          </cell>
          <cell r="AA80" t="e">
            <v>#REF!</v>
          </cell>
          <cell r="AB80" t="e">
            <v>#REF!</v>
          </cell>
          <cell r="AC80" t="e">
            <v>#REF!</v>
          </cell>
          <cell r="AD80" t="e">
            <v>#REF!</v>
          </cell>
          <cell r="AE80" t="e">
            <v>#REF!</v>
          </cell>
          <cell r="AF80" t="e">
            <v>#REF!</v>
          </cell>
          <cell r="AG80" t="e">
            <v>#REF!</v>
          </cell>
          <cell r="AH80" t="e">
            <v>#REF!</v>
          </cell>
          <cell r="AI80" t="e">
            <v>#REF!</v>
          </cell>
          <cell r="AJ80" t="e">
            <v>#REF!</v>
          </cell>
          <cell r="AK80" t="e">
            <v>#REF!</v>
          </cell>
          <cell r="AL80" t="e">
            <v>#REF!</v>
          </cell>
          <cell r="AM80" t="e">
            <v>#REF!</v>
          </cell>
          <cell r="AN80" t="e">
            <v>#REF!</v>
          </cell>
          <cell r="AO80" t="e">
            <v>#REF!</v>
          </cell>
          <cell r="AP80" t="e">
            <v>#REF!</v>
          </cell>
          <cell r="AQ80" t="e">
            <v>#REF!</v>
          </cell>
          <cell r="AR80" t="e">
            <v>#REF!</v>
          </cell>
          <cell r="AS80" t="e">
            <v>#REF!</v>
          </cell>
          <cell r="AT80" t="e">
            <v>#REF!</v>
          </cell>
          <cell r="AU80" t="e">
            <v>#REF!</v>
          </cell>
          <cell r="AV80" t="e">
            <v>#REF!</v>
          </cell>
          <cell r="AW80" t="e">
            <v>#REF!</v>
          </cell>
          <cell r="AX80" t="e">
            <v>#REF!</v>
          </cell>
          <cell r="AY80" t="e">
            <v>#REF!</v>
          </cell>
          <cell r="AZ80" t="e">
            <v>#REF!</v>
          </cell>
          <cell r="BA80" t="e">
            <v>#REF!</v>
          </cell>
          <cell r="BB80" t="e">
            <v>#REF!</v>
          </cell>
          <cell r="BC80" t="e">
            <v>#REF!</v>
          </cell>
          <cell r="BD80" t="e">
            <v>#REF!</v>
          </cell>
          <cell r="BE80" t="e">
            <v>#REF!</v>
          </cell>
          <cell r="BF80" t="e">
            <v>#REF!</v>
          </cell>
          <cell r="BG80" t="e">
            <v>#REF!</v>
          </cell>
          <cell r="BH80" t="e">
            <v>#REF!</v>
          </cell>
          <cell r="BI80" t="e">
            <v>#REF!</v>
          </cell>
          <cell r="BJ80" t="e">
            <v>#REF!</v>
          </cell>
          <cell r="BK80" t="e">
            <v>#REF!</v>
          </cell>
          <cell r="BL80" t="e">
            <v>#REF!</v>
          </cell>
          <cell r="BM80" t="e">
            <v>#REF!</v>
          </cell>
        </row>
        <row r="81">
          <cell r="C81">
            <v>76</v>
          </cell>
          <cell r="D81" t="str">
            <v>Hauling</v>
          </cell>
          <cell r="E81" t="str">
            <v>KTON</v>
          </cell>
          <cell r="F81">
            <v>570</v>
          </cell>
          <cell r="G81">
            <v>775.75536</v>
          </cell>
          <cell r="H81">
            <v>36.097431578947372</v>
          </cell>
          <cell r="I81">
            <v>580</v>
          </cell>
          <cell r="J81">
            <v>590.6816</v>
          </cell>
          <cell r="K81">
            <v>1.8416551724137937</v>
          </cell>
          <cell r="L81">
            <v>590</v>
          </cell>
          <cell r="M81">
            <v>536.67831999999999</v>
          </cell>
          <cell r="N81">
            <v>-9.0375728813559348</v>
          </cell>
          <cell r="O81">
            <v>1740</v>
          </cell>
          <cell r="P81">
            <v>1903.11528</v>
          </cell>
          <cell r="Q81">
            <v>9.374441379310344</v>
          </cell>
          <cell r="R81">
            <v>620</v>
          </cell>
          <cell r="S81">
            <v>620.86586000000011</v>
          </cell>
          <cell r="T81">
            <v>0.13965483870969542</v>
          </cell>
          <cell r="U81">
            <v>2360</v>
          </cell>
          <cell r="V81">
            <v>2523.9811399999999</v>
          </cell>
          <cell r="W81">
            <v>6.948353389830503</v>
          </cell>
          <cell r="X81">
            <v>630</v>
          </cell>
          <cell r="Y81">
            <v>567</v>
          </cell>
          <cell r="Z81">
            <v>-10</v>
          </cell>
          <cell r="AA81">
            <v>630</v>
          </cell>
          <cell r="AB81">
            <v>581</v>
          </cell>
          <cell r="AC81">
            <v>-7.7777777777777777</v>
          </cell>
          <cell r="AD81">
            <v>1880</v>
          </cell>
          <cell r="AE81">
            <v>1768.8658600000001</v>
          </cell>
          <cell r="AF81">
            <v>-5.9113904255319083</v>
          </cell>
          <cell r="AG81">
            <v>3620</v>
          </cell>
          <cell r="AH81">
            <v>3671.9811399999999</v>
          </cell>
          <cell r="AI81">
            <v>1.4359430939226483</v>
          </cell>
          <cell r="AJ81">
            <v>630</v>
          </cell>
          <cell r="AK81">
            <v>576</v>
          </cell>
          <cell r="AL81">
            <v>-8.5714285714285712</v>
          </cell>
          <cell r="AM81">
            <v>680</v>
          </cell>
          <cell r="AN81">
            <v>741.5</v>
          </cell>
          <cell r="AO81">
            <v>9.0441176470588225</v>
          </cell>
          <cell r="AP81">
            <v>700</v>
          </cell>
          <cell r="AQ81">
            <v>761.5</v>
          </cell>
          <cell r="AR81">
            <v>8.7857142857142847</v>
          </cell>
          <cell r="AS81">
            <v>2010</v>
          </cell>
          <cell r="AT81">
            <v>2079</v>
          </cell>
          <cell r="AU81">
            <v>3.4328358208955225</v>
          </cell>
          <cell r="AV81">
            <v>700</v>
          </cell>
          <cell r="AW81">
            <v>761.5</v>
          </cell>
          <cell r="AX81">
            <v>8.7857142857142847</v>
          </cell>
          <cell r="AY81">
            <v>700</v>
          </cell>
          <cell r="AZ81">
            <v>761.5</v>
          </cell>
          <cell r="BA81">
            <v>8.7857142857142847</v>
          </cell>
          <cell r="BB81">
            <v>655</v>
          </cell>
          <cell r="BC81">
            <v>660</v>
          </cell>
          <cell r="BD81">
            <v>0.76335877862595414</v>
          </cell>
          <cell r="BE81">
            <v>2055</v>
          </cell>
          <cell r="BF81">
            <v>2183</v>
          </cell>
          <cell r="BG81">
            <v>6.228710462287105</v>
          </cell>
          <cell r="BH81">
            <v>4065</v>
          </cell>
          <cell r="BI81">
            <v>4262</v>
          </cell>
          <cell r="BJ81">
            <v>4.8462484624846249</v>
          </cell>
          <cell r="BK81">
            <v>7685</v>
          </cell>
          <cell r="BL81">
            <v>7933.9811399999999</v>
          </cell>
          <cell r="BM81">
            <v>3.2398326610279748</v>
          </cell>
        </row>
        <row r="82">
          <cell r="C82">
            <v>77</v>
          </cell>
          <cell r="D82" t="str">
            <v>ROM stock</v>
          </cell>
          <cell r="E82" t="str">
            <v>KTON</v>
          </cell>
          <cell r="F82">
            <v>517.83012317757971</v>
          </cell>
          <cell r="G82">
            <v>640.07602606110004</v>
          </cell>
          <cell r="H82">
            <v>23.607337119242576</v>
          </cell>
          <cell r="I82">
            <v>495.57237709954779</v>
          </cell>
          <cell r="J82">
            <v>580.64277716879997</v>
          </cell>
          <cell r="K82">
            <v>17.16608995988566</v>
          </cell>
          <cell r="L82">
            <v>520.02416152631895</v>
          </cell>
          <cell r="M82">
            <v>531.03860919420003</v>
          </cell>
          <cell r="N82">
            <v>2.118064598297253</v>
          </cell>
          <cell r="O82">
            <v>520.02416152631895</v>
          </cell>
          <cell r="P82">
            <v>531.03860919420003</v>
          </cell>
          <cell r="Q82">
            <v>2.118064598297253</v>
          </cell>
          <cell r="R82">
            <v>517.01172377227749</v>
          </cell>
          <cell r="S82">
            <v>567.00740822609998</v>
          </cell>
          <cell r="T82">
            <v>9.6701258704616038</v>
          </cell>
          <cell r="U82">
            <v>517.01172377227749</v>
          </cell>
          <cell r="V82">
            <v>567.00740822609998</v>
          </cell>
          <cell r="W82">
            <v>9.6701258704616038</v>
          </cell>
          <cell r="X82">
            <v>523.13469118232535</v>
          </cell>
          <cell r="Y82">
            <v>635.52493198768707</v>
          </cell>
          <cell r="Z82">
            <v>21.483996894060105</v>
          </cell>
          <cell r="AA82">
            <v>555.45271380323788</v>
          </cell>
          <cell r="AB82">
            <v>732.5645349086933</v>
          </cell>
          <cell r="AC82">
            <v>31.886030386412884</v>
          </cell>
          <cell r="AD82">
            <v>555.45271380323788</v>
          </cell>
          <cell r="AE82">
            <v>732.5645349086933</v>
          </cell>
          <cell r="AF82">
            <v>31.886030386412884</v>
          </cell>
          <cell r="AG82">
            <v>555.45271380323788</v>
          </cell>
          <cell r="AH82">
            <v>732.5645349086933</v>
          </cell>
          <cell r="AI82">
            <v>31.886030386412884</v>
          </cell>
          <cell r="AJ82">
            <v>571.49143251173507</v>
          </cell>
          <cell r="AK82">
            <v>807.7801761120752</v>
          </cell>
          <cell r="AL82">
            <v>41.345981786960238</v>
          </cell>
          <cell r="AM82">
            <v>586.44685074244001</v>
          </cell>
          <cell r="AN82">
            <v>766.9308507027672</v>
          </cell>
          <cell r="AO82">
            <v>30.775849462203603</v>
          </cell>
          <cell r="AP82">
            <v>607.08897058598313</v>
          </cell>
          <cell r="AQ82">
            <v>731.9511671341952</v>
          </cell>
          <cell r="AR82">
            <v>20.567363697563273</v>
          </cell>
          <cell r="AS82">
            <v>607.08897058598313</v>
          </cell>
          <cell r="AT82">
            <v>731.9511671341952</v>
          </cell>
          <cell r="AU82">
            <v>20.567363697563273</v>
          </cell>
          <cell r="AV82">
            <v>630.67454185489623</v>
          </cell>
          <cell r="AW82">
            <v>699.9714835656232</v>
          </cell>
          <cell r="AX82">
            <v>10.987749958467582</v>
          </cell>
          <cell r="AY82">
            <v>614.07586531219101</v>
          </cell>
          <cell r="AZ82">
            <v>626.9917999970512</v>
          </cell>
          <cell r="BA82">
            <v>2.1033125407548523</v>
          </cell>
          <cell r="BB82">
            <v>587.43103561313978</v>
          </cell>
          <cell r="BC82">
            <v>599.85693200345122</v>
          </cell>
          <cell r="BD82">
            <v>2.1152945004585475</v>
          </cell>
          <cell r="BE82">
            <v>587.43103561313978</v>
          </cell>
          <cell r="BF82">
            <v>599.85693200345122</v>
          </cell>
          <cell r="BG82">
            <v>2.1152945004585475</v>
          </cell>
          <cell r="BH82">
            <v>587.43103561313978</v>
          </cell>
          <cell r="BI82">
            <v>599.85693200345122</v>
          </cell>
          <cell r="BJ82">
            <v>2.1152945004585475</v>
          </cell>
          <cell r="BK82">
            <v>587.43103561313978</v>
          </cell>
          <cell r="BL82">
            <v>599.85693200345122</v>
          </cell>
          <cell r="BM82">
            <v>2.1152945004585475</v>
          </cell>
        </row>
        <row r="83">
          <cell r="C83">
            <v>78</v>
          </cell>
          <cell r="D83" t="str">
            <v>F/C stock</v>
          </cell>
          <cell r="E83" t="str">
            <v>KTON</v>
          </cell>
          <cell r="F83">
            <v>191.36879348000008</v>
          </cell>
          <cell r="G83">
            <v>150.85448733430002</v>
          </cell>
          <cell r="H83">
            <v>-21.1708008442527</v>
          </cell>
          <cell r="I83">
            <v>191.36879348000008</v>
          </cell>
          <cell r="J83">
            <v>299.91434896066568</v>
          </cell>
          <cell r="K83">
            <v>56.720614425574922</v>
          </cell>
          <cell r="L83">
            <v>191.36879348000008</v>
          </cell>
          <cell r="M83">
            <v>257.80015952473104</v>
          </cell>
          <cell r="N83">
            <v>34.713792586916057</v>
          </cell>
          <cell r="O83">
            <v>191.36879348000008</v>
          </cell>
          <cell r="P83">
            <v>257.80015952473104</v>
          </cell>
          <cell r="Q83">
            <v>34.713792586916057</v>
          </cell>
          <cell r="R83">
            <v>191.36879348000008</v>
          </cell>
          <cell r="S83">
            <v>259.2030452113334</v>
          </cell>
          <cell r="T83">
            <v>35.446872239607167</v>
          </cell>
          <cell r="U83">
            <v>191.36879348000008</v>
          </cell>
          <cell r="V83">
            <v>259.2030452113334</v>
          </cell>
          <cell r="W83">
            <v>35.446872239607167</v>
          </cell>
          <cell r="X83">
            <v>191.36879348000008</v>
          </cell>
          <cell r="Y83">
            <v>259.20304521133346</v>
          </cell>
          <cell r="Z83">
            <v>35.446872239607202</v>
          </cell>
          <cell r="AA83">
            <v>191.36879348000008</v>
          </cell>
          <cell r="AB83">
            <v>259.20304521133346</v>
          </cell>
          <cell r="AC83">
            <v>35.446872239607202</v>
          </cell>
          <cell r="AD83">
            <v>191.36879348000008</v>
          </cell>
          <cell r="AE83">
            <v>259.20304521133346</v>
          </cell>
          <cell r="AF83">
            <v>35.446872239607202</v>
          </cell>
          <cell r="AG83">
            <v>191.36879348000008</v>
          </cell>
          <cell r="AH83">
            <v>259.20304521133346</v>
          </cell>
          <cell r="AI83">
            <v>35.446872239607202</v>
          </cell>
          <cell r="AJ83">
            <v>191.36879348000008</v>
          </cell>
          <cell r="AK83">
            <v>259.20304521133346</v>
          </cell>
          <cell r="AL83">
            <v>35.446872239607202</v>
          </cell>
          <cell r="AM83">
            <v>191.36879348000008</v>
          </cell>
          <cell r="AN83">
            <v>259.20304521133346</v>
          </cell>
          <cell r="AO83">
            <v>35.446872239607202</v>
          </cell>
          <cell r="AP83">
            <v>191.36879348000008</v>
          </cell>
          <cell r="AQ83">
            <v>259.20304521133346</v>
          </cell>
          <cell r="AR83">
            <v>35.446872239607202</v>
          </cell>
          <cell r="AS83">
            <v>191.36879348000008</v>
          </cell>
          <cell r="AT83">
            <v>259.20304521133346</v>
          </cell>
          <cell r="AU83">
            <v>35.446872239607202</v>
          </cell>
          <cell r="AV83">
            <v>191.36879348000008</v>
          </cell>
          <cell r="AW83">
            <v>259.20304521133346</v>
          </cell>
          <cell r="AX83">
            <v>35.446872239607202</v>
          </cell>
          <cell r="AY83">
            <v>191.36879348000008</v>
          </cell>
          <cell r="AZ83">
            <v>259.20304521133346</v>
          </cell>
          <cell r="BA83">
            <v>35.446872239607202</v>
          </cell>
          <cell r="BB83">
            <v>191.36879348000008</v>
          </cell>
          <cell r="BC83">
            <v>259.20304521133346</v>
          </cell>
          <cell r="BD83">
            <v>35.446872239607202</v>
          </cell>
          <cell r="BE83">
            <v>191.36879348000008</v>
          </cell>
          <cell r="BF83">
            <v>259.20304521133346</v>
          </cell>
          <cell r="BG83">
            <v>35.446872239607202</v>
          </cell>
          <cell r="BH83">
            <v>191.36879348000008</v>
          </cell>
          <cell r="BI83">
            <v>259.20304521133346</v>
          </cell>
          <cell r="BJ83">
            <v>35.446872239607202</v>
          </cell>
          <cell r="BK83">
            <v>191.36879348000008</v>
          </cell>
          <cell r="BL83">
            <v>259.20304521133346</v>
          </cell>
          <cell r="BM83">
            <v>35.446872239607202</v>
          </cell>
        </row>
        <row r="84">
          <cell r="C84">
            <v>79</v>
          </cell>
          <cell r="D84" t="str">
            <v>Coal Barging</v>
          </cell>
          <cell r="E84" t="str">
            <v>KTON</v>
          </cell>
          <cell r="F84">
            <v>570</v>
          </cell>
          <cell r="G84">
            <v>684.69007499999998</v>
          </cell>
          <cell r="H84">
            <v>20.121065789473679</v>
          </cell>
          <cell r="I84">
            <v>580</v>
          </cell>
          <cell r="J84">
            <v>589.64241099999992</v>
          </cell>
          <cell r="K84">
            <v>1.6624846551724008</v>
          </cell>
          <cell r="L84">
            <v>590</v>
          </cell>
          <cell r="M84">
            <v>593.78279500000008</v>
          </cell>
          <cell r="N84">
            <v>0.64115169491526747</v>
          </cell>
          <cell r="O84">
            <v>1740</v>
          </cell>
          <cell r="P84">
            <v>1868.1152809999999</v>
          </cell>
          <cell r="Q84">
            <v>7.3629471839080392</v>
          </cell>
          <cell r="R84">
            <v>620</v>
          </cell>
          <cell r="S84">
            <v>577.17736400000001</v>
          </cell>
          <cell r="T84">
            <v>-6.9068767741935462</v>
          </cell>
          <cell r="U84">
            <v>2360</v>
          </cell>
          <cell r="V84">
            <v>2445.292645</v>
          </cell>
          <cell r="W84">
            <v>3.6140951271186439</v>
          </cell>
          <cell r="X84">
            <v>630</v>
          </cell>
          <cell r="Y84">
            <v>567</v>
          </cell>
          <cell r="Z84">
            <v>-10</v>
          </cell>
          <cell r="AA84">
            <v>630</v>
          </cell>
          <cell r="AB84">
            <v>581</v>
          </cell>
          <cell r="AC84">
            <v>-7.7777777777777777</v>
          </cell>
          <cell r="AD84">
            <v>1880</v>
          </cell>
          <cell r="AE84">
            <v>1725.1773640000001</v>
          </cell>
          <cell r="AF84">
            <v>-8.235246595744675</v>
          </cell>
          <cell r="AG84">
            <v>3620</v>
          </cell>
          <cell r="AH84">
            <v>3593.292645</v>
          </cell>
          <cell r="AI84">
            <v>-0.73777223756906096</v>
          </cell>
          <cell r="AJ84">
            <v>630</v>
          </cell>
          <cell r="AK84">
            <v>576</v>
          </cell>
          <cell r="AL84">
            <v>-8.5714285714285712</v>
          </cell>
          <cell r="AM84">
            <v>680</v>
          </cell>
          <cell r="AN84">
            <v>741.5</v>
          </cell>
          <cell r="AO84">
            <v>9.0441176470588225</v>
          </cell>
          <cell r="AP84">
            <v>700</v>
          </cell>
          <cell r="AQ84">
            <v>761.5</v>
          </cell>
          <cell r="AR84">
            <v>8.7857142857142847</v>
          </cell>
          <cell r="AS84">
            <v>2010</v>
          </cell>
          <cell r="AT84">
            <v>2079</v>
          </cell>
          <cell r="AU84">
            <v>3.4328358208955225</v>
          </cell>
          <cell r="AV84">
            <v>700</v>
          </cell>
          <cell r="AW84">
            <v>761.5</v>
          </cell>
          <cell r="AX84">
            <v>8.7857142857142847</v>
          </cell>
          <cell r="AY84">
            <v>700</v>
          </cell>
          <cell r="AZ84">
            <v>761.5</v>
          </cell>
          <cell r="BA84">
            <v>8.7857142857142847</v>
          </cell>
          <cell r="BB84">
            <v>655</v>
          </cell>
          <cell r="BC84">
            <v>660</v>
          </cell>
          <cell r="BD84">
            <v>0.76335877862595414</v>
          </cell>
          <cell r="BE84">
            <v>2055</v>
          </cell>
          <cell r="BF84">
            <v>2183</v>
          </cell>
          <cell r="BG84">
            <v>6.228710462287105</v>
          </cell>
          <cell r="BH84">
            <v>4065</v>
          </cell>
          <cell r="BI84">
            <v>4262</v>
          </cell>
          <cell r="BJ84">
            <v>4.8462484624846249</v>
          </cell>
          <cell r="BK84">
            <v>7685</v>
          </cell>
          <cell r="BL84">
            <v>7855.2926449999995</v>
          </cell>
          <cell r="BM84">
            <v>2.2159094990240669</v>
          </cell>
        </row>
        <row r="85">
          <cell r="C85">
            <v>80</v>
          </cell>
          <cell r="D85" t="str">
            <v>Coal Sales</v>
          </cell>
          <cell r="E85" t="str">
            <v>KTON</v>
          </cell>
          <cell r="F85">
            <v>778.3</v>
          </cell>
          <cell r="G85">
            <v>653.53994899999998</v>
          </cell>
          <cell r="H85">
            <v>-16.029815109854809</v>
          </cell>
          <cell r="I85">
            <v>760.2</v>
          </cell>
          <cell r="J85">
            <v>526.59809199999995</v>
          </cell>
          <cell r="K85">
            <v>-30.729006577216534</v>
          </cell>
          <cell r="L85">
            <v>654.29999999999995</v>
          </cell>
          <cell r="M85">
            <v>694.09300899999994</v>
          </cell>
          <cell r="N85">
            <v>6.081768149167047</v>
          </cell>
          <cell r="O85">
            <v>2192.8000000000002</v>
          </cell>
          <cell r="P85">
            <v>1874.2310499999999</v>
          </cell>
          <cell r="Q85">
            <v>-14.527952845676772</v>
          </cell>
          <cell r="R85">
            <v>686.9</v>
          </cell>
          <cell r="S85">
            <v>472.30755199999999</v>
          </cell>
          <cell r="T85">
            <v>-31.240711602853398</v>
          </cell>
          <cell r="U85">
            <v>2879.7000000000003</v>
          </cell>
          <cell r="V85">
            <v>2346.5386019999996</v>
          </cell>
          <cell r="W85">
            <v>-18.514477133034713</v>
          </cell>
          <cell r="X85">
            <v>585.70000000000005</v>
          </cell>
          <cell r="Y85">
            <v>744.3</v>
          </cell>
          <cell r="Z85">
            <v>27.078709236810639</v>
          </cell>
          <cell r="AA85">
            <v>632.5</v>
          </cell>
          <cell r="AB85">
            <v>558.95000000000005</v>
          </cell>
          <cell r="AC85">
            <v>-11.628458498023708</v>
          </cell>
          <cell r="AD85">
            <v>1905.1</v>
          </cell>
          <cell r="AE85">
            <v>1775.557552</v>
          </cell>
          <cell r="AF85">
            <v>-6.7997715605479989</v>
          </cell>
          <cell r="AG85">
            <v>4097.8999999999996</v>
          </cell>
          <cell r="AH85">
            <v>3649.7886019999996</v>
          </cell>
          <cell r="AI85">
            <v>-10.935147221747725</v>
          </cell>
          <cell r="AJ85">
            <v>600.29999999999995</v>
          </cell>
          <cell r="AK85">
            <v>650.52</v>
          </cell>
          <cell r="AL85">
            <v>8.3658170914542787</v>
          </cell>
          <cell r="AM85">
            <v>614.29999999999995</v>
          </cell>
          <cell r="AN85">
            <v>649.09999999999991</v>
          </cell>
          <cell r="AO85">
            <v>5.6649845352433594</v>
          </cell>
          <cell r="AP85">
            <v>625.29999999999995</v>
          </cell>
          <cell r="AQ85">
            <v>706.69999999999993</v>
          </cell>
          <cell r="AR85">
            <v>13.017751479289938</v>
          </cell>
          <cell r="AS85">
            <v>1839.8999999999999</v>
          </cell>
          <cell r="AT85">
            <v>2006.3199999999997</v>
          </cell>
          <cell r="AU85">
            <v>9.0450567965650244</v>
          </cell>
          <cell r="AV85">
            <v>644.9</v>
          </cell>
          <cell r="AW85">
            <v>710.55</v>
          </cell>
          <cell r="AX85">
            <v>10.17987284850364</v>
          </cell>
          <cell r="AY85">
            <v>602.29999999999995</v>
          </cell>
          <cell r="AZ85">
            <v>669.55</v>
          </cell>
          <cell r="BA85">
            <v>11.165532126847086</v>
          </cell>
          <cell r="BB85">
            <v>618</v>
          </cell>
          <cell r="BC85">
            <v>685.4</v>
          </cell>
          <cell r="BD85">
            <v>10.906148867313913</v>
          </cell>
          <cell r="BE85">
            <v>1865.1999999999998</v>
          </cell>
          <cell r="BF85">
            <v>2065.5</v>
          </cell>
          <cell r="BG85">
            <v>10.73879476731719</v>
          </cell>
          <cell r="BH85">
            <v>3705.0999999999995</v>
          </cell>
          <cell r="BI85">
            <v>4071.8199999999997</v>
          </cell>
          <cell r="BJ85">
            <v>9.8977085638714275</v>
          </cell>
          <cell r="BK85">
            <v>7803.0000000000009</v>
          </cell>
          <cell r="BL85">
            <v>7721.6086019999993</v>
          </cell>
          <cell r="BM85">
            <v>-1.043078277585564</v>
          </cell>
        </row>
        <row r="86">
          <cell r="C86">
            <v>81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 t="str">
            <v xml:space="preserve"> 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</row>
        <row r="87">
          <cell r="C87">
            <v>82</v>
          </cell>
          <cell r="D87">
            <v>0</v>
          </cell>
          <cell r="E87">
            <v>0</v>
          </cell>
          <cell r="F87" t="str">
            <v>JANUARY</v>
          </cell>
          <cell r="G87">
            <v>0</v>
          </cell>
          <cell r="H87">
            <v>0</v>
          </cell>
          <cell r="I87" t="str">
            <v>FEBRUARY</v>
          </cell>
          <cell r="J87">
            <v>0</v>
          </cell>
          <cell r="K87">
            <v>0</v>
          </cell>
          <cell r="L87" t="str">
            <v>MARCH</v>
          </cell>
          <cell r="M87">
            <v>0</v>
          </cell>
          <cell r="N87">
            <v>0</v>
          </cell>
          <cell r="O87" t="str">
            <v>Q1</v>
          </cell>
          <cell r="P87">
            <v>0</v>
          </cell>
          <cell r="Q87">
            <v>0</v>
          </cell>
          <cell r="R87" t="str">
            <v>APRIL</v>
          </cell>
          <cell r="S87">
            <v>0</v>
          </cell>
          <cell r="T87">
            <v>0</v>
          </cell>
          <cell r="U87" t="str">
            <v>JANUARY - APRIL</v>
          </cell>
          <cell r="V87">
            <v>0</v>
          </cell>
          <cell r="W87">
            <v>0</v>
          </cell>
          <cell r="X87" t="str">
            <v>MAY</v>
          </cell>
          <cell r="Y87">
            <v>0</v>
          </cell>
          <cell r="Z87">
            <v>0</v>
          </cell>
          <cell r="AA87" t="str">
            <v>JUNE</v>
          </cell>
          <cell r="AB87">
            <v>0</v>
          </cell>
          <cell r="AC87">
            <v>0</v>
          </cell>
          <cell r="AD87" t="str">
            <v>Q2</v>
          </cell>
          <cell r="AE87">
            <v>0</v>
          </cell>
          <cell r="AF87">
            <v>0</v>
          </cell>
          <cell r="AG87" t="str">
            <v>1st HALF</v>
          </cell>
          <cell r="AH87">
            <v>0</v>
          </cell>
          <cell r="AI87">
            <v>0</v>
          </cell>
          <cell r="AJ87" t="str">
            <v>JULY</v>
          </cell>
          <cell r="AK87">
            <v>0</v>
          </cell>
          <cell r="AL87">
            <v>0</v>
          </cell>
          <cell r="AM87" t="str">
            <v>AUGUST</v>
          </cell>
          <cell r="AN87">
            <v>0</v>
          </cell>
          <cell r="AO87">
            <v>0</v>
          </cell>
          <cell r="AP87" t="str">
            <v>SEPTEMBER</v>
          </cell>
          <cell r="AQ87">
            <v>0</v>
          </cell>
          <cell r="AR87">
            <v>0</v>
          </cell>
          <cell r="AS87" t="str">
            <v>Q3</v>
          </cell>
          <cell r="AT87">
            <v>0</v>
          </cell>
          <cell r="AU87">
            <v>0</v>
          </cell>
          <cell r="AV87" t="str">
            <v>OCTOBER</v>
          </cell>
          <cell r="AW87">
            <v>0</v>
          </cell>
          <cell r="AX87">
            <v>0</v>
          </cell>
          <cell r="AY87" t="str">
            <v>NOVEMBER</v>
          </cell>
          <cell r="AZ87">
            <v>0</v>
          </cell>
          <cell r="BA87">
            <v>0</v>
          </cell>
          <cell r="BB87" t="str">
            <v>DECEMBER</v>
          </cell>
          <cell r="BC87">
            <v>0</v>
          </cell>
          <cell r="BD87">
            <v>0</v>
          </cell>
          <cell r="BE87" t="str">
            <v>Q4</v>
          </cell>
          <cell r="BF87">
            <v>0</v>
          </cell>
          <cell r="BG87">
            <v>0</v>
          </cell>
          <cell r="BH87" t="str">
            <v>2nd HALF</v>
          </cell>
          <cell r="BI87">
            <v>0</v>
          </cell>
          <cell r="BJ87">
            <v>0</v>
          </cell>
          <cell r="BK87" t="str">
            <v>TOTAL 2012</v>
          </cell>
          <cell r="BL87">
            <v>0</v>
          </cell>
          <cell r="BM87">
            <v>0</v>
          </cell>
        </row>
        <row r="88">
          <cell r="C88">
            <v>83</v>
          </cell>
          <cell r="D88">
            <v>0</v>
          </cell>
          <cell r="E88">
            <v>0</v>
          </cell>
          <cell r="F88" t="str">
            <v>Plan</v>
          </cell>
          <cell r="G88" t="str">
            <v>Actual</v>
          </cell>
          <cell r="H88" t="str">
            <v>% var</v>
          </cell>
          <cell r="I88" t="str">
            <v>Plan</v>
          </cell>
          <cell r="J88" t="str">
            <v>Actual</v>
          </cell>
          <cell r="K88" t="str">
            <v>% var</v>
          </cell>
          <cell r="L88" t="str">
            <v>Plan</v>
          </cell>
          <cell r="M88" t="str">
            <v>Actual</v>
          </cell>
          <cell r="N88" t="str">
            <v>% var</v>
          </cell>
          <cell r="O88" t="str">
            <v>Plan</v>
          </cell>
          <cell r="P88" t="str">
            <v>Actual</v>
          </cell>
          <cell r="Q88" t="str">
            <v>% var</v>
          </cell>
          <cell r="R88" t="str">
            <v>Plan</v>
          </cell>
          <cell r="S88" t="str">
            <v>Est</v>
          </cell>
          <cell r="T88" t="str">
            <v>% var</v>
          </cell>
          <cell r="U88" t="str">
            <v>Plan</v>
          </cell>
          <cell r="V88" t="str">
            <v>Est.</v>
          </cell>
          <cell r="W88" t="str">
            <v>% var</v>
          </cell>
          <cell r="X88" t="str">
            <v>Plan</v>
          </cell>
          <cell r="Y88" t="str">
            <v>Est</v>
          </cell>
          <cell r="Z88" t="str">
            <v>% var</v>
          </cell>
          <cell r="AA88" t="str">
            <v>Plan</v>
          </cell>
          <cell r="AB88" t="str">
            <v>Est</v>
          </cell>
          <cell r="AC88" t="str">
            <v>% var</v>
          </cell>
          <cell r="AD88" t="str">
            <v>Plan</v>
          </cell>
          <cell r="AE88" t="str">
            <v>Est.</v>
          </cell>
          <cell r="AF88" t="str">
            <v>% var</v>
          </cell>
          <cell r="AG88" t="str">
            <v>Plan</v>
          </cell>
          <cell r="AH88" t="str">
            <v>Est</v>
          </cell>
          <cell r="AI88" t="str">
            <v>% var</v>
          </cell>
          <cell r="AJ88" t="str">
            <v>Plan</v>
          </cell>
          <cell r="AK88" t="str">
            <v>Est</v>
          </cell>
          <cell r="AL88" t="str">
            <v>% var</v>
          </cell>
          <cell r="AM88" t="str">
            <v>Plan</v>
          </cell>
          <cell r="AN88" t="str">
            <v>Est</v>
          </cell>
          <cell r="AO88" t="str">
            <v>% var</v>
          </cell>
          <cell r="AP88" t="str">
            <v>Plan</v>
          </cell>
          <cell r="AQ88" t="str">
            <v>Est</v>
          </cell>
          <cell r="AR88" t="str">
            <v>% var</v>
          </cell>
          <cell r="AS88" t="str">
            <v>Plan</v>
          </cell>
          <cell r="AT88" t="str">
            <v>Est.</v>
          </cell>
          <cell r="AU88" t="str">
            <v>% var</v>
          </cell>
          <cell r="AV88" t="str">
            <v>Plan</v>
          </cell>
          <cell r="AW88" t="str">
            <v>Est</v>
          </cell>
          <cell r="AX88" t="str">
            <v>% var</v>
          </cell>
          <cell r="AY88" t="str">
            <v>Plan</v>
          </cell>
          <cell r="AZ88" t="str">
            <v>Est</v>
          </cell>
          <cell r="BA88" t="str">
            <v>% var</v>
          </cell>
          <cell r="BB88" t="str">
            <v>Plan</v>
          </cell>
          <cell r="BC88" t="str">
            <v>Est</v>
          </cell>
          <cell r="BD88" t="str">
            <v>% var</v>
          </cell>
          <cell r="BE88" t="str">
            <v>Plan</v>
          </cell>
          <cell r="BF88" t="str">
            <v>Est.</v>
          </cell>
          <cell r="BG88" t="str">
            <v>% var</v>
          </cell>
          <cell r="BH88" t="str">
            <v>Plan</v>
          </cell>
          <cell r="BI88" t="str">
            <v>Est.</v>
          </cell>
          <cell r="BJ88" t="str">
            <v>% var</v>
          </cell>
          <cell r="BK88" t="str">
            <v>Plan</v>
          </cell>
          <cell r="BL88" t="str">
            <v>Est</v>
          </cell>
          <cell r="BM88" t="str">
            <v>% var</v>
          </cell>
        </row>
        <row r="89">
          <cell r="C89">
            <v>84</v>
          </cell>
          <cell r="D89" t="str">
            <v>OB Removal</v>
          </cell>
          <cell r="E89" t="str">
            <v>KBCM</v>
          </cell>
          <cell r="F89">
            <v>1347.3559509300001</v>
          </cell>
          <cell r="G89">
            <v>875.00689000000011</v>
          </cell>
          <cell r="H89">
            <v>-35.057481328817772</v>
          </cell>
          <cell r="I89">
            <v>1256.4043488179998</v>
          </cell>
          <cell r="J89">
            <v>788.40694000000019</v>
          </cell>
          <cell r="K89">
            <v>-37.248948498011984</v>
          </cell>
          <cell r="L89">
            <v>1317.3094395180001</v>
          </cell>
          <cell r="M89">
            <v>788.5996899999999</v>
          </cell>
          <cell r="N89">
            <v>-40.135577386544327</v>
          </cell>
          <cell r="O89">
            <v>3921.0697392659999</v>
          </cell>
          <cell r="P89">
            <v>2452.0135200000004</v>
          </cell>
          <cell r="Q89">
            <v>-37.465699846006764</v>
          </cell>
          <cell r="R89">
            <v>1249.9078058100001</v>
          </cell>
          <cell r="S89">
            <v>661.96122000000003</v>
          </cell>
          <cell r="T89">
            <v>-47.039196257277752</v>
          </cell>
          <cell r="U89">
            <v>5170.9775450759998</v>
          </cell>
          <cell r="V89">
            <v>3113.9747400000006</v>
          </cell>
          <cell r="W89">
            <v>-39.779766729692248</v>
          </cell>
          <cell r="X89">
            <v>1392.8317519859997</v>
          </cell>
          <cell r="Y89">
            <v>970.26188815399996</v>
          </cell>
          <cell r="Z89">
            <v>-30.338902256462006</v>
          </cell>
          <cell r="AA89">
            <v>1493.5281686100002</v>
          </cell>
          <cell r="AB89">
            <v>1522.6986172900001</v>
          </cell>
          <cell r="AC89">
            <v>1.9531234357064955</v>
          </cell>
          <cell r="AD89">
            <v>4136.2677264060003</v>
          </cell>
          <cell r="AE89">
            <v>3154.921725444</v>
          </cell>
          <cell r="AF89">
            <v>-23.725398496259597</v>
          </cell>
          <cell r="AG89">
            <v>8057.3374656720007</v>
          </cell>
          <cell r="AH89">
            <v>5606.9352454440004</v>
          </cell>
          <cell r="AI89">
            <v>-30.412058954559761</v>
          </cell>
          <cell r="AJ89">
            <v>1543.8763769219997</v>
          </cell>
          <cell r="AK89">
            <v>1672.459173858</v>
          </cell>
          <cell r="AL89">
            <v>8.3285681974325954</v>
          </cell>
          <cell r="AM89">
            <v>1364.4093763260003</v>
          </cell>
          <cell r="AN89">
            <v>1493.7743692139998</v>
          </cell>
          <cell r="AO89">
            <v>9.4813913721661613</v>
          </cell>
          <cell r="AP89">
            <v>1493.5281686100002</v>
          </cell>
          <cell r="AQ89">
            <v>1473.7076312899999</v>
          </cell>
          <cell r="AR89">
            <v>-1.3270949779572574</v>
          </cell>
          <cell r="AS89">
            <v>4401.813921858</v>
          </cell>
          <cell r="AT89">
            <v>4639.9411743619994</v>
          </cell>
          <cell r="AU89">
            <v>5.4097528139827915</v>
          </cell>
          <cell r="AV89">
            <v>1392.8317519859997</v>
          </cell>
          <cell r="AW89">
            <v>1463.425146954</v>
          </cell>
          <cell r="AX89">
            <v>5.0683361337320942</v>
          </cell>
          <cell r="AY89">
            <v>1298.6318783700001</v>
          </cell>
          <cell r="AZ89">
            <v>1288.0755239299999</v>
          </cell>
          <cell r="BA89">
            <v>-0.81288274343381783</v>
          </cell>
          <cell r="BB89">
            <v>1249.9078058100001</v>
          </cell>
          <cell r="BC89">
            <v>1340.14854713</v>
          </cell>
          <cell r="BD89">
            <v>7.2197918038858511</v>
          </cell>
          <cell r="BE89">
            <v>3941.3714361660004</v>
          </cell>
          <cell r="BF89">
            <v>4091.6492180140003</v>
          </cell>
          <cell r="BG89">
            <v>3.8128297289885413</v>
          </cell>
          <cell r="BH89">
            <v>8343.1853580240004</v>
          </cell>
          <cell r="BI89">
            <v>8731.5903923759997</v>
          </cell>
          <cell r="BJ89">
            <v>4.6553566495853227</v>
          </cell>
          <cell r="BK89">
            <v>16400.522823696003</v>
          </cell>
          <cell r="BL89">
            <v>14338.525637820001</v>
          </cell>
          <cell r="BM89">
            <v>-12.572752759422778</v>
          </cell>
        </row>
        <row r="90">
          <cell r="C90">
            <v>85</v>
          </cell>
          <cell r="D90" t="str">
            <v>ROM Production</v>
          </cell>
          <cell r="E90" t="str">
            <v>KTON</v>
          </cell>
          <cell r="F90">
            <v>145.77941285270288</v>
          </cell>
          <cell r="G90">
            <v>212.54268200000001</v>
          </cell>
          <cell r="H90">
            <v>45.797460588454612</v>
          </cell>
          <cell r="I90">
            <v>163.71952458039073</v>
          </cell>
          <cell r="J90">
            <v>144.58104799999998</v>
          </cell>
          <cell r="K90">
            <v>-11.689794866826182</v>
          </cell>
          <cell r="L90">
            <v>167.40581041209774</v>
          </cell>
          <cell r="M90">
            <v>140.980538</v>
          </cell>
          <cell r="N90">
            <v>-15.785158440467187</v>
          </cell>
          <cell r="O90">
            <v>476.90474784519131</v>
          </cell>
          <cell r="P90">
            <v>498.10426800000005</v>
          </cell>
          <cell r="Q90">
            <v>4.4452315164810106</v>
          </cell>
          <cell r="R90">
            <v>179.41318933589059</v>
          </cell>
          <cell r="S90">
            <v>168.66008400000001</v>
          </cell>
          <cell r="T90">
            <v>-5.9934865300003244</v>
          </cell>
          <cell r="U90">
            <v>656.3179371810819</v>
          </cell>
          <cell r="V90">
            <v>666.76435200000003</v>
          </cell>
          <cell r="W90">
            <v>1.5916698641189053</v>
          </cell>
          <cell r="X90">
            <v>189.06737932797333</v>
          </cell>
          <cell r="Y90">
            <v>150.10674287331597</v>
          </cell>
          <cell r="Z90">
            <v>-20.606746966684682</v>
          </cell>
          <cell r="AA90">
            <v>218.01765007671756</v>
          </cell>
          <cell r="AB90">
            <v>150.11810624592277</v>
          </cell>
          <cell r="AC90">
            <v>-31.144058202123464</v>
          </cell>
          <cell r="AD90">
            <v>586.49821874058148</v>
          </cell>
          <cell r="AE90">
            <v>468.88493311923872</v>
          </cell>
          <cell r="AF90">
            <v>-20.053477037645564</v>
          </cell>
          <cell r="AG90">
            <v>1063.4029665857729</v>
          </cell>
          <cell r="AH90">
            <v>966.98920111923871</v>
          </cell>
          <cell r="AI90">
            <v>-9.0665315497554211</v>
          </cell>
          <cell r="AJ90">
            <v>203.76007157920441</v>
          </cell>
          <cell r="AK90">
            <v>162.01483248510954</v>
          </cell>
          <cell r="AL90">
            <v>-20.487448188723231</v>
          </cell>
          <cell r="AM90">
            <v>185.54681132332107</v>
          </cell>
          <cell r="AN90">
            <v>169.15039212625311</v>
          </cell>
          <cell r="AO90">
            <v>-8.8368100104381142</v>
          </cell>
          <cell r="AP90">
            <v>172.74794400282292</v>
          </cell>
          <cell r="AQ90">
            <v>170.77620497052487</v>
          </cell>
          <cell r="AR90">
            <v>-1.1413965264129717</v>
          </cell>
          <cell r="AS90">
            <v>562.05482690534836</v>
          </cell>
          <cell r="AT90">
            <v>501.94142958188752</v>
          </cell>
          <cell r="AU90">
            <v>-10.695290645299291</v>
          </cell>
          <cell r="AV90">
            <v>170.71242534116948</v>
          </cell>
          <cell r="AW90">
            <v>174.75356551114754</v>
          </cell>
          <cell r="AX90">
            <v>2.3672208756344646</v>
          </cell>
          <cell r="AY90">
            <v>161.5615781753587</v>
          </cell>
          <cell r="AZ90">
            <v>188.52760513469337</v>
          </cell>
          <cell r="BA90">
            <v>16.690866271475624</v>
          </cell>
          <cell r="BB90">
            <v>160.17145508104505</v>
          </cell>
          <cell r="BC90">
            <v>184.57317914139253</v>
          </cell>
          <cell r="BD90">
            <v>15.234752064904738</v>
          </cell>
          <cell r="BE90">
            <v>492.44545859757324</v>
          </cell>
          <cell r="BF90">
            <v>547.85434978723345</v>
          </cell>
          <cell r="BG90">
            <v>11.251782349147501</v>
          </cell>
          <cell r="BH90">
            <v>1054.5002855029215</v>
          </cell>
          <cell r="BI90">
            <v>1049.795779369121</v>
          </cell>
          <cell r="BJ90">
            <v>-0.44613607018198803</v>
          </cell>
          <cell r="BK90">
            <v>2117.903252088694</v>
          </cell>
          <cell r="BL90">
            <v>2016.7849804883597</v>
          </cell>
          <cell r="BM90">
            <v>-4.7744518783193062</v>
          </cell>
        </row>
        <row r="91">
          <cell r="C91">
            <v>86</v>
          </cell>
          <cell r="D91" t="str">
            <v>F/C Production</v>
          </cell>
          <cell r="E91" t="str">
            <v>KTON</v>
          </cell>
          <cell r="F91">
            <v>158</v>
          </cell>
          <cell r="G91">
            <v>75.611220000000003</v>
          </cell>
          <cell r="H91">
            <v>-52.144797468354433</v>
          </cell>
          <cell r="I91">
            <v>164</v>
          </cell>
          <cell r="J91">
            <v>100.75749999999999</v>
          </cell>
          <cell r="K91">
            <v>-38.562500000000007</v>
          </cell>
          <cell r="L91">
            <v>164</v>
          </cell>
          <cell r="M91">
            <v>146.17774</v>
          </cell>
          <cell r="N91">
            <v>-10.867231707317075</v>
          </cell>
          <cell r="O91">
            <v>486</v>
          </cell>
          <cell r="P91">
            <v>322.54646000000002</v>
          </cell>
          <cell r="Q91">
            <v>-33.632415637860078</v>
          </cell>
          <cell r="R91">
            <v>165</v>
          </cell>
          <cell r="S91">
            <v>85.98248000000001</v>
          </cell>
          <cell r="T91">
            <v>-47.889406060606056</v>
          </cell>
          <cell r="U91">
            <v>651</v>
          </cell>
          <cell r="V91">
            <v>408.52894000000003</v>
          </cell>
          <cell r="W91">
            <v>-37.245938556067578</v>
          </cell>
          <cell r="X91">
            <v>169</v>
          </cell>
          <cell r="Y91">
            <v>170</v>
          </cell>
          <cell r="Z91">
            <v>0.59171597633136097</v>
          </cell>
          <cell r="AA91">
            <v>169</v>
          </cell>
          <cell r="AB91">
            <v>170</v>
          </cell>
          <cell r="AC91">
            <v>0.59171597633136097</v>
          </cell>
          <cell r="AD91">
            <v>503</v>
          </cell>
          <cell r="AE91">
            <v>425.98248000000001</v>
          </cell>
          <cell r="AF91">
            <v>-15.311634194831012</v>
          </cell>
          <cell r="AG91">
            <v>989</v>
          </cell>
          <cell r="AH91">
            <v>748.52894000000003</v>
          </cell>
          <cell r="AI91">
            <v>-24.314566228513645</v>
          </cell>
          <cell r="AJ91">
            <v>175</v>
          </cell>
          <cell r="AK91">
            <v>200</v>
          </cell>
          <cell r="AL91">
            <v>14.285714285714285</v>
          </cell>
          <cell r="AM91">
            <v>175</v>
          </cell>
          <cell r="AN91">
            <v>210</v>
          </cell>
          <cell r="AO91">
            <v>20</v>
          </cell>
          <cell r="AP91">
            <v>175</v>
          </cell>
          <cell r="AQ91">
            <v>210</v>
          </cell>
          <cell r="AR91">
            <v>20</v>
          </cell>
          <cell r="AS91">
            <v>525</v>
          </cell>
          <cell r="AT91">
            <v>620</v>
          </cell>
          <cell r="AU91">
            <v>18.095238095238095</v>
          </cell>
          <cell r="AV91">
            <v>176</v>
          </cell>
          <cell r="AW91">
            <v>220</v>
          </cell>
          <cell r="AX91">
            <v>25</v>
          </cell>
          <cell r="AY91">
            <v>176</v>
          </cell>
          <cell r="AZ91">
            <v>210</v>
          </cell>
          <cell r="BA91">
            <v>19.318181818181817</v>
          </cell>
          <cell r="BB91">
            <v>176</v>
          </cell>
          <cell r="BC91">
            <v>210</v>
          </cell>
          <cell r="BD91">
            <v>19.318181818181817</v>
          </cell>
          <cell r="BE91">
            <v>528</v>
          </cell>
          <cell r="BF91">
            <v>640</v>
          </cell>
          <cell r="BG91">
            <v>21.212121212121211</v>
          </cell>
          <cell r="BH91">
            <v>1053</v>
          </cell>
          <cell r="BI91">
            <v>1260</v>
          </cell>
          <cell r="BJ91">
            <v>19.658119658119659</v>
          </cell>
          <cell r="BK91">
            <v>2042</v>
          </cell>
          <cell r="BL91">
            <v>2008.5289400000001</v>
          </cell>
          <cell r="BM91">
            <v>-1.6391312438785433</v>
          </cell>
        </row>
        <row r="92">
          <cell r="C92">
            <v>87</v>
          </cell>
          <cell r="D92" t="str">
            <v>Stripping Ratio</v>
          </cell>
          <cell r="E92" t="str">
            <v>OB: ROM</v>
          </cell>
          <cell r="F92">
            <v>9.2424295348986174</v>
          </cell>
          <cell r="G92">
            <v>4.1168525858726106</v>
          </cell>
          <cell r="H92">
            <v>-55.45703031515977</v>
          </cell>
          <cell r="I92">
            <v>7.6741265407295458</v>
          </cell>
          <cell r="J92">
            <v>5.4530448555055449</v>
          </cell>
          <cell r="K92">
            <v>-28.942468871680248</v>
          </cell>
          <cell r="L92">
            <v>7.8689588866433011</v>
          </cell>
          <cell r="M92">
            <v>5.5936776890438589</v>
          </cell>
          <cell r="N92">
            <v>-28.914640810507773</v>
          </cell>
          <cell r="O92">
            <v>8.2219138244747008</v>
          </cell>
          <cell r="P92">
            <v>4.922691246644769</v>
          </cell>
          <cell r="Q92">
            <v>-40.127185084437684</v>
          </cell>
          <cell r="R92">
            <v>6.9666439264393762</v>
          </cell>
          <cell r="S92">
            <v>3.9248244415673361</v>
          </cell>
          <cell r="T92">
            <v>-43.662623165336683</v>
          </cell>
          <cell r="U92">
            <v>7.8787691942195046</v>
          </cell>
          <cell r="V92">
            <v>4.6702777835369345</v>
          </cell>
          <cell r="W92">
            <v>-40.723256787831481</v>
          </cell>
          <cell r="X92">
            <v>7.3668538535665009</v>
          </cell>
          <cell r="Y92">
            <v>6.4638128146772313</v>
          </cell>
          <cell r="Z92">
            <v>-12.258164161246148</v>
          </cell>
          <cell r="AA92">
            <v>6.8504920041310742</v>
          </cell>
          <cell r="AB92">
            <v>10.143337505174243</v>
          </cell>
          <cell r="AC92">
            <v>48.06728478855932</v>
          </cell>
          <cell r="AD92">
            <v>7.0524813106645503</v>
          </cell>
          <cell r="AE92">
            <v>6.7285628148808412</v>
          </cell>
          <cell r="AF92">
            <v>-4.5929720550111819</v>
          </cell>
          <cell r="AG92">
            <v>7.5769371713729416</v>
          </cell>
          <cell r="AH92">
            <v>5.7983431862054617</v>
          </cell>
          <cell r="AI92">
            <v>-23.473785580370578</v>
          </cell>
          <cell r="AJ92">
            <v>7.5769328355475833</v>
          </cell>
          <cell r="AK92">
            <v>10.322876913209242</v>
          </cell>
          <cell r="AL92">
            <v>36.240839628126523</v>
          </cell>
          <cell r="AM92">
            <v>7.3534509517842084</v>
          </cell>
          <cell r="AN92">
            <v>8.8310428987894571</v>
          </cell>
          <cell r="AO92">
            <v>20.093857383338261</v>
          </cell>
          <cell r="AP92">
            <v>8.6457073468011529</v>
          </cell>
          <cell r="AQ92">
            <v>8.629467035787302</v>
          </cell>
          <cell r="AR92">
            <v>-0.18784247907558102</v>
          </cell>
          <cell r="AS92">
            <v>7.831645083619712</v>
          </cell>
          <cell r="AT92">
            <v>9.2439892403921053</v>
          </cell>
          <cell r="AU92">
            <v>18.033812075146045</v>
          </cell>
          <cell r="AV92">
            <v>8.1589359954462584</v>
          </cell>
          <cell r="AW92">
            <v>8.374221966078558</v>
          </cell>
          <cell r="AX92">
            <v>2.6386525246975467</v>
          </cell>
          <cell r="AY92">
            <v>8.0379994614837624</v>
          </cell>
          <cell r="AZ92">
            <v>6.8322913400917367</v>
          </cell>
          <cell r="BA92">
            <v>-15.000102042423624</v>
          </cell>
          <cell r="BB92">
            <v>7.8035615345915419</v>
          </cell>
          <cell r="BC92">
            <v>7.2607978762904519</v>
          </cell>
          <cell r="BD92">
            <v>-6.9553325862189102</v>
          </cell>
          <cell r="BE92">
            <v>8.0036710002170857</v>
          </cell>
          <cell r="BF92">
            <v>7.4684981867955358</v>
          </cell>
          <cell r="BG92">
            <v>-6.6865918577492041</v>
          </cell>
          <cell r="BH92">
            <v>7.9119801793556608</v>
          </cell>
          <cell r="BI92">
            <v>8.317418076898047</v>
          </cell>
          <cell r="BJ92">
            <v>5.1243543127202891</v>
          </cell>
          <cell r="BK92">
            <v>7.7437544928087103</v>
          </cell>
          <cell r="BL92">
            <v>7.109595607137039</v>
          </cell>
          <cell r="BM92">
            <v>-8.1892948215311741</v>
          </cell>
        </row>
        <row r="93">
          <cell r="C93">
            <v>88</v>
          </cell>
          <cell r="D93" t="str">
            <v>Hauling</v>
          </cell>
          <cell r="E93" t="str">
            <v>KTON</v>
          </cell>
          <cell r="F93">
            <v>159.58000000000001</v>
          </cell>
          <cell r="G93">
            <v>75.611220000000003</v>
          </cell>
          <cell r="H93">
            <v>-52.618611354806369</v>
          </cell>
          <cell r="I93">
            <v>165.64</v>
          </cell>
          <cell r="J93">
            <v>99.317939999999993</v>
          </cell>
          <cell r="K93">
            <v>-40.039881671093937</v>
          </cell>
          <cell r="L93">
            <v>165.64</v>
          </cell>
          <cell r="M93">
            <v>146.51202000000001</v>
          </cell>
          <cell r="N93">
            <v>-11.547923206954829</v>
          </cell>
          <cell r="O93">
            <v>490.86</v>
          </cell>
          <cell r="P93">
            <v>321.44118000000003</v>
          </cell>
          <cell r="Q93">
            <v>-34.514692580369143</v>
          </cell>
          <cell r="R93">
            <v>166.65000000000003</v>
          </cell>
          <cell r="S93">
            <v>85.98248000000001</v>
          </cell>
          <cell r="T93">
            <v>-48.405352535253535</v>
          </cell>
          <cell r="U93">
            <v>657.51</v>
          </cell>
          <cell r="V93">
            <v>407.42366000000004</v>
          </cell>
          <cell r="W93">
            <v>-38.035366762482695</v>
          </cell>
          <cell r="X93">
            <v>170.69</v>
          </cell>
          <cell r="Y93">
            <v>171.70000000000002</v>
          </cell>
          <cell r="Z93">
            <v>0.5917159763313723</v>
          </cell>
          <cell r="AA93">
            <v>170.69</v>
          </cell>
          <cell r="AB93">
            <v>171.70000000000002</v>
          </cell>
          <cell r="AC93">
            <v>0.5917159763313723</v>
          </cell>
          <cell r="AD93">
            <v>508.03000000000003</v>
          </cell>
          <cell r="AE93">
            <v>429.3824800000001</v>
          </cell>
          <cell r="AF93">
            <v>-15.480881050331657</v>
          </cell>
          <cell r="AG93">
            <v>998.8900000000001</v>
          </cell>
          <cell r="AH93">
            <v>750.82366000000013</v>
          </cell>
          <cell r="AI93">
            <v>-24.834199961957768</v>
          </cell>
          <cell r="AJ93">
            <v>176.75</v>
          </cell>
          <cell r="AK93">
            <v>202</v>
          </cell>
          <cell r="AL93">
            <v>14.285714285714285</v>
          </cell>
          <cell r="AM93">
            <v>176.75</v>
          </cell>
          <cell r="AN93">
            <v>212.10000000000002</v>
          </cell>
          <cell r="AO93">
            <v>20.000000000000011</v>
          </cell>
          <cell r="AP93">
            <v>176.75</v>
          </cell>
          <cell r="AQ93">
            <v>212.1</v>
          </cell>
          <cell r="AR93">
            <v>19.999999999999996</v>
          </cell>
          <cell r="AS93">
            <v>530.25</v>
          </cell>
          <cell r="AT93">
            <v>626.20000000000005</v>
          </cell>
          <cell r="AU93">
            <v>18.095238095238102</v>
          </cell>
          <cell r="AV93">
            <v>177.76</v>
          </cell>
          <cell r="AW93">
            <v>222.2</v>
          </cell>
          <cell r="AX93">
            <v>25</v>
          </cell>
          <cell r="AY93">
            <v>177.76</v>
          </cell>
          <cell r="AZ93">
            <v>212.1</v>
          </cell>
          <cell r="BA93">
            <v>19.31818181818182</v>
          </cell>
          <cell r="BB93">
            <v>177.76000000000002</v>
          </cell>
          <cell r="BC93">
            <v>212.1</v>
          </cell>
          <cell r="BD93">
            <v>19.318181818181802</v>
          </cell>
          <cell r="BE93">
            <v>533.28</v>
          </cell>
          <cell r="BF93">
            <v>646.4</v>
          </cell>
          <cell r="BG93">
            <v>21.212121212121211</v>
          </cell>
          <cell r="BH93">
            <v>1063.53</v>
          </cell>
          <cell r="BI93">
            <v>1272.5999999999999</v>
          </cell>
          <cell r="BJ93">
            <v>19.658119658119652</v>
          </cell>
          <cell r="BK93">
            <v>2062.42</v>
          </cell>
          <cell r="BL93">
            <v>2023.4236599999999</v>
          </cell>
          <cell r="BM93">
            <v>-1.8908049766778905</v>
          </cell>
        </row>
        <row r="94">
          <cell r="C94">
            <v>89</v>
          </cell>
          <cell r="D94" t="str">
            <v>ROM stock</v>
          </cell>
          <cell r="E94" t="str">
            <v>KTON</v>
          </cell>
          <cell r="F94">
            <v>48.989412852702856</v>
          </cell>
          <cell r="G94">
            <v>386.90851788088185</v>
          </cell>
          <cell r="H94">
            <v>689.77986334354534</v>
          </cell>
          <cell r="I94">
            <v>47.921737433093568</v>
          </cell>
          <cell r="J94">
            <v>436.47039519784778</v>
          </cell>
          <cell r="K94">
            <v>810.7983528502707</v>
          </cell>
          <cell r="L94">
            <v>50.474747845191274</v>
          </cell>
          <cell r="M94">
            <v>433.42674949075325</v>
          </cell>
          <cell r="N94">
            <v>758.7001777999883</v>
          </cell>
          <cell r="O94">
            <v>50.474747845191274</v>
          </cell>
          <cell r="P94">
            <v>433.42674949075325</v>
          </cell>
          <cell r="Q94">
            <v>758.7001777999883</v>
          </cell>
          <cell r="R94">
            <v>63.98043718108184</v>
          </cell>
          <cell r="S94">
            <v>505.46634595316419</v>
          </cell>
          <cell r="T94">
            <v>690.03265407918127</v>
          </cell>
          <cell r="U94">
            <v>63.98043718108184</v>
          </cell>
          <cell r="V94">
            <v>505.46634595316419</v>
          </cell>
          <cell r="W94">
            <v>690.03265407918127</v>
          </cell>
          <cell r="X94">
            <v>83.169016509055126</v>
          </cell>
          <cell r="Y94">
            <v>483.87314463256388</v>
          </cell>
          <cell r="Z94">
            <v>481.7949579575486</v>
          </cell>
          <cell r="AA94">
            <v>131.25716658577258</v>
          </cell>
          <cell r="AB94">
            <v>462.29125087848666</v>
          </cell>
          <cell r="AC94">
            <v>252.20267426418451</v>
          </cell>
          <cell r="AD94">
            <v>131.25716658577258</v>
          </cell>
          <cell r="AE94">
            <v>462.29125087848666</v>
          </cell>
          <cell r="AF94">
            <v>252.20267426418451</v>
          </cell>
          <cell r="AG94">
            <v>131.25716658577258</v>
          </cell>
          <cell r="AH94">
            <v>462.29125087848666</v>
          </cell>
          <cell r="AI94">
            <v>252.20267426418451</v>
          </cell>
          <cell r="AJ94">
            <v>159.14223816497702</v>
          </cell>
          <cell r="AK94">
            <v>422.3060833635962</v>
          </cell>
          <cell r="AL94">
            <v>165.36392112683919</v>
          </cell>
          <cell r="AM94">
            <v>169.20254948829805</v>
          </cell>
          <cell r="AN94">
            <v>379.35647548984929</v>
          </cell>
          <cell r="AO94">
            <v>124.20257651973819</v>
          </cell>
          <cell r="AP94">
            <v>165.86549349112101</v>
          </cell>
          <cell r="AQ94">
            <v>338.03268046037408</v>
          </cell>
          <cell r="AR94">
            <v>103.79927937119085</v>
          </cell>
          <cell r="AS94">
            <v>165.86549349112101</v>
          </cell>
          <cell r="AT94">
            <v>338.03268046037408</v>
          </cell>
          <cell r="AU94">
            <v>103.79927937119085</v>
          </cell>
          <cell r="AV94">
            <v>159.43391883229049</v>
          </cell>
          <cell r="AW94">
            <v>290.58624597152163</v>
          </cell>
          <cell r="AX94">
            <v>82.261245348419919</v>
          </cell>
          <cell r="AY94">
            <v>143.85149700764921</v>
          </cell>
          <cell r="AZ94">
            <v>267.01385110621504</v>
          </cell>
          <cell r="BA94">
            <v>85.617707608574108</v>
          </cell>
          <cell r="BB94">
            <v>127.07255208869424</v>
          </cell>
          <cell r="BC94">
            <v>239.39333684952385</v>
          </cell>
          <cell r="BD94">
            <v>88.391067083024993</v>
          </cell>
          <cell r="BE94">
            <v>127.07255208869424</v>
          </cell>
          <cell r="BF94">
            <v>239.39333684952385</v>
          </cell>
          <cell r="BG94">
            <v>88.391067083024993</v>
          </cell>
          <cell r="BH94">
            <v>127.07255208869424</v>
          </cell>
          <cell r="BI94">
            <v>239.39333684952385</v>
          </cell>
          <cell r="BJ94">
            <v>88.391067083024993</v>
          </cell>
          <cell r="BK94">
            <v>127.07255208869424</v>
          </cell>
          <cell r="BL94">
            <v>239.39333684952385</v>
          </cell>
          <cell r="BM94">
            <v>88.391067083024993</v>
          </cell>
        </row>
        <row r="95">
          <cell r="C95">
            <v>90</v>
          </cell>
          <cell r="D95" t="str">
            <v>F/C stock</v>
          </cell>
          <cell r="E95" t="str">
            <v>KTON</v>
          </cell>
          <cell r="F95">
            <v>7.88</v>
          </cell>
          <cell r="G95">
            <v>50.346682168500003</v>
          </cell>
          <cell r="H95">
            <v>538.91728640228428</v>
          </cell>
          <cell r="I95">
            <v>11.701799999999995</v>
          </cell>
          <cell r="J95">
            <v>23.884876999999996</v>
          </cell>
          <cell r="K95">
            <v>104.11284588695761</v>
          </cell>
          <cell r="L95">
            <v>15.466272999999992</v>
          </cell>
          <cell r="M95">
            <v>2.6495190000000002</v>
          </cell>
          <cell r="N95">
            <v>-82.869053197237619</v>
          </cell>
          <cell r="O95">
            <v>15.466272999999992</v>
          </cell>
          <cell r="P95">
            <v>2.6495190000000002</v>
          </cell>
          <cell r="Q95">
            <v>-82.869053197237619</v>
          </cell>
          <cell r="R95">
            <v>12.279278905000002</v>
          </cell>
          <cell r="S95">
            <v>11.671776215000001</v>
          </cell>
          <cell r="T95">
            <v>-4.9473808250469116</v>
          </cell>
          <cell r="U95">
            <v>12.279278905000002</v>
          </cell>
          <cell r="V95">
            <v>11.671776215000001</v>
          </cell>
          <cell r="W95">
            <v>-4.9473808250469116</v>
          </cell>
          <cell r="X95">
            <v>5.2000897214250124</v>
          </cell>
          <cell r="Y95">
            <v>12.48169957177501</v>
          </cell>
          <cell r="Z95">
            <v>140.02854259127233</v>
          </cell>
          <cell r="AA95">
            <v>11.524588375603626</v>
          </cell>
          <cell r="AB95">
            <v>15.249474078198373</v>
          </cell>
          <cell r="AC95">
            <v>32.321203857310422</v>
          </cell>
          <cell r="AD95">
            <v>11.524588375603626</v>
          </cell>
          <cell r="AE95">
            <v>15.249474078198373</v>
          </cell>
          <cell r="AF95">
            <v>32.321203857310422</v>
          </cell>
          <cell r="AG95">
            <v>11.524588375603626</v>
          </cell>
          <cell r="AH95">
            <v>15.249474078198373</v>
          </cell>
          <cell r="AI95">
            <v>32.321203857310422</v>
          </cell>
          <cell r="AJ95">
            <v>23.664219549969573</v>
          </cell>
          <cell r="AK95">
            <v>11.573231967025398</v>
          </cell>
          <cell r="AL95">
            <v>-51.093963007792162</v>
          </cell>
          <cell r="AM95">
            <v>35.621756256720026</v>
          </cell>
          <cell r="AN95">
            <v>7.9521334875200118</v>
          </cell>
          <cell r="AO95">
            <v>-77.676189151903912</v>
          </cell>
          <cell r="AP95">
            <v>47.399929912869233</v>
          </cell>
          <cell r="AQ95">
            <v>9.3103514852072049</v>
          </cell>
          <cell r="AR95">
            <v>-80.35787921559897</v>
          </cell>
          <cell r="AS95">
            <v>47.399929912869233</v>
          </cell>
          <cell r="AT95">
            <v>9.3103514852072049</v>
          </cell>
          <cell r="AU95">
            <v>-80.35787921559897</v>
          </cell>
          <cell r="AV95">
            <v>46.688930964176187</v>
          </cell>
          <cell r="AW95">
            <v>15.080696212929086</v>
          </cell>
          <cell r="AX95">
            <v>-67.699632650616252</v>
          </cell>
          <cell r="AY95">
            <v>45.98859699971355</v>
          </cell>
          <cell r="AZ95">
            <v>20.764485769735156</v>
          </cell>
          <cell r="BA95">
            <v>-54.848620909516995</v>
          </cell>
          <cell r="BB95">
            <v>45.298768044717832</v>
          </cell>
          <cell r="BC95">
            <v>18.483018483189138</v>
          </cell>
          <cell r="BD95">
            <v>-59.197525052020936</v>
          </cell>
          <cell r="BE95">
            <v>45.298768044717832</v>
          </cell>
          <cell r="BF95">
            <v>18.483018483189138</v>
          </cell>
          <cell r="BG95">
            <v>-59.197525052020936</v>
          </cell>
          <cell r="BH95">
            <v>45.298768044717832</v>
          </cell>
          <cell r="BI95">
            <v>18.483018483189138</v>
          </cell>
          <cell r="BJ95">
            <v>-59.197525052020936</v>
          </cell>
          <cell r="BK95">
            <v>45.298768044717832</v>
          </cell>
          <cell r="BL95">
            <v>18.483018483189138</v>
          </cell>
          <cell r="BM95">
            <v>-59.197525052020936</v>
          </cell>
        </row>
        <row r="96">
          <cell r="C96">
            <v>91</v>
          </cell>
          <cell r="D96" t="str">
            <v>Coal Barging</v>
          </cell>
          <cell r="E96" t="str">
            <v>KTON</v>
          </cell>
          <cell r="F96">
            <v>160</v>
          </cell>
          <cell r="G96">
            <v>61.496301000000003</v>
          </cell>
          <cell r="H96">
            <v>-61.564811875000004</v>
          </cell>
          <cell r="I96">
            <v>160</v>
          </cell>
          <cell r="J96">
            <v>127.21962300000001</v>
          </cell>
          <cell r="K96">
            <v>-20.487735624999992</v>
          </cell>
          <cell r="L96">
            <v>160</v>
          </cell>
          <cell r="M96">
            <v>177.85711600000002</v>
          </cell>
          <cell r="N96">
            <v>11.160697500000012</v>
          </cell>
          <cell r="O96">
            <v>480</v>
          </cell>
          <cell r="P96">
            <v>366.57304000000005</v>
          </cell>
          <cell r="Q96">
            <v>-23.630616666666658</v>
          </cell>
          <cell r="R96">
            <v>168</v>
          </cell>
          <cell r="S96">
            <v>73.038807000000006</v>
          </cell>
          <cell r="T96">
            <v>-56.524519642857143</v>
          </cell>
          <cell r="U96">
            <v>648</v>
          </cell>
          <cell r="V96">
            <v>439.61184700000007</v>
          </cell>
          <cell r="W96">
            <v>-32.158665586419744</v>
          </cell>
          <cell r="X96">
            <v>176</v>
          </cell>
          <cell r="Y96">
            <v>170</v>
          </cell>
          <cell r="Z96">
            <v>-3.4090909090909087</v>
          </cell>
          <cell r="AA96">
            <v>162.5</v>
          </cell>
          <cell r="AB96">
            <v>180</v>
          </cell>
          <cell r="AC96">
            <v>10.76923076923077</v>
          </cell>
          <cell r="AD96">
            <v>506.5</v>
          </cell>
          <cell r="AE96">
            <v>423.03880700000002</v>
          </cell>
          <cell r="AF96">
            <v>-16.478024284304045</v>
          </cell>
          <cell r="AG96">
            <v>986.5</v>
          </cell>
          <cell r="AH96">
            <v>789.61184700000013</v>
          </cell>
          <cell r="AI96">
            <v>-19.958251697921934</v>
          </cell>
          <cell r="AJ96">
            <v>162.5</v>
          </cell>
          <cell r="AK96">
            <v>200</v>
          </cell>
          <cell r="AL96">
            <v>23.076923076923077</v>
          </cell>
          <cell r="AM96">
            <v>162.5</v>
          </cell>
          <cell r="AN96">
            <v>200</v>
          </cell>
          <cell r="AO96">
            <v>23.076923076923077</v>
          </cell>
          <cell r="AP96">
            <v>162.5</v>
          </cell>
          <cell r="AQ96">
            <v>204</v>
          </cell>
          <cell r="AR96">
            <v>25.538461538461537</v>
          </cell>
          <cell r="AS96">
            <v>487.5</v>
          </cell>
          <cell r="AT96">
            <v>604</v>
          </cell>
          <cell r="AU96">
            <v>23.897435897435898</v>
          </cell>
          <cell r="AV96">
            <v>176</v>
          </cell>
          <cell r="AW96">
            <v>208</v>
          </cell>
          <cell r="AX96">
            <v>18.181818181818183</v>
          </cell>
          <cell r="AY96">
            <v>176</v>
          </cell>
          <cell r="AZ96">
            <v>200</v>
          </cell>
          <cell r="BA96">
            <v>13.636363636363635</v>
          </cell>
          <cell r="BB96">
            <v>176</v>
          </cell>
          <cell r="BC96">
            <v>200</v>
          </cell>
          <cell r="BD96">
            <v>13.636363636363635</v>
          </cell>
          <cell r="BE96">
            <v>528</v>
          </cell>
          <cell r="BF96">
            <v>608</v>
          </cell>
          <cell r="BG96">
            <v>15.151515151515152</v>
          </cell>
          <cell r="BH96">
            <v>1015.5</v>
          </cell>
          <cell r="BI96">
            <v>1212</v>
          </cell>
          <cell r="BJ96">
            <v>19.350073855243721</v>
          </cell>
          <cell r="BK96">
            <v>2002</v>
          </cell>
          <cell r="BL96">
            <v>2001.6118470000001</v>
          </cell>
          <cell r="BM96">
            <v>-1.9388261738255481E-2</v>
          </cell>
        </row>
        <row r="97">
          <cell r="C97">
            <v>92</v>
          </cell>
          <cell r="D97" t="str">
            <v>Coal Sales</v>
          </cell>
          <cell r="E97" t="str">
            <v>KTON</v>
          </cell>
          <cell r="F97">
            <v>157.9</v>
          </cell>
          <cell r="G97">
            <v>68.25</v>
          </cell>
          <cell r="H97">
            <v>-56.776440785307159</v>
          </cell>
          <cell r="I97">
            <v>158</v>
          </cell>
          <cell r="J97">
            <v>116.55200000000001</v>
          </cell>
          <cell r="K97">
            <v>-26.232911392405061</v>
          </cell>
          <cell r="L97">
            <v>151.19999999999999</v>
          </cell>
          <cell r="M97">
            <v>159.85567100000003</v>
          </cell>
          <cell r="N97">
            <v>5.7246501322751593</v>
          </cell>
          <cell r="O97">
            <v>467.09999999999997</v>
          </cell>
          <cell r="P97">
            <v>344.65767100000005</v>
          </cell>
          <cell r="Q97">
            <v>-26.213301006208507</v>
          </cell>
          <cell r="R97">
            <v>237.2</v>
          </cell>
          <cell r="S97">
            <v>94.436388000000008</v>
          </cell>
          <cell r="T97">
            <v>-60.187020236087676</v>
          </cell>
          <cell r="U97">
            <v>704.3</v>
          </cell>
          <cell r="V97">
            <v>439.09405900000007</v>
          </cell>
          <cell r="W97">
            <v>-37.655252165270468</v>
          </cell>
          <cell r="X97">
            <v>211</v>
          </cell>
          <cell r="Y97">
            <v>213.7</v>
          </cell>
          <cell r="Z97">
            <v>1.2796208530805633</v>
          </cell>
          <cell r="AA97">
            <v>125.5</v>
          </cell>
          <cell r="AB97">
            <v>163.44999999999999</v>
          </cell>
          <cell r="AC97">
            <v>30.239043824701184</v>
          </cell>
          <cell r="AD97">
            <v>573.70000000000005</v>
          </cell>
          <cell r="AE97">
            <v>471.586388</v>
          </cell>
          <cell r="AF97">
            <v>-17.799130556039749</v>
          </cell>
          <cell r="AG97">
            <v>1040.8</v>
          </cell>
          <cell r="AH97">
            <v>816.24405900000011</v>
          </cell>
          <cell r="AI97">
            <v>-21.575321003074542</v>
          </cell>
          <cell r="AJ97">
            <v>140.5</v>
          </cell>
          <cell r="AK97">
            <v>158.19999999999999</v>
          </cell>
          <cell r="AL97">
            <v>12.597864768683264</v>
          </cell>
          <cell r="AM97">
            <v>152.5</v>
          </cell>
          <cell r="AN97">
            <v>188.2</v>
          </cell>
          <cell r="AO97">
            <v>23.409836065573764</v>
          </cell>
          <cell r="AP97">
            <v>155.5</v>
          </cell>
          <cell r="AQ97">
            <v>179.7</v>
          </cell>
          <cell r="AR97">
            <v>15.562700964630219</v>
          </cell>
          <cell r="AS97">
            <v>448.5</v>
          </cell>
          <cell r="AT97">
            <v>526.09999999999991</v>
          </cell>
          <cell r="AU97">
            <v>17.302118171683372</v>
          </cell>
          <cell r="AV97">
            <v>146.5</v>
          </cell>
          <cell r="AW97">
            <v>195.15</v>
          </cell>
          <cell r="AX97">
            <v>33.208191126279871</v>
          </cell>
          <cell r="AY97">
            <v>146.5</v>
          </cell>
          <cell r="AZ97">
            <v>172.75</v>
          </cell>
          <cell r="BA97">
            <v>17.918088737201366</v>
          </cell>
          <cell r="BB97">
            <v>115.5</v>
          </cell>
          <cell r="BC97">
            <v>110</v>
          </cell>
          <cell r="BD97">
            <v>-4.7619047619047619</v>
          </cell>
          <cell r="BE97">
            <v>408.5</v>
          </cell>
          <cell r="BF97">
            <v>477.9</v>
          </cell>
          <cell r="BG97">
            <v>16.988984088127289</v>
          </cell>
          <cell r="BH97">
            <v>857</v>
          </cell>
          <cell r="BI97">
            <v>1003.9999999999999</v>
          </cell>
          <cell r="BJ97">
            <v>17.152858809801621</v>
          </cell>
          <cell r="BK97">
            <v>1897.8</v>
          </cell>
          <cell r="BL97">
            <v>1820.2440590000003</v>
          </cell>
          <cell r="BM97">
            <v>-4.0866235114342722</v>
          </cell>
        </row>
        <row r="98">
          <cell r="C98">
            <v>93</v>
          </cell>
          <cell r="O98">
            <v>0</v>
          </cell>
          <cell r="Q98">
            <v>0</v>
          </cell>
          <cell r="U98">
            <v>0</v>
          </cell>
          <cell r="W98">
            <v>0</v>
          </cell>
          <cell r="AD98">
            <v>0</v>
          </cell>
          <cell r="AF98">
            <v>0</v>
          </cell>
          <cell r="AG98">
            <v>0</v>
          </cell>
          <cell r="AI98">
            <v>0</v>
          </cell>
          <cell r="AS98">
            <v>0</v>
          </cell>
          <cell r="AU98">
            <v>0</v>
          </cell>
          <cell r="BE98">
            <v>0</v>
          </cell>
          <cell r="BG98">
            <v>0</v>
          </cell>
          <cell r="BH98">
            <v>0</v>
          </cell>
          <cell r="BJ98">
            <v>0</v>
          </cell>
        </row>
        <row r="99">
          <cell r="C99">
            <v>94</v>
          </cell>
          <cell r="D99">
            <v>0</v>
          </cell>
          <cell r="E99">
            <v>0</v>
          </cell>
          <cell r="F99" t="str">
            <v>JANUARY</v>
          </cell>
          <cell r="G99">
            <v>0</v>
          </cell>
          <cell r="H99">
            <v>0</v>
          </cell>
          <cell r="I99" t="str">
            <v>FEBRUARY</v>
          </cell>
          <cell r="J99">
            <v>0</v>
          </cell>
          <cell r="K99">
            <v>0</v>
          </cell>
          <cell r="L99" t="str">
            <v>MARCH</v>
          </cell>
          <cell r="M99">
            <v>0</v>
          </cell>
          <cell r="N99">
            <v>0</v>
          </cell>
          <cell r="O99" t="str">
            <v>Q1</v>
          </cell>
          <cell r="P99">
            <v>0</v>
          </cell>
          <cell r="Q99">
            <v>0</v>
          </cell>
          <cell r="R99" t="str">
            <v>APRIL</v>
          </cell>
          <cell r="S99">
            <v>0</v>
          </cell>
          <cell r="T99">
            <v>0</v>
          </cell>
          <cell r="U99" t="str">
            <v>JANUARY - APRIL</v>
          </cell>
          <cell r="V99">
            <v>0</v>
          </cell>
          <cell r="W99">
            <v>0</v>
          </cell>
          <cell r="X99" t="str">
            <v>MAY</v>
          </cell>
          <cell r="Y99">
            <v>0</v>
          </cell>
          <cell r="Z99">
            <v>0</v>
          </cell>
          <cell r="AA99" t="str">
            <v>JUNE</v>
          </cell>
          <cell r="AB99">
            <v>0</v>
          </cell>
          <cell r="AC99">
            <v>0</v>
          </cell>
          <cell r="AD99" t="str">
            <v>Q2</v>
          </cell>
          <cell r="AE99">
            <v>0</v>
          </cell>
          <cell r="AF99">
            <v>0</v>
          </cell>
          <cell r="AG99" t="str">
            <v>1st HALF</v>
          </cell>
          <cell r="AH99">
            <v>0</v>
          </cell>
          <cell r="AI99">
            <v>0</v>
          </cell>
          <cell r="AJ99" t="str">
            <v>JULY</v>
          </cell>
          <cell r="AK99">
            <v>0</v>
          </cell>
          <cell r="AL99">
            <v>0</v>
          </cell>
          <cell r="AM99" t="str">
            <v>AUGUST</v>
          </cell>
          <cell r="AN99">
            <v>0</v>
          </cell>
          <cell r="AO99">
            <v>0</v>
          </cell>
          <cell r="AP99" t="str">
            <v>SEPTEMBER</v>
          </cell>
          <cell r="AQ99">
            <v>0</v>
          </cell>
          <cell r="AR99">
            <v>0</v>
          </cell>
          <cell r="AS99" t="str">
            <v>Q3</v>
          </cell>
          <cell r="AT99">
            <v>0</v>
          </cell>
          <cell r="AU99">
            <v>0</v>
          </cell>
          <cell r="AV99" t="str">
            <v>OCTOBER</v>
          </cell>
          <cell r="AW99">
            <v>0</v>
          </cell>
          <cell r="AX99">
            <v>0</v>
          </cell>
          <cell r="AY99" t="str">
            <v>NOVEMBER</v>
          </cell>
          <cell r="AZ99">
            <v>0</v>
          </cell>
          <cell r="BA99">
            <v>0</v>
          </cell>
          <cell r="BB99" t="str">
            <v>DECEMBER</v>
          </cell>
          <cell r="BC99">
            <v>0</v>
          </cell>
          <cell r="BD99">
            <v>0</v>
          </cell>
          <cell r="BE99" t="str">
            <v>Q4</v>
          </cell>
          <cell r="BF99">
            <v>0</v>
          </cell>
          <cell r="BG99">
            <v>0</v>
          </cell>
          <cell r="BH99" t="str">
            <v>2nd HALF</v>
          </cell>
          <cell r="BI99">
            <v>0</v>
          </cell>
          <cell r="BJ99">
            <v>0</v>
          </cell>
          <cell r="BK99" t="str">
            <v>TOTAL 2012</v>
          </cell>
          <cell r="BL99">
            <v>0</v>
          </cell>
          <cell r="BM99">
            <v>0</v>
          </cell>
        </row>
        <row r="100">
          <cell r="C100">
            <v>95</v>
          </cell>
          <cell r="D100">
            <v>0</v>
          </cell>
          <cell r="E100">
            <v>0</v>
          </cell>
          <cell r="F100" t="str">
            <v>Plan</v>
          </cell>
          <cell r="G100" t="str">
            <v>Actual</v>
          </cell>
          <cell r="H100" t="str">
            <v>% var</v>
          </cell>
          <cell r="I100" t="str">
            <v>Plan</v>
          </cell>
          <cell r="J100" t="str">
            <v>Actual</v>
          </cell>
          <cell r="K100" t="str">
            <v>% var</v>
          </cell>
          <cell r="L100" t="str">
            <v>Plan</v>
          </cell>
          <cell r="M100" t="str">
            <v>Actual</v>
          </cell>
          <cell r="N100" t="str">
            <v>% var</v>
          </cell>
          <cell r="O100" t="str">
            <v>Plan</v>
          </cell>
          <cell r="P100" t="str">
            <v>Actual</v>
          </cell>
          <cell r="Q100" t="str">
            <v>% var</v>
          </cell>
          <cell r="R100" t="str">
            <v>Plan</v>
          </cell>
          <cell r="S100" t="str">
            <v>Est</v>
          </cell>
          <cell r="T100" t="str">
            <v>% var</v>
          </cell>
          <cell r="U100" t="str">
            <v>Plan</v>
          </cell>
          <cell r="V100" t="str">
            <v>Est.</v>
          </cell>
          <cell r="W100" t="str">
            <v>% var</v>
          </cell>
          <cell r="X100" t="str">
            <v>Plan</v>
          </cell>
          <cell r="Y100" t="str">
            <v>Est</v>
          </cell>
          <cell r="Z100" t="str">
            <v>% var</v>
          </cell>
          <cell r="AA100" t="str">
            <v>Plan</v>
          </cell>
          <cell r="AB100" t="str">
            <v>Est</v>
          </cell>
          <cell r="AC100" t="str">
            <v>% var</v>
          </cell>
          <cell r="AD100" t="str">
            <v>Plan</v>
          </cell>
          <cell r="AE100" t="str">
            <v>Est.</v>
          </cell>
          <cell r="AF100" t="str">
            <v>% var</v>
          </cell>
          <cell r="AG100" t="str">
            <v>Plan</v>
          </cell>
          <cell r="AH100" t="str">
            <v>Est</v>
          </cell>
          <cell r="AI100" t="str">
            <v>% var</v>
          </cell>
          <cell r="AJ100" t="str">
            <v>Plan</v>
          </cell>
          <cell r="AK100" t="str">
            <v>Est</v>
          </cell>
          <cell r="AL100" t="str">
            <v>% var</v>
          </cell>
          <cell r="AM100" t="str">
            <v>Plan</v>
          </cell>
          <cell r="AN100" t="str">
            <v>Est</v>
          </cell>
          <cell r="AO100" t="str">
            <v>% var</v>
          </cell>
          <cell r="AP100" t="str">
            <v>Plan</v>
          </cell>
          <cell r="AQ100" t="str">
            <v>Est</v>
          </cell>
          <cell r="AR100" t="str">
            <v>% var</v>
          </cell>
          <cell r="AS100" t="str">
            <v>Plan</v>
          </cell>
          <cell r="AT100" t="str">
            <v>Est.</v>
          </cell>
          <cell r="AU100" t="str">
            <v>% var</v>
          </cell>
          <cell r="AV100" t="str">
            <v>Plan</v>
          </cell>
          <cell r="AW100" t="str">
            <v>Est</v>
          </cell>
          <cell r="AX100" t="str">
            <v>% var</v>
          </cell>
          <cell r="AY100" t="str">
            <v>Plan</v>
          </cell>
          <cell r="AZ100" t="str">
            <v>Est</v>
          </cell>
          <cell r="BA100" t="str">
            <v>% var</v>
          </cell>
          <cell r="BB100" t="str">
            <v>Plan</v>
          </cell>
          <cell r="BC100" t="str">
            <v>Est</v>
          </cell>
          <cell r="BD100" t="str">
            <v>% var</v>
          </cell>
          <cell r="BE100" t="str">
            <v>Plan</v>
          </cell>
          <cell r="BF100" t="str">
            <v>Est.</v>
          </cell>
          <cell r="BG100" t="str">
            <v>% var</v>
          </cell>
          <cell r="BH100" t="str">
            <v>Plan</v>
          </cell>
          <cell r="BI100" t="str">
            <v>Est.</v>
          </cell>
          <cell r="BJ100" t="str">
            <v>% var</v>
          </cell>
          <cell r="BK100" t="str">
            <v>Plan</v>
          </cell>
          <cell r="BL100" t="str">
            <v>Est</v>
          </cell>
          <cell r="BM100" t="str">
            <v>% var</v>
          </cell>
        </row>
        <row r="101">
          <cell r="C101">
            <v>96</v>
          </cell>
          <cell r="D101" t="str">
            <v>OB Removal</v>
          </cell>
          <cell r="E101" t="str">
            <v>KBCM</v>
          </cell>
          <cell r="F101">
            <v>725</v>
          </cell>
          <cell r="G101">
            <v>636.83109899999999</v>
          </cell>
          <cell r="H101">
            <v>-12.161227724137932</v>
          </cell>
          <cell r="I101">
            <v>718</v>
          </cell>
          <cell r="J101">
            <v>569.53635999999995</v>
          </cell>
          <cell r="K101">
            <v>-20.677387186629534</v>
          </cell>
          <cell r="L101">
            <v>720</v>
          </cell>
          <cell r="M101">
            <v>792.54858439999998</v>
          </cell>
          <cell r="N101">
            <v>10.076192277777775</v>
          </cell>
          <cell r="O101">
            <v>2163</v>
          </cell>
          <cell r="P101">
            <v>1998.9160434</v>
          </cell>
          <cell r="Q101">
            <v>-7.585943439667127</v>
          </cell>
          <cell r="R101">
            <v>716</v>
          </cell>
          <cell r="S101">
            <v>803.25999999999965</v>
          </cell>
          <cell r="T101">
            <v>12.187150837988778</v>
          </cell>
          <cell r="U101">
            <v>2879</v>
          </cell>
          <cell r="V101">
            <v>2802.1760433999998</v>
          </cell>
          <cell r="W101">
            <v>-2.6684250295241472</v>
          </cell>
          <cell r="X101">
            <v>819</v>
          </cell>
          <cell r="Y101">
            <v>843</v>
          </cell>
          <cell r="Z101">
            <v>2.9304029304029302</v>
          </cell>
          <cell r="AA101">
            <v>910</v>
          </cell>
          <cell r="AB101">
            <v>884</v>
          </cell>
          <cell r="AC101">
            <v>-2.8571428571428572</v>
          </cell>
          <cell r="AD101">
            <v>2445</v>
          </cell>
          <cell r="AE101">
            <v>2530.2599999999998</v>
          </cell>
          <cell r="AF101">
            <v>3.4871165644171684</v>
          </cell>
          <cell r="AG101">
            <v>4608</v>
          </cell>
          <cell r="AH101">
            <v>4529.1760433999998</v>
          </cell>
          <cell r="AI101">
            <v>-1.7105893359375044</v>
          </cell>
          <cell r="AJ101">
            <v>917</v>
          </cell>
          <cell r="AK101">
            <v>914.5775529999994</v>
          </cell>
          <cell r="AL101">
            <v>-0.26417088331522381</v>
          </cell>
          <cell r="AM101">
            <v>928</v>
          </cell>
          <cell r="AN101">
            <v>939</v>
          </cell>
          <cell r="AO101">
            <v>1.1853448275862069</v>
          </cell>
          <cell r="AP101">
            <v>940</v>
          </cell>
          <cell r="AQ101">
            <v>1111.6020000000008</v>
          </cell>
          <cell r="AR101">
            <v>18.255531914893698</v>
          </cell>
          <cell r="AS101">
            <v>2785</v>
          </cell>
          <cell r="AT101">
            <v>2965.1795529999999</v>
          </cell>
          <cell r="AU101">
            <v>6.4696428366247742</v>
          </cell>
          <cell r="AV101">
            <v>951</v>
          </cell>
          <cell r="AW101">
            <v>1132</v>
          </cell>
          <cell r="AX101">
            <v>19.032597266035754</v>
          </cell>
          <cell r="AY101">
            <v>940</v>
          </cell>
          <cell r="AZ101">
            <v>1149.8738625999999</v>
          </cell>
          <cell r="BA101">
            <v>22.327006659574462</v>
          </cell>
          <cell r="BB101">
            <v>930.54445299999975</v>
          </cell>
          <cell r="BC101">
            <v>1141.1766400000001</v>
          </cell>
          <cell r="BD101">
            <v>22.63537075751076</v>
          </cell>
          <cell r="BE101">
            <v>2821.5444529999995</v>
          </cell>
          <cell r="BF101">
            <v>3423.0505026000001</v>
          </cell>
          <cell r="BG101">
            <v>21.318326172761548</v>
          </cell>
          <cell r="BH101">
            <v>5606.5444529999995</v>
          </cell>
          <cell r="BI101">
            <v>6388.2300556</v>
          </cell>
          <cell r="BJ101">
            <v>13.942377682954591</v>
          </cell>
          <cell r="BK101">
            <v>10214.544453</v>
          </cell>
          <cell r="BL101">
            <v>10917.406099</v>
          </cell>
          <cell r="BM101">
            <v>6.8809886650752174</v>
          </cell>
        </row>
        <row r="102">
          <cell r="C102">
            <v>97</v>
          </cell>
          <cell r="D102" t="str">
            <v>ROM Production</v>
          </cell>
          <cell r="E102" t="str">
            <v>KTON</v>
          </cell>
          <cell r="F102">
            <v>76.5</v>
          </cell>
          <cell r="G102">
            <v>104.9909</v>
          </cell>
          <cell r="H102">
            <v>37.243006535947707</v>
          </cell>
          <cell r="I102">
            <v>84.5</v>
          </cell>
          <cell r="J102">
            <v>92.122690000000006</v>
          </cell>
          <cell r="K102">
            <v>9.0209349112426107</v>
          </cell>
          <cell r="L102">
            <v>90</v>
          </cell>
          <cell r="M102">
            <v>102.72117</v>
          </cell>
          <cell r="N102">
            <v>14.134633333333335</v>
          </cell>
          <cell r="O102">
            <v>251</v>
          </cell>
          <cell r="P102">
            <v>299.83475999999996</v>
          </cell>
          <cell r="Q102">
            <v>19.456079681274886</v>
          </cell>
          <cell r="R102">
            <v>91</v>
          </cell>
          <cell r="S102">
            <v>109.07467999999999</v>
          </cell>
          <cell r="T102">
            <v>19.862285714285697</v>
          </cell>
          <cell r="U102">
            <v>342</v>
          </cell>
          <cell r="V102">
            <v>408.90943999999996</v>
          </cell>
          <cell r="W102">
            <v>19.564163742690045</v>
          </cell>
          <cell r="X102">
            <v>97</v>
          </cell>
          <cell r="Y102">
            <v>110</v>
          </cell>
          <cell r="Z102">
            <v>13.402061855670103</v>
          </cell>
          <cell r="AA102">
            <v>98</v>
          </cell>
          <cell r="AB102">
            <v>111</v>
          </cell>
          <cell r="AC102">
            <v>13.26530612244898</v>
          </cell>
          <cell r="AD102">
            <v>286</v>
          </cell>
          <cell r="AE102">
            <v>330.07468</v>
          </cell>
          <cell r="AF102">
            <v>15.410727272727273</v>
          </cell>
          <cell r="AG102">
            <v>537</v>
          </cell>
          <cell r="AH102">
            <v>629.9094399999999</v>
          </cell>
          <cell r="AI102">
            <v>17.301571694599609</v>
          </cell>
          <cell r="AJ102">
            <v>110</v>
          </cell>
          <cell r="AK102">
            <v>116</v>
          </cell>
          <cell r="AL102">
            <v>5.4545454545454541</v>
          </cell>
          <cell r="AM102">
            <v>115</v>
          </cell>
          <cell r="AN102">
            <v>115.762182</v>
          </cell>
          <cell r="AO102">
            <v>0.66276695652173534</v>
          </cell>
          <cell r="AP102">
            <v>125</v>
          </cell>
          <cell r="AQ102">
            <v>127.76218199999998</v>
          </cell>
          <cell r="AR102">
            <v>2.2097455999999851</v>
          </cell>
          <cell r="AS102">
            <v>350</v>
          </cell>
          <cell r="AT102">
            <v>359.52436399999999</v>
          </cell>
          <cell r="AU102">
            <v>2.7212468571428547</v>
          </cell>
          <cell r="AV102">
            <v>130</v>
          </cell>
          <cell r="AW102">
            <v>128.762182</v>
          </cell>
          <cell r="AX102">
            <v>-0.95216769230769571</v>
          </cell>
          <cell r="AY102">
            <v>133</v>
          </cell>
          <cell r="AZ102">
            <v>124.88566199999987</v>
          </cell>
          <cell r="BA102">
            <v>-6.1010060150376928</v>
          </cell>
          <cell r="BB102">
            <v>134.00493</v>
          </cell>
          <cell r="BC102">
            <v>129.9183520000002</v>
          </cell>
          <cell r="BD102">
            <v>-3.0495728776544295</v>
          </cell>
          <cell r="BE102">
            <v>397.00493</v>
          </cell>
          <cell r="BF102">
            <v>383.56619600000005</v>
          </cell>
          <cell r="BG102">
            <v>-3.3850295007671449</v>
          </cell>
          <cell r="BH102">
            <v>747.00493000000006</v>
          </cell>
          <cell r="BI102">
            <v>743.0905600000001</v>
          </cell>
          <cell r="BJ102">
            <v>-0.52400858987636967</v>
          </cell>
          <cell r="BK102">
            <v>1284.0049300000001</v>
          </cell>
          <cell r="BL102">
            <v>1372.9999999999998</v>
          </cell>
          <cell r="BM102">
            <v>6.9310536058455563</v>
          </cell>
        </row>
        <row r="103">
          <cell r="C103">
            <v>98</v>
          </cell>
          <cell r="D103" t="str">
            <v>F/C Production</v>
          </cell>
          <cell r="E103" t="str">
            <v>KTON</v>
          </cell>
          <cell r="F103">
            <v>80</v>
          </cell>
          <cell r="G103">
            <v>111.69956000000005</v>
          </cell>
          <cell r="H103">
            <v>39.62445000000006</v>
          </cell>
          <cell r="I103">
            <v>80</v>
          </cell>
          <cell r="J103">
            <v>94.92259</v>
          </cell>
          <cell r="K103">
            <v>18.653237499999999</v>
          </cell>
          <cell r="L103">
            <v>80</v>
          </cell>
          <cell r="M103">
            <v>92.801400000000001</v>
          </cell>
          <cell r="N103">
            <v>16.001750000000001</v>
          </cell>
          <cell r="O103">
            <v>240</v>
          </cell>
          <cell r="P103">
            <v>299.42355000000003</v>
          </cell>
          <cell r="Q103">
            <v>24.759812500000013</v>
          </cell>
          <cell r="R103">
            <v>90</v>
          </cell>
          <cell r="S103">
            <v>106.90318000000001</v>
          </cell>
          <cell r="T103">
            <v>18.781311111111119</v>
          </cell>
          <cell r="U103">
            <v>330</v>
          </cell>
          <cell r="V103">
            <v>406.32673000000005</v>
          </cell>
          <cell r="W103">
            <v>23.129312121212138</v>
          </cell>
          <cell r="X103">
            <v>90</v>
          </cell>
          <cell r="Y103">
            <v>100</v>
          </cell>
          <cell r="Z103">
            <v>11.111111111111111</v>
          </cell>
          <cell r="AA103">
            <v>100</v>
          </cell>
          <cell r="AB103">
            <v>100</v>
          </cell>
          <cell r="AC103">
            <v>0</v>
          </cell>
          <cell r="AD103">
            <v>280</v>
          </cell>
          <cell r="AE103">
            <v>306.90318000000002</v>
          </cell>
          <cell r="AF103">
            <v>9.6082785714285794</v>
          </cell>
          <cell r="AG103">
            <v>520</v>
          </cell>
          <cell r="AH103">
            <v>606.32673</v>
          </cell>
          <cell r="AI103">
            <v>16.601294230769231</v>
          </cell>
          <cell r="AJ103">
            <v>110</v>
          </cell>
          <cell r="AK103">
            <v>100</v>
          </cell>
          <cell r="AL103">
            <v>-9.0909090909090917</v>
          </cell>
          <cell r="AM103">
            <v>110</v>
          </cell>
          <cell r="AN103">
            <v>110</v>
          </cell>
          <cell r="AO103">
            <v>0</v>
          </cell>
          <cell r="AP103">
            <v>120</v>
          </cell>
          <cell r="AQ103">
            <v>120</v>
          </cell>
          <cell r="AR103">
            <v>0</v>
          </cell>
          <cell r="AS103">
            <v>340</v>
          </cell>
          <cell r="AT103">
            <v>330</v>
          </cell>
          <cell r="AU103">
            <v>-2.9411764705882351</v>
          </cell>
          <cell r="AV103">
            <v>130</v>
          </cell>
          <cell r="AW103">
            <v>115</v>
          </cell>
          <cell r="AX103">
            <v>-11.538461538461538</v>
          </cell>
          <cell r="AY103">
            <v>130</v>
          </cell>
          <cell r="AZ103">
            <v>110</v>
          </cell>
          <cell r="BA103">
            <v>-15.384615384615385</v>
          </cell>
          <cell r="BB103">
            <v>130</v>
          </cell>
          <cell r="BC103">
            <v>118.67327</v>
          </cell>
          <cell r="BD103">
            <v>-8.712869230769229</v>
          </cell>
          <cell r="BE103">
            <v>390</v>
          </cell>
          <cell r="BF103">
            <v>343.67327</v>
          </cell>
          <cell r="BG103">
            <v>-11.878648717948717</v>
          </cell>
          <cell r="BH103">
            <v>730</v>
          </cell>
          <cell r="BI103">
            <v>673.67327</v>
          </cell>
          <cell r="BJ103">
            <v>-7.715990410958903</v>
          </cell>
          <cell r="BK103">
            <v>1250</v>
          </cell>
          <cell r="BL103">
            <v>1280</v>
          </cell>
          <cell r="BM103">
            <v>2.4</v>
          </cell>
        </row>
        <row r="104">
          <cell r="C104">
            <v>99</v>
          </cell>
          <cell r="D104" t="str">
            <v>Stripping Ratio</v>
          </cell>
          <cell r="E104" t="str">
            <v>OB: ROM</v>
          </cell>
          <cell r="F104">
            <v>9.477124183006536</v>
          </cell>
          <cell r="G104">
            <v>6.0655837696409884</v>
          </cell>
          <cell r="H104">
            <v>-35.997633327236464</v>
          </cell>
          <cell r="I104">
            <v>8.4970414201183431</v>
          </cell>
          <cell r="J104">
            <v>6.1823678835257621</v>
          </cell>
          <cell r="K104">
            <v>-27.240935075497646</v>
          </cell>
          <cell r="L104">
            <v>8</v>
          </cell>
          <cell r="M104">
            <v>7.7155330726859903</v>
          </cell>
          <cell r="N104">
            <v>-3.5558365914251211</v>
          </cell>
          <cell r="O104">
            <v>8.617529880478088</v>
          </cell>
          <cell r="P104">
            <v>6.6667255104111351</v>
          </cell>
          <cell r="Q104">
            <v>-22.637628150106572</v>
          </cell>
          <cell r="R104">
            <v>7.8681318681318677</v>
          </cell>
          <cell r="S104">
            <v>7.3643122308495403</v>
          </cell>
          <cell r="T104">
            <v>-6.4032942727223183</v>
          </cell>
          <cell r="U104">
            <v>8.4181286549707597</v>
          </cell>
          <cell r="V104">
            <v>6.8528035043651725</v>
          </cell>
          <cell r="W104">
            <v>-18.59469265394619</v>
          </cell>
          <cell r="X104">
            <v>8.4432989690721651</v>
          </cell>
          <cell r="Y104">
            <v>7.663636363636364</v>
          </cell>
          <cell r="Z104">
            <v>-9.2340992340992312</v>
          </cell>
          <cell r="AA104">
            <v>9.2857142857142865</v>
          </cell>
          <cell r="AB104">
            <v>7.9639639639639643</v>
          </cell>
          <cell r="AC104">
            <v>-14.234234234234236</v>
          </cell>
          <cell r="AD104">
            <v>8.5489510489510483</v>
          </cell>
          <cell r="AE104">
            <v>7.6657197698411759</v>
          </cell>
          <cell r="AF104">
            <v>-10.331457906970288</v>
          </cell>
          <cell r="AG104">
            <v>8.5810055865921786</v>
          </cell>
          <cell r="AH104">
            <v>7.1902018858456866</v>
          </cell>
          <cell r="AI104">
            <v>-16.207933752188936</v>
          </cell>
          <cell r="AJ104">
            <v>8.336363636363636</v>
          </cell>
          <cell r="AK104">
            <v>7.8842892499999948</v>
          </cell>
          <cell r="AL104">
            <v>-5.4229206652127075</v>
          </cell>
          <cell r="AM104">
            <v>8.0695652173913039</v>
          </cell>
          <cell r="AN104">
            <v>8.1114573324127566</v>
          </cell>
          <cell r="AO104">
            <v>0.51913720123567364</v>
          </cell>
          <cell r="AP104">
            <v>7.52</v>
          </cell>
          <cell r="AQ104">
            <v>8.7005558499306233</v>
          </cell>
          <cell r="AR104">
            <v>15.698880983119997</v>
          </cell>
          <cell r="AS104">
            <v>7.9571428571428573</v>
          </cell>
          <cell r="AT104">
            <v>8.2475065667594087</v>
          </cell>
          <cell r="AU104">
            <v>3.6490950939243447</v>
          </cell>
          <cell r="AV104">
            <v>7.3153846153846152</v>
          </cell>
          <cell r="AW104">
            <v>8.791401189520073</v>
          </cell>
          <cell r="AX104">
            <v>20.176882716888489</v>
          </cell>
          <cell r="AY104">
            <v>7.0676691729323311</v>
          </cell>
          <cell r="AZ104">
            <v>9.2074129582625837</v>
          </cell>
          <cell r="BA104">
            <v>30.275098239247189</v>
          </cell>
          <cell r="BB104">
            <v>6.9441061086334637</v>
          </cell>
          <cell r="BC104">
            <v>8.7837986122237641</v>
          </cell>
          <cell r="BD104">
            <v>26.492862793427779</v>
          </cell>
          <cell r="BE104">
            <v>7.1070766123735529</v>
          </cell>
          <cell r="BF104">
            <v>8.9242757529133243</v>
          </cell>
          <cell r="BG104">
            <v>25.568869447333576</v>
          </cell>
          <cell r="BH104">
            <v>7.5053647276464419</v>
          </cell>
          <cell r="BI104">
            <v>8.5968392003257303</v>
          </cell>
          <cell r="BJ104">
            <v>14.542590697275237</v>
          </cell>
          <cell r="BK104">
            <v>7.955222144668868</v>
          </cell>
          <cell r="BL104">
            <v>7.9514975229424634</v>
          </cell>
          <cell r="BM104">
            <v>-4.6819833043891416E-2</v>
          </cell>
        </row>
        <row r="105">
          <cell r="C105">
            <v>100</v>
          </cell>
          <cell r="D105" t="str">
            <v>ROM stock</v>
          </cell>
          <cell r="E105" t="str">
            <v>KTON</v>
          </cell>
          <cell r="F105">
            <v>53.727792735848915</v>
          </cell>
          <cell r="G105">
            <v>16.5351</v>
          </cell>
          <cell r="H105">
            <v>-69.224308020070126</v>
          </cell>
          <cell r="I105">
            <v>56.928059347825936</v>
          </cell>
          <cell r="J105">
            <v>13.735200000000004</v>
          </cell>
          <cell r="K105">
            <v>-75.872706434485977</v>
          </cell>
          <cell r="L105">
            <v>65.543727928629863</v>
          </cell>
          <cell r="M105">
            <v>23.654970000000002</v>
          </cell>
          <cell r="N105">
            <v>-63.909635982625602</v>
          </cell>
          <cell r="O105">
            <v>65.543727928629863</v>
          </cell>
          <cell r="P105">
            <v>23.654970000000002</v>
          </cell>
          <cell r="Q105">
            <v>-63.909635982625602</v>
          </cell>
          <cell r="R105">
            <v>65.144015049220513</v>
          </cell>
          <cell r="S105">
            <v>25.82647</v>
          </cell>
          <cell r="T105">
            <v>-60.354807758646075</v>
          </cell>
          <cell r="U105">
            <v>65.543727928629863</v>
          </cell>
          <cell r="V105">
            <v>23.654970000000002</v>
          </cell>
          <cell r="W105">
            <v>-63.909635982625602</v>
          </cell>
          <cell r="X105">
            <v>70.652013408531417</v>
          </cell>
          <cell r="Y105">
            <v>34.134509376538148</v>
          </cell>
          <cell r="Z105">
            <v>-51.686430818097087</v>
          </cell>
          <cell r="AA105">
            <v>67.144630307629043</v>
          </cell>
          <cell r="AB105">
            <v>43.427167292863004</v>
          </cell>
          <cell r="AC105">
            <v>-35.322948247838127</v>
          </cell>
          <cell r="AD105">
            <v>67.144630307629043</v>
          </cell>
          <cell r="AE105">
            <v>43.427167292863004</v>
          </cell>
          <cell r="AF105">
            <v>-35.322948247838127</v>
          </cell>
          <cell r="AG105">
            <v>67.144630307629043</v>
          </cell>
          <cell r="AH105">
            <v>43.427167292863004</v>
          </cell>
          <cell r="AI105">
            <v>-35.322948247838127</v>
          </cell>
          <cell r="AJ105">
            <v>65.452669684167176</v>
          </cell>
          <cell r="AK105">
            <v>57.642917908121412</v>
          </cell>
          <cell r="AL105">
            <v>-11.9319071532615</v>
          </cell>
          <cell r="AM105">
            <v>68.683801759638868</v>
          </cell>
          <cell r="AN105">
            <v>61.624508511484812</v>
          </cell>
          <cell r="AO105">
            <v>-10.277959383870851</v>
          </cell>
          <cell r="AP105">
            <v>71.761119232977677</v>
          </cell>
          <cell r="AQ105">
            <v>67.421521592288741</v>
          </cell>
          <cell r="AR105">
            <v>-6.0472825494821478</v>
          </cell>
          <cell r="AS105">
            <v>71.761119232977677</v>
          </cell>
          <cell r="AT105">
            <v>67.421521592288741</v>
          </cell>
          <cell r="AU105">
            <v>-6.0472825494821478</v>
          </cell>
          <cell r="AV105">
            <v>69.76152940525003</v>
          </cell>
          <cell r="AW105">
            <v>79.203153212879386</v>
          </cell>
          <cell r="AX105">
            <v>13.534141077645021</v>
          </cell>
          <cell r="AY105">
            <v>70.71579519688251</v>
          </cell>
          <cell r="AZ105">
            <v>92.167891371615909</v>
          </cell>
          <cell r="BA105">
            <v>30.335650069419156</v>
          </cell>
          <cell r="BB105">
            <v>72.659533697702855</v>
          </cell>
          <cell r="BC105">
            <v>101.41463940935193</v>
          </cell>
          <cell r="BD105">
            <v>39.57513109192741</v>
          </cell>
          <cell r="BE105">
            <v>72.659533697702855</v>
          </cell>
          <cell r="BF105">
            <v>101.41463940935193</v>
          </cell>
          <cell r="BG105">
            <v>39.57513109192741</v>
          </cell>
          <cell r="BH105">
            <v>72.659533697702855</v>
          </cell>
          <cell r="BI105">
            <v>101.41463940935193</v>
          </cell>
          <cell r="BJ105">
            <v>39.57513109192741</v>
          </cell>
          <cell r="BK105">
            <v>72.659533697702855</v>
          </cell>
          <cell r="BL105">
            <v>101.41463940935193</v>
          </cell>
          <cell r="BM105">
            <v>39.57513109192741</v>
          </cell>
        </row>
        <row r="106">
          <cell r="C106">
            <v>101</v>
          </cell>
          <cell r="D106" t="str">
            <v>F/C stock</v>
          </cell>
          <cell r="E106" t="str">
            <v>KTON</v>
          </cell>
          <cell r="F106">
            <v>56.930132050000182</v>
          </cell>
          <cell r="G106">
            <v>69.528998000000001</v>
          </cell>
          <cell r="H106">
            <v>22.130400011956024</v>
          </cell>
          <cell r="I106">
            <v>45.730132050000165</v>
          </cell>
          <cell r="J106">
            <v>30.895759000000012</v>
          </cell>
          <cell r="K106">
            <v>-32.438946456092943</v>
          </cell>
          <cell r="L106">
            <v>34.530132050000162</v>
          </cell>
          <cell r="M106">
            <v>56.508035000000021</v>
          </cell>
          <cell r="N106">
            <v>63.648476403668298</v>
          </cell>
          <cell r="O106">
            <v>34.530132050000162</v>
          </cell>
          <cell r="P106">
            <v>56.508035000000021</v>
          </cell>
          <cell r="Q106">
            <v>63.648476403668298</v>
          </cell>
          <cell r="R106">
            <v>33.180132050000161</v>
          </cell>
          <cell r="S106">
            <v>44.794299000000031</v>
          </cell>
          <cell r="T106">
            <v>35.003377721638131</v>
          </cell>
          <cell r="U106">
            <v>34.530132050000162</v>
          </cell>
          <cell r="V106">
            <v>56.508035000000021</v>
          </cell>
          <cell r="W106">
            <v>63.648476403668298</v>
          </cell>
          <cell r="X106">
            <v>31.830132050000167</v>
          </cell>
          <cell r="Y106">
            <v>94.074926000000033</v>
          </cell>
          <cell r="Z106">
            <v>195.55304970844298</v>
          </cell>
          <cell r="AA106">
            <v>30.330132050000174</v>
          </cell>
          <cell r="AB106">
            <v>132.57492600000003</v>
          </cell>
          <cell r="AC106">
            <v>337.10632641310661</v>
          </cell>
          <cell r="AD106">
            <v>30.330132050000174</v>
          </cell>
          <cell r="AE106">
            <v>132.57492600000003</v>
          </cell>
          <cell r="AF106">
            <v>337.10632641310661</v>
          </cell>
          <cell r="AG106">
            <v>30.330132050000174</v>
          </cell>
          <cell r="AH106">
            <v>132.57492600000003</v>
          </cell>
          <cell r="AI106">
            <v>337.10632641310661</v>
          </cell>
          <cell r="AJ106">
            <v>28.680132050000175</v>
          </cell>
          <cell r="AK106">
            <v>117.07492600000003</v>
          </cell>
          <cell r="AL106">
            <v>308.20915955301302</v>
          </cell>
          <cell r="AM106">
            <v>27.030132050000169</v>
          </cell>
          <cell r="AN106">
            <v>111.42492600000003</v>
          </cell>
          <cell r="AO106">
            <v>312.22486739571565</v>
          </cell>
          <cell r="AP106">
            <v>35.230132050000165</v>
          </cell>
          <cell r="AQ106">
            <v>117.62492600000003</v>
          </cell>
          <cell r="AR106">
            <v>233.87591574468561</v>
          </cell>
          <cell r="AS106">
            <v>35.230132050000165</v>
          </cell>
          <cell r="AT106">
            <v>117.62492600000003</v>
          </cell>
          <cell r="AU106">
            <v>233.87591574468561</v>
          </cell>
          <cell r="AV106">
            <v>43.280132050000176</v>
          </cell>
          <cell r="AW106">
            <v>105.89992600000002</v>
          </cell>
          <cell r="AX106">
            <v>144.68484956944485</v>
          </cell>
          <cell r="AY106">
            <v>51.330132050000188</v>
          </cell>
          <cell r="AZ106">
            <v>102.05285199999999</v>
          </cell>
          <cell r="BA106">
            <v>98.816655878834069</v>
          </cell>
          <cell r="BB106">
            <v>59.380132050000199</v>
          </cell>
          <cell r="BC106">
            <v>93.946022949999971</v>
          </cell>
          <cell r="BD106">
            <v>58.211205847258896</v>
          </cell>
          <cell r="BE106">
            <v>59.380132050000199</v>
          </cell>
          <cell r="BF106">
            <v>93.946022949999971</v>
          </cell>
          <cell r="BG106">
            <v>58.211205847258896</v>
          </cell>
          <cell r="BH106">
            <v>59.380132050000199</v>
          </cell>
          <cell r="BI106">
            <v>93.946022949999971</v>
          </cell>
          <cell r="BJ106">
            <v>58.211205847258896</v>
          </cell>
          <cell r="BK106">
            <v>59.380132050000199</v>
          </cell>
          <cell r="BL106">
            <v>93.946022949999971</v>
          </cell>
          <cell r="BM106">
            <v>58.211205847258896</v>
          </cell>
        </row>
        <row r="107">
          <cell r="C107">
            <v>102</v>
          </cell>
          <cell r="D107" t="str">
            <v>Coal Barging</v>
          </cell>
          <cell r="E107" t="str">
            <v>KTON</v>
          </cell>
          <cell r="F107">
            <v>90</v>
          </cell>
          <cell r="G107">
            <v>136.74967200000003</v>
          </cell>
          <cell r="H107">
            <v>51.944080000000035</v>
          </cell>
          <cell r="I107">
            <v>90</v>
          </cell>
          <cell r="J107">
            <v>132.786956</v>
          </cell>
          <cell r="K107">
            <v>47.541062222222223</v>
          </cell>
          <cell r="L107">
            <v>90</v>
          </cell>
          <cell r="M107">
            <v>66.168309000000008</v>
          </cell>
          <cell r="N107">
            <v>-26.479656666666656</v>
          </cell>
          <cell r="O107">
            <v>270</v>
          </cell>
          <cell r="P107">
            <v>335.70493700000009</v>
          </cell>
          <cell r="Q107">
            <v>24.335161851851883</v>
          </cell>
          <cell r="R107">
            <v>90</v>
          </cell>
          <cell r="S107">
            <v>117.44098099999999</v>
          </cell>
          <cell r="T107">
            <v>30.489978888888881</v>
          </cell>
          <cell r="U107">
            <v>360</v>
          </cell>
          <cell r="V107">
            <v>453.14591800000005</v>
          </cell>
          <cell r="W107">
            <v>25.873866111111127</v>
          </cell>
          <cell r="X107">
            <v>90</v>
          </cell>
          <cell r="Y107">
            <v>49.219372999999997</v>
          </cell>
          <cell r="Z107">
            <v>-45.31180777777778</v>
          </cell>
          <cell r="AA107">
            <v>100</v>
          </cell>
          <cell r="AB107">
            <v>60</v>
          </cell>
          <cell r="AC107">
            <v>-40</v>
          </cell>
          <cell r="AD107">
            <v>280</v>
          </cell>
          <cell r="AE107">
            <v>226.66035399999998</v>
          </cell>
          <cell r="AF107">
            <v>-19.049873571428577</v>
          </cell>
          <cell r="AG107">
            <v>550</v>
          </cell>
          <cell r="AH107">
            <v>562.36529100000007</v>
          </cell>
          <cell r="AI107">
            <v>2.2482347272727399</v>
          </cell>
          <cell r="AJ107">
            <v>110</v>
          </cell>
          <cell r="AK107">
            <v>114</v>
          </cell>
          <cell r="AL107">
            <v>3.6363636363636362</v>
          </cell>
          <cell r="AM107">
            <v>110</v>
          </cell>
          <cell r="AN107">
            <v>114</v>
          </cell>
          <cell r="AO107">
            <v>3.6363636363636362</v>
          </cell>
          <cell r="AP107">
            <v>110</v>
          </cell>
          <cell r="AQ107">
            <v>112</v>
          </cell>
          <cell r="AR107">
            <v>1.8181818181818181</v>
          </cell>
          <cell r="AS107">
            <v>330</v>
          </cell>
          <cell r="AT107">
            <v>340</v>
          </cell>
          <cell r="AU107">
            <v>3.0303030303030303</v>
          </cell>
          <cell r="AV107">
            <v>120</v>
          </cell>
          <cell r="AW107">
            <v>125</v>
          </cell>
          <cell r="AX107">
            <v>4.1666666666666661</v>
          </cell>
          <cell r="AY107">
            <v>120</v>
          </cell>
          <cell r="AZ107">
            <v>112.19707400000003</v>
          </cell>
          <cell r="BA107">
            <v>-6.5024383333333091</v>
          </cell>
          <cell r="BB107">
            <v>120</v>
          </cell>
          <cell r="BC107">
            <v>125</v>
          </cell>
          <cell r="BD107">
            <v>4.1666666666666661</v>
          </cell>
          <cell r="BE107">
            <v>360</v>
          </cell>
          <cell r="BF107">
            <v>362.19707400000004</v>
          </cell>
          <cell r="BG107">
            <v>0.61029833333334538</v>
          </cell>
          <cell r="BH107">
            <v>690</v>
          </cell>
          <cell r="BI107">
            <v>702.19707400000004</v>
          </cell>
          <cell r="BJ107">
            <v>1.7676918840579772</v>
          </cell>
          <cell r="BK107">
            <v>1240</v>
          </cell>
          <cell r="BL107">
            <v>1264.562365</v>
          </cell>
          <cell r="BM107">
            <v>1.9808358870967742</v>
          </cell>
        </row>
        <row r="108">
          <cell r="C108">
            <v>103</v>
          </cell>
          <cell r="D108" t="str">
            <v>Coal Sales</v>
          </cell>
          <cell r="E108" t="str">
            <v>KTON</v>
          </cell>
          <cell r="F108">
            <v>151.69999999999999</v>
          </cell>
          <cell r="G108">
            <v>151.338626</v>
          </cell>
          <cell r="H108">
            <v>-0.23821621621620548</v>
          </cell>
          <cell r="I108">
            <v>108.69999999999999</v>
          </cell>
          <cell r="J108">
            <v>147.20190099999999</v>
          </cell>
          <cell r="K108">
            <v>35.42033210671574</v>
          </cell>
          <cell r="L108">
            <v>87</v>
          </cell>
          <cell r="M108">
            <v>58.945129000000009</v>
          </cell>
          <cell r="N108">
            <v>-32.246978160919532</v>
          </cell>
          <cell r="O108">
            <v>347.4</v>
          </cell>
          <cell r="P108">
            <v>357.48565600000001</v>
          </cell>
          <cell r="Q108">
            <v>2.9031824985607453</v>
          </cell>
          <cell r="R108">
            <v>101</v>
          </cell>
          <cell r="S108">
            <v>110.21440800000002</v>
          </cell>
          <cell r="T108">
            <v>9.1231762376237828</v>
          </cell>
          <cell r="U108">
            <v>448.4</v>
          </cell>
          <cell r="V108">
            <v>467.700064</v>
          </cell>
          <cell r="W108">
            <v>4.3042069580731539</v>
          </cell>
          <cell r="X108">
            <v>76.2</v>
          </cell>
          <cell r="Y108">
            <v>51.950752999999999</v>
          </cell>
          <cell r="Z108">
            <v>-31.823158792650926</v>
          </cell>
          <cell r="AA108">
            <v>69</v>
          </cell>
          <cell r="AB108">
            <v>94.5</v>
          </cell>
          <cell r="AC108">
            <v>36.95652173913043</v>
          </cell>
          <cell r="AD108">
            <v>246.2</v>
          </cell>
          <cell r="AE108">
            <v>256.66516100000001</v>
          </cell>
          <cell r="AF108">
            <v>4.2506746547522436</v>
          </cell>
          <cell r="AG108">
            <v>593.59999999999991</v>
          </cell>
          <cell r="AH108">
            <v>614.15081699999996</v>
          </cell>
          <cell r="AI108">
            <v>3.4620648584905753</v>
          </cell>
          <cell r="AJ108">
            <v>125.7</v>
          </cell>
          <cell r="AK108">
            <v>61.2</v>
          </cell>
          <cell r="AL108">
            <v>-51.312649164677801</v>
          </cell>
          <cell r="AM108">
            <v>125.7</v>
          </cell>
          <cell r="AN108">
            <v>118.2</v>
          </cell>
          <cell r="AO108">
            <v>-5.9665871121718377</v>
          </cell>
          <cell r="AP108">
            <v>76.2</v>
          </cell>
          <cell r="AQ108">
            <v>88.7</v>
          </cell>
          <cell r="AR108">
            <v>16.404199475065617</v>
          </cell>
          <cell r="AS108">
            <v>327.60000000000002</v>
          </cell>
          <cell r="AT108">
            <v>268.10000000000002</v>
          </cell>
          <cell r="AU108">
            <v>-18.162393162393162</v>
          </cell>
          <cell r="AV108">
            <v>110.5</v>
          </cell>
          <cell r="AW108">
            <v>94.5</v>
          </cell>
          <cell r="AX108">
            <v>-14.479638009049776</v>
          </cell>
          <cell r="AY108">
            <v>125.7</v>
          </cell>
          <cell r="AZ108">
            <v>133.19999999999999</v>
          </cell>
          <cell r="BA108">
            <v>5.9665871121718261</v>
          </cell>
          <cell r="BB108">
            <v>69.5</v>
          </cell>
          <cell r="BC108">
            <v>112.5</v>
          </cell>
          <cell r="BD108">
            <v>61.870503597122308</v>
          </cell>
          <cell r="BE108">
            <v>305.7</v>
          </cell>
          <cell r="BF108">
            <v>340.2</v>
          </cell>
          <cell r="BG108">
            <v>11.285574092247302</v>
          </cell>
          <cell r="BH108">
            <v>633.29999999999995</v>
          </cell>
          <cell r="BI108">
            <v>608.29999999999995</v>
          </cell>
          <cell r="BJ108">
            <v>-3.9475761882204328</v>
          </cell>
          <cell r="BK108">
            <v>1226.9000000000003</v>
          </cell>
          <cell r="BL108">
            <v>1222.4508170000001</v>
          </cell>
          <cell r="BM108">
            <v>-0.3626361561659609</v>
          </cell>
        </row>
      </sheetData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Data_AC"/>
      <sheetName val="summary"/>
      <sheetName val="DATA"/>
      <sheetName val="LINK"/>
      <sheetName val="c"/>
      <sheetName val="e"/>
      <sheetName val="g"/>
      <sheetName val="h"/>
      <sheetName val="k"/>
      <sheetName val="n"/>
      <sheetName val="MTD OB Forecasting"/>
      <sheetName val="Housekeeping"/>
      <sheetName val="Base"/>
      <sheetName val="5-Peralatan"/>
      <sheetName val="Haul Distance Oct 2006"/>
    </sheetNames>
    <sheetDataSet>
      <sheetData sheetId="0" refreshError="1">
        <row r="5">
          <cell r="E5" t="str">
            <v>SH4001</v>
          </cell>
          <cell r="F5">
            <v>3809.0075207610353</v>
          </cell>
          <cell r="G5" t="str">
            <v>Kijang-01</v>
          </cell>
          <cell r="H5">
            <v>153</v>
          </cell>
          <cell r="I5" t="str">
            <v>Overburden</v>
          </cell>
        </row>
        <row r="6">
          <cell r="E6" t="str">
            <v>SH4002</v>
          </cell>
          <cell r="F6">
            <v>3412.9166172016839</v>
          </cell>
          <cell r="G6" t="str">
            <v>K10-01</v>
          </cell>
          <cell r="H6">
            <v>91</v>
          </cell>
          <cell r="I6" t="str">
            <v>Overburden</v>
          </cell>
        </row>
        <row r="7">
          <cell r="E7" t="str">
            <v>SH304</v>
          </cell>
          <cell r="F7">
            <v>3847.5307644237491</v>
          </cell>
          <cell r="G7" t="str">
            <v>Kijang-01</v>
          </cell>
          <cell r="H7">
            <v>153</v>
          </cell>
          <cell r="I7" t="str">
            <v>Overburden</v>
          </cell>
        </row>
        <row r="8">
          <cell r="E8" t="str">
            <v>SH305</v>
          </cell>
          <cell r="F8">
            <v>3373</v>
          </cell>
          <cell r="G8">
            <v>0</v>
          </cell>
          <cell r="H8">
            <v>0</v>
          </cell>
          <cell r="I8" t="str">
            <v>Overburden</v>
          </cell>
        </row>
        <row r="9">
          <cell r="E9" t="str">
            <v>SH306</v>
          </cell>
          <cell r="F9">
            <v>3718.9444354489096</v>
          </cell>
          <cell r="G9" t="str">
            <v>Badak</v>
          </cell>
          <cell r="H9">
            <v>32</v>
          </cell>
          <cell r="I9" t="str">
            <v>Overburden</v>
          </cell>
        </row>
        <row r="10">
          <cell r="E10" t="str">
            <v>EX708</v>
          </cell>
          <cell r="F10">
            <v>3479.7766375590663</v>
          </cell>
          <cell r="G10" t="str">
            <v>Kijang-01</v>
          </cell>
          <cell r="H10">
            <v>153</v>
          </cell>
          <cell r="I10" t="str">
            <v>Overburden</v>
          </cell>
        </row>
        <row r="11">
          <cell r="E11" t="str">
            <v>EX709</v>
          </cell>
          <cell r="F11">
            <v>3191.0409045142083</v>
          </cell>
          <cell r="G11" t="str">
            <v>Badak</v>
          </cell>
          <cell r="H11">
            <v>32</v>
          </cell>
          <cell r="I11" t="str">
            <v>Overburden</v>
          </cell>
        </row>
        <row r="12">
          <cell r="E12" t="str">
            <v>EX710</v>
          </cell>
          <cell r="F12">
            <v>3566</v>
          </cell>
          <cell r="G12">
            <v>0</v>
          </cell>
          <cell r="H12">
            <v>0</v>
          </cell>
          <cell r="I12" t="str">
            <v>Overburden</v>
          </cell>
        </row>
        <row r="13">
          <cell r="E13" t="str">
            <v>EX711</v>
          </cell>
          <cell r="F13">
            <v>3359.3469725150308</v>
          </cell>
          <cell r="G13" t="str">
            <v>Kijang-01</v>
          </cell>
          <cell r="H13">
            <v>153</v>
          </cell>
          <cell r="I13" t="str">
            <v>Overburden</v>
          </cell>
        </row>
        <row r="14">
          <cell r="E14" t="str">
            <v>EX1001</v>
          </cell>
          <cell r="F14">
            <v>0</v>
          </cell>
          <cell r="G14">
            <v>0</v>
          </cell>
          <cell r="H14">
            <v>0</v>
          </cell>
          <cell r="I14" t="str">
            <v>Overburden</v>
          </cell>
        </row>
        <row r="15">
          <cell r="E15" t="str">
            <v>EX1002</v>
          </cell>
          <cell r="F15">
            <v>3194.3489359703508</v>
          </cell>
          <cell r="G15" t="str">
            <v>Badak</v>
          </cell>
          <cell r="H15">
            <v>32</v>
          </cell>
          <cell r="I15" t="str">
            <v>Overburden</v>
          </cell>
        </row>
        <row r="16">
          <cell r="E16" t="str">
            <v>EX1004</v>
          </cell>
          <cell r="F16">
            <v>7257.1902518504148</v>
          </cell>
          <cell r="G16" t="str">
            <v>rom</v>
          </cell>
          <cell r="H16">
            <v>90</v>
          </cell>
          <cell r="I16" t="str">
            <v>Coal</v>
          </cell>
        </row>
        <row r="17">
          <cell r="E17" t="str">
            <v>EX1006</v>
          </cell>
          <cell r="F17">
            <v>0</v>
          </cell>
          <cell r="G17">
            <v>0</v>
          </cell>
          <cell r="H17">
            <v>0</v>
          </cell>
          <cell r="I17" t="str">
            <v>Overburden</v>
          </cell>
        </row>
        <row r="18">
          <cell r="E18" t="str">
            <v>EX1008</v>
          </cell>
          <cell r="F18">
            <v>7244.714648508555</v>
          </cell>
          <cell r="G18" t="str">
            <v>rom</v>
          </cell>
          <cell r="H18">
            <v>90</v>
          </cell>
          <cell r="I18" t="str">
            <v>Coal</v>
          </cell>
        </row>
        <row r="19">
          <cell r="E19" t="str">
            <v>EX1013</v>
          </cell>
          <cell r="F19">
            <v>3123.9534261450572</v>
          </cell>
          <cell r="G19" t="str">
            <v>Badak</v>
          </cell>
          <cell r="H19">
            <v>32</v>
          </cell>
          <cell r="I19" t="str">
            <v>Overburden</v>
          </cell>
        </row>
        <row r="20">
          <cell r="E20" t="str">
            <v>EX1014</v>
          </cell>
          <cell r="F20">
            <v>3772.2874271052387</v>
          </cell>
          <cell r="G20" t="str">
            <v>Badak</v>
          </cell>
          <cell r="H20">
            <v>32</v>
          </cell>
          <cell r="I20" t="str">
            <v>Overburden</v>
          </cell>
        </row>
        <row r="21">
          <cell r="E21" t="str">
            <v>EX429</v>
          </cell>
          <cell r="F21">
            <v>0</v>
          </cell>
          <cell r="G21">
            <v>0</v>
          </cell>
          <cell r="H21">
            <v>0</v>
          </cell>
          <cell r="I21" t="str">
            <v>Overburden</v>
          </cell>
        </row>
        <row r="22">
          <cell r="E22" t="str">
            <v>EX430</v>
          </cell>
          <cell r="F22">
            <v>0</v>
          </cell>
          <cell r="G22">
            <v>0</v>
          </cell>
          <cell r="H22">
            <v>0</v>
          </cell>
          <cell r="I22" t="str">
            <v>Overburden</v>
          </cell>
        </row>
        <row r="23">
          <cell r="E23" t="str">
            <v>EX577</v>
          </cell>
          <cell r="F23">
            <v>3051</v>
          </cell>
          <cell r="G23" t="str">
            <v>BIG_P2</v>
          </cell>
          <cell r="H23">
            <v>90</v>
          </cell>
          <cell r="I23" t="str">
            <v>Top Soil</v>
          </cell>
        </row>
        <row r="24">
          <cell r="E24" t="str">
            <v>EX578</v>
          </cell>
          <cell r="F24">
            <v>3263</v>
          </cell>
          <cell r="G24" t="str">
            <v>BIG_P2</v>
          </cell>
          <cell r="H24">
            <v>90</v>
          </cell>
          <cell r="I24" t="str">
            <v>Top Soil</v>
          </cell>
        </row>
        <row r="25">
          <cell r="E25" t="str">
            <v>KPTJ010</v>
          </cell>
        </row>
        <row r="26">
          <cell r="E26" t="str">
            <v>KPTJ002</v>
          </cell>
          <cell r="F26">
            <v>0</v>
          </cell>
          <cell r="G26">
            <v>0</v>
          </cell>
          <cell r="H26">
            <v>0</v>
          </cell>
          <cell r="I26" t="str">
            <v>Overburden</v>
          </cell>
        </row>
        <row r="27">
          <cell r="E27" t="str">
            <v>KPTJ003</v>
          </cell>
          <cell r="F27">
            <v>0</v>
          </cell>
          <cell r="G27">
            <v>0</v>
          </cell>
          <cell r="H27">
            <v>0</v>
          </cell>
          <cell r="I27" t="str">
            <v>Overburden</v>
          </cell>
        </row>
        <row r="28">
          <cell r="E28" t="str">
            <v>KPTJ009</v>
          </cell>
          <cell r="F28">
            <v>0</v>
          </cell>
          <cell r="G28">
            <v>0</v>
          </cell>
          <cell r="H28">
            <v>0</v>
          </cell>
          <cell r="I28" t="str">
            <v>Overburden</v>
          </cell>
        </row>
        <row r="29">
          <cell r="E29" t="str">
            <v>WL508</v>
          </cell>
          <cell r="F29">
            <v>0</v>
          </cell>
          <cell r="G29">
            <v>0</v>
          </cell>
          <cell r="H29">
            <v>0</v>
          </cell>
          <cell r="I29" t="str">
            <v>Overburden</v>
          </cell>
        </row>
        <row r="30">
          <cell r="E30" t="str">
            <v>KPTJ001</v>
          </cell>
          <cell r="F3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Data loader"/>
      <sheetName val="Hourly"/>
      <sheetName val="summary"/>
      <sheetName val="Input Coal"/>
      <sheetName val="MTD OB Forecasting"/>
      <sheetName val="Base"/>
      <sheetName val="Rehab"/>
      <sheetName val="HAUL C1,C2,C3"/>
      <sheetName val="OB PLAN"/>
      <sheetName val="Assumptions"/>
      <sheetName val="Asset Data"/>
      <sheetName val="Cash Flow Data"/>
      <sheetName val="COA - Ellipse"/>
      <sheetName val="COR by Product"/>
      <sheetName val="Liability Data"/>
      <sheetName val="Other IE"/>
      <sheetName val="Taxation"/>
    </sheetNames>
    <sheetDataSet>
      <sheetData sheetId="0" refreshError="1">
        <row r="5">
          <cell r="E5" t="str">
            <v>SH4001</v>
          </cell>
          <cell r="F5">
            <v>3809.0075207610353</v>
          </cell>
          <cell r="G5" t="str">
            <v>Kijang-01</v>
          </cell>
          <cell r="H5">
            <v>153</v>
          </cell>
          <cell r="I5" t="str">
            <v>Overburden</v>
          </cell>
        </row>
        <row r="6">
          <cell r="E6" t="str">
            <v>SH4002</v>
          </cell>
          <cell r="F6">
            <v>3412.9166172016839</v>
          </cell>
          <cell r="G6" t="str">
            <v>K10-01</v>
          </cell>
          <cell r="H6">
            <v>91</v>
          </cell>
          <cell r="I6" t="str">
            <v>Overburden</v>
          </cell>
        </row>
        <row r="7">
          <cell r="E7" t="str">
            <v>SH304</v>
          </cell>
          <cell r="F7">
            <v>3847.5307644237491</v>
          </cell>
          <cell r="G7" t="str">
            <v>Kijang-01</v>
          </cell>
          <cell r="H7">
            <v>153</v>
          </cell>
          <cell r="I7" t="str">
            <v>Overburden</v>
          </cell>
        </row>
        <row r="8">
          <cell r="E8" t="str">
            <v>SH305</v>
          </cell>
          <cell r="F8">
            <v>3373</v>
          </cell>
          <cell r="G8">
            <v>0</v>
          </cell>
          <cell r="H8">
            <v>0</v>
          </cell>
          <cell r="I8" t="str">
            <v>Overburden</v>
          </cell>
        </row>
        <row r="9">
          <cell r="E9" t="str">
            <v>SH306</v>
          </cell>
          <cell r="F9">
            <v>3718.9444354489096</v>
          </cell>
          <cell r="G9" t="str">
            <v>Badak</v>
          </cell>
          <cell r="H9">
            <v>32</v>
          </cell>
          <cell r="I9" t="str">
            <v>Overburden</v>
          </cell>
        </row>
        <row r="10">
          <cell r="E10" t="str">
            <v>EX708</v>
          </cell>
          <cell r="F10">
            <v>3479.7766375590663</v>
          </cell>
          <cell r="G10" t="str">
            <v>Kijang-01</v>
          </cell>
          <cell r="H10">
            <v>153</v>
          </cell>
          <cell r="I10" t="str">
            <v>Overburden</v>
          </cell>
        </row>
        <row r="11">
          <cell r="E11" t="str">
            <v>EX709</v>
          </cell>
          <cell r="F11">
            <v>3191.0409045142083</v>
          </cell>
          <cell r="G11" t="str">
            <v>Badak</v>
          </cell>
          <cell r="H11">
            <v>32</v>
          </cell>
          <cell r="I11" t="str">
            <v>Overburden</v>
          </cell>
        </row>
        <row r="12">
          <cell r="E12" t="str">
            <v>EX710</v>
          </cell>
          <cell r="F12">
            <v>3566</v>
          </cell>
          <cell r="G12">
            <v>0</v>
          </cell>
          <cell r="H12">
            <v>0</v>
          </cell>
          <cell r="I12" t="str">
            <v>Overburden</v>
          </cell>
        </row>
        <row r="13">
          <cell r="E13" t="str">
            <v>EX711</v>
          </cell>
          <cell r="F13">
            <v>3359.3469725150308</v>
          </cell>
          <cell r="G13" t="str">
            <v>Kijang-01</v>
          </cell>
          <cell r="H13">
            <v>153</v>
          </cell>
          <cell r="I13" t="str">
            <v>Overburden</v>
          </cell>
        </row>
        <row r="14">
          <cell r="E14" t="str">
            <v>EX1001</v>
          </cell>
          <cell r="F14">
            <v>0</v>
          </cell>
          <cell r="G14">
            <v>0</v>
          </cell>
          <cell r="H14">
            <v>0</v>
          </cell>
          <cell r="I14" t="str">
            <v>Overburden</v>
          </cell>
        </row>
        <row r="15">
          <cell r="E15" t="str">
            <v>EX1002</v>
          </cell>
          <cell r="F15">
            <v>3194.3489359703508</v>
          </cell>
          <cell r="G15" t="str">
            <v>Badak</v>
          </cell>
          <cell r="H15">
            <v>32</v>
          </cell>
          <cell r="I15" t="str">
            <v>Overburden</v>
          </cell>
        </row>
        <row r="16">
          <cell r="E16" t="str">
            <v>EX1004</v>
          </cell>
          <cell r="F16">
            <v>7257.1902518504148</v>
          </cell>
          <cell r="G16" t="str">
            <v>rom</v>
          </cell>
          <cell r="H16">
            <v>90</v>
          </cell>
          <cell r="I16" t="str">
            <v>Coal</v>
          </cell>
        </row>
        <row r="17">
          <cell r="E17" t="str">
            <v>EX1006</v>
          </cell>
          <cell r="F17">
            <v>0</v>
          </cell>
          <cell r="G17">
            <v>0</v>
          </cell>
          <cell r="H17">
            <v>0</v>
          </cell>
          <cell r="I17" t="str">
            <v>Overburden</v>
          </cell>
        </row>
        <row r="18">
          <cell r="E18" t="str">
            <v>EX1008</v>
          </cell>
          <cell r="F18">
            <v>7244.714648508555</v>
          </cell>
          <cell r="G18" t="str">
            <v>rom</v>
          </cell>
          <cell r="H18">
            <v>90</v>
          </cell>
          <cell r="I18" t="str">
            <v>Coal</v>
          </cell>
        </row>
        <row r="19">
          <cell r="E19" t="str">
            <v>EX1013</v>
          </cell>
          <cell r="F19">
            <v>3123.9534261450572</v>
          </cell>
          <cell r="G19" t="str">
            <v>Badak</v>
          </cell>
          <cell r="H19">
            <v>32</v>
          </cell>
          <cell r="I19" t="str">
            <v>Overburden</v>
          </cell>
        </row>
        <row r="20">
          <cell r="E20" t="str">
            <v>EX1014</v>
          </cell>
          <cell r="F20">
            <v>3772.2874271052387</v>
          </cell>
          <cell r="G20" t="str">
            <v>Badak</v>
          </cell>
          <cell r="H20">
            <v>32</v>
          </cell>
          <cell r="I20" t="str">
            <v>Overburden</v>
          </cell>
        </row>
        <row r="21">
          <cell r="E21" t="str">
            <v>EX429</v>
          </cell>
          <cell r="F21">
            <v>0</v>
          </cell>
          <cell r="G21">
            <v>0</v>
          </cell>
          <cell r="H21">
            <v>0</v>
          </cell>
          <cell r="I21" t="str">
            <v>Overburden</v>
          </cell>
        </row>
        <row r="22">
          <cell r="E22" t="str">
            <v>EX430</v>
          </cell>
          <cell r="F22">
            <v>0</v>
          </cell>
          <cell r="G22">
            <v>0</v>
          </cell>
          <cell r="H22">
            <v>0</v>
          </cell>
          <cell r="I22" t="str">
            <v>Overburden</v>
          </cell>
        </row>
        <row r="23">
          <cell r="E23" t="str">
            <v>EX577</v>
          </cell>
          <cell r="F23">
            <v>3051</v>
          </cell>
          <cell r="G23" t="str">
            <v>BIG_P2</v>
          </cell>
          <cell r="H23">
            <v>90</v>
          </cell>
          <cell r="I23" t="str">
            <v>Top Soil</v>
          </cell>
        </row>
        <row r="24">
          <cell r="E24" t="str">
            <v>EX578</v>
          </cell>
          <cell r="F24">
            <v>3263</v>
          </cell>
          <cell r="G24" t="str">
            <v>BIG_P2</v>
          </cell>
          <cell r="H24">
            <v>90</v>
          </cell>
          <cell r="I24" t="str">
            <v>Top Soil</v>
          </cell>
        </row>
        <row r="25">
          <cell r="E25" t="str">
            <v>KPTJ010</v>
          </cell>
        </row>
        <row r="26">
          <cell r="E26" t="str">
            <v>KPTJ002</v>
          </cell>
          <cell r="F26">
            <v>0</v>
          </cell>
          <cell r="G26">
            <v>0</v>
          </cell>
          <cell r="H26">
            <v>0</v>
          </cell>
          <cell r="I26" t="str">
            <v>Overburden</v>
          </cell>
        </row>
        <row r="27">
          <cell r="E27" t="str">
            <v>KPTJ003</v>
          </cell>
          <cell r="F27">
            <v>0</v>
          </cell>
          <cell r="G27">
            <v>0</v>
          </cell>
          <cell r="H27">
            <v>0</v>
          </cell>
          <cell r="I27" t="str">
            <v>Overburden</v>
          </cell>
        </row>
        <row r="28">
          <cell r="E28" t="str">
            <v>KPTJ009</v>
          </cell>
          <cell r="F28">
            <v>0</v>
          </cell>
          <cell r="G28">
            <v>0</v>
          </cell>
          <cell r="H28">
            <v>0</v>
          </cell>
          <cell r="I28" t="str">
            <v>Overburden</v>
          </cell>
        </row>
        <row r="29">
          <cell r="E29" t="str">
            <v>WL508</v>
          </cell>
          <cell r="F29">
            <v>0</v>
          </cell>
          <cell r="G29">
            <v>0</v>
          </cell>
          <cell r="H29">
            <v>0</v>
          </cell>
          <cell r="I29" t="str">
            <v>Overburden</v>
          </cell>
        </row>
        <row r="30">
          <cell r="E30" t="str">
            <v>KPTJ001</v>
          </cell>
          <cell r="F3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WHRS"/>
      <sheetName val="MA_PLANS_"/>
      <sheetName val="M_PLANS_"/>
      <sheetName val="summary"/>
      <sheetName val="Data Coal I"/>
      <sheetName val="Data Coal II"/>
      <sheetName val="Curah hujan"/>
      <sheetName val="Base"/>
      <sheetName val=" OB PLAN"/>
      <sheetName val="REPORT01"/>
      <sheetName val="EQL"/>
      <sheetName val="Source_Data"/>
      <sheetName val="EXA"/>
      <sheetName val="O_PERF"/>
    </sheetNames>
    <sheetDataSet>
      <sheetData sheetId="0" refreshError="1">
        <row r="5">
          <cell r="E5" t="str">
            <v>SH4001</v>
          </cell>
          <cell r="F5">
            <v>3809.0075207610353</v>
          </cell>
          <cell r="G5" t="str">
            <v>Kijang-01</v>
          </cell>
          <cell r="H5">
            <v>153</v>
          </cell>
          <cell r="I5" t="str">
            <v>Overburden</v>
          </cell>
        </row>
        <row r="6">
          <cell r="E6" t="str">
            <v>SH4002</v>
          </cell>
          <cell r="F6">
            <v>3412.9166172016839</v>
          </cell>
          <cell r="G6" t="str">
            <v>K10-01</v>
          </cell>
          <cell r="H6">
            <v>91</v>
          </cell>
          <cell r="I6" t="str">
            <v>Overburden</v>
          </cell>
        </row>
        <row r="7">
          <cell r="E7" t="str">
            <v>SH304</v>
          </cell>
          <cell r="F7">
            <v>3847.5307644237491</v>
          </cell>
          <cell r="G7" t="str">
            <v>Kijang-01</v>
          </cell>
          <cell r="H7">
            <v>153</v>
          </cell>
          <cell r="I7" t="str">
            <v>Overburden</v>
          </cell>
        </row>
        <row r="8">
          <cell r="E8" t="str">
            <v>SH305</v>
          </cell>
          <cell r="F8">
            <v>3373</v>
          </cell>
          <cell r="G8">
            <v>0</v>
          </cell>
          <cell r="H8">
            <v>0</v>
          </cell>
          <cell r="I8" t="str">
            <v>Overburden</v>
          </cell>
        </row>
        <row r="9">
          <cell r="E9" t="str">
            <v>SH306</v>
          </cell>
          <cell r="F9">
            <v>3718.9444354489096</v>
          </cell>
          <cell r="G9" t="str">
            <v>Badak</v>
          </cell>
          <cell r="H9">
            <v>32</v>
          </cell>
          <cell r="I9" t="str">
            <v>Overburden</v>
          </cell>
        </row>
        <row r="10">
          <cell r="E10" t="str">
            <v>EX708</v>
          </cell>
          <cell r="F10">
            <v>3479.7766375590663</v>
          </cell>
          <cell r="G10" t="str">
            <v>Kijang-01</v>
          </cell>
          <cell r="H10">
            <v>153</v>
          </cell>
          <cell r="I10" t="str">
            <v>Overburden</v>
          </cell>
        </row>
        <row r="11">
          <cell r="E11" t="str">
            <v>EX709</v>
          </cell>
          <cell r="F11">
            <v>3191.0409045142083</v>
          </cell>
          <cell r="G11" t="str">
            <v>Badak</v>
          </cell>
          <cell r="H11">
            <v>32</v>
          </cell>
          <cell r="I11" t="str">
            <v>Overburden</v>
          </cell>
        </row>
        <row r="12">
          <cell r="E12" t="str">
            <v>EX710</v>
          </cell>
          <cell r="F12">
            <v>3566</v>
          </cell>
          <cell r="G12">
            <v>0</v>
          </cell>
          <cell r="H12">
            <v>0</v>
          </cell>
          <cell r="I12" t="str">
            <v>Overburden</v>
          </cell>
        </row>
        <row r="13">
          <cell r="E13" t="str">
            <v>EX711</v>
          </cell>
          <cell r="F13">
            <v>3359.3469725150308</v>
          </cell>
          <cell r="G13" t="str">
            <v>Kijang-01</v>
          </cell>
          <cell r="H13">
            <v>153</v>
          </cell>
          <cell r="I13" t="str">
            <v>Overburden</v>
          </cell>
        </row>
        <row r="14">
          <cell r="E14" t="str">
            <v>EX1001</v>
          </cell>
          <cell r="F14">
            <v>0</v>
          </cell>
          <cell r="G14">
            <v>0</v>
          </cell>
          <cell r="H14">
            <v>0</v>
          </cell>
          <cell r="I14" t="str">
            <v>Overburden</v>
          </cell>
        </row>
        <row r="15">
          <cell r="E15" t="str">
            <v>EX1002</v>
          </cell>
          <cell r="F15">
            <v>3194.3489359703508</v>
          </cell>
          <cell r="G15" t="str">
            <v>Badak</v>
          </cell>
          <cell r="H15">
            <v>32</v>
          </cell>
          <cell r="I15" t="str">
            <v>Overburden</v>
          </cell>
        </row>
        <row r="16">
          <cell r="E16" t="str">
            <v>EX1004</v>
          </cell>
          <cell r="F16">
            <v>7257.1902518504148</v>
          </cell>
          <cell r="G16" t="str">
            <v>rom</v>
          </cell>
          <cell r="H16">
            <v>90</v>
          </cell>
          <cell r="I16" t="str">
            <v>Coal</v>
          </cell>
        </row>
        <row r="17">
          <cell r="E17" t="str">
            <v>EX1006</v>
          </cell>
          <cell r="F17">
            <v>0</v>
          </cell>
          <cell r="G17">
            <v>0</v>
          </cell>
          <cell r="H17">
            <v>0</v>
          </cell>
          <cell r="I17" t="str">
            <v>Overburden</v>
          </cell>
        </row>
        <row r="18">
          <cell r="E18" t="str">
            <v>EX1008</v>
          </cell>
          <cell r="F18">
            <v>7244.714648508555</v>
          </cell>
          <cell r="G18" t="str">
            <v>rom</v>
          </cell>
          <cell r="H18">
            <v>90</v>
          </cell>
          <cell r="I18" t="str">
            <v>Coal</v>
          </cell>
        </row>
        <row r="19">
          <cell r="E19" t="str">
            <v>EX1013</v>
          </cell>
          <cell r="F19">
            <v>3123.9534261450572</v>
          </cell>
          <cell r="G19" t="str">
            <v>Badak</v>
          </cell>
          <cell r="H19">
            <v>32</v>
          </cell>
          <cell r="I19" t="str">
            <v>Overburden</v>
          </cell>
        </row>
        <row r="20">
          <cell r="E20" t="str">
            <v>EX1014</v>
          </cell>
          <cell r="F20">
            <v>3772.2874271052387</v>
          </cell>
          <cell r="G20" t="str">
            <v>Badak</v>
          </cell>
          <cell r="H20">
            <v>32</v>
          </cell>
          <cell r="I20" t="str">
            <v>Overburden</v>
          </cell>
        </row>
        <row r="21">
          <cell r="E21" t="str">
            <v>EX429</v>
          </cell>
          <cell r="F21">
            <v>0</v>
          </cell>
          <cell r="G21">
            <v>0</v>
          </cell>
          <cell r="H21">
            <v>0</v>
          </cell>
          <cell r="I21" t="str">
            <v>Overburden</v>
          </cell>
        </row>
        <row r="22">
          <cell r="E22" t="str">
            <v>EX430</v>
          </cell>
          <cell r="F22">
            <v>0</v>
          </cell>
          <cell r="G22">
            <v>0</v>
          </cell>
          <cell r="H22">
            <v>0</v>
          </cell>
          <cell r="I22" t="str">
            <v>Overburden</v>
          </cell>
        </row>
        <row r="23">
          <cell r="E23" t="str">
            <v>EX577</v>
          </cell>
          <cell r="F23">
            <v>3051</v>
          </cell>
          <cell r="G23" t="str">
            <v>BIG_P2</v>
          </cell>
          <cell r="H23">
            <v>90</v>
          </cell>
          <cell r="I23" t="str">
            <v>Top Soil</v>
          </cell>
        </row>
        <row r="24">
          <cell r="E24" t="str">
            <v>EX578</v>
          </cell>
          <cell r="F24">
            <v>3263</v>
          </cell>
          <cell r="G24" t="str">
            <v>BIG_P2</v>
          </cell>
          <cell r="H24">
            <v>90</v>
          </cell>
          <cell r="I24" t="str">
            <v>Top Soil</v>
          </cell>
        </row>
        <row r="25">
          <cell r="E25" t="str">
            <v>KPTJ010</v>
          </cell>
        </row>
        <row r="26">
          <cell r="E26" t="str">
            <v>KPTJ002</v>
          </cell>
          <cell r="F26">
            <v>0</v>
          </cell>
          <cell r="G26">
            <v>0</v>
          </cell>
          <cell r="H26">
            <v>0</v>
          </cell>
          <cell r="I26" t="str">
            <v>Overburden</v>
          </cell>
        </row>
        <row r="27">
          <cell r="E27" t="str">
            <v>KPTJ003</v>
          </cell>
          <cell r="F27">
            <v>0</v>
          </cell>
          <cell r="G27">
            <v>0</v>
          </cell>
          <cell r="H27">
            <v>0</v>
          </cell>
          <cell r="I27" t="str">
            <v>Overburden</v>
          </cell>
        </row>
        <row r="28">
          <cell r="E28" t="str">
            <v>KPTJ009</v>
          </cell>
          <cell r="F28">
            <v>0</v>
          </cell>
          <cell r="G28">
            <v>0</v>
          </cell>
          <cell r="H28">
            <v>0</v>
          </cell>
          <cell r="I28" t="str">
            <v>Overburden</v>
          </cell>
        </row>
        <row r="29">
          <cell r="E29" t="str">
            <v>WL508</v>
          </cell>
          <cell r="F29">
            <v>0</v>
          </cell>
          <cell r="G29">
            <v>0</v>
          </cell>
          <cell r="H29">
            <v>0</v>
          </cell>
          <cell r="I29" t="str">
            <v>Overburden</v>
          </cell>
        </row>
        <row r="30">
          <cell r="E30" t="str">
            <v>KPTJ001</v>
          </cell>
          <cell r="F3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summary"/>
      <sheetName val="Sheet2"/>
      <sheetName val="Sheet1"/>
      <sheetName val="kptj001"/>
      <sheetName val="Overall"/>
      <sheetName val="crushnsp"/>
      <sheetName val="pittonsp"/>
      <sheetName val="KODJA"/>
      <sheetName val="Cruser Sp71"/>
      <sheetName val="Database"/>
      <sheetName val="Param"/>
      <sheetName val="EPR MTD"/>
      <sheetName val="EXA"/>
      <sheetName val="DP Report"/>
      <sheetName val="Bas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summary"/>
      <sheetName val="HOURLY"/>
      <sheetName val="PRO"/>
      <sheetName val="whrs"/>
      <sheetName val="Database"/>
      <sheetName val="Source"/>
      <sheetName val="Summ PRM"/>
      <sheetName val="rumu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Input OB"/>
      <sheetName val="HOURLY"/>
      <sheetName val="Data Coal I"/>
      <sheetName val="Data Coal II"/>
      <sheetName val="Curah hujan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"/>
      <sheetName val="Y2_PLANS_7"/>
      <sheetName val="mtd ob forecasting"/>
      <sheetName val="Housekeeping"/>
      <sheetName val="Project"/>
      <sheetName val="ACUM"/>
      <sheetName val="TJ"/>
      <sheetName val="LM"/>
      <sheetName val="Stock"/>
      <sheetName val="Usage"/>
      <sheetName val="summary"/>
    </sheetNames>
    <sheetDataSet>
      <sheetData sheetId="0" refreshError="1">
        <row r="5">
          <cell r="E5" t="str">
            <v>SH4001</v>
          </cell>
          <cell r="F5">
            <v>3809.0075207610353</v>
          </cell>
          <cell r="G5" t="str">
            <v>Kijang-01</v>
          </cell>
          <cell r="H5">
            <v>153</v>
          </cell>
          <cell r="I5" t="str">
            <v>Overburden</v>
          </cell>
        </row>
        <row r="6">
          <cell r="E6" t="str">
            <v>SH4002</v>
          </cell>
          <cell r="F6">
            <v>3412.9166172016839</v>
          </cell>
          <cell r="G6" t="str">
            <v>K10-01</v>
          </cell>
          <cell r="H6">
            <v>91</v>
          </cell>
          <cell r="I6" t="str">
            <v>Overburden</v>
          </cell>
        </row>
        <row r="7">
          <cell r="E7" t="str">
            <v>SH304</v>
          </cell>
          <cell r="F7">
            <v>3847.5307644237491</v>
          </cell>
          <cell r="G7" t="str">
            <v>Kijang-01</v>
          </cell>
          <cell r="H7">
            <v>153</v>
          </cell>
          <cell r="I7" t="str">
            <v>Overburden</v>
          </cell>
        </row>
        <row r="8">
          <cell r="E8" t="str">
            <v>SH305</v>
          </cell>
          <cell r="F8">
            <v>3373</v>
          </cell>
          <cell r="G8">
            <v>0</v>
          </cell>
          <cell r="H8">
            <v>0</v>
          </cell>
          <cell r="I8" t="str">
            <v>Overburden</v>
          </cell>
        </row>
        <row r="9">
          <cell r="E9" t="str">
            <v>SH306</v>
          </cell>
          <cell r="F9">
            <v>3718.9444354489096</v>
          </cell>
          <cell r="G9" t="str">
            <v>Badak</v>
          </cell>
          <cell r="H9">
            <v>32</v>
          </cell>
          <cell r="I9" t="str">
            <v>Overburden</v>
          </cell>
        </row>
        <row r="10">
          <cell r="E10" t="str">
            <v>EX708</v>
          </cell>
          <cell r="F10">
            <v>3479.7766375590663</v>
          </cell>
          <cell r="G10" t="str">
            <v>Kijang-01</v>
          </cell>
          <cell r="H10">
            <v>153</v>
          </cell>
          <cell r="I10" t="str">
            <v>Overburden</v>
          </cell>
        </row>
        <row r="11">
          <cell r="E11" t="str">
            <v>EX709</v>
          </cell>
          <cell r="F11">
            <v>3191.0409045142083</v>
          </cell>
          <cell r="G11" t="str">
            <v>Badak</v>
          </cell>
          <cell r="H11">
            <v>32</v>
          </cell>
          <cell r="I11" t="str">
            <v>Overburden</v>
          </cell>
        </row>
        <row r="12">
          <cell r="E12" t="str">
            <v>EX710</v>
          </cell>
          <cell r="F12">
            <v>3566</v>
          </cell>
          <cell r="G12">
            <v>0</v>
          </cell>
          <cell r="H12">
            <v>0</v>
          </cell>
          <cell r="I12" t="str">
            <v>Overburden</v>
          </cell>
        </row>
        <row r="13">
          <cell r="E13" t="str">
            <v>EX711</v>
          </cell>
          <cell r="F13">
            <v>3359.3469725150308</v>
          </cell>
          <cell r="G13" t="str">
            <v>Kijang-01</v>
          </cell>
          <cell r="H13">
            <v>153</v>
          </cell>
          <cell r="I13" t="str">
            <v>Overburden</v>
          </cell>
        </row>
        <row r="14">
          <cell r="E14" t="str">
            <v>EX1001</v>
          </cell>
          <cell r="F14">
            <v>0</v>
          </cell>
          <cell r="G14">
            <v>0</v>
          </cell>
          <cell r="H14">
            <v>0</v>
          </cell>
          <cell r="I14" t="str">
            <v>Overburden</v>
          </cell>
        </row>
        <row r="15">
          <cell r="E15" t="str">
            <v>EX1002</v>
          </cell>
          <cell r="F15">
            <v>3194.3489359703508</v>
          </cell>
          <cell r="G15" t="str">
            <v>Badak</v>
          </cell>
          <cell r="H15">
            <v>32</v>
          </cell>
          <cell r="I15" t="str">
            <v>Overburden</v>
          </cell>
        </row>
        <row r="16">
          <cell r="E16" t="str">
            <v>EX1004</v>
          </cell>
          <cell r="F16">
            <v>7257.1902518504148</v>
          </cell>
          <cell r="G16" t="str">
            <v>rom</v>
          </cell>
          <cell r="H16">
            <v>90</v>
          </cell>
          <cell r="I16" t="str">
            <v>Coal</v>
          </cell>
        </row>
        <row r="17">
          <cell r="E17" t="str">
            <v>EX1006</v>
          </cell>
          <cell r="F17">
            <v>0</v>
          </cell>
          <cell r="G17">
            <v>0</v>
          </cell>
          <cell r="H17">
            <v>0</v>
          </cell>
          <cell r="I17" t="str">
            <v>Overburden</v>
          </cell>
        </row>
        <row r="18">
          <cell r="E18" t="str">
            <v>EX1008</v>
          </cell>
          <cell r="F18">
            <v>7244.714648508555</v>
          </cell>
          <cell r="G18" t="str">
            <v>rom</v>
          </cell>
          <cell r="H18">
            <v>90</v>
          </cell>
          <cell r="I18" t="str">
            <v>Coal</v>
          </cell>
        </row>
        <row r="19">
          <cell r="E19" t="str">
            <v>EX1013</v>
          </cell>
          <cell r="F19">
            <v>3123.9534261450572</v>
          </cell>
          <cell r="G19" t="str">
            <v>Badak</v>
          </cell>
          <cell r="H19">
            <v>32</v>
          </cell>
          <cell r="I19" t="str">
            <v>Overburden</v>
          </cell>
        </row>
        <row r="20">
          <cell r="E20" t="str">
            <v>EX1014</v>
          </cell>
          <cell r="F20">
            <v>3772.2874271052387</v>
          </cell>
          <cell r="G20" t="str">
            <v>Badak</v>
          </cell>
          <cell r="H20">
            <v>32</v>
          </cell>
          <cell r="I20" t="str">
            <v>Overburden</v>
          </cell>
        </row>
        <row r="21">
          <cell r="E21" t="str">
            <v>EX429</v>
          </cell>
          <cell r="F21">
            <v>0</v>
          </cell>
          <cell r="G21">
            <v>0</v>
          </cell>
          <cell r="H21">
            <v>0</v>
          </cell>
          <cell r="I21" t="str">
            <v>Overburden</v>
          </cell>
        </row>
        <row r="22">
          <cell r="E22" t="str">
            <v>EX430</v>
          </cell>
          <cell r="F22">
            <v>0</v>
          </cell>
          <cell r="G22">
            <v>0</v>
          </cell>
          <cell r="H22">
            <v>0</v>
          </cell>
          <cell r="I22" t="str">
            <v>Overburden</v>
          </cell>
        </row>
        <row r="23">
          <cell r="E23" t="str">
            <v>EX577</v>
          </cell>
          <cell r="F23">
            <v>3051</v>
          </cell>
          <cell r="G23" t="str">
            <v>BIG_P2</v>
          </cell>
          <cell r="H23">
            <v>90</v>
          </cell>
          <cell r="I23" t="str">
            <v>Top Soil</v>
          </cell>
        </row>
        <row r="24">
          <cell r="E24" t="str">
            <v>EX578</v>
          </cell>
          <cell r="F24">
            <v>3263</v>
          </cell>
          <cell r="G24" t="str">
            <v>BIG_P2</v>
          </cell>
          <cell r="H24">
            <v>90</v>
          </cell>
          <cell r="I24" t="str">
            <v>Top Soil</v>
          </cell>
        </row>
        <row r="25">
          <cell r="E25" t="str">
            <v>KPTJ010</v>
          </cell>
        </row>
        <row r="26">
          <cell r="E26" t="str">
            <v>KPTJ002</v>
          </cell>
          <cell r="F26">
            <v>0</v>
          </cell>
          <cell r="G26">
            <v>0</v>
          </cell>
          <cell r="H26">
            <v>0</v>
          </cell>
          <cell r="I26" t="str">
            <v>Overburden</v>
          </cell>
        </row>
        <row r="27">
          <cell r="E27" t="str">
            <v>KPTJ003</v>
          </cell>
          <cell r="F27">
            <v>0</v>
          </cell>
          <cell r="G27">
            <v>0</v>
          </cell>
          <cell r="H27">
            <v>0</v>
          </cell>
          <cell r="I27" t="str">
            <v>Overburden</v>
          </cell>
        </row>
        <row r="28">
          <cell r="E28" t="str">
            <v>KPTJ009</v>
          </cell>
          <cell r="F28">
            <v>0</v>
          </cell>
          <cell r="G28">
            <v>0</v>
          </cell>
          <cell r="H28">
            <v>0</v>
          </cell>
          <cell r="I28" t="str">
            <v>Overburden</v>
          </cell>
        </row>
        <row r="29">
          <cell r="E29" t="str">
            <v>WL508</v>
          </cell>
          <cell r="F29">
            <v>0</v>
          </cell>
          <cell r="G29">
            <v>0</v>
          </cell>
          <cell r="H29">
            <v>0</v>
          </cell>
          <cell r="I29" t="str">
            <v>Overburden</v>
          </cell>
        </row>
        <row r="30">
          <cell r="E30" t="str">
            <v>KPTJ001</v>
          </cell>
          <cell r="F3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summary"/>
      <sheetName val="A_SQL2IMPS_"/>
      <sheetName val="Sheet1"/>
      <sheetName val="PRO"/>
      <sheetName val="PLAN"/>
      <sheetName val="simulasi prod'ty"/>
      <sheetName val="Truck"/>
    </sheetNames>
    <sheetDataSet>
      <sheetData sheetId="0" refreshError="1">
        <row r="5">
          <cell r="E5" t="str">
            <v>SH304</v>
          </cell>
          <cell r="F5">
            <v>3152.358511145997</v>
          </cell>
          <cell r="G5" t="str">
            <v>NORTH EAST</v>
          </cell>
          <cell r="H5">
            <v>523.84505283627914</v>
          </cell>
          <cell r="I5">
            <v>2.950569918081769</v>
          </cell>
        </row>
        <row r="6">
          <cell r="E6" t="str">
            <v>SH305</v>
          </cell>
          <cell r="F6">
            <v>2787.9051618542385</v>
          </cell>
          <cell r="G6" t="str">
            <v>NORTH EAST</v>
          </cell>
          <cell r="H6">
            <v>68.936657079729628</v>
          </cell>
          <cell r="I6">
            <v>2.950569918081769</v>
          </cell>
        </row>
        <row r="7">
          <cell r="E7" t="str">
            <v>SH306</v>
          </cell>
          <cell r="F7">
            <v>3338.5715227690944</v>
          </cell>
          <cell r="G7" t="str">
            <v>NORTH EAST</v>
          </cell>
          <cell r="H7">
            <v>79.686254777416011</v>
          </cell>
          <cell r="I7">
            <v>1.018033906802807</v>
          </cell>
        </row>
        <row r="8">
          <cell r="E8" t="str">
            <v>EX708</v>
          </cell>
          <cell r="F8">
            <v>1725.6347335261985</v>
          </cell>
          <cell r="G8" t="str">
            <v>KUDANIEL</v>
          </cell>
          <cell r="H8">
            <v>120.97724579228654</v>
          </cell>
          <cell r="I8">
            <v>4.8201007548150585</v>
          </cell>
        </row>
        <row r="9">
          <cell r="E9" t="str">
            <v>EX709</v>
          </cell>
          <cell r="F9">
            <v>2336.0365334752655</v>
          </cell>
          <cell r="G9" t="str">
            <v>KUDANIEL</v>
          </cell>
          <cell r="H9">
            <v>731.37904574135337</v>
          </cell>
          <cell r="I9">
            <v>4.8201007548150585</v>
          </cell>
        </row>
        <row r="10">
          <cell r="E10" t="str">
            <v>EX710</v>
          </cell>
          <cell r="F10">
            <v>2046.5901362955183</v>
          </cell>
          <cell r="G10" t="str">
            <v>KUDANIEL</v>
          </cell>
          <cell r="H10">
            <v>441.93264856160624</v>
          </cell>
          <cell r="I10">
            <v>4.8201007548150585</v>
          </cell>
        </row>
        <row r="11">
          <cell r="E11" t="str">
            <v>EX711</v>
          </cell>
          <cell r="F11">
            <v>3342.4648611297625</v>
          </cell>
          <cell r="G11" t="str">
            <v>NORTH EAST</v>
          </cell>
          <cell r="H11">
            <v>713.95140282004502</v>
          </cell>
          <cell r="I11">
            <v>2.950569918081769</v>
          </cell>
        </row>
        <row r="12">
          <cell r="E12" t="str">
            <v>EX729</v>
          </cell>
          <cell r="F12">
            <v>3150.0904774768187</v>
          </cell>
          <cell r="G12" t="str">
            <v>NORTH EAST</v>
          </cell>
          <cell r="H12">
            <v>521.57701916710096</v>
          </cell>
          <cell r="I12">
            <v>2.950569918081769</v>
          </cell>
        </row>
        <row r="13">
          <cell r="E13" t="str">
            <v>EX718</v>
          </cell>
          <cell r="F13">
            <v>3582.5725687698377</v>
          </cell>
          <cell r="G13" t="str">
            <v>NORTH EAST</v>
          </cell>
          <cell r="H13">
            <v>954.05911046011965</v>
          </cell>
          <cell r="I13">
            <v>2.950569918081769</v>
          </cell>
        </row>
        <row r="14">
          <cell r="E14" t="str">
            <v>EX1701</v>
          </cell>
          <cell r="F14">
            <v>0</v>
          </cell>
          <cell r="G14" t="str">
            <v>ROM 90</v>
          </cell>
          <cell r="H14">
            <v>290802.14587779553</v>
          </cell>
          <cell r="I14">
            <v>1.191707616031169</v>
          </cell>
        </row>
        <row r="15">
          <cell r="E15" t="str">
            <v>EX1001</v>
          </cell>
          <cell r="F15">
            <v>1842.0651241455532</v>
          </cell>
          <cell r="G15" t="str">
            <v>KUDANIEL</v>
          </cell>
          <cell r="H15">
            <v>364.21279469520999</v>
          </cell>
          <cell r="I15">
            <v>4.8201007548150585</v>
          </cell>
        </row>
        <row r="16">
          <cell r="E16" t="str">
            <v>EX1002</v>
          </cell>
          <cell r="F16">
            <v>2099.2356638400638</v>
          </cell>
          <cell r="G16" t="str">
            <v>KUDANIEL</v>
          </cell>
          <cell r="H16">
            <v>494.57817610615189</v>
          </cell>
          <cell r="I16">
            <v>4.8201007548150585</v>
          </cell>
        </row>
        <row r="17">
          <cell r="E17" t="str">
            <v>EX1004</v>
          </cell>
          <cell r="F17">
            <v>3168.9611907961312</v>
          </cell>
          <cell r="G17" t="str">
            <v>ROM 90</v>
          </cell>
          <cell r="H17">
            <v>230.18880592476788</v>
          </cell>
          <cell r="I17">
            <v>1.191707616031169</v>
          </cell>
        </row>
        <row r="18">
          <cell r="E18" t="str">
            <v>EX1006</v>
          </cell>
          <cell r="F18">
            <v>962.66660252622751</v>
          </cell>
          <cell r="G18" t="str">
            <v>STP H</v>
          </cell>
          <cell r="H18">
            <v>152.66344241386884</v>
          </cell>
          <cell r="I18" t="e">
            <v>#VALUE!</v>
          </cell>
        </row>
        <row r="19">
          <cell r="E19" t="str">
            <v>EX1008</v>
          </cell>
          <cell r="F19">
            <v>2822.7933394688612</v>
          </cell>
          <cell r="G19" t="str">
            <v>ROM 90</v>
          </cell>
          <cell r="H19">
            <v>339.7661802289025</v>
          </cell>
          <cell r="I19">
            <v>6.6428337528365073</v>
          </cell>
        </row>
        <row r="20">
          <cell r="E20" t="str">
            <v>EX1013</v>
          </cell>
          <cell r="F20">
            <v>3699.9790172301168</v>
          </cell>
          <cell r="G20" t="str">
            <v>ROM 90</v>
          </cell>
          <cell r="H20">
            <v>761.20663235875372</v>
          </cell>
          <cell r="I20">
            <v>1.191707616031169</v>
          </cell>
        </row>
        <row r="21">
          <cell r="E21" t="str">
            <v>EX1014</v>
          </cell>
          <cell r="F21">
            <v>3728.8056844649905</v>
          </cell>
          <cell r="G21" t="str">
            <v>ROM 90</v>
          </cell>
          <cell r="H21">
            <v>790.03329959362679</v>
          </cell>
          <cell r="I21">
            <v>1.191707616031169</v>
          </cell>
        </row>
        <row r="22">
          <cell r="E22" t="str">
            <v>EX1021</v>
          </cell>
          <cell r="F22">
            <v>0</v>
          </cell>
          <cell r="G22" t="e">
            <v>#N/A</v>
          </cell>
          <cell r="I22">
            <v>0</v>
          </cell>
        </row>
        <row r="23">
          <cell r="E23" t="str">
            <v>EX577</v>
          </cell>
          <cell r="F23">
            <v>0</v>
          </cell>
          <cell r="G23" t="str">
            <v>STP H</v>
          </cell>
          <cell r="H23">
            <v>292389.69016577356</v>
          </cell>
          <cell r="I23">
            <v>0</v>
          </cell>
        </row>
        <row r="24">
          <cell r="E24" t="str">
            <v>EX578</v>
          </cell>
          <cell r="F24">
            <v>0</v>
          </cell>
          <cell r="G24" t="str">
            <v>STP H</v>
          </cell>
          <cell r="H24">
            <v>292389.69016577356</v>
          </cell>
          <cell r="I24">
            <v>0</v>
          </cell>
        </row>
        <row r="25">
          <cell r="E25" t="str">
            <v>EX579</v>
          </cell>
          <cell r="F25">
            <v>1175.1544582499964</v>
          </cell>
          <cell r="G25" t="str">
            <v>STPB</v>
          </cell>
          <cell r="H25">
            <v>419.05917317079587</v>
          </cell>
          <cell r="I25" t="e">
            <v>#VALUE!</v>
          </cell>
        </row>
        <row r="26">
          <cell r="E26" t="str">
            <v>EX429</v>
          </cell>
          <cell r="F26">
            <v>0</v>
          </cell>
          <cell r="G26" t="e">
            <v>#N/A</v>
          </cell>
          <cell r="H26" t="e">
            <v>#N/A</v>
          </cell>
          <cell r="I26">
            <v>0</v>
          </cell>
        </row>
        <row r="27">
          <cell r="E27" t="str">
            <v>EX430</v>
          </cell>
          <cell r="F27">
            <v>0</v>
          </cell>
          <cell r="G27" t="e">
            <v>#N/A</v>
          </cell>
          <cell r="H27" t="e">
            <v>#N/A</v>
          </cell>
          <cell r="I27">
            <v>0</v>
          </cell>
        </row>
        <row r="28">
          <cell r="E28" t="str">
            <v>EX26</v>
          </cell>
          <cell r="F28">
            <v>860.27095149949071</v>
          </cell>
          <cell r="G28" t="str">
            <v>STP H</v>
          </cell>
          <cell r="H28">
            <v>100.26779138713209</v>
          </cell>
          <cell r="I28" t="e">
            <v>#VALUE!</v>
          </cell>
        </row>
        <row r="29">
          <cell r="E29" t="str">
            <v>KPLMEX002</v>
          </cell>
          <cell r="F29">
            <v>0</v>
          </cell>
          <cell r="G29" t="e">
            <v>#N/A</v>
          </cell>
          <cell r="H29" t="e">
            <v>#N/A</v>
          </cell>
          <cell r="I29">
            <v>0</v>
          </cell>
        </row>
        <row r="30">
          <cell r="E30" t="str">
            <v>WL508</v>
          </cell>
          <cell r="I30" t="e">
            <v>#VALUE!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J"/>
      <sheetName val="LM"/>
      <sheetName val="ACUM"/>
      <sheetName val="LIST"/>
      <sheetName val="PRINT"/>
      <sheetName val="Chek_T-Sheet"/>
      <sheetName val="Perform_TJ"/>
      <sheetName val="Sheet1"/>
      <sheetName val="Perform_LM"/>
      <sheetName val="M_PLANS_"/>
      <sheetName val="MA_PLANS_"/>
      <sheetName val="_SAF 02"/>
      <sheetName val="PROD"/>
      <sheetName val="summary"/>
      <sheetName val="Sheet2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"/>
      <sheetName val="Y2_PLANS_7"/>
      <sheetName val="Run"/>
      <sheetName val="Rain &amp; Slippery Method"/>
      <sheetName val="MTD OB Forecasting"/>
      <sheetName val="Project"/>
      <sheetName val="PLAN"/>
      <sheetName val="BS final"/>
      <sheetName val="Data Base"/>
      <sheetName val="Daily Plan"/>
      <sheetName val="Petrosea"/>
      <sheetName val="chart D31"/>
      <sheetName val="chart-DT"/>
      <sheetName val="chart-WA 500"/>
      <sheetName val="Permanent info"/>
      <sheetName val="GeneralInfo"/>
      <sheetName val="A"/>
    </sheetNames>
    <sheetDataSet>
      <sheetData sheetId="0" refreshError="1">
        <row r="4">
          <cell r="B4" t="str">
            <v>KPTJEX023</v>
          </cell>
          <cell r="C4" t="str">
            <v>D_AWT</v>
          </cell>
          <cell r="D4" t="str">
            <v>D_AHT</v>
          </cell>
          <cell r="E4" t="str">
            <v>N_AWT</v>
          </cell>
          <cell r="F4" t="str">
            <v>N_AHT</v>
          </cell>
          <cell r="G4" t="str">
            <v>D_TT</v>
          </cell>
          <cell r="H4" t="str">
            <v>N_TT</v>
          </cell>
          <cell r="I4" t="str">
            <v>DN_TT</v>
          </cell>
          <cell r="J4" t="str">
            <v>STBT</v>
          </cell>
          <cell r="K4" t="str">
            <v>REMT</v>
          </cell>
          <cell r="L4" t="str">
            <v>BREAK DOWN</v>
          </cell>
          <cell r="M4" t="str">
            <v>Stop1</v>
          </cell>
          <cell r="N4" t="str">
            <v>AC1</v>
          </cell>
          <cell r="O4" t="str">
            <v>REMARK1</v>
          </cell>
          <cell r="P4" t="str">
            <v>Start2</v>
          </cell>
          <cell r="Q4" t="str">
            <v>Stop2</v>
          </cell>
          <cell r="R4" t="str">
            <v>AC2</v>
          </cell>
          <cell r="S4" t="str">
            <v>REMARK2</v>
          </cell>
          <cell r="T4" t="str">
            <v>Start3</v>
          </cell>
          <cell r="U4" t="str">
            <v>Stop3</v>
          </cell>
          <cell r="V4" t="str">
            <v>AC3</v>
          </cell>
          <cell r="W4" t="str">
            <v>REMARK3</v>
          </cell>
          <cell r="X4" t="str">
            <v>TOTAL</v>
          </cell>
          <cell r="Y4" t="str">
            <v>REMARK_ALL</v>
          </cell>
        </row>
        <row r="5">
          <cell r="C5">
            <v>118</v>
          </cell>
          <cell r="D5">
            <v>119</v>
          </cell>
          <cell r="E5">
            <v>119</v>
          </cell>
          <cell r="F5">
            <v>119</v>
          </cell>
          <cell r="G5">
            <v>1</v>
          </cell>
          <cell r="H5">
            <v>0</v>
          </cell>
          <cell r="I5">
            <v>1</v>
          </cell>
          <cell r="J5">
            <v>23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</row>
        <row r="6">
          <cell r="C6">
            <v>119</v>
          </cell>
          <cell r="D6">
            <v>119</v>
          </cell>
          <cell r="E6">
            <v>119</v>
          </cell>
          <cell r="F6">
            <v>119</v>
          </cell>
          <cell r="G6">
            <v>0</v>
          </cell>
          <cell r="H6">
            <v>0</v>
          </cell>
          <cell r="I6">
            <v>0</v>
          </cell>
          <cell r="J6">
            <v>24</v>
          </cell>
          <cell r="N6">
            <v>0</v>
          </cell>
          <cell r="R6">
            <v>0</v>
          </cell>
          <cell r="V6">
            <v>0</v>
          </cell>
          <cell r="X6">
            <v>0</v>
          </cell>
          <cell r="Y6">
            <v>0</v>
          </cell>
        </row>
        <row r="7">
          <cell r="C7">
            <v>119</v>
          </cell>
          <cell r="D7">
            <v>119</v>
          </cell>
          <cell r="E7">
            <v>119</v>
          </cell>
          <cell r="F7">
            <v>119</v>
          </cell>
          <cell r="G7">
            <v>0</v>
          </cell>
          <cell r="H7">
            <v>0</v>
          </cell>
          <cell r="I7">
            <v>0</v>
          </cell>
          <cell r="J7">
            <v>24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</row>
        <row r="8">
          <cell r="C8">
            <v>119</v>
          </cell>
          <cell r="D8">
            <v>119</v>
          </cell>
          <cell r="E8">
            <v>119</v>
          </cell>
          <cell r="F8">
            <v>119</v>
          </cell>
          <cell r="G8">
            <v>0</v>
          </cell>
          <cell r="H8">
            <v>0</v>
          </cell>
          <cell r="I8">
            <v>0</v>
          </cell>
          <cell r="J8">
            <v>24</v>
          </cell>
          <cell r="N8">
            <v>0</v>
          </cell>
          <cell r="R8">
            <v>0</v>
          </cell>
          <cell r="V8">
            <v>0</v>
          </cell>
          <cell r="X8">
            <v>0</v>
          </cell>
          <cell r="Y8">
            <v>0</v>
          </cell>
        </row>
        <row r="9">
          <cell r="C9">
            <v>119</v>
          </cell>
          <cell r="D9">
            <v>119</v>
          </cell>
          <cell r="E9">
            <v>119</v>
          </cell>
          <cell r="F9">
            <v>119</v>
          </cell>
          <cell r="G9">
            <v>0</v>
          </cell>
          <cell r="H9">
            <v>0</v>
          </cell>
          <cell r="I9">
            <v>0</v>
          </cell>
          <cell r="J9">
            <v>24</v>
          </cell>
          <cell r="N9">
            <v>0</v>
          </cell>
          <cell r="R9">
            <v>0</v>
          </cell>
          <cell r="V9">
            <v>0</v>
          </cell>
          <cell r="X9">
            <v>0</v>
          </cell>
          <cell r="Y9">
            <v>0</v>
          </cell>
        </row>
        <row r="10">
          <cell r="C10">
            <v>119</v>
          </cell>
          <cell r="D10">
            <v>119</v>
          </cell>
          <cell r="E10">
            <v>119</v>
          </cell>
          <cell r="F10">
            <v>119</v>
          </cell>
          <cell r="G10">
            <v>0</v>
          </cell>
          <cell r="H10">
            <v>0</v>
          </cell>
          <cell r="I10">
            <v>0</v>
          </cell>
          <cell r="J10">
            <v>24</v>
          </cell>
          <cell r="K10">
            <v>13.5</v>
          </cell>
          <cell r="L10">
            <v>8.5</v>
          </cell>
          <cell r="M10">
            <v>9</v>
          </cell>
          <cell r="N10">
            <v>0</v>
          </cell>
          <cell r="O10">
            <v>2.3999999999996362</v>
          </cell>
          <cell r="P10">
            <v>0.6000000000003638</v>
          </cell>
          <cell r="Q10">
            <v>3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10.5</v>
          </cell>
          <cell r="X10">
            <v>0</v>
          </cell>
          <cell r="Y10">
            <v>0</v>
          </cell>
        </row>
        <row r="11">
          <cell r="C11">
            <v>119</v>
          </cell>
          <cell r="D11">
            <v>119</v>
          </cell>
          <cell r="E11">
            <v>119</v>
          </cell>
          <cell r="F11">
            <v>119</v>
          </cell>
          <cell r="G11">
            <v>0</v>
          </cell>
          <cell r="H11">
            <v>0</v>
          </cell>
          <cell r="I11">
            <v>0</v>
          </cell>
          <cell r="J11">
            <v>24</v>
          </cell>
          <cell r="K11">
            <v>16</v>
          </cell>
          <cell r="L11">
            <v>6</v>
          </cell>
          <cell r="M11">
            <v>5</v>
          </cell>
          <cell r="N11">
            <v>0</v>
          </cell>
          <cell r="O11">
            <v>11</v>
          </cell>
          <cell r="P11">
            <v>6</v>
          </cell>
          <cell r="Q11">
            <v>17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5</v>
          </cell>
          <cell r="X11">
            <v>0</v>
          </cell>
          <cell r="Y11">
            <v>0</v>
          </cell>
        </row>
        <row r="12">
          <cell r="C12">
            <v>119</v>
          </cell>
          <cell r="D12">
            <v>119</v>
          </cell>
          <cell r="E12">
            <v>119</v>
          </cell>
          <cell r="F12">
            <v>119</v>
          </cell>
          <cell r="G12">
            <v>0</v>
          </cell>
          <cell r="H12">
            <v>0</v>
          </cell>
          <cell r="I12">
            <v>0</v>
          </cell>
          <cell r="J12">
            <v>24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</row>
        <row r="13">
          <cell r="C13">
            <v>119</v>
          </cell>
          <cell r="D13">
            <v>119</v>
          </cell>
          <cell r="E13">
            <v>119</v>
          </cell>
          <cell r="F13">
            <v>119</v>
          </cell>
          <cell r="G13">
            <v>0</v>
          </cell>
          <cell r="H13">
            <v>0</v>
          </cell>
          <cell r="I13">
            <v>0</v>
          </cell>
          <cell r="J13">
            <v>24</v>
          </cell>
          <cell r="K13">
            <v>0</v>
          </cell>
          <cell r="L13">
            <v>0</v>
          </cell>
          <cell r="M13">
            <v>9.5</v>
          </cell>
          <cell r="N13">
            <v>0</v>
          </cell>
          <cell r="O13">
            <v>0</v>
          </cell>
          <cell r="P13">
            <v>0.5</v>
          </cell>
          <cell r="Q13">
            <v>0.5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11</v>
          </cell>
          <cell r="X13">
            <v>0</v>
          </cell>
          <cell r="Y13">
            <v>0</v>
          </cell>
        </row>
        <row r="14">
          <cell r="C14">
            <v>119</v>
          </cell>
          <cell r="D14">
            <v>122.5</v>
          </cell>
          <cell r="E14">
            <v>122.5</v>
          </cell>
          <cell r="F14">
            <v>122.5</v>
          </cell>
          <cell r="G14">
            <v>3.5</v>
          </cell>
          <cell r="H14">
            <v>0</v>
          </cell>
          <cell r="I14">
            <v>3.5</v>
          </cell>
          <cell r="J14">
            <v>20.5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2.5</v>
          </cell>
          <cell r="Q14">
            <v>2.5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C15">
            <v>122.5</v>
          </cell>
          <cell r="D15">
            <v>122.5</v>
          </cell>
          <cell r="E15">
            <v>122.5</v>
          </cell>
          <cell r="F15">
            <v>122.5</v>
          </cell>
          <cell r="G15">
            <v>0</v>
          </cell>
          <cell r="H15">
            <v>0</v>
          </cell>
          <cell r="I15">
            <v>0</v>
          </cell>
          <cell r="J15">
            <v>24</v>
          </cell>
          <cell r="K15">
            <v>17.5</v>
          </cell>
          <cell r="L15">
            <v>7.5</v>
          </cell>
          <cell r="M15">
            <v>11</v>
          </cell>
          <cell r="N15">
            <v>0</v>
          </cell>
          <cell r="O15">
            <v>8</v>
          </cell>
          <cell r="P15">
            <v>3</v>
          </cell>
          <cell r="Q15">
            <v>11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10</v>
          </cell>
          <cell r="X15">
            <v>0</v>
          </cell>
          <cell r="Y15">
            <v>0</v>
          </cell>
        </row>
        <row r="16">
          <cell r="C16">
            <v>122.5</v>
          </cell>
          <cell r="D16">
            <v>129</v>
          </cell>
          <cell r="E16">
            <v>129</v>
          </cell>
          <cell r="F16">
            <v>134</v>
          </cell>
          <cell r="G16">
            <v>6.5</v>
          </cell>
          <cell r="H16">
            <v>5</v>
          </cell>
          <cell r="I16">
            <v>11.5</v>
          </cell>
          <cell r="J16">
            <v>12.5</v>
          </cell>
          <cell r="N16">
            <v>0</v>
          </cell>
          <cell r="R16">
            <v>0</v>
          </cell>
          <cell r="V16">
            <v>0</v>
          </cell>
          <cell r="X16">
            <v>0</v>
          </cell>
          <cell r="Y16">
            <v>0</v>
          </cell>
        </row>
        <row r="17">
          <cell r="C17">
            <v>134</v>
          </cell>
          <cell r="D17">
            <v>135</v>
          </cell>
          <cell r="E17">
            <v>135</v>
          </cell>
          <cell r="F17">
            <v>135</v>
          </cell>
          <cell r="G17">
            <v>1</v>
          </cell>
          <cell r="H17">
            <v>0</v>
          </cell>
          <cell r="I17">
            <v>1</v>
          </cell>
          <cell r="J17">
            <v>23</v>
          </cell>
          <cell r="N17">
            <v>0</v>
          </cell>
          <cell r="R17">
            <v>0</v>
          </cell>
          <cell r="V17">
            <v>0</v>
          </cell>
          <cell r="X17">
            <v>0</v>
          </cell>
          <cell r="Y17">
            <v>0</v>
          </cell>
        </row>
        <row r="18">
          <cell r="C18">
            <v>135</v>
          </cell>
          <cell r="D18">
            <v>139</v>
          </cell>
          <cell r="E18">
            <v>139</v>
          </cell>
          <cell r="F18">
            <v>141.5</v>
          </cell>
          <cell r="G18">
            <v>4</v>
          </cell>
          <cell r="H18">
            <v>2.5</v>
          </cell>
          <cell r="I18">
            <v>6.5</v>
          </cell>
          <cell r="J18">
            <v>17.5</v>
          </cell>
          <cell r="K18">
            <v>17.5</v>
          </cell>
          <cell r="L18">
            <v>7.5999999999999091</v>
          </cell>
          <cell r="M18">
            <v>8.8000000000001819</v>
          </cell>
          <cell r="N18">
            <v>0</v>
          </cell>
          <cell r="O18">
            <v>3.0999999999999091</v>
          </cell>
          <cell r="P18">
            <v>0</v>
          </cell>
          <cell r="Q18">
            <v>3.0999999999999091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11.5</v>
          </cell>
          <cell r="X18">
            <v>0</v>
          </cell>
          <cell r="Y18">
            <v>0</v>
          </cell>
        </row>
        <row r="19">
          <cell r="C19">
            <v>141.5</v>
          </cell>
          <cell r="D19">
            <v>141.5</v>
          </cell>
          <cell r="E19">
            <v>141.5</v>
          </cell>
          <cell r="F19">
            <v>145</v>
          </cell>
          <cell r="G19">
            <v>0</v>
          </cell>
          <cell r="H19">
            <v>3.5</v>
          </cell>
          <cell r="I19">
            <v>3.5</v>
          </cell>
          <cell r="J19">
            <v>20.5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C20">
            <v>145</v>
          </cell>
          <cell r="D20">
            <v>147.5</v>
          </cell>
          <cell r="E20">
            <v>147.5</v>
          </cell>
          <cell r="F20">
            <v>147.5</v>
          </cell>
          <cell r="G20">
            <v>2.5</v>
          </cell>
          <cell r="H20">
            <v>0</v>
          </cell>
          <cell r="I20">
            <v>2.5</v>
          </cell>
          <cell r="J20">
            <v>21.5</v>
          </cell>
          <cell r="N20">
            <v>0</v>
          </cell>
          <cell r="R20">
            <v>0</v>
          </cell>
          <cell r="V20">
            <v>0</v>
          </cell>
          <cell r="X20">
            <v>0</v>
          </cell>
          <cell r="Y20">
            <v>0</v>
          </cell>
        </row>
        <row r="21">
          <cell r="C21">
            <v>147.5</v>
          </cell>
          <cell r="D21">
            <v>147.5</v>
          </cell>
          <cell r="E21">
            <v>147.5</v>
          </cell>
          <cell r="F21">
            <v>147.5</v>
          </cell>
          <cell r="G21">
            <v>0</v>
          </cell>
          <cell r="H21">
            <v>0</v>
          </cell>
          <cell r="I21">
            <v>0</v>
          </cell>
          <cell r="J21">
            <v>24</v>
          </cell>
          <cell r="K21">
            <v>0</v>
          </cell>
          <cell r="L21">
            <v>4.2000000000000455</v>
          </cell>
          <cell r="M21">
            <v>0.29999999999995453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</row>
        <row r="22">
          <cell r="C22">
            <v>147.5</v>
          </cell>
          <cell r="D22">
            <v>147.5</v>
          </cell>
          <cell r="E22">
            <v>147.5</v>
          </cell>
          <cell r="F22">
            <v>147.5</v>
          </cell>
          <cell r="G22">
            <v>0</v>
          </cell>
          <cell r="H22">
            <v>0</v>
          </cell>
          <cell r="I22">
            <v>0</v>
          </cell>
          <cell r="J22">
            <v>24</v>
          </cell>
          <cell r="K22">
            <v>0</v>
          </cell>
          <cell r="L22">
            <v>0.63541666666666663</v>
          </cell>
          <cell r="M22">
            <v>0.64236111111111105</v>
          </cell>
          <cell r="N22">
            <v>0</v>
          </cell>
          <cell r="O22" t="str">
            <v>Oil hydrolick low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6</v>
          </cell>
          <cell r="X22">
            <v>0</v>
          </cell>
          <cell r="Y22">
            <v>0</v>
          </cell>
        </row>
        <row r="23">
          <cell r="C23">
            <v>147.5</v>
          </cell>
          <cell r="D23">
            <v>154</v>
          </cell>
          <cell r="E23">
            <v>154</v>
          </cell>
          <cell r="F23">
            <v>154</v>
          </cell>
          <cell r="G23">
            <v>6.5</v>
          </cell>
          <cell r="H23">
            <v>0</v>
          </cell>
          <cell r="I23">
            <v>6.5</v>
          </cell>
          <cell r="J23">
            <v>17.5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C24">
            <v>154</v>
          </cell>
          <cell r="D24">
            <v>154</v>
          </cell>
          <cell r="E24">
            <v>154</v>
          </cell>
          <cell r="F24">
            <v>154</v>
          </cell>
          <cell r="G24">
            <v>0</v>
          </cell>
          <cell r="H24">
            <v>0</v>
          </cell>
          <cell r="I24">
            <v>0</v>
          </cell>
          <cell r="J24">
            <v>24</v>
          </cell>
          <cell r="K24">
            <v>4</v>
          </cell>
          <cell r="L24">
            <v>10</v>
          </cell>
          <cell r="M24">
            <v>0</v>
          </cell>
          <cell r="N24">
            <v>0</v>
          </cell>
          <cell r="O24">
            <v>7</v>
          </cell>
          <cell r="P24">
            <v>0</v>
          </cell>
          <cell r="Q24">
            <v>7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8</v>
          </cell>
          <cell r="X24">
            <v>0</v>
          </cell>
          <cell r="Y24">
            <v>0</v>
          </cell>
        </row>
        <row r="25">
          <cell r="C25">
            <v>154</v>
          </cell>
          <cell r="D25">
            <v>154</v>
          </cell>
          <cell r="E25">
            <v>154</v>
          </cell>
          <cell r="F25">
            <v>154</v>
          </cell>
          <cell r="G25">
            <v>0</v>
          </cell>
          <cell r="H25">
            <v>0</v>
          </cell>
          <cell r="I25">
            <v>0</v>
          </cell>
          <cell r="J25">
            <v>24</v>
          </cell>
          <cell r="K25">
            <v>15</v>
          </cell>
          <cell r="L25">
            <v>6.5</v>
          </cell>
          <cell r="M25">
            <v>8.5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C26">
            <v>154</v>
          </cell>
          <cell r="D26">
            <v>154</v>
          </cell>
          <cell r="E26">
            <v>154</v>
          </cell>
          <cell r="F26">
            <v>157</v>
          </cell>
          <cell r="G26">
            <v>0</v>
          </cell>
          <cell r="H26">
            <v>3</v>
          </cell>
          <cell r="I26">
            <v>3</v>
          </cell>
          <cell r="J26">
            <v>21</v>
          </cell>
          <cell r="K26">
            <v>10</v>
          </cell>
          <cell r="L26">
            <v>4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C27">
            <v>157</v>
          </cell>
          <cell r="D27">
            <v>160</v>
          </cell>
          <cell r="E27">
            <v>160</v>
          </cell>
          <cell r="F27">
            <v>160</v>
          </cell>
          <cell r="G27">
            <v>3</v>
          </cell>
          <cell r="H27">
            <v>0</v>
          </cell>
          <cell r="I27">
            <v>3</v>
          </cell>
          <cell r="J27">
            <v>21</v>
          </cell>
          <cell r="K27">
            <v>1.5</v>
          </cell>
          <cell r="L27">
            <v>8</v>
          </cell>
          <cell r="M27">
            <v>1.5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21</v>
          </cell>
          <cell r="U27">
            <v>0</v>
          </cell>
          <cell r="V27">
            <v>-480</v>
          </cell>
          <cell r="W27">
            <v>0</v>
          </cell>
          <cell r="X27">
            <v>0</v>
          </cell>
          <cell r="Y27">
            <v>0</v>
          </cell>
        </row>
        <row r="28">
          <cell r="C28">
            <v>160</v>
          </cell>
          <cell r="D28">
            <v>167</v>
          </cell>
          <cell r="E28">
            <v>167</v>
          </cell>
          <cell r="F28">
            <v>177</v>
          </cell>
          <cell r="G28">
            <v>7</v>
          </cell>
          <cell r="H28">
            <v>10</v>
          </cell>
          <cell r="I28">
            <v>17</v>
          </cell>
          <cell r="J28">
            <v>7</v>
          </cell>
          <cell r="N28">
            <v>0</v>
          </cell>
          <cell r="R28">
            <v>0</v>
          </cell>
          <cell r="V28">
            <v>0</v>
          </cell>
          <cell r="X28">
            <v>0</v>
          </cell>
          <cell r="Y28">
            <v>0</v>
          </cell>
        </row>
        <row r="29">
          <cell r="C29">
            <v>177</v>
          </cell>
          <cell r="D29">
            <v>183</v>
          </cell>
          <cell r="E29">
            <v>183</v>
          </cell>
          <cell r="F29">
            <v>183</v>
          </cell>
          <cell r="G29">
            <v>6</v>
          </cell>
          <cell r="H29">
            <v>0</v>
          </cell>
          <cell r="I29">
            <v>6</v>
          </cell>
          <cell r="J29">
            <v>18</v>
          </cell>
          <cell r="N29">
            <v>0</v>
          </cell>
          <cell r="R29">
            <v>0</v>
          </cell>
          <cell r="V29">
            <v>0</v>
          </cell>
          <cell r="X29">
            <v>0</v>
          </cell>
          <cell r="Y29">
            <v>0</v>
          </cell>
        </row>
        <row r="30">
          <cell r="C30">
            <v>183</v>
          </cell>
          <cell r="D30">
            <v>190</v>
          </cell>
          <cell r="E30">
            <v>190</v>
          </cell>
          <cell r="F30">
            <v>190</v>
          </cell>
          <cell r="G30">
            <v>7</v>
          </cell>
          <cell r="H30">
            <v>0</v>
          </cell>
          <cell r="I30">
            <v>7</v>
          </cell>
          <cell r="J30">
            <v>17</v>
          </cell>
          <cell r="K30" t="str">
            <v>Oprasi di mess bumi etam</v>
          </cell>
          <cell r="N30">
            <v>0</v>
          </cell>
          <cell r="R30">
            <v>0</v>
          </cell>
          <cell r="V30">
            <v>0</v>
          </cell>
          <cell r="X30">
            <v>0</v>
          </cell>
          <cell r="Y30">
            <v>0</v>
          </cell>
        </row>
        <row r="31">
          <cell r="C31">
            <v>190</v>
          </cell>
          <cell r="D31">
            <v>200</v>
          </cell>
          <cell r="E31">
            <v>200</v>
          </cell>
          <cell r="F31">
            <v>200</v>
          </cell>
          <cell r="G31">
            <v>10</v>
          </cell>
          <cell r="H31">
            <v>0</v>
          </cell>
          <cell r="I31">
            <v>10</v>
          </cell>
          <cell r="J31">
            <v>14</v>
          </cell>
          <cell r="N31">
            <v>0</v>
          </cell>
          <cell r="R31">
            <v>0</v>
          </cell>
          <cell r="V31">
            <v>0</v>
          </cell>
          <cell r="X31">
            <v>0</v>
          </cell>
          <cell r="Y31">
            <v>0</v>
          </cell>
        </row>
        <row r="32">
          <cell r="C32">
            <v>200</v>
          </cell>
          <cell r="D32">
            <v>209</v>
          </cell>
          <cell r="E32">
            <v>209</v>
          </cell>
          <cell r="F32">
            <v>209</v>
          </cell>
          <cell r="G32">
            <v>9</v>
          </cell>
          <cell r="H32">
            <v>0</v>
          </cell>
          <cell r="I32">
            <v>9</v>
          </cell>
          <cell r="J32">
            <v>15</v>
          </cell>
          <cell r="N32">
            <v>0</v>
          </cell>
          <cell r="R32">
            <v>0</v>
          </cell>
          <cell r="V32">
            <v>0</v>
          </cell>
          <cell r="X32">
            <v>0</v>
          </cell>
          <cell r="Y32">
            <v>0</v>
          </cell>
        </row>
        <row r="33">
          <cell r="C33">
            <v>209</v>
          </cell>
          <cell r="D33">
            <v>210.8</v>
          </cell>
          <cell r="E33">
            <v>210.8</v>
          </cell>
          <cell r="F33">
            <v>210.8</v>
          </cell>
          <cell r="G33">
            <v>1.8000000000000114</v>
          </cell>
          <cell r="H33">
            <v>0</v>
          </cell>
          <cell r="I33">
            <v>1.8000000000000114</v>
          </cell>
          <cell r="J33">
            <v>21.949999999999989</v>
          </cell>
          <cell r="K33" t="str">
            <v>Standby</v>
          </cell>
          <cell r="L33">
            <v>0.37777777777777777</v>
          </cell>
          <cell r="M33">
            <v>0.38819444444444445</v>
          </cell>
          <cell r="N33">
            <v>0.25000000000000044</v>
          </cell>
          <cell r="O33" t="str">
            <v>Perbaikan Ac</v>
          </cell>
          <cell r="R33">
            <v>0</v>
          </cell>
          <cell r="V33">
            <v>0</v>
          </cell>
          <cell r="X33">
            <v>0.25000000000000044</v>
          </cell>
          <cell r="Y33" t="str">
            <v>Perbaikan Ac</v>
          </cell>
        </row>
        <row r="34">
          <cell r="C34">
            <v>210.8</v>
          </cell>
          <cell r="D34">
            <v>218</v>
          </cell>
          <cell r="E34">
            <v>218</v>
          </cell>
          <cell r="F34">
            <v>218</v>
          </cell>
          <cell r="G34">
            <v>7.1999999999999886</v>
          </cell>
          <cell r="H34">
            <v>0</v>
          </cell>
          <cell r="I34">
            <v>7.1999999999999886</v>
          </cell>
          <cell r="J34">
            <v>16.800000000000011</v>
          </cell>
          <cell r="K34" t="str">
            <v>Standby</v>
          </cell>
          <cell r="N34">
            <v>0</v>
          </cell>
          <cell r="R34">
            <v>0</v>
          </cell>
          <cell r="V34">
            <v>0</v>
          </cell>
          <cell r="X34">
            <v>0</v>
          </cell>
          <cell r="Y34">
            <v>0</v>
          </cell>
        </row>
        <row r="35">
          <cell r="C35">
            <v>218</v>
          </cell>
          <cell r="D35">
            <v>223.5</v>
          </cell>
          <cell r="E35">
            <v>223.5</v>
          </cell>
          <cell r="F35">
            <v>223.5</v>
          </cell>
          <cell r="G35">
            <v>5.5</v>
          </cell>
          <cell r="H35">
            <v>0</v>
          </cell>
          <cell r="I35">
            <v>5.5</v>
          </cell>
          <cell r="J35">
            <v>18.5</v>
          </cell>
          <cell r="K35" t="str">
            <v>Standby</v>
          </cell>
          <cell r="N35">
            <v>0</v>
          </cell>
          <cell r="R35">
            <v>0</v>
          </cell>
          <cell r="V35">
            <v>0</v>
          </cell>
          <cell r="X35">
            <v>0</v>
          </cell>
          <cell r="Y35">
            <v>0</v>
          </cell>
        </row>
        <row r="36">
          <cell r="C36">
            <v>118</v>
          </cell>
          <cell r="D36">
            <v>223.5</v>
          </cell>
          <cell r="E36">
            <v>119</v>
          </cell>
          <cell r="F36">
            <v>223.5</v>
          </cell>
          <cell r="G36">
            <v>81.5</v>
          </cell>
          <cell r="H36">
            <v>24</v>
          </cell>
          <cell r="I36">
            <v>105.5</v>
          </cell>
          <cell r="J36">
            <v>638.25</v>
          </cell>
          <cell r="N36">
            <v>0.25000000000000044</v>
          </cell>
          <cell r="R36">
            <v>0</v>
          </cell>
          <cell r="V36">
            <v>-480</v>
          </cell>
        </row>
        <row r="37">
          <cell r="V37" t="str">
            <v/>
          </cell>
        </row>
        <row r="38">
          <cell r="C38">
            <v>776.5</v>
          </cell>
          <cell r="D38">
            <v>784.5</v>
          </cell>
          <cell r="E38">
            <v>784.5</v>
          </cell>
          <cell r="F38">
            <v>794.5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N38">
            <v>0</v>
          </cell>
          <cell r="R38">
            <v>0</v>
          </cell>
          <cell r="V38">
            <v>0</v>
          </cell>
          <cell r="X38">
            <v>0</v>
          </cell>
          <cell r="Y38">
            <v>0</v>
          </cell>
        </row>
        <row r="39">
          <cell r="C39">
            <v>794.5</v>
          </cell>
          <cell r="D39">
            <v>802</v>
          </cell>
          <cell r="E39">
            <v>802</v>
          </cell>
          <cell r="F39">
            <v>809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N39">
            <v>0</v>
          </cell>
          <cell r="R39">
            <v>0</v>
          </cell>
          <cell r="V39">
            <v>0</v>
          </cell>
          <cell r="X39">
            <v>0</v>
          </cell>
          <cell r="Y39">
            <v>0</v>
          </cell>
        </row>
        <row r="40">
          <cell r="C40">
            <v>809</v>
          </cell>
          <cell r="D40">
            <v>813</v>
          </cell>
          <cell r="E40">
            <v>813</v>
          </cell>
          <cell r="F40">
            <v>813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N40">
            <v>0</v>
          </cell>
          <cell r="R40">
            <v>0</v>
          </cell>
          <cell r="V40">
            <v>0</v>
          </cell>
          <cell r="X40">
            <v>0</v>
          </cell>
          <cell r="Y40">
            <v>0</v>
          </cell>
        </row>
        <row r="41">
          <cell r="C41">
            <v>813</v>
          </cell>
          <cell r="D41">
            <v>823</v>
          </cell>
          <cell r="E41">
            <v>823</v>
          </cell>
          <cell r="F41">
            <v>823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N41">
            <v>0</v>
          </cell>
          <cell r="R41">
            <v>0</v>
          </cell>
          <cell r="V41">
            <v>0</v>
          </cell>
          <cell r="X41">
            <v>0</v>
          </cell>
          <cell r="Y41">
            <v>0</v>
          </cell>
        </row>
        <row r="42">
          <cell r="C42">
            <v>823</v>
          </cell>
          <cell r="D42">
            <v>830</v>
          </cell>
          <cell r="E42">
            <v>830</v>
          </cell>
          <cell r="F42">
            <v>830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N42">
            <v>0</v>
          </cell>
          <cell r="R42">
            <v>0</v>
          </cell>
          <cell r="V42">
            <v>0</v>
          </cell>
          <cell r="X42">
            <v>0</v>
          </cell>
          <cell r="Y42">
            <v>0</v>
          </cell>
        </row>
        <row r="43">
          <cell r="C43">
            <v>830</v>
          </cell>
          <cell r="D43">
            <v>830</v>
          </cell>
          <cell r="E43">
            <v>830</v>
          </cell>
          <cell r="F43">
            <v>830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N43">
            <v>0</v>
          </cell>
          <cell r="R43">
            <v>0</v>
          </cell>
          <cell r="V43">
            <v>0</v>
          </cell>
          <cell r="X43">
            <v>0</v>
          </cell>
          <cell r="Y43">
            <v>0</v>
          </cell>
        </row>
        <row r="44">
          <cell r="C44">
            <v>830</v>
          </cell>
          <cell r="D44">
            <v>830</v>
          </cell>
          <cell r="E44">
            <v>830</v>
          </cell>
          <cell r="F44">
            <v>838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N44">
            <v>0</v>
          </cell>
          <cell r="R44">
            <v>0</v>
          </cell>
          <cell r="V44">
            <v>0</v>
          </cell>
          <cell r="X44">
            <v>0</v>
          </cell>
          <cell r="Y44">
            <v>0</v>
          </cell>
        </row>
        <row r="45">
          <cell r="C45">
            <v>838</v>
          </cell>
          <cell r="D45">
            <v>847</v>
          </cell>
          <cell r="E45">
            <v>847</v>
          </cell>
          <cell r="F45">
            <v>855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L45">
            <v>0.8125</v>
          </cell>
          <cell r="M45">
            <v>0.81597222222222221</v>
          </cell>
          <cell r="N45">
            <v>0</v>
          </cell>
          <cell r="O45" t="str">
            <v>Air filter tersumbat</v>
          </cell>
          <cell r="R45">
            <v>0</v>
          </cell>
          <cell r="V45">
            <v>0</v>
          </cell>
          <cell r="X45">
            <v>0</v>
          </cell>
          <cell r="Y45">
            <v>0</v>
          </cell>
        </row>
        <row r="46">
          <cell r="C46">
            <v>855</v>
          </cell>
          <cell r="D46">
            <v>863</v>
          </cell>
          <cell r="E46">
            <v>863</v>
          </cell>
          <cell r="F46">
            <v>874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N46">
            <v>0</v>
          </cell>
          <cell r="R46">
            <v>0</v>
          </cell>
          <cell r="V46">
            <v>0</v>
          </cell>
          <cell r="X46">
            <v>0</v>
          </cell>
          <cell r="Y46">
            <v>0</v>
          </cell>
        </row>
        <row r="47">
          <cell r="C47">
            <v>874</v>
          </cell>
          <cell r="D47">
            <v>883.5</v>
          </cell>
          <cell r="E47">
            <v>883.5</v>
          </cell>
          <cell r="F47">
            <v>890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N47">
            <v>0</v>
          </cell>
          <cell r="R47">
            <v>0</v>
          </cell>
          <cell r="V47">
            <v>0</v>
          </cell>
          <cell r="X47">
            <v>0</v>
          </cell>
          <cell r="Y47">
            <v>0</v>
          </cell>
        </row>
        <row r="48">
          <cell r="C48">
            <v>890</v>
          </cell>
          <cell r="D48">
            <v>899</v>
          </cell>
          <cell r="E48">
            <v>899</v>
          </cell>
          <cell r="F48">
            <v>907.5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N48">
            <v>0</v>
          </cell>
          <cell r="R48">
            <v>0</v>
          </cell>
          <cell r="V48">
            <v>0</v>
          </cell>
          <cell r="X48">
            <v>0</v>
          </cell>
          <cell r="Y48">
            <v>0</v>
          </cell>
        </row>
        <row r="49">
          <cell r="C49">
            <v>907.5</v>
          </cell>
          <cell r="D49">
            <v>917</v>
          </cell>
          <cell r="E49">
            <v>917</v>
          </cell>
          <cell r="F49">
            <v>926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N49">
            <v>0</v>
          </cell>
          <cell r="R49">
            <v>0</v>
          </cell>
          <cell r="V49">
            <v>0</v>
          </cell>
          <cell r="X49">
            <v>0</v>
          </cell>
          <cell r="Y49">
            <v>0</v>
          </cell>
        </row>
        <row r="50">
          <cell r="C50">
            <v>926</v>
          </cell>
          <cell r="D50">
            <v>930</v>
          </cell>
          <cell r="E50">
            <v>930</v>
          </cell>
          <cell r="F50">
            <v>940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N50">
            <v>0</v>
          </cell>
          <cell r="R50">
            <v>0</v>
          </cell>
          <cell r="V50">
            <v>0</v>
          </cell>
          <cell r="X50">
            <v>0</v>
          </cell>
          <cell r="Y50">
            <v>0</v>
          </cell>
        </row>
        <row r="51">
          <cell r="C51">
            <v>940</v>
          </cell>
          <cell r="D51">
            <v>949.5</v>
          </cell>
          <cell r="E51">
            <v>949.5</v>
          </cell>
          <cell r="F51">
            <v>953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N51">
            <v>0</v>
          </cell>
          <cell r="R51">
            <v>0</v>
          </cell>
          <cell r="V51">
            <v>0</v>
          </cell>
          <cell r="X51">
            <v>0</v>
          </cell>
          <cell r="Y51">
            <v>0</v>
          </cell>
        </row>
        <row r="52">
          <cell r="C52">
            <v>953</v>
          </cell>
          <cell r="D52">
            <v>961.5</v>
          </cell>
          <cell r="E52">
            <v>961.5</v>
          </cell>
          <cell r="F52">
            <v>971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N52">
            <v>0</v>
          </cell>
          <cell r="R52">
            <v>0</v>
          </cell>
          <cell r="V52">
            <v>0</v>
          </cell>
          <cell r="X52">
            <v>0</v>
          </cell>
          <cell r="Y52">
            <v>0</v>
          </cell>
        </row>
        <row r="53">
          <cell r="C53">
            <v>971</v>
          </cell>
          <cell r="D53">
            <v>980</v>
          </cell>
          <cell r="E53">
            <v>980</v>
          </cell>
          <cell r="F53">
            <v>980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N53">
            <v>0</v>
          </cell>
          <cell r="R53">
            <v>0</v>
          </cell>
          <cell r="V53">
            <v>0</v>
          </cell>
          <cell r="X53">
            <v>0</v>
          </cell>
          <cell r="Y53">
            <v>0</v>
          </cell>
        </row>
        <row r="54">
          <cell r="C54">
            <v>980</v>
          </cell>
          <cell r="D54">
            <v>991</v>
          </cell>
          <cell r="E54">
            <v>991</v>
          </cell>
          <cell r="F54">
            <v>991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N54">
            <v>0</v>
          </cell>
          <cell r="R54">
            <v>0</v>
          </cell>
          <cell r="V54">
            <v>0</v>
          </cell>
          <cell r="X54">
            <v>0</v>
          </cell>
          <cell r="Y54">
            <v>0</v>
          </cell>
        </row>
        <row r="55">
          <cell r="C55">
            <v>991</v>
          </cell>
          <cell r="D55">
            <v>1000</v>
          </cell>
          <cell r="E55">
            <v>1000</v>
          </cell>
          <cell r="F55">
            <v>1000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N55">
            <v>0</v>
          </cell>
          <cell r="R55">
            <v>0</v>
          </cell>
          <cell r="V55">
            <v>0</v>
          </cell>
          <cell r="X55">
            <v>0</v>
          </cell>
          <cell r="Y55">
            <v>0</v>
          </cell>
        </row>
        <row r="56">
          <cell r="C56">
            <v>1000</v>
          </cell>
          <cell r="D56">
            <v>1007</v>
          </cell>
          <cell r="E56">
            <v>1007</v>
          </cell>
          <cell r="F56">
            <v>1009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N56">
            <v>0</v>
          </cell>
          <cell r="R56">
            <v>0</v>
          </cell>
          <cell r="V56">
            <v>0</v>
          </cell>
          <cell r="X56">
            <v>0</v>
          </cell>
          <cell r="Y56">
            <v>0</v>
          </cell>
        </row>
        <row r="57">
          <cell r="C57">
            <v>1009</v>
          </cell>
          <cell r="D57">
            <v>1017</v>
          </cell>
          <cell r="E57">
            <v>1017</v>
          </cell>
          <cell r="F57">
            <v>1027.9000000000001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L57">
            <v>0.44444444444444442</v>
          </cell>
          <cell r="M57">
            <v>0.5</v>
          </cell>
          <cell r="N57">
            <v>0</v>
          </cell>
          <cell r="O57" t="str">
            <v>Panel oil engine nyala</v>
          </cell>
          <cell r="R57">
            <v>0</v>
          </cell>
          <cell r="V57">
            <v>0</v>
          </cell>
          <cell r="X57">
            <v>0</v>
          </cell>
          <cell r="Y57">
            <v>0</v>
          </cell>
        </row>
        <row r="58">
          <cell r="C58">
            <v>1027.9000000000001</v>
          </cell>
          <cell r="D58">
            <v>1036</v>
          </cell>
          <cell r="E58">
            <v>1036</v>
          </cell>
          <cell r="F58">
            <v>1036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N58">
            <v>0</v>
          </cell>
          <cell r="R58">
            <v>0</v>
          </cell>
          <cell r="V58">
            <v>0</v>
          </cell>
          <cell r="X58">
            <v>0</v>
          </cell>
          <cell r="Y58">
            <v>0</v>
          </cell>
        </row>
        <row r="59">
          <cell r="C59">
            <v>1036</v>
          </cell>
          <cell r="D59">
            <v>1042</v>
          </cell>
          <cell r="E59">
            <v>1042</v>
          </cell>
          <cell r="F59">
            <v>1042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L59">
            <v>0.58680555555555558</v>
          </cell>
          <cell r="M59">
            <v>0.75</v>
          </cell>
          <cell r="N59">
            <v>0</v>
          </cell>
          <cell r="O59" t="str">
            <v>Cylinder arm bocor</v>
          </cell>
          <cell r="P59">
            <v>0.75</v>
          </cell>
          <cell r="Q59">
            <v>0.29166666666666669</v>
          </cell>
          <cell r="R59">
            <v>0</v>
          </cell>
          <cell r="S59" t="str">
            <v>Cylinder arm bocor</v>
          </cell>
          <cell r="V59">
            <v>0</v>
          </cell>
          <cell r="X59">
            <v>0</v>
          </cell>
          <cell r="Y59">
            <v>0</v>
          </cell>
        </row>
        <row r="60">
          <cell r="C60">
            <v>1042</v>
          </cell>
          <cell r="D60">
            <v>1042</v>
          </cell>
          <cell r="E60">
            <v>1042</v>
          </cell>
          <cell r="F60">
            <v>1042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L60">
            <v>0.29166666666666669</v>
          </cell>
          <cell r="M60">
            <v>0.75</v>
          </cell>
          <cell r="N60">
            <v>0</v>
          </cell>
          <cell r="O60" t="str">
            <v>Cylinder arm bocor</v>
          </cell>
          <cell r="P60">
            <v>0.75</v>
          </cell>
          <cell r="Q60">
            <v>0.29166666666666669</v>
          </cell>
          <cell r="R60">
            <v>0</v>
          </cell>
          <cell r="S60" t="str">
            <v>Cylinder arm bocor</v>
          </cell>
          <cell r="V60">
            <v>0</v>
          </cell>
          <cell r="X60">
            <v>0</v>
          </cell>
          <cell r="Y60">
            <v>0</v>
          </cell>
        </row>
        <row r="61">
          <cell r="C61">
            <v>1042</v>
          </cell>
          <cell r="D61">
            <v>1042</v>
          </cell>
          <cell r="E61">
            <v>1042</v>
          </cell>
          <cell r="F61">
            <v>1052.3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L61">
            <v>0.29166666666666669</v>
          </cell>
          <cell r="M61">
            <v>0.68402777777777779</v>
          </cell>
          <cell r="N61">
            <v>0</v>
          </cell>
          <cell r="O61" t="str">
            <v>Cylinder arm bocor</v>
          </cell>
          <cell r="R61">
            <v>0</v>
          </cell>
          <cell r="V61">
            <v>0</v>
          </cell>
          <cell r="X61">
            <v>0</v>
          </cell>
          <cell r="Y61">
            <v>0</v>
          </cell>
        </row>
        <row r="62">
          <cell r="C62">
            <v>1052.3</v>
          </cell>
          <cell r="D62">
            <v>1061</v>
          </cell>
          <cell r="E62">
            <v>1061</v>
          </cell>
          <cell r="F62">
            <v>1071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N62">
            <v>0</v>
          </cell>
          <cell r="R62">
            <v>0</v>
          </cell>
          <cell r="V62">
            <v>0</v>
          </cell>
          <cell r="X62">
            <v>0</v>
          </cell>
          <cell r="Y62">
            <v>0</v>
          </cell>
        </row>
        <row r="63">
          <cell r="C63">
            <v>1071</v>
          </cell>
          <cell r="D63">
            <v>1080</v>
          </cell>
          <cell r="E63">
            <v>1080</v>
          </cell>
          <cell r="F63">
            <v>1090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L63">
            <v>0.33333333333333331</v>
          </cell>
          <cell r="M63">
            <v>0.34722222222222227</v>
          </cell>
          <cell r="N63">
            <v>0</v>
          </cell>
          <cell r="O63" t="str">
            <v>Back pres error</v>
          </cell>
          <cell r="P63">
            <v>0.75694444444444453</v>
          </cell>
          <cell r="Q63">
            <v>0.76041666666666663</v>
          </cell>
          <cell r="R63">
            <v>0</v>
          </cell>
          <cell r="S63" t="str">
            <v>Lock pin bucket patah</v>
          </cell>
          <cell r="V63">
            <v>0</v>
          </cell>
          <cell r="X63">
            <v>0</v>
          </cell>
          <cell r="Y63">
            <v>0</v>
          </cell>
        </row>
        <row r="64">
          <cell r="C64">
            <v>1090</v>
          </cell>
          <cell r="D64">
            <v>1098</v>
          </cell>
          <cell r="E64">
            <v>1098</v>
          </cell>
          <cell r="F64">
            <v>1108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N64">
            <v>0</v>
          </cell>
          <cell r="R64">
            <v>0</v>
          </cell>
          <cell r="V64">
            <v>0</v>
          </cell>
          <cell r="X64">
            <v>0</v>
          </cell>
          <cell r="Y64">
            <v>0</v>
          </cell>
        </row>
        <row r="65">
          <cell r="C65">
            <v>1108</v>
          </cell>
          <cell r="D65">
            <v>1117</v>
          </cell>
          <cell r="E65">
            <v>1117</v>
          </cell>
          <cell r="F65">
            <v>1126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N65">
            <v>0</v>
          </cell>
          <cell r="R65">
            <v>0</v>
          </cell>
          <cell r="V65">
            <v>0</v>
          </cell>
          <cell r="X65">
            <v>0</v>
          </cell>
          <cell r="Y65">
            <v>0</v>
          </cell>
        </row>
        <row r="66">
          <cell r="C66">
            <v>1126</v>
          </cell>
          <cell r="D66">
            <v>1126</v>
          </cell>
          <cell r="E66">
            <v>1126</v>
          </cell>
          <cell r="F66">
            <v>1126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 t="str">
            <v>Standby</v>
          </cell>
          <cell r="N66">
            <v>0</v>
          </cell>
          <cell r="R66">
            <v>0</v>
          </cell>
          <cell r="V66">
            <v>0</v>
          </cell>
          <cell r="X66">
            <v>0</v>
          </cell>
          <cell r="Y66">
            <v>0</v>
          </cell>
        </row>
        <row r="67">
          <cell r="C67">
            <v>1126</v>
          </cell>
          <cell r="D67">
            <v>1126</v>
          </cell>
          <cell r="E67">
            <v>1126</v>
          </cell>
          <cell r="F67">
            <v>1126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 t="str">
            <v>Standby</v>
          </cell>
          <cell r="N67">
            <v>0</v>
          </cell>
          <cell r="R67">
            <v>0</v>
          </cell>
          <cell r="V67">
            <v>0</v>
          </cell>
          <cell r="X67">
            <v>0</v>
          </cell>
          <cell r="Y67">
            <v>0</v>
          </cell>
        </row>
        <row r="68">
          <cell r="C68">
            <v>1126</v>
          </cell>
          <cell r="D68">
            <v>1126</v>
          </cell>
          <cell r="E68">
            <v>1126</v>
          </cell>
          <cell r="F68">
            <v>1126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 t="str">
            <v>Standby</v>
          </cell>
          <cell r="N68">
            <v>0</v>
          </cell>
          <cell r="R68">
            <v>0</v>
          </cell>
          <cell r="V68">
            <v>0</v>
          </cell>
          <cell r="X68">
            <v>0</v>
          </cell>
          <cell r="Y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N69">
            <v>0</v>
          </cell>
          <cell r="R69">
            <v>0</v>
          </cell>
          <cell r="V69">
            <v>0</v>
          </cell>
        </row>
        <row r="70">
          <cell r="V70" t="str">
            <v/>
          </cell>
        </row>
        <row r="71">
          <cell r="C71">
            <v>12211</v>
          </cell>
          <cell r="D71">
            <v>12211</v>
          </cell>
          <cell r="E71">
            <v>12211</v>
          </cell>
          <cell r="F71">
            <v>12211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L71">
            <v>0.29166666666666669</v>
          </cell>
          <cell r="M71">
            <v>0.75</v>
          </cell>
          <cell r="N71">
            <v>11</v>
          </cell>
          <cell r="O71" t="str">
            <v>Kabin bocor</v>
          </cell>
          <cell r="P71">
            <v>0.75</v>
          </cell>
          <cell r="Q71">
            <v>0.29166666666666669</v>
          </cell>
          <cell r="R71">
            <v>13</v>
          </cell>
          <cell r="S71" t="str">
            <v>Kabin bocor</v>
          </cell>
          <cell r="V71">
            <v>0</v>
          </cell>
          <cell r="X71">
            <v>24</v>
          </cell>
          <cell r="Y71" t="str">
            <v>Kabin bocor,Kabin bocor</v>
          </cell>
        </row>
        <row r="72">
          <cell r="C72">
            <v>12211</v>
          </cell>
          <cell r="D72">
            <v>12211</v>
          </cell>
          <cell r="E72">
            <v>12211</v>
          </cell>
          <cell r="F72">
            <v>12211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L72">
            <v>0.29166666666666669</v>
          </cell>
          <cell r="M72">
            <v>0.75</v>
          </cell>
          <cell r="N72">
            <v>11</v>
          </cell>
          <cell r="O72" t="str">
            <v>Kabin bocor</v>
          </cell>
          <cell r="P72">
            <v>0.75</v>
          </cell>
          <cell r="Q72">
            <v>0.29166666666666669</v>
          </cell>
          <cell r="R72">
            <v>13</v>
          </cell>
          <cell r="S72" t="str">
            <v>Kabin bocor</v>
          </cell>
          <cell r="V72">
            <v>0</v>
          </cell>
          <cell r="X72">
            <v>24</v>
          </cell>
          <cell r="Y72" t="str">
            <v>Kabin bocor,Kabin bocor</v>
          </cell>
        </row>
        <row r="73">
          <cell r="C73">
            <v>12211</v>
          </cell>
          <cell r="D73">
            <v>12211</v>
          </cell>
          <cell r="E73">
            <v>12211</v>
          </cell>
          <cell r="F73">
            <v>12211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L73">
            <v>0.29166666666666669</v>
          </cell>
          <cell r="M73">
            <v>0.75</v>
          </cell>
          <cell r="N73">
            <v>11</v>
          </cell>
          <cell r="O73" t="str">
            <v>Kabin bocor</v>
          </cell>
          <cell r="P73">
            <v>0.75</v>
          </cell>
          <cell r="Q73">
            <v>0.29166666666666669</v>
          </cell>
          <cell r="R73">
            <v>13</v>
          </cell>
          <cell r="S73" t="str">
            <v>Kabin bocor</v>
          </cell>
          <cell r="V73">
            <v>0</v>
          </cell>
          <cell r="X73">
            <v>24</v>
          </cell>
          <cell r="Y73" t="str">
            <v>Kabin bocor,Kabin bocor</v>
          </cell>
        </row>
        <row r="74">
          <cell r="C74">
            <v>12211</v>
          </cell>
          <cell r="D74">
            <v>12211</v>
          </cell>
          <cell r="E74">
            <v>12211</v>
          </cell>
          <cell r="F74">
            <v>12211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L74">
            <v>0.29166666666666669</v>
          </cell>
          <cell r="M74">
            <v>0.75</v>
          </cell>
          <cell r="N74">
            <v>11</v>
          </cell>
          <cell r="O74" t="str">
            <v>Kabin bocor</v>
          </cell>
          <cell r="P74">
            <v>0.75</v>
          </cell>
          <cell r="Q74">
            <v>0.29166666666666669</v>
          </cell>
          <cell r="R74">
            <v>13</v>
          </cell>
          <cell r="S74" t="str">
            <v>Kabin bocor</v>
          </cell>
          <cell r="V74">
            <v>0</v>
          </cell>
          <cell r="X74">
            <v>24</v>
          </cell>
          <cell r="Y74" t="str">
            <v>Kabin bocor,Kabin bocor</v>
          </cell>
        </row>
        <row r="75">
          <cell r="C75">
            <v>12211</v>
          </cell>
          <cell r="D75">
            <v>12211</v>
          </cell>
          <cell r="E75">
            <v>12211</v>
          </cell>
          <cell r="F75">
            <v>12211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L75">
            <v>0.29166666666666669</v>
          </cell>
          <cell r="M75">
            <v>0.75</v>
          </cell>
          <cell r="N75">
            <v>11</v>
          </cell>
          <cell r="O75" t="str">
            <v>Kabin bocor</v>
          </cell>
          <cell r="P75">
            <v>0.75</v>
          </cell>
          <cell r="Q75">
            <v>0.29166666666666669</v>
          </cell>
          <cell r="R75">
            <v>13</v>
          </cell>
          <cell r="S75" t="str">
            <v>Kabin bocor</v>
          </cell>
          <cell r="V75">
            <v>0</v>
          </cell>
          <cell r="X75">
            <v>24</v>
          </cell>
          <cell r="Y75" t="str">
            <v>Kabin bocor,Kabin bocor</v>
          </cell>
        </row>
        <row r="76">
          <cell r="C76">
            <v>12211</v>
          </cell>
          <cell r="D76">
            <v>12211</v>
          </cell>
          <cell r="E76">
            <v>12211</v>
          </cell>
          <cell r="F76">
            <v>12211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L76">
            <v>0.29166666666666669</v>
          </cell>
          <cell r="M76">
            <v>0.75</v>
          </cell>
          <cell r="N76">
            <v>11</v>
          </cell>
          <cell r="O76" t="str">
            <v>Kabin bocor</v>
          </cell>
          <cell r="P76">
            <v>0.75</v>
          </cell>
          <cell r="Q76">
            <v>0.29166666666666669</v>
          </cell>
          <cell r="R76">
            <v>13</v>
          </cell>
          <cell r="S76" t="str">
            <v>Kabin bocor</v>
          </cell>
          <cell r="V76">
            <v>0</v>
          </cell>
          <cell r="X76">
            <v>24</v>
          </cell>
          <cell r="Y76" t="str">
            <v>Kabin bocor,Kabin bocor</v>
          </cell>
        </row>
        <row r="77">
          <cell r="C77">
            <v>12211</v>
          </cell>
          <cell r="D77">
            <v>12211</v>
          </cell>
          <cell r="E77">
            <v>12211</v>
          </cell>
          <cell r="F77">
            <v>12211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L77">
            <v>0.29166666666666669</v>
          </cell>
          <cell r="M77">
            <v>0.75</v>
          </cell>
          <cell r="N77">
            <v>11</v>
          </cell>
          <cell r="O77" t="str">
            <v>Kabin bocor</v>
          </cell>
          <cell r="P77">
            <v>0.75</v>
          </cell>
          <cell r="Q77">
            <v>0.29166666666666669</v>
          </cell>
          <cell r="R77">
            <v>13</v>
          </cell>
          <cell r="S77" t="str">
            <v>Kabin bocor</v>
          </cell>
          <cell r="V77">
            <v>0</v>
          </cell>
          <cell r="X77">
            <v>24</v>
          </cell>
          <cell r="Y77" t="str">
            <v>Kabin bocor,Kabin bocor</v>
          </cell>
        </row>
        <row r="78">
          <cell r="C78">
            <v>12211</v>
          </cell>
          <cell r="D78">
            <v>12211</v>
          </cell>
          <cell r="E78">
            <v>12211</v>
          </cell>
          <cell r="F78">
            <v>12211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L78">
            <v>0.29166666666666669</v>
          </cell>
          <cell r="M78">
            <v>0.75</v>
          </cell>
          <cell r="N78">
            <v>11</v>
          </cell>
          <cell r="O78" t="str">
            <v>Kabin bocor</v>
          </cell>
          <cell r="P78">
            <v>0.75</v>
          </cell>
          <cell r="Q78">
            <v>0.29166666666666669</v>
          </cell>
          <cell r="R78">
            <v>13</v>
          </cell>
          <cell r="S78" t="str">
            <v>Kabin bocor</v>
          </cell>
          <cell r="V78">
            <v>0</v>
          </cell>
          <cell r="X78">
            <v>24</v>
          </cell>
          <cell r="Y78" t="str">
            <v>Kabin bocor,Kabin bocor</v>
          </cell>
        </row>
        <row r="79">
          <cell r="C79">
            <v>12211</v>
          </cell>
          <cell r="D79">
            <v>12211</v>
          </cell>
          <cell r="E79">
            <v>12211</v>
          </cell>
          <cell r="F79">
            <v>12211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L79">
            <v>0.29166666666666669</v>
          </cell>
          <cell r="M79">
            <v>0.75</v>
          </cell>
          <cell r="N79">
            <v>11</v>
          </cell>
          <cell r="O79" t="str">
            <v>Kabin bocor</v>
          </cell>
          <cell r="P79">
            <v>0.75</v>
          </cell>
          <cell r="Q79">
            <v>0.29166666666666669</v>
          </cell>
          <cell r="R79">
            <v>13</v>
          </cell>
          <cell r="S79" t="str">
            <v>Kabin bocor</v>
          </cell>
          <cell r="V79">
            <v>0</v>
          </cell>
          <cell r="X79">
            <v>24</v>
          </cell>
          <cell r="Y79" t="str">
            <v>Kabin bocor,Kabin bocor</v>
          </cell>
        </row>
        <row r="80">
          <cell r="C80">
            <v>12211</v>
          </cell>
          <cell r="D80">
            <v>12211</v>
          </cell>
          <cell r="E80">
            <v>12211</v>
          </cell>
          <cell r="F80">
            <v>12211</v>
          </cell>
          <cell r="G80">
            <v>0</v>
          </cell>
          <cell r="H80">
            <v>0</v>
          </cell>
          <cell r="I80">
            <v>0</v>
          </cell>
          <cell r="J80">
            <v>22.25</v>
          </cell>
          <cell r="L80">
            <v>0.29166666666666669</v>
          </cell>
          <cell r="M80">
            <v>0.36458333333333331</v>
          </cell>
          <cell r="N80">
            <v>1.7499999999999991</v>
          </cell>
          <cell r="O80" t="str">
            <v>Kabin bocor</v>
          </cell>
          <cell r="R80">
            <v>0</v>
          </cell>
          <cell r="V80">
            <v>0</v>
          </cell>
          <cell r="X80">
            <v>1.7499999999999991</v>
          </cell>
          <cell r="Y80" t="str">
            <v>Kabin bocor</v>
          </cell>
        </row>
        <row r="81">
          <cell r="C81">
            <v>12211</v>
          </cell>
          <cell r="D81">
            <v>12211</v>
          </cell>
          <cell r="E81">
            <v>12211</v>
          </cell>
          <cell r="F81">
            <v>12211</v>
          </cell>
          <cell r="G81">
            <v>0</v>
          </cell>
          <cell r="H81">
            <v>0</v>
          </cell>
          <cell r="I81">
            <v>0</v>
          </cell>
          <cell r="J81">
            <v>24</v>
          </cell>
          <cell r="N81">
            <v>0</v>
          </cell>
          <cell r="O81" t="str">
            <v>Commisioning</v>
          </cell>
          <cell r="R81">
            <v>0</v>
          </cell>
          <cell r="V81">
            <v>0</v>
          </cell>
          <cell r="X81">
            <v>0</v>
          </cell>
          <cell r="Y81" t="str">
            <v>Commisioning</v>
          </cell>
        </row>
        <row r="82">
          <cell r="C82">
            <v>12211</v>
          </cell>
          <cell r="D82">
            <v>12211</v>
          </cell>
          <cell r="E82">
            <v>12211</v>
          </cell>
          <cell r="F82">
            <v>12211</v>
          </cell>
          <cell r="G82">
            <v>0</v>
          </cell>
          <cell r="H82">
            <v>0</v>
          </cell>
          <cell r="I82">
            <v>0</v>
          </cell>
          <cell r="J82">
            <v>24</v>
          </cell>
          <cell r="N82">
            <v>0</v>
          </cell>
          <cell r="O82" t="str">
            <v>Commisioning</v>
          </cell>
          <cell r="R82">
            <v>0</v>
          </cell>
          <cell r="V82">
            <v>0</v>
          </cell>
          <cell r="X82">
            <v>0</v>
          </cell>
          <cell r="Y82" t="str">
            <v>Commisioning</v>
          </cell>
        </row>
        <row r="83">
          <cell r="C83">
            <v>12211</v>
          </cell>
          <cell r="D83">
            <v>12211</v>
          </cell>
          <cell r="E83">
            <v>12211</v>
          </cell>
          <cell r="F83">
            <v>12211</v>
          </cell>
          <cell r="G83">
            <v>0</v>
          </cell>
          <cell r="H83">
            <v>0</v>
          </cell>
          <cell r="I83">
            <v>0</v>
          </cell>
          <cell r="J83">
            <v>24</v>
          </cell>
          <cell r="N83">
            <v>0</v>
          </cell>
          <cell r="O83" t="str">
            <v>Commisioning</v>
          </cell>
          <cell r="R83">
            <v>0</v>
          </cell>
          <cell r="V83">
            <v>0</v>
          </cell>
          <cell r="X83">
            <v>0</v>
          </cell>
          <cell r="Y83" t="str">
            <v>Commisioning</v>
          </cell>
        </row>
        <row r="84">
          <cell r="C84">
            <v>12211</v>
          </cell>
          <cell r="D84">
            <v>12211</v>
          </cell>
          <cell r="E84">
            <v>12211</v>
          </cell>
          <cell r="F84">
            <v>12211</v>
          </cell>
          <cell r="G84">
            <v>0</v>
          </cell>
          <cell r="H84">
            <v>0</v>
          </cell>
          <cell r="I84">
            <v>0</v>
          </cell>
          <cell r="J84">
            <v>24</v>
          </cell>
          <cell r="N84">
            <v>0</v>
          </cell>
          <cell r="O84" t="str">
            <v>Commisioning</v>
          </cell>
          <cell r="R84">
            <v>0</v>
          </cell>
          <cell r="V84">
            <v>0</v>
          </cell>
          <cell r="X84">
            <v>0</v>
          </cell>
          <cell r="Y84" t="str">
            <v>Commisioning</v>
          </cell>
        </row>
        <row r="85">
          <cell r="C85">
            <v>12211</v>
          </cell>
          <cell r="D85">
            <v>12211</v>
          </cell>
          <cell r="E85">
            <v>12211</v>
          </cell>
          <cell r="F85">
            <v>12211</v>
          </cell>
          <cell r="G85">
            <v>0</v>
          </cell>
          <cell r="H85">
            <v>0</v>
          </cell>
          <cell r="I85">
            <v>0</v>
          </cell>
          <cell r="J85">
            <v>24</v>
          </cell>
          <cell r="L85">
            <v>0.75</v>
          </cell>
          <cell r="M85">
            <v>0.125</v>
          </cell>
          <cell r="N85">
            <v>0</v>
          </cell>
          <cell r="O85" t="str">
            <v>Commisioning</v>
          </cell>
          <cell r="R85">
            <v>0</v>
          </cell>
          <cell r="V85">
            <v>0</v>
          </cell>
          <cell r="X85">
            <v>0</v>
          </cell>
          <cell r="Y85" t="str">
            <v>Commisioning</v>
          </cell>
        </row>
        <row r="86">
          <cell r="C86">
            <v>12211</v>
          </cell>
          <cell r="D86">
            <v>12211</v>
          </cell>
          <cell r="E86">
            <v>12211</v>
          </cell>
          <cell r="F86">
            <v>12211</v>
          </cell>
          <cell r="G86">
            <v>0</v>
          </cell>
          <cell r="H86">
            <v>0</v>
          </cell>
          <cell r="I86">
            <v>0</v>
          </cell>
          <cell r="J86">
            <v>24</v>
          </cell>
          <cell r="N86">
            <v>0</v>
          </cell>
          <cell r="O86" t="str">
            <v>Commisioning</v>
          </cell>
          <cell r="R86">
            <v>0</v>
          </cell>
          <cell r="V86">
            <v>0</v>
          </cell>
          <cell r="X86">
            <v>0</v>
          </cell>
          <cell r="Y86" t="str">
            <v>Commisioning</v>
          </cell>
        </row>
        <row r="87">
          <cell r="C87">
            <v>12211</v>
          </cell>
          <cell r="D87">
            <v>12211</v>
          </cell>
          <cell r="E87">
            <v>12211</v>
          </cell>
          <cell r="F87">
            <v>12211</v>
          </cell>
          <cell r="G87">
            <v>0</v>
          </cell>
          <cell r="H87">
            <v>0</v>
          </cell>
          <cell r="I87">
            <v>0</v>
          </cell>
          <cell r="J87">
            <v>24</v>
          </cell>
          <cell r="N87">
            <v>0</v>
          </cell>
          <cell r="O87" t="str">
            <v>Commisioning</v>
          </cell>
          <cell r="R87">
            <v>0</v>
          </cell>
          <cell r="V87">
            <v>0</v>
          </cell>
          <cell r="X87">
            <v>0</v>
          </cell>
          <cell r="Y87" t="str">
            <v>Commisioning</v>
          </cell>
        </row>
        <row r="88">
          <cell r="C88">
            <v>12211</v>
          </cell>
          <cell r="D88">
            <v>12211</v>
          </cell>
          <cell r="E88">
            <v>12211</v>
          </cell>
          <cell r="F88">
            <v>12211</v>
          </cell>
          <cell r="G88">
            <v>0</v>
          </cell>
          <cell r="H88">
            <v>0</v>
          </cell>
          <cell r="I88">
            <v>0</v>
          </cell>
          <cell r="J88">
            <v>24</v>
          </cell>
          <cell r="N88">
            <v>0</v>
          </cell>
          <cell r="O88" t="str">
            <v>Commisioning</v>
          </cell>
          <cell r="R88">
            <v>0</v>
          </cell>
          <cell r="V88">
            <v>0</v>
          </cell>
          <cell r="X88">
            <v>0</v>
          </cell>
          <cell r="Y88" t="str">
            <v>Commisioning</v>
          </cell>
        </row>
        <row r="89">
          <cell r="C89">
            <v>12211</v>
          </cell>
          <cell r="D89">
            <v>12221</v>
          </cell>
          <cell r="E89">
            <v>12221</v>
          </cell>
          <cell r="F89">
            <v>12229</v>
          </cell>
          <cell r="G89">
            <v>10</v>
          </cell>
          <cell r="H89">
            <v>8</v>
          </cell>
          <cell r="I89">
            <v>18</v>
          </cell>
          <cell r="J89">
            <v>6</v>
          </cell>
          <cell r="N89">
            <v>0</v>
          </cell>
          <cell r="O89" t="str">
            <v>HM Loncat --&gt; cek  (12219 - 12229)</v>
          </cell>
          <cell r="R89">
            <v>0</v>
          </cell>
          <cell r="V89">
            <v>0</v>
          </cell>
          <cell r="X89">
            <v>0</v>
          </cell>
          <cell r="Y89">
            <v>0</v>
          </cell>
        </row>
        <row r="90">
          <cell r="C90">
            <v>12229</v>
          </cell>
          <cell r="D90">
            <v>12231</v>
          </cell>
          <cell r="E90">
            <v>12231</v>
          </cell>
          <cell r="F90">
            <v>12231</v>
          </cell>
          <cell r="G90">
            <v>2</v>
          </cell>
          <cell r="H90">
            <v>0</v>
          </cell>
          <cell r="I90">
            <v>2</v>
          </cell>
          <cell r="J90">
            <v>22</v>
          </cell>
          <cell r="N90">
            <v>0</v>
          </cell>
          <cell r="R90">
            <v>0</v>
          </cell>
          <cell r="V90">
            <v>0</v>
          </cell>
          <cell r="X90">
            <v>0</v>
          </cell>
          <cell r="Y90">
            <v>0</v>
          </cell>
        </row>
        <row r="91">
          <cell r="C91">
            <v>12231</v>
          </cell>
          <cell r="D91">
            <v>12231</v>
          </cell>
          <cell r="E91">
            <v>12231</v>
          </cell>
          <cell r="F91">
            <v>12231</v>
          </cell>
          <cell r="G91">
            <v>0</v>
          </cell>
          <cell r="H91">
            <v>0</v>
          </cell>
          <cell r="I91">
            <v>0</v>
          </cell>
          <cell r="J91">
            <v>24</v>
          </cell>
          <cell r="N91">
            <v>0</v>
          </cell>
          <cell r="R91">
            <v>0</v>
          </cell>
          <cell r="V91">
            <v>0</v>
          </cell>
          <cell r="X91">
            <v>0</v>
          </cell>
          <cell r="Y91">
            <v>0</v>
          </cell>
        </row>
        <row r="92">
          <cell r="C92">
            <v>12231</v>
          </cell>
          <cell r="D92">
            <v>12231</v>
          </cell>
          <cell r="E92">
            <v>12231</v>
          </cell>
          <cell r="F92">
            <v>12231</v>
          </cell>
          <cell r="G92">
            <v>0</v>
          </cell>
          <cell r="H92">
            <v>0</v>
          </cell>
          <cell r="I92">
            <v>0</v>
          </cell>
          <cell r="J92">
            <v>24</v>
          </cell>
          <cell r="N92">
            <v>0</v>
          </cell>
          <cell r="R92">
            <v>0</v>
          </cell>
          <cell r="V92">
            <v>0</v>
          </cell>
          <cell r="X92">
            <v>0</v>
          </cell>
          <cell r="Y92">
            <v>0</v>
          </cell>
        </row>
        <row r="93">
          <cell r="C93">
            <v>12231</v>
          </cell>
          <cell r="D93">
            <v>12231</v>
          </cell>
          <cell r="E93">
            <v>12231</v>
          </cell>
          <cell r="F93">
            <v>12231</v>
          </cell>
          <cell r="G93">
            <v>0</v>
          </cell>
          <cell r="H93">
            <v>0</v>
          </cell>
          <cell r="I93">
            <v>0</v>
          </cell>
          <cell r="J93">
            <v>24</v>
          </cell>
          <cell r="N93">
            <v>0</v>
          </cell>
          <cell r="R93">
            <v>0</v>
          </cell>
          <cell r="V93">
            <v>0</v>
          </cell>
          <cell r="X93">
            <v>0</v>
          </cell>
          <cell r="Y93">
            <v>0</v>
          </cell>
        </row>
        <row r="94">
          <cell r="C94">
            <v>12231</v>
          </cell>
          <cell r="D94">
            <v>12231</v>
          </cell>
          <cell r="E94">
            <v>12231</v>
          </cell>
          <cell r="F94">
            <v>12231</v>
          </cell>
          <cell r="G94">
            <v>0</v>
          </cell>
          <cell r="H94">
            <v>0</v>
          </cell>
          <cell r="I94">
            <v>0</v>
          </cell>
          <cell r="J94">
            <v>24</v>
          </cell>
          <cell r="N94">
            <v>0</v>
          </cell>
          <cell r="R94">
            <v>0</v>
          </cell>
          <cell r="V94">
            <v>0</v>
          </cell>
          <cell r="X94">
            <v>0</v>
          </cell>
          <cell r="Y94">
            <v>0</v>
          </cell>
        </row>
        <row r="95">
          <cell r="C95">
            <v>12231</v>
          </cell>
          <cell r="D95">
            <v>12238</v>
          </cell>
          <cell r="E95">
            <v>12238</v>
          </cell>
          <cell r="F95">
            <v>12248</v>
          </cell>
          <cell r="G95">
            <v>7</v>
          </cell>
          <cell r="H95">
            <v>10</v>
          </cell>
          <cell r="I95">
            <v>17</v>
          </cell>
          <cell r="J95">
            <v>7</v>
          </cell>
          <cell r="N95">
            <v>0</v>
          </cell>
          <cell r="R95">
            <v>0</v>
          </cell>
          <cell r="V95">
            <v>0</v>
          </cell>
          <cell r="X95">
            <v>0</v>
          </cell>
          <cell r="Y95">
            <v>0</v>
          </cell>
        </row>
        <row r="96">
          <cell r="C96">
            <v>12248</v>
          </cell>
          <cell r="D96">
            <v>12257</v>
          </cell>
          <cell r="E96">
            <v>12257</v>
          </cell>
          <cell r="F96">
            <v>12257</v>
          </cell>
          <cell r="G96">
            <v>9</v>
          </cell>
          <cell r="H96">
            <v>0</v>
          </cell>
          <cell r="I96">
            <v>9</v>
          </cell>
          <cell r="J96">
            <v>15</v>
          </cell>
          <cell r="L96">
            <v>0.3125</v>
          </cell>
          <cell r="M96">
            <v>0.33333333333333331</v>
          </cell>
          <cell r="N96">
            <v>0</v>
          </cell>
          <cell r="O96" t="str">
            <v>Air clener tersumbat</v>
          </cell>
          <cell r="P96">
            <v>0.75</v>
          </cell>
          <cell r="Q96">
            <v>0.29166666666666669</v>
          </cell>
          <cell r="R96">
            <v>0</v>
          </cell>
          <cell r="S96" t="str">
            <v>Air clener tersumbat</v>
          </cell>
          <cell r="V96">
            <v>0</v>
          </cell>
          <cell r="X96">
            <v>0</v>
          </cell>
          <cell r="Y96">
            <v>0</v>
          </cell>
        </row>
        <row r="97">
          <cell r="C97">
            <v>12257</v>
          </cell>
          <cell r="D97">
            <v>12266</v>
          </cell>
          <cell r="E97">
            <v>12266</v>
          </cell>
          <cell r="F97">
            <v>12266</v>
          </cell>
          <cell r="G97">
            <v>9</v>
          </cell>
          <cell r="H97">
            <v>0</v>
          </cell>
          <cell r="I97">
            <v>9</v>
          </cell>
          <cell r="J97">
            <v>15</v>
          </cell>
          <cell r="L97">
            <v>0.90277777777777779</v>
          </cell>
          <cell r="M97">
            <v>0.29166666666666669</v>
          </cell>
          <cell r="N97">
            <v>0</v>
          </cell>
          <cell r="O97" t="str">
            <v>Ac hot</v>
          </cell>
          <cell r="R97">
            <v>0</v>
          </cell>
          <cell r="V97">
            <v>0</v>
          </cell>
          <cell r="X97">
            <v>0</v>
          </cell>
          <cell r="Y97">
            <v>0</v>
          </cell>
        </row>
        <row r="98">
          <cell r="C98">
            <v>12266</v>
          </cell>
          <cell r="D98">
            <v>12266</v>
          </cell>
          <cell r="E98">
            <v>12266</v>
          </cell>
          <cell r="F98">
            <v>12276</v>
          </cell>
          <cell r="G98">
            <v>0</v>
          </cell>
          <cell r="H98">
            <v>10</v>
          </cell>
          <cell r="I98">
            <v>10</v>
          </cell>
          <cell r="J98">
            <v>14</v>
          </cell>
          <cell r="N98">
            <v>0</v>
          </cell>
          <cell r="R98">
            <v>0</v>
          </cell>
          <cell r="V98">
            <v>0</v>
          </cell>
          <cell r="X98">
            <v>0</v>
          </cell>
          <cell r="Y98">
            <v>0</v>
          </cell>
        </row>
        <row r="99">
          <cell r="C99">
            <v>12276</v>
          </cell>
          <cell r="D99">
            <v>12276</v>
          </cell>
          <cell r="E99">
            <v>12276</v>
          </cell>
          <cell r="F99">
            <v>12276</v>
          </cell>
          <cell r="G99">
            <v>0</v>
          </cell>
          <cell r="H99">
            <v>0</v>
          </cell>
          <cell r="I99">
            <v>0</v>
          </cell>
          <cell r="J99">
            <v>23.566666666666666</v>
          </cell>
          <cell r="K99" t="str">
            <v>Standby</v>
          </cell>
          <cell r="L99">
            <v>0.84375</v>
          </cell>
          <cell r="M99">
            <v>0.8618055555555556</v>
          </cell>
          <cell r="N99">
            <v>0.43333333333333446</v>
          </cell>
          <cell r="O99" t="str">
            <v>Perbaikan lampu kerja</v>
          </cell>
          <cell r="R99">
            <v>0</v>
          </cell>
          <cell r="V99">
            <v>0</v>
          </cell>
          <cell r="X99">
            <v>0.43333333333333446</v>
          </cell>
          <cell r="Y99" t="str">
            <v>Perbaikan lampu kerja</v>
          </cell>
        </row>
        <row r="100">
          <cell r="C100">
            <v>12276</v>
          </cell>
          <cell r="D100">
            <v>12276</v>
          </cell>
          <cell r="E100">
            <v>12276</v>
          </cell>
          <cell r="F100">
            <v>12276</v>
          </cell>
          <cell r="G100">
            <v>0</v>
          </cell>
          <cell r="H100">
            <v>0</v>
          </cell>
          <cell r="I100">
            <v>0</v>
          </cell>
          <cell r="J100">
            <v>24</v>
          </cell>
          <cell r="K100" t="str">
            <v>Standby</v>
          </cell>
          <cell r="N100">
            <v>0</v>
          </cell>
          <cell r="R100">
            <v>0</v>
          </cell>
          <cell r="V100">
            <v>0</v>
          </cell>
          <cell r="X100">
            <v>0</v>
          </cell>
          <cell r="Y100">
            <v>0</v>
          </cell>
        </row>
        <row r="101">
          <cell r="C101">
            <v>12276</v>
          </cell>
          <cell r="D101">
            <v>12276</v>
          </cell>
          <cell r="E101">
            <v>12276</v>
          </cell>
          <cell r="F101">
            <v>12276</v>
          </cell>
          <cell r="G101">
            <v>0</v>
          </cell>
          <cell r="H101">
            <v>0</v>
          </cell>
          <cell r="I101">
            <v>0</v>
          </cell>
          <cell r="J101">
            <v>24</v>
          </cell>
          <cell r="K101" t="str">
            <v>Standby</v>
          </cell>
          <cell r="N101">
            <v>0</v>
          </cell>
          <cell r="R101">
            <v>0</v>
          </cell>
          <cell r="V101">
            <v>0</v>
          </cell>
          <cell r="X101">
            <v>0</v>
          </cell>
          <cell r="Y101">
            <v>0</v>
          </cell>
        </row>
        <row r="102">
          <cell r="C102">
            <v>12211</v>
          </cell>
          <cell r="D102">
            <v>12276</v>
          </cell>
          <cell r="E102">
            <v>12211</v>
          </cell>
          <cell r="F102">
            <v>12276</v>
          </cell>
          <cell r="G102">
            <v>37</v>
          </cell>
          <cell r="H102">
            <v>28</v>
          </cell>
          <cell r="I102">
            <v>65</v>
          </cell>
          <cell r="J102">
            <v>268.81666666666666</v>
          </cell>
          <cell r="N102">
            <v>101.18333333333334</v>
          </cell>
          <cell r="R102">
            <v>117</v>
          </cell>
          <cell r="V102">
            <v>0</v>
          </cell>
          <cell r="X102">
            <v>218.18333333333334</v>
          </cell>
        </row>
        <row r="103">
          <cell r="X103">
            <v>218.18333333333334</v>
          </cell>
        </row>
        <row r="104">
          <cell r="C104">
            <v>8483</v>
          </cell>
          <cell r="D104">
            <v>8483</v>
          </cell>
          <cell r="E104">
            <v>8483</v>
          </cell>
          <cell r="F104">
            <v>8483</v>
          </cell>
          <cell r="G104">
            <v>0</v>
          </cell>
          <cell r="H104">
            <v>0</v>
          </cell>
          <cell r="I104">
            <v>0</v>
          </cell>
          <cell r="J104">
            <v>24</v>
          </cell>
          <cell r="N104">
            <v>0</v>
          </cell>
          <cell r="R104">
            <v>0</v>
          </cell>
          <cell r="V104">
            <v>0</v>
          </cell>
          <cell r="X104">
            <v>0</v>
          </cell>
          <cell r="Y104">
            <v>0</v>
          </cell>
        </row>
        <row r="105">
          <cell r="C105">
            <v>8483</v>
          </cell>
          <cell r="D105">
            <v>8483</v>
          </cell>
          <cell r="E105">
            <v>8483</v>
          </cell>
          <cell r="F105">
            <v>8483</v>
          </cell>
          <cell r="G105">
            <v>0</v>
          </cell>
          <cell r="H105">
            <v>0</v>
          </cell>
          <cell r="I105">
            <v>0</v>
          </cell>
          <cell r="J105">
            <v>24</v>
          </cell>
          <cell r="N105">
            <v>0</v>
          </cell>
          <cell r="R105">
            <v>0</v>
          </cell>
          <cell r="V105">
            <v>0</v>
          </cell>
          <cell r="X105">
            <v>0</v>
          </cell>
          <cell r="Y105">
            <v>0</v>
          </cell>
        </row>
        <row r="106">
          <cell r="C106">
            <v>8483</v>
          </cell>
          <cell r="D106">
            <v>8489</v>
          </cell>
          <cell r="E106">
            <v>8489</v>
          </cell>
          <cell r="F106">
            <v>8496.5</v>
          </cell>
          <cell r="G106">
            <v>6</v>
          </cell>
          <cell r="H106">
            <v>7.5</v>
          </cell>
          <cell r="I106">
            <v>13.5</v>
          </cell>
          <cell r="J106">
            <v>10.5</v>
          </cell>
          <cell r="N106">
            <v>0</v>
          </cell>
          <cell r="R106">
            <v>0</v>
          </cell>
          <cell r="V106">
            <v>0</v>
          </cell>
          <cell r="X106">
            <v>0</v>
          </cell>
          <cell r="Y106">
            <v>0</v>
          </cell>
        </row>
        <row r="107">
          <cell r="C107">
            <v>8496.5</v>
          </cell>
          <cell r="D107">
            <v>8505</v>
          </cell>
          <cell r="E107">
            <v>8505</v>
          </cell>
          <cell r="F107">
            <v>8514</v>
          </cell>
          <cell r="G107">
            <v>8.5</v>
          </cell>
          <cell r="H107">
            <v>9</v>
          </cell>
          <cell r="I107">
            <v>17.5</v>
          </cell>
          <cell r="J107">
            <v>6.5</v>
          </cell>
          <cell r="L107">
            <v>0.36458333333333331</v>
          </cell>
          <cell r="M107">
            <v>0.41666666666666669</v>
          </cell>
          <cell r="N107">
            <v>0</v>
          </cell>
          <cell r="O107" t="str">
            <v>Ac hot</v>
          </cell>
          <cell r="R107">
            <v>0</v>
          </cell>
          <cell r="V107">
            <v>0</v>
          </cell>
          <cell r="X107">
            <v>0</v>
          </cell>
          <cell r="Y107">
            <v>0</v>
          </cell>
        </row>
        <row r="108">
          <cell r="C108">
            <v>8514</v>
          </cell>
          <cell r="D108">
            <v>8516.4</v>
          </cell>
          <cell r="E108">
            <v>8516.4</v>
          </cell>
          <cell r="F108">
            <v>8517</v>
          </cell>
          <cell r="G108">
            <v>2.3999999999996362</v>
          </cell>
          <cell r="H108">
            <v>0.6000000000003638</v>
          </cell>
          <cell r="I108">
            <v>3</v>
          </cell>
          <cell r="J108">
            <v>21</v>
          </cell>
          <cell r="N108">
            <v>0</v>
          </cell>
          <cell r="R108">
            <v>0</v>
          </cell>
          <cell r="V108">
            <v>0</v>
          </cell>
          <cell r="X108">
            <v>0</v>
          </cell>
          <cell r="Y108">
            <v>0</v>
          </cell>
        </row>
        <row r="109">
          <cell r="C109">
            <v>8517</v>
          </cell>
          <cell r="D109">
            <v>8517</v>
          </cell>
          <cell r="E109">
            <v>8517</v>
          </cell>
          <cell r="F109">
            <v>8517</v>
          </cell>
          <cell r="G109">
            <v>0</v>
          </cell>
          <cell r="H109">
            <v>0</v>
          </cell>
          <cell r="I109">
            <v>0</v>
          </cell>
          <cell r="J109">
            <v>24</v>
          </cell>
          <cell r="N109">
            <v>0</v>
          </cell>
          <cell r="R109">
            <v>0</v>
          </cell>
          <cell r="V109">
            <v>0</v>
          </cell>
          <cell r="X109">
            <v>0</v>
          </cell>
          <cell r="Y109">
            <v>0</v>
          </cell>
        </row>
        <row r="110">
          <cell r="C110">
            <v>8517</v>
          </cell>
          <cell r="D110">
            <v>8517</v>
          </cell>
          <cell r="E110">
            <v>8517</v>
          </cell>
          <cell r="F110">
            <v>8527.5</v>
          </cell>
          <cell r="G110">
            <v>0</v>
          </cell>
          <cell r="H110">
            <v>10.5</v>
          </cell>
          <cell r="I110">
            <v>10.5</v>
          </cell>
          <cell r="J110">
            <v>12.25</v>
          </cell>
          <cell r="L110">
            <v>0.85416666666666663</v>
          </cell>
          <cell r="M110">
            <v>0.90625</v>
          </cell>
          <cell r="N110">
            <v>1.2500000000000009</v>
          </cell>
          <cell r="O110" t="str">
            <v>Lampu kerja lh depan off</v>
          </cell>
          <cell r="R110">
            <v>0</v>
          </cell>
          <cell r="V110">
            <v>0</v>
          </cell>
          <cell r="X110">
            <v>1.2500000000000009</v>
          </cell>
          <cell r="Y110" t="str">
            <v>Lampu kerja lh depan off</v>
          </cell>
        </row>
        <row r="111">
          <cell r="C111">
            <v>8527.5</v>
          </cell>
          <cell r="D111">
            <v>8536</v>
          </cell>
          <cell r="E111">
            <v>8536</v>
          </cell>
          <cell r="F111">
            <v>8541</v>
          </cell>
          <cell r="G111">
            <v>8.5</v>
          </cell>
          <cell r="H111">
            <v>5</v>
          </cell>
          <cell r="I111">
            <v>13.5</v>
          </cell>
          <cell r="J111">
            <v>10.333333333333334</v>
          </cell>
          <cell r="L111">
            <v>0.84722222222222221</v>
          </cell>
          <cell r="M111">
            <v>0.85416666666666663</v>
          </cell>
          <cell r="N111">
            <v>0.16666666666666607</v>
          </cell>
          <cell r="O111" t="str">
            <v>Tambah oil hydrolick</v>
          </cell>
          <cell r="R111">
            <v>0</v>
          </cell>
          <cell r="V111">
            <v>0</v>
          </cell>
          <cell r="X111">
            <v>0.16666666666666607</v>
          </cell>
          <cell r="Y111" t="str">
            <v>Tambah oil hydrolick</v>
          </cell>
        </row>
        <row r="112">
          <cell r="C112">
            <v>8541</v>
          </cell>
          <cell r="D112">
            <v>8550</v>
          </cell>
          <cell r="E112">
            <v>8550</v>
          </cell>
          <cell r="F112">
            <v>8560</v>
          </cell>
          <cell r="G112">
            <v>9</v>
          </cell>
          <cell r="H112">
            <v>10</v>
          </cell>
          <cell r="I112">
            <v>19</v>
          </cell>
          <cell r="J112">
            <v>4.9166666666666714</v>
          </cell>
          <cell r="L112">
            <v>0.86458333333333337</v>
          </cell>
          <cell r="M112">
            <v>0.86805555555555547</v>
          </cell>
          <cell r="N112">
            <v>8.3333333333330373E-2</v>
          </cell>
          <cell r="O112" t="str">
            <v>Lampu kerja off</v>
          </cell>
          <cell r="R112">
            <v>0</v>
          </cell>
          <cell r="V112">
            <v>0</v>
          </cell>
          <cell r="X112">
            <v>8.3333333333330373E-2</v>
          </cell>
          <cell r="Y112" t="str">
            <v>Lampu kerja off</v>
          </cell>
        </row>
        <row r="113">
          <cell r="C113">
            <v>8560</v>
          </cell>
          <cell r="D113">
            <v>8569</v>
          </cell>
          <cell r="E113">
            <v>8569</v>
          </cell>
          <cell r="F113">
            <v>8577</v>
          </cell>
          <cell r="G113">
            <v>9</v>
          </cell>
          <cell r="H113">
            <v>8</v>
          </cell>
          <cell r="I113">
            <v>17</v>
          </cell>
          <cell r="J113">
            <v>6.9166666666666679</v>
          </cell>
          <cell r="L113">
            <v>0.3888888888888889</v>
          </cell>
          <cell r="M113">
            <v>0.3923611111111111</v>
          </cell>
          <cell r="N113">
            <v>8.3333333333333037E-2</v>
          </cell>
          <cell r="O113" t="str">
            <v>Ac hot</v>
          </cell>
          <cell r="R113">
            <v>0</v>
          </cell>
          <cell r="V113">
            <v>0</v>
          </cell>
          <cell r="X113">
            <v>8.3333333333333037E-2</v>
          </cell>
          <cell r="Y113" t="str">
            <v>Ac hot</v>
          </cell>
        </row>
        <row r="114">
          <cell r="C114">
            <v>8577</v>
          </cell>
          <cell r="D114">
            <v>8585.5</v>
          </cell>
          <cell r="E114">
            <v>8585.5</v>
          </cell>
          <cell r="F114">
            <v>8595</v>
          </cell>
          <cell r="G114">
            <v>8.5</v>
          </cell>
          <cell r="H114">
            <v>9.5</v>
          </cell>
          <cell r="I114">
            <v>18</v>
          </cell>
          <cell r="J114">
            <v>5.75</v>
          </cell>
          <cell r="L114">
            <v>0.86805555555555547</v>
          </cell>
          <cell r="M114">
            <v>0.87847222222222221</v>
          </cell>
          <cell r="N114">
            <v>0.25000000000000178</v>
          </cell>
          <cell r="O114" t="str">
            <v>Tambah oil hydrolick</v>
          </cell>
          <cell r="P114">
            <v>0.45833333333333331</v>
          </cell>
          <cell r="Q114">
            <v>0.46875</v>
          </cell>
          <cell r="R114">
            <v>0</v>
          </cell>
          <cell r="S114" t="str">
            <v>Ac hot</v>
          </cell>
          <cell r="V114">
            <v>0</v>
          </cell>
          <cell r="X114">
            <v>0.25000000000000178</v>
          </cell>
          <cell r="Y114" t="str">
            <v>Tambah oil hydrolick</v>
          </cell>
        </row>
        <row r="115">
          <cell r="C115">
            <v>8595</v>
          </cell>
          <cell r="D115">
            <v>8604</v>
          </cell>
          <cell r="E115">
            <v>8604</v>
          </cell>
          <cell r="F115">
            <v>8613.5</v>
          </cell>
          <cell r="G115">
            <v>9</v>
          </cell>
          <cell r="H115">
            <v>9.5</v>
          </cell>
          <cell r="I115">
            <v>18.5</v>
          </cell>
          <cell r="J115">
            <v>5.25</v>
          </cell>
          <cell r="L115">
            <v>0.30208333333333331</v>
          </cell>
          <cell r="M115">
            <v>0.3125</v>
          </cell>
          <cell r="N115">
            <v>0.25000000000000044</v>
          </cell>
          <cell r="O115" t="str">
            <v>Air radiator low</v>
          </cell>
          <cell r="R115">
            <v>0</v>
          </cell>
          <cell r="V115">
            <v>0</v>
          </cell>
          <cell r="X115">
            <v>0.25000000000000044</v>
          </cell>
          <cell r="Y115" t="str">
            <v>Air radiator low</v>
          </cell>
        </row>
        <row r="116">
          <cell r="C116">
            <v>8613.5</v>
          </cell>
          <cell r="D116">
            <v>8622</v>
          </cell>
          <cell r="E116">
            <v>8622</v>
          </cell>
          <cell r="F116">
            <v>8622</v>
          </cell>
          <cell r="G116">
            <v>8.5</v>
          </cell>
          <cell r="H116">
            <v>0</v>
          </cell>
          <cell r="I116">
            <v>8.5</v>
          </cell>
          <cell r="J116">
            <v>12.833333333333332</v>
          </cell>
          <cell r="L116">
            <v>0.77430555555555547</v>
          </cell>
          <cell r="M116">
            <v>0.88541666666666663</v>
          </cell>
          <cell r="N116">
            <v>2.6666666666666679</v>
          </cell>
          <cell r="O116" t="str">
            <v>Cant start</v>
          </cell>
          <cell r="R116">
            <v>0</v>
          </cell>
          <cell r="V116">
            <v>0</v>
          </cell>
          <cell r="X116">
            <v>2.6666666666666679</v>
          </cell>
          <cell r="Y116" t="str">
            <v>Cant start</v>
          </cell>
        </row>
        <row r="117">
          <cell r="C117">
            <v>8622</v>
          </cell>
          <cell r="D117">
            <v>8631.5</v>
          </cell>
          <cell r="E117">
            <v>8631.5</v>
          </cell>
          <cell r="F117">
            <v>8637</v>
          </cell>
          <cell r="G117">
            <v>9.5</v>
          </cell>
          <cell r="H117">
            <v>5.5</v>
          </cell>
          <cell r="I117">
            <v>15</v>
          </cell>
          <cell r="J117">
            <v>9</v>
          </cell>
          <cell r="K117" t="str">
            <v>Masa comisioning habis</v>
          </cell>
          <cell r="N117">
            <v>0</v>
          </cell>
          <cell r="R117">
            <v>0</v>
          </cell>
          <cell r="V117">
            <v>0</v>
          </cell>
          <cell r="X117">
            <v>0</v>
          </cell>
          <cell r="Y117">
            <v>0</v>
          </cell>
        </row>
        <row r="118">
          <cell r="C118">
            <v>8637</v>
          </cell>
          <cell r="D118">
            <v>8637</v>
          </cell>
          <cell r="E118">
            <v>8637</v>
          </cell>
          <cell r="F118">
            <v>8637</v>
          </cell>
          <cell r="G118">
            <v>0</v>
          </cell>
          <cell r="H118">
            <v>0</v>
          </cell>
          <cell r="I118">
            <v>0</v>
          </cell>
          <cell r="J118">
            <v>24</v>
          </cell>
          <cell r="L118">
            <v>0.375</v>
          </cell>
          <cell r="M118">
            <v>0.43402777777777773</v>
          </cell>
          <cell r="N118">
            <v>0</v>
          </cell>
          <cell r="O118" t="str">
            <v>Commisioning</v>
          </cell>
          <cell r="R118">
            <v>0</v>
          </cell>
          <cell r="V118">
            <v>0</v>
          </cell>
          <cell r="X118">
            <v>0</v>
          </cell>
          <cell r="Y118" t="str">
            <v>Commisioning</v>
          </cell>
        </row>
        <row r="119">
          <cell r="C119">
            <v>8637</v>
          </cell>
          <cell r="D119">
            <v>8637</v>
          </cell>
          <cell r="E119">
            <v>8637</v>
          </cell>
          <cell r="F119">
            <v>8637</v>
          </cell>
          <cell r="G119">
            <v>0</v>
          </cell>
          <cell r="H119">
            <v>0</v>
          </cell>
          <cell r="I119">
            <v>0</v>
          </cell>
          <cell r="J119">
            <v>24</v>
          </cell>
          <cell r="N119">
            <v>0</v>
          </cell>
          <cell r="O119" t="str">
            <v>Commisioning</v>
          </cell>
          <cell r="R119">
            <v>0</v>
          </cell>
          <cell r="V119">
            <v>0</v>
          </cell>
          <cell r="X119">
            <v>0</v>
          </cell>
          <cell r="Y119" t="str">
            <v>Commisioning</v>
          </cell>
        </row>
        <row r="120">
          <cell r="C120">
            <v>8637</v>
          </cell>
          <cell r="D120">
            <v>8637</v>
          </cell>
          <cell r="E120">
            <v>8637</v>
          </cell>
          <cell r="F120">
            <v>8637</v>
          </cell>
          <cell r="G120">
            <v>0</v>
          </cell>
          <cell r="H120">
            <v>0</v>
          </cell>
          <cell r="I120">
            <v>0</v>
          </cell>
          <cell r="J120">
            <v>24</v>
          </cell>
          <cell r="L120">
            <v>0.14583333333333334</v>
          </cell>
          <cell r="M120">
            <v>0.29166666666666669</v>
          </cell>
          <cell r="N120">
            <v>0</v>
          </cell>
          <cell r="O120" t="str">
            <v>Commisioning</v>
          </cell>
          <cell r="R120">
            <v>0</v>
          </cell>
          <cell r="V120">
            <v>0</v>
          </cell>
          <cell r="X120">
            <v>0</v>
          </cell>
          <cell r="Y120" t="str">
            <v>Commisioning</v>
          </cell>
        </row>
        <row r="121">
          <cell r="C121">
            <v>8637</v>
          </cell>
          <cell r="D121">
            <v>8637</v>
          </cell>
          <cell r="E121">
            <v>8637</v>
          </cell>
          <cell r="F121">
            <v>8637</v>
          </cell>
          <cell r="G121">
            <v>0</v>
          </cell>
          <cell r="H121">
            <v>0</v>
          </cell>
          <cell r="I121">
            <v>0</v>
          </cell>
          <cell r="J121">
            <v>24</v>
          </cell>
          <cell r="L121">
            <v>0.29166666666666669</v>
          </cell>
          <cell r="M121">
            <v>0.33333333333333331</v>
          </cell>
          <cell r="N121">
            <v>0</v>
          </cell>
          <cell r="O121" t="str">
            <v>Commisioning</v>
          </cell>
          <cell r="R121">
            <v>0</v>
          </cell>
          <cell r="V121">
            <v>0</v>
          </cell>
          <cell r="X121">
            <v>0</v>
          </cell>
          <cell r="Y121" t="str">
            <v>Commisioning</v>
          </cell>
        </row>
        <row r="122">
          <cell r="C122">
            <v>8637</v>
          </cell>
          <cell r="D122">
            <v>8637</v>
          </cell>
          <cell r="E122">
            <v>8637</v>
          </cell>
          <cell r="F122">
            <v>8637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L122">
            <v>0.39166666666666666</v>
          </cell>
          <cell r="M122">
            <v>0.44097222222222227</v>
          </cell>
          <cell r="N122">
            <v>0</v>
          </cell>
          <cell r="O122" t="str">
            <v>Commisioning</v>
          </cell>
          <cell r="P122">
            <v>0.31944444444444448</v>
          </cell>
          <cell r="Q122">
            <v>0.3263888888888889</v>
          </cell>
          <cell r="R122">
            <v>0</v>
          </cell>
          <cell r="S122" t="str">
            <v>Ac off</v>
          </cell>
          <cell r="V122">
            <v>0</v>
          </cell>
          <cell r="X122">
            <v>0</v>
          </cell>
          <cell r="Y122" t="str">
            <v>Commisioning</v>
          </cell>
        </row>
        <row r="123">
          <cell r="C123">
            <v>8637</v>
          </cell>
          <cell r="D123">
            <v>8637</v>
          </cell>
          <cell r="E123">
            <v>8637</v>
          </cell>
          <cell r="F123">
            <v>8637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N123">
            <v>0</v>
          </cell>
          <cell r="O123" t="str">
            <v>Commisioning</v>
          </cell>
          <cell r="R123">
            <v>0</v>
          </cell>
          <cell r="V123">
            <v>0</v>
          </cell>
          <cell r="X123">
            <v>0</v>
          </cell>
          <cell r="Y123" t="str">
            <v>Commisioning</v>
          </cell>
        </row>
        <row r="124">
          <cell r="C124">
            <v>8637</v>
          </cell>
          <cell r="D124">
            <v>8637</v>
          </cell>
          <cell r="E124">
            <v>8637</v>
          </cell>
          <cell r="F124">
            <v>8649</v>
          </cell>
          <cell r="G124">
            <v>0</v>
          </cell>
          <cell r="H124">
            <v>12</v>
          </cell>
          <cell r="I124">
            <v>12</v>
          </cell>
          <cell r="J124">
            <v>12</v>
          </cell>
          <cell r="N124">
            <v>0</v>
          </cell>
          <cell r="R124">
            <v>0</v>
          </cell>
          <cell r="V124">
            <v>0</v>
          </cell>
          <cell r="X124">
            <v>0</v>
          </cell>
          <cell r="Y124">
            <v>0</v>
          </cell>
        </row>
        <row r="125">
          <cell r="C125">
            <v>8649</v>
          </cell>
          <cell r="D125">
            <v>8658</v>
          </cell>
          <cell r="E125">
            <v>8658</v>
          </cell>
          <cell r="F125">
            <v>8668.5</v>
          </cell>
          <cell r="G125">
            <v>9</v>
          </cell>
          <cell r="H125">
            <v>10.5</v>
          </cell>
          <cell r="I125">
            <v>19.5</v>
          </cell>
          <cell r="J125">
            <v>4.3333333333333357</v>
          </cell>
          <cell r="L125">
            <v>0.81597222222222221</v>
          </cell>
          <cell r="M125">
            <v>0.82291666666666663</v>
          </cell>
          <cell r="N125">
            <v>0.16666666666666607</v>
          </cell>
          <cell r="O125" t="str">
            <v>Oil hydrolick low</v>
          </cell>
          <cell r="R125">
            <v>0</v>
          </cell>
          <cell r="V125">
            <v>0</v>
          </cell>
          <cell r="X125">
            <v>0.16666666666666607</v>
          </cell>
          <cell r="Y125" t="str">
            <v>Oil hydrolick low</v>
          </cell>
        </row>
        <row r="126">
          <cell r="C126">
            <v>8668.5</v>
          </cell>
          <cell r="D126">
            <v>8677</v>
          </cell>
          <cell r="E126">
            <v>8677</v>
          </cell>
          <cell r="F126">
            <v>8685</v>
          </cell>
          <cell r="G126">
            <v>8.5</v>
          </cell>
          <cell r="H126">
            <v>8</v>
          </cell>
          <cell r="I126">
            <v>16.5</v>
          </cell>
          <cell r="J126">
            <v>7.5</v>
          </cell>
          <cell r="N126">
            <v>0</v>
          </cell>
          <cell r="R126">
            <v>0</v>
          </cell>
          <cell r="V126">
            <v>0</v>
          </cell>
          <cell r="X126">
            <v>0</v>
          </cell>
          <cell r="Y126">
            <v>0</v>
          </cell>
        </row>
        <row r="127">
          <cell r="C127">
            <v>8685</v>
          </cell>
          <cell r="D127">
            <v>8693</v>
          </cell>
          <cell r="E127">
            <v>8693</v>
          </cell>
          <cell r="F127">
            <v>8704</v>
          </cell>
          <cell r="G127">
            <v>8</v>
          </cell>
          <cell r="H127">
            <v>11</v>
          </cell>
          <cell r="I127">
            <v>19</v>
          </cell>
          <cell r="J127">
            <v>4.0999999999999979</v>
          </cell>
          <cell r="L127">
            <v>0.35347222222222219</v>
          </cell>
          <cell r="M127">
            <v>0.3611111111111111</v>
          </cell>
          <cell r="N127">
            <v>0.18333333333333401</v>
          </cell>
          <cell r="O127" t="str">
            <v>Oil hydrolick low</v>
          </cell>
          <cell r="P127">
            <v>0.64930555555555558</v>
          </cell>
          <cell r="Q127">
            <v>0.6791666666666667</v>
          </cell>
          <cell r="R127">
            <v>0.71666666666666679</v>
          </cell>
          <cell r="S127" t="str">
            <v>Low power</v>
          </cell>
          <cell r="V127">
            <v>0</v>
          </cell>
          <cell r="X127">
            <v>0.9000000000000008</v>
          </cell>
          <cell r="Y127" t="str">
            <v>Oil hydrolick low,Low power</v>
          </cell>
        </row>
        <row r="128">
          <cell r="C128">
            <v>8704</v>
          </cell>
          <cell r="D128">
            <v>8713</v>
          </cell>
          <cell r="E128">
            <v>8713</v>
          </cell>
          <cell r="F128">
            <v>8713</v>
          </cell>
          <cell r="G128">
            <v>9</v>
          </cell>
          <cell r="H128">
            <v>0</v>
          </cell>
          <cell r="I128">
            <v>9</v>
          </cell>
          <cell r="J128">
            <v>14.833333333333336</v>
          </cell>
          <cell r="L128">
            <v>0.76736111111111116</v>
          </cell>
          <cell r="M128">
            <v>0.77430555555555547</v>
          </cell>
          <cell r="N128">
            <v>0.16666666666666341</v>
          </cell>
          <cell r="O128" t="str">
            <v>Oil hydrolick bocor</v>
          </cell>
          <cell r="R128">
            <v>0</v>
          </cell>
          <cell r="V128">
            <v>0</v>
          </cell>
          <cell r="X128">
            <v>0.16666666666666341</v>
          </cell>
          <cell r="Y128" t="str">
            <v>Oil hydrolick bocor</v>
          </cell>
        </row>
        <row r="129">
          <cell r="C129">
            <v>8713</v>
          </cell>
          <cell r="D129">
            <v>8720</v>
          </cell>
          <cell r="E129">
            <v>8720</v>
          </cell>
          <cell r="F129">
            <v>8731</v>
          </cell>
          <cell r="G129">
            <v>7</v>
          </cell>
          <cell r="H129">
            <v>11</v>
          </cell>
          <cell r="I129">
            <v>18</v>
          </cell>
          <cell r="J129">
            <v>6</v>
          </cell>
          <cell r="N129">
            <v>0</v>
          </cell>
          <cell r="R129">
            <v>0</v>
          </cell>
          <cell r="V129">
            <v>0</v>
          </cell>
          <cell r="X129">
            <v>0</v>
          </cell>
          <cell r="Y129">
            <v>0</v>
          </cell>
        </row>
        <row r="130">
          <cell r="C130">
            <v>8731</v>
          </cell>
          <cell r="D130">
            <v>8740</v>
          </cell>
          <cell r="E130">
            <v>8740</v>
          </cell>
          <cell r="F130">
            <v>8750.5</v>
          </cell>
          <cell r="G130">
            <v>9</v>
          </cell>
          <cell r="H130">
            <v>10.5</v>
          </cell>
          <cell r="I130">
            <v>19.5</v>
          </cell>
          <cell r="J130">
            <v>4.4166666666666679</v>
          </cell>
          <cell r="L130">
            <v>0.8125</v>
          </cell>
          <cell r="M130">
            <v>0.81597222222222221</v>
          </cell>
          <cell r="N130">
            <v>8.3333333333333037E-2</v>
          </cell>
          <cell r="O130" t="str">
            <v>Oil hydrolick low</v>
          </cell>
          <cell r="R130">
            <v>0</v>
          </cell>
          <cell r="V130">
            <v>0</v>
          </cell>
          <cell r="X130">
            <v>8.3333333333333037E-2</v>
          </cell>
          <cell r="Y130" t="str">
            <v>Oil hydrolick low</v>
          </cell>
        </row>
        <row r="131">
          <cell r="C131">
            <v>8750.5</v>
          </cell>
          <cell r="D131">
            <v>8760</v>
          </cell>
          <cell r="E131">
            <v>8760</v>
          </cell>
          <cell r="F131">
            <v>8769</v>
          </cell>
          <cell r="G131">
            <v>9.5</v>
          </cell>
          <cell r="H131">
            <v>9</v>
          </cell>
          <cell r="I131">
            <v>18.5</v>
          </cell>
          <cell r="J131">
            <v>5.1333333333333329</v>
          </cell>
          <cell r="L131">
            <v>8.3333333333333329E-2</v>
          </cell>
          <cell r="M131">
            <v>9.8611111111111108E-2</v>
          </cell>
          <cell r="N131">
            <v>0.3666666666666667</v>
          </cell>
          <cell r="O131" t="str">
            <v>Tambah air radiator</v>
          </cell>
          <cell r="R131">
            <v>0</v>
          </cell>
          <cell r="V131">
            <v>0</v>
          </cell>
          <cell r="X131">
            <v>0.3666666666666667</v>
          </cell>
          <cell r="Y131" t="str">
            <v>Tambah air radiator</v>
          </cell>
        </row>
        <row r="132">
          <cell r="C132">
            <v>8769</v>
          </cell>
          <cell r="D132">
            <v>8769</v>
          </cell>
          <cell r="E132">
            <v>8769</v>
          </cell>
          <cell r="F132">
            <v>8769</v>
          </cell>
          <cell r="G132">
            <v>0</v>
          </cell>
          <cell r="H132">
            <v>0</v>
          </cell>
          <cell r="I132">
            <v>0</v>
          </cell>
          <cell r="J132">
            <v>24</v>
          </cell>
          <cell r="K132" t="str">
            <v>Standby</v>
          </cell>
          <cell r="N132">
            <v>0</v>
          </cell>
          <cell r="R132">
            <v>0</v>
          </cell>
          <cell r="V132">
            <v>0</v>
          </cell>
          <cell r="X132">
            <v>0</v>
          </cell>
          <cell r="Y132">
            <v>0</v>
          </cell>
        </row>
        <row r="133">
          <cell r="C133">
            <v>8769</v>
          </cell>
          <cell r="D133">
            <v>8769</v>
          </cell>
          <cell r="E133">
            <v>8769</v>
          </cell>
          <cell r="F133">
            <v>8769</v>
          </cell>
          <cell r="G133">
            <v>0</v>
          </cell>
          <cell r="H133">
            <v>0</v>
          </cell>
          <cell r="I133">
            <v>0</v>
          </cell>
          <cell r="J133">
            <v>24</v>
          </cell>
          <cell r="K133" t="str">
            <v>Standby</v>
          </cell>
          <cell r="N133">
            <v>0</v>
          </cell>
          <cell r="R133">
            <v>0</v>
          </cell>
          <cell r="V133">
            <v>0</v>
          </cell>
          <cell r="X133">
            <v>0</v>
          </cell>
          <cell r="Y133">
            <v>0</v>
          </cell>
        </row>
        <row r="134">
          <cell r="C134">
            <v>8769</v>
          </cell>
          <cell r="D134">
            <v>8769</v>
          </cell>
          <cell r="E134">
            <v>8769</v>
          </cell>
          <cell r="F134">
            <v>8769</v>
          </cell>
          <cell r="G134">
            <v>0</v>
          </cell>
          <cell r="H134">
            <v>0</v>
          </cell>
          <cell r="I134">
            <v>0</v>
          </cell>
          <cell r="J134">
            <v>24</v>
          </cell>
          <cell r="K134" t="str">
            <v>Standby</v>
          </cell>
          <cell r="N134">
            <v>0</v>
          </cell>
          <cell r="R134">
            <v>0</v>
          </cell>
          <cell r="V134">
            <v>0</v>
          </cell>
          <cell r="X134">
            <v>0</v>
          </cell>
          <cell r="Y134">
            <v>0</v>
          </cell>
        </row>
        <row r="135">
          <cell r="C135">
            <v>8483</v>
          </cell>
          <cell r="D135">
            <v>8769</v>
          </cell>
          <cell r="E135">
            <v>8483</v>
          </cell>
          <cell r="F135">
            <v>8769</v>
          </cell>
          <cell r="G135">
            <v>138.89999999999964</v>
          </cell>
          <cell r="H135">
            <v>147.10000000000036</v>
          </cell>
          <cell r="I135">
            <v>286</v>
          </cell>
          <cell r="J135">
            <v>307.56666666666666</v>
          </cell>
          <cell r="N135">
            <v>0</v>
          </cell>
          <cell r="R135">
            <v>0.71666666666666679</v>
          </cell>
          <cell r="V135">
            <v>0</v>
          </cell>
          <cell r="X135">
            <v>6.43333333333333</v>
          </cell>
        </row>
        <row r="136">
          <cell r="N136">
            <v>0</v>
          </cell>
        </row>
        <row r="137">
          <cell r="C137">
            <v>9711.7000000000007</v>
          </cell>
          <cell r="D137">
            <v>9711.7000000000007</v>
          </cell>
          <cell r="E137">
            <v>9711.7000000000007</v>
          </cell>
          <cell r="F137">
            <v>9711.7000000000007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L137">
            <v>0.29166666666666669</v>
          </cell>
          <cell r="M137">
            <v>0.75</v>
          </cell>
          <cell r="N137">
            <v>11</v>
          </cell>
          <cell r="O137" t="str">
            <v>Track lh lepas</v>
          </cell>
          <cell r="P137">
            <v>0.75</v>
          </cell>
          <cell r="Q137">
            <v>0.29166666666666669</v>
          </cell>
          <cell r="R137">
            <v>13</v>
          </cell>
          <cell r="S137" t="str">
            <v>Track lh lepas</v>
          </cell>
          <cell r="V137">
            <v>0</v>
          </cell>
          <cell r="X137">
            <v>24</v>
          </cell>
          <cell r="Y137" t="str">
            <v>Track lh lepas,Track lh lepas</v>
          </cell>
        </row>
        <row r="138">
          <cell r="C138">
            <v>9711.7000000000007</v>
          </cell>
          <cell r="D138">
            <v>9720</v>
          </cell>
          <cell r="E138">
            <v>9720</v>
          </cell>
          <cell r="F138">
            <v>9730</v>
          </cell>
          <cell r="G138">
            <v>8.2999999999992724</v>
          </cell>
          <cell r="H138">
            <v>10</v>
          </cell>
          <cell r="I138">
            <v>18.299999999999272</v>
          </cell>
          <cell r="J138">
            <v>3.3333333334063298E-2</v>
          </cell>
          <cell r="L138">
            <v>0.29166666666666669</v>
          </cell>
          <cell r="M138">
            <v>0.52777777777777779</v>
          </cell>
          <cell r="N138">
            <v>5.6666666666666661</v>
          </cell>
          <cell r="O138" t="str">
            <v>Track lh lepas</v>
          </cell>
          <cell r="R138">
            <v>0</v>
          </cell>
          <cell r="V138">
            <v>0</v>
          </cell>
          <cell r="X138">
            <v>5.6666666666666661</v>
          </cell>
          <cell r="Y138" t="str">
            <v>Track lh lepas</v>
          </cell>
        </row>
        <row r="139">
          <cell r="C139">
            <v>9730</v>
          </cell>
          <cell r="D139">
            <v>9739</v>
          </cell>
          <cell r="E139">
            <v>9739</v>
          </cell>
          <cell r="F139">
            <v>9746</v>
          </cell>
          <cell r="G139">
            <v>9</v>
          </cell>
          <cell r="H139">
            <v>7</v>
          </cell>
          <cell r="I139">
            <v>16</v>
          </cell>
          <cell r="J139">
            <v>8</v>
          </cell>
          <cell r="L139">
            <v>0.40625</v>
          </cell>
          <cell r="M139">
            <v>0.49652777777777773</v>
          </cell>
          <cell r="N139">
            <v>0</v>
          </cell>
          <cell r="O139" t="str">
            <v>Ac hot</v>
          </cell>
          <cell r="P139">
            <v>0.75</v>
          </cell>
          <cell r="Q139">
            <v>0.29166666666666669</v>
          </cell>
          <cell r="R139">
            <v>0</v>
          </cell>
          <cell r="S139" t="str">
            <v>Engine sering off</v>
          </cell>
          <cell r="V139">
            <v>0</v>
          </cell>
          <cell r="X139">
            <v>0</v>
          </cell>
          <cell r="Y139">
            <v>0</v>
          </cell>
        </row>
        <row r="140">
          <cell r="C140">
            <v>9746</v>
          </cell>
          <cell r="D140">
            <v>9752</v>
          </cell>
          <cell r="E140">
            <v>9752</v>
          </cell>
          <cell r="F140">
            <v>9757</v>
          </cell>
          <cell r="G140">
            <v>6</v>
          </cell>
          <cell r="H140">
            <v>5</v>
          </cell>
          <cell r="I140">
            <v>11</v>
          </cell>
          <cell r="J140">
            <v>5.1666666666666288</v>
          </cell>
          <cell r="L140">
            <v>0.78125</v>
          </cell>
          <cell r="M140">
            <v>0.1076388888888889</v>
          </cell>
          <cell r="N140">
            <v>7.8333333333333712</v>
          </cell>
          <cell r="O140" t="str">
            <v>Penggantian hose trevel rh bocor</v>
          </cell>
          <cell r="R140">
            <v>0</v>
          </cell>
          <cell r="V140">
            <v>0</v>
          </cell>
          <cell r="X140">
            <v>7.8333333333333712</v>
          </cell>
          <cell r="Y140" t="str">
            <v>Penggantian hose trevel rh bocor</v>
          </cell>
        </row>
        <row r="141">
          <cell r="C141">
            <v>9757</v>
          </cell>
          <cell r="D141">
            <v>9768</v>
          </cell>
          <cell r="E141">
            <v>9768</v>
          </cell>
          <cell r="F141">
            <v>9774</v>
          </cell>
          <cell r="G141">
            <v>11</v>
          </cell>
          <cell r="H141">
            <v>6</v>
          </cell>
          <cell r="I141">
            <v>17</v>
          </cell>
          <cell r="J141">
            <v>7</v>
          </cell>
          <cell r="L141">
            <v>0.22222222222222221</v>
          </cell>
          <cell r="M141">
            <v>0.29166666666666669</v>
          </cell>
          <cell r="N141">
            <v>0</v>
          </cell>
          <cell r="O141" t="str">
            <v>Control valve cylinder bucket bocor</v>
          </cell>
          <cell r="R141">
            <v>0</v>
          </cell>
          <cell r="V141">
            <v>0</v>
          </cell>
          <cell r="X141">
            <v>0</v>
          </cell>
          <cell r="Y141">
            <v>0</v>
          </cell>
        </row>
        <row r="142">
          <cell r="C142">
            <v>9774</v>
          </cell>
          <cell r="D142">
            <v>9774</v>
          </cell>
          <cell r="E142">
            <v>9774</v>
          </cell>
          <cell r="F142">
            <v>9774</v>
          </cell>
          <cell r="G142">
            <v>0</v>
          </cell>
          <cell r="H142">
            <v>0</v>
          </cell>
          <cell r="I142">
            <v>0</v>
          </cell>
          <cell r="J142">
            <v>24</v>
          </cell>
          <cell r="N142">
            <v>0</v>
          </cell>
          <cell r="R142">
            <v>0</v>
          </cell>
          <cell r="V142">
            <v>0</v>
          </cell>
          <cell r="X142">
            <v>0</v>
          </cell>
          <cell r="Y142">
            <v>0</v>
          </cell>
        </row>
        <row r="143">
          <cell r="C143">
            <v>9774</v>
          </cell>
          <cell r="D143">
            <v>9774</v>
          </cell>
          <cell r="E143">
            <v>9774</v>
          </cell>
          <cell r="F143">
            <v>9779</v>
          </cell>
          <cell r="G143">
            <v>0</v>
          </cell>
          <cell r="H143">
            <v>5</v>
          </cell>
          <cell r="I143">
            <v>5</v>
          </cell>
          <cell r="J143">
            <v>18.833333333333332</v>
          </cell>
          <cell r="L143">
            <v>0.22222222222222221</v>
          </cell>
          <cell r="M143">
            <v>0.22916666666666666</v>
          </cell>
          <cell r="N143">
            <v>0.16666666666666674</v>
          </cell>
          <cell r="O143" t="str">
            <v>Control valve cylinder bucket bocor</v>
          </cell>
          <cell r="R143">
            <v>0</v>
          </cell>
          <cell r="V143">
            <v>0</v>
          </cell>
          <cell r="X143">
            <v>0.16666666666666674</v>
          </cell>
          <cell r="Y143" t="str">
            <v>Control valve cylinder bucket bocor</v>
          </cell>
        </row>
        <row r="144">
          <cell r="C144">
            <v>9779</v>
          </cell>
          <cell r="D144">
            <v>9786</v>
          </cell>
          <cell r="E144">
            <v>9786</v>
          </cell>
          <cell r="F144">
            <v>9793</v>
          </cell>
          <cell r="G144">
            <v>7</v>
          </cell>
          <cell r="H144">
            <v>7</v>
          </cell>
          <cell r="I144">
            <v>14</v>
          </cell>
          <cell r="J144">
            <v>8</v>
          </cell>
          <cell r="L144">
            <v>0.29166666666666669</v>
          </cell>
          <cell r="M144">
            <v>0.375</v>
          </cell>
          <cell r="N144">
            <v>1.9999999999999996</v>
          </cell>
          <cell r="O144" t="str">
            <v>Hose pecah</v>
          </cell>
          <cell r="R144">
            <v>0</v>
          </cell>
          <cell r="V144">
            <v>0</v>
          </cell>
          <cell r="X144">
            <v>1.9999999999999996</v>
          </cell>
          <cell r="Y144" t="str">
            <v>Hose pecah</v>
          </cell>
        </row>
        <row r="145">
          <cell r="C145">
            <v>9793</v>
          </cell>
          <cell r="D145">
            <v>9802</v>
          </cell>
          <cell r="E145">
            <v>9802</v>
          </cell>
          <cell r="F145">
            <v>9809</v>
          </cell>
          <cell r="G145">
            <v>9</v>
          </cell>
          <cell r="H145">
            <v>7</v>
          </cell>
          <cell r="I145">
            <v>16</v>
          </cell>
          <cell r="J145">
            <v>7.2833333333333314</v>
          </cell>
          <cell r="L145">
            <v>0.1875</v>
          </cell>
          <cell r="M145">
            <v>0.21736111111111112</v>
          </cell>
          <cell r="N145">
            <v>0.71666666666666679</v>
          </cell>
          <cell r="O145" t="str">
            <v>Ps 111</v>
          </cell>
          <cell r="R145">
            <v>0</v>
          </cell>
          <cell r="V145">
            <v>0</v>
          </cell>
          <cell r="X145">
            <v>0.71666666666666679</v>
          </cell>
          <cell r="Y145" t="str">
            <v>Ps 111</v>
          </cell>
        </row>
        <row r="146">
          <cell r="C146">
            <v>9809</v>
          </cell>
          <cell r="D146">
            <v>9814</v>
          </cell>
          <cell r="E146">
            <v>9814</v>
          </cell>
          <cell r="F146">
            <v>9822</v>
          </cell>
          <cell r="G146">
            <v>5</v>
          </cell>
          <cell r="H146">
            <v>8</v>
          </cell>
          <cell r="I146">
            <v>13</v>
          </cell>
          <cell r="J146">
            <v>5.5166666666666657</v>
          </cell>
          <cell r="L146">
            <v>0.36180555555555555</v>
          </cell>
          <cell r="M146">
            <v>0.59027777777777779</v>
          </cell>
          <cell r="N146">
            <v>5.4833333333333343</v>
          </cell>
          <cell r="O146" t="str">
            <v>Ac hot</v>
          </cell>
          <cell r="P146">
            <v>0.55208333333333337</v>
          </cell>
          <cell r="Q146">
            <v>0.5625</v>
          </cell>
          <cell r="R146">
            <v>0</v>
          </cell>
          <cell r="S146" t="str">
            <v>Cant start</v>
          </cell>
          <cell r="T146">
            <v>0.75347222222222221</v>
          </cell>
          <cell r="U146">
            <v>0.78125</v>
          </cell>
          <cell r="V146">
            <v>0</v>
          </cell>
          <cell r="W146" t="str">
            <v>Cant start</v>
          </cell>
          <cell r="X146">
            <v>5.4833333333333343</v>
          </cell>
          <cell r="Y146" t="str">
            <v>Ac hot</v>
          </cell>
        </row>
        <row r="147">
          <cell r="C147">
            <v>9822</v>
          </cell>
          <cell r="D147">
            <v>9826.5</v>
          </cell>
          <cell r="E147">
            <v>9826.5</v>
          </cell>
          <cell r="F147">
            <v>9837.2000000000007</v>
          </cell>
          <cell r="G147">
            <v>4.5</v>
          </cell>
          <cell r="H147">
            <v>10.700000000000728</v>
          </cell>
          <cell r="I147">
            <v>15.200000000000728</v>
          </cell>
          <cell r="J147">
            <v>8.1666666666659395</v>
          </cell>
          <cell r="L147">
            <v>0.35972222222222222</v>
          </cell>
          <cell r="M147">
            <v>0.38611111111111113</v>
          </cell>
          <cell r="N147">
            <v>0.63333333333333375</v>
          </cell>
          <cell r="O147" t="str">
            <v>Low power</v>
          </cell>
          <cell r="R147">
            <v>0</v>
          </cell>
          <cell r="V147">
            <v>0</v>
          </cell>
          <cell r="X147">
            <v>0.63333333333333375</v>
          </cell>
          <cell r="Y147" t="str">
            <v>Low power</v>
          </cell>
        </row>
        <row r="148">
          <cell r="C148">
            <v>9837.2000000000007</v>
          </cell>
          <cell r="D148">
            <v>9846</v>
          </cell>
          <cell r="E148">
            <v>9846</v>
          </cell>
          <cell r="F148">
            <v>9853.2999999999993</v>
          </cell>
          <cell r="G148">
            <v>8.7999999999992724</v>
          </cell>
          <cell r="H148">
            <v>7.2999999999992724</v>
          </cell>
          <cell r="I148">
            <v>16.099999999998545</v>
          </cell>
          <cell r="J148">
            <v>2.8166666666681195</v>
          </cell>
          <cell r="L148">
            <v>7.9861111111111105E-2</v>
          </cell>
          <cell r="M148">
            <v>0.29166666666666669</v>
          </cell>
          <cell r="N148">
            <v>5.0833333333333339</v>
          </cell>
          <cell r="O148" t="str">
            <v>Engine mati mendadak</v>
          </cell>
          <cell r="R148">
            <v>0</v>
          </cell>
          <cell r="V148">
            <v>0</v>
          </cell>
          <cell r="X148">
            <v>5.0833333333333339</v>
          </cell>
          <cell r="Y148" t="str">
            <v>Engine mati mendadak</v>
          </cell>
        </row>
        <row r="149">
          <cell r="C149">
            <v>9853.2999999999993</v>
          </cell>
          <cell r="D149">
            <v>9853.2999999999993</v>
          </cell>
          <cell r="E149">
            <v>9853.2999999999993</v>
          </cell>
          <cell r="F149">
            <v>9864</v>
          </cell>
          <cell r="G149">
            <v>0</v>
          </cell>
          <cell r="H149">
            <v>10.700000000000728</v>
          </cell>
          <cell r="I149">
            <v>10.700000000000728</v>
          </cell>
          <cell r="J149">
            <v>5.2999999999992724</v>
          </cell>
          <cell r="L149">
            <v>0.29166666666666669</v>
          </cell>
          <cell r="M149">
            <v>0.625</v>
          </cell>
          <cell r="N149">
            <v>8</v>
          </cell>
          <cell r="O149" t="str">
            <v>Greasing, noice</v>
          </cell>
          <cell r="R149">
            <v>0</v>
          </cell>
          <cell r="V149">
            <v>0</v>
          </cell>
          <cell r="X149">
            <v>8</v>
          </cell>
          <cell r="Y149" t="str">
            <v>Greasing, noice</v>
          </cell>
        </row>
        <row r="150">
          <cell r="C150">
            <v>9864</v>
          </cell>
          <cell r="D150">
            <v>9872</v>
          </cell>
          <cell r="E150">
            <v>9872</v>
          </cell>
          <cell r="F150">
            <v>9881.5</v>
          </cell>
          <cell r="G150">
            <v>8</v>
          </cell>
          <cell r="H150">
            <v>9.5</v>
          </cell>
          <cell r="I150">
            <v>17.5</v>
          </cell>
          <cell r="J150">
            <v>6.5</v>
          </cell>
          <cell r="L150">
            <v>0.29166666666666669</v>
          </cell>
          <cell r="M150">
            <v>0.33333333333333331</v>
          </cell>
          <cell r="N150">
            <v>0</v>
          </cell>
          <cell r="O150" t="str">
            <v>Break down</v>
          </cell>
          <cell r="R150">
            <v>0</v>
          </cell>
          <cell r="V150">
            <v>0</v>
          </cell>
          <cell r="X150">
            <v>0</v>
          </cell>
          <cell r="Y150">
            <v>0</v>
          </cell>
        </row>
        <row r="151">
          <cell r="C151">
            <v>9881.5</v>
          </cell>
          <cell r="D151">
            <v>9890</v>
          </cell>
          <cell r="E151">
            <v>9890</v>
          </cell>
          <cell r="F151">
            <v>9899</v>
          </cell>
          <cell r="G151">
            <v>8.5</v>
          </cell>
          <cell r="H151">
            <v>9</v>
          </cell>
          <cell r="I151">
            <v>17.5</v>
          </cell>
          <cell r="J151">
            <v>6.2333333333333343</v>
          </cell>
          <cell r="L151">
            <v>0.12291666666666667</v>
          </cell>
          <cell r="M151">
            <v>0.13402777777777777</v>
          </cell>
          <cell r="N151">
            <v>0.26666666666666639</v>
          </cell>
          <cell r="O151" t="str">
            <v>Over head, tambah air radiator</v>
          </cell>
          <cell r="R151">
            <v>0</v>
          </cell>
          <cell r="V151">
            <v>0</v>
          </cell>
          <cell r="X151">
            <v>0.26666666666666639</v>
          </cell>
          <cell r="Y151" t="str">
            <v>Over head, tambah air radiator</v>
          </cell>
        </row>
        <row r="152">
          <cell r="C152">
            <v>9899</v>
          </cell>
          <cell r="D152">
            <v>9907.7999999999993</v>
          </cell>
          <cell r="E152">
            <v>9907.7999999999993</v>
          </cell>
          <cell r="F152">
            <v>9916</v>
          </cell>
          <cell r="G152">
            <v>8.7999999999992724</v>
          </cell>
          <cell r="H152">
            <v>8.2000000000007276</v>
          </cell>
          <cell r="I152">
            <v>17</v>
          </cell>
          <cell r="J152">
            <v>4.75</v>
          </cell>
          <cell r="L152">
            <v>0.84375</v>
          </cell>
          <cell r="M152">
            <v>0.89583333333333337</v>
          </cell>
          <cell r="N152">
            <v>1.2500000000000009</v>
          </cell>
          <cell r="O152" t="str">
            <v>Over head</v>
          </cell>
          <cell r="P152">
            <v>0.29166666666666669</v>
          </cell>
          <cell r="Q152">
            <v>0.33333333333333331</v>
          </cell>
          <cell r="R152">
            <v>0.99999999999999911</v>
          </cell>
          <cell r="S152" t="str">
            <v>Perbaikan kabel</v>
          </cell>
          <cell r="V152">
            <v>0</v>
          </cell>
          <cell r="X152">
            <v>2.25</v>
          </cell>
          <cell r="Y152" t="str">
            <v>Over head,Perbaikan kabel</v>
          </cell>
        </row>
        <row r="153">
          <cell r="C153">
            <v>9916</v>
          </cell>
          <cell r="D153">
            <v>9925</v>
          </cell>
          <cell r="E153">
            <v>9925</v>
          </cell>
          <cell r="F153">
            <v>9934.7999999999993</v>
          </cell>
          <cell r="G153">
            <v>9</v>
          </cell>
          <cell r="H153">
            <v>9.7999999999992724</v>
          </cell>
          <cell r="I153">
            <v>18.799999999999272</v>
          </cell>
          <cell r="J153">
            <v>4.2333333333340661</v>
          </cell>
          <cell r="L153">
            <v>6.7361111111111108E-2</v>
          </cell>
          <cell r="M153">
            <v>6.9444444444444434E-2</v>
          </cell>
          <cell r="N153">
            <v>4.9999999999999822E-2</v>
          </cell>
          <cell r="O153" t="str">
            <v>Cant start</v>
          </cell>
          <cell r="P153">
            <v>0.82986111111111116</v>
          </cell>
          <cell r="Q153">
            <v>0.86805555555555547</v>
          </cell>
          <cell r="R153">
            <v>0.91666666666666341</v>
          </cell>
          <cell r="S153" t="str">
            <v>Lampu kerja off</v>
          </cell>
          <cell r="V153">
            <v>0</v>
          </cell>
          <cell r="X153">
            <v>0.96666666666666323</v>
          </cell>
          <cell r="Y153" t="str">
            <v>Cant start,Lampu kerja off</v>
          </cell>
        </row>
        <row r="154">
          <cell r="C154">
            <v>9934.7999999999993</v>
          </cell>
          <cell r="D154">
            <v>9941</v>
          </cell>
          <cell r="E154">
            <v>9941</v>
          </cell>
          <cell r="F154">
            <v>9951</v>
          </cell>
          <cell r="G154">
            <v>6.2000000000007276</v>
          </cell>
          <cell r="H154">
            <v>10</v>
          </cell>
          <cell r="I154">
            <v>16.200000000000728</v>
          </cell>
          <cell r="J154">
            <v>7.7999999999992724</v>
          </cell>
          <cell r="N154">
            <v>0</v>
          </cell>
          <cell r="R154">
            <v>0</v>
          </cell>
          <cell r="V154">
            <v>0</v>
          </cell>
          <cell r="X154">
            <v>0</v>
          </cell>
          <cell r="Y154">
            <v>0</v>
          </cell>
        </row>
        <row r="155">
          <cell r="C155">
            <v>9951</v>
          </cell>
          <cell r="D155">
            <v>9961</v>
          </cell>
          <cell r="E155">
            <v>9961</v>
          </cell>
          <cell r="F155">
            <v>9972.5</v>
          </cell>
          <cell r="G155">
            <v>10</v>
          </cell>
          <cell r="H155">
            <v>11.5</v>
          </cell>
          <cell r="I155">
            <v>21.5</v>
          </cell>
          <cell r="J155">
            <v>2.5</v>
          </cell>
          <cell r="N155">
            <v>0</v>
          </cell>
          <cell r="R155">
            <v>0</v>
          </cell>
          <cell r="V155">
            <v>0</v>
          </cell>
          <cell r="X155">
            <v>0</v>
          </cell>
          <cell r="Y155">
            <v>0</v>
          </cell>
        </row>
        <row r="156">
          <cell r="C156">
            <v>9972.5</v>
          </cell>
          <cell r="D156">
            <v>9972.5</v>
          </cell>
          <cell r="E156">
            <v>9972.5</v>
          </cell>
          <cell r="F156">
            <v>9981.5</v>
          </cell>
          <cell r="G156">
            <v>0</v>
          </cell>
          <cell r="H156">
            <v>9</v>
          </cell>
          <cell r="I156">
            <v>9</v>
          </cell>
          <cell r="J156">
            <v>0</v>
          </cell>
          <cell r="L156">
            <v>0.31597222222222221</v>
          </cell>
          <cell r="M156">
            <v>0.75</v>
          </cell>
          <cell r="N156">
            <v>10.416666666666668</v>
          </cell>
          <cell r="O156" t="str">
            <v>Kebocoran oil hydrolick</v>
          </cell>
          <cell r="P156">
            <v>0.75</v>
          </cell>
          <cell r="Q156">
            <v>0.94097222222222221</v>
          </cell>
          <cell r="R156">
            <v>4.583333333333333</v>
          </cell>
          <cell r="S156" t="str">
            <v>Kebocoran oil hydrolick</v>
          </cell>
          <cell r="V156">
            <v>0</v>
          </cell>
          <cell r="X156">
            <v>15</v>
          </cell>
          <cell r="Y156" t="str">
            <v>Kebocoran oil hydrolick,Kebocoran oil hydrolick</v>
          </cell>
        </row>
        <row r="157">
          <cell r="C157">
            <v>9981.5</v>
          </cell>
          <cell r="D157">
            <v>9990</v>
          </cell>
          <cell r="E157">
            <v>9990</v>
          </cell>
          <cell r="F157">
            <v>9999</v>
          </cell>
          <cell r="G157">
            <v>8.5</v>
          </cell>
          <cell r="H157">
            <v>9</v>
          </cell>
          <cell r="I157">
            <v>17.5</v>
          </cell>
          <cell r="J157">
            <v>6.5</v>
          </cell>
          <cell r="N157">
            <v>0</v>
          </cell>
          <cell r="R157">
            <v>0</v>
          </cell>
          <cell r="V157">
            <v>0</v>
          </cell>
          <cell r="X157">
            <v>0</v>
          </cell>
          <cell r="Y157">
            <v>0</v>
          </cell>
        </row>
        <row r="158">
          <cell r="C158">
            <v>9999</v>
          </cell>
          <cell r="D158">
            <v>10003.5</v>
          </cell>
          <cell r="E158">
            <v>10003.5</v>
          </cell>
          <cell r="F158">
            <v>10011.5</v>
          </cell>
          <cell r="G158">
            <v>4.5</v>
          </cell>
          <cell r="H158">
            <v>8</v>
          </cell>
          <cell r="I158">
            <v>12.5</v>
          </cell>
          <cell r="J158">
            <v>11.166666666666668</v>
          </cell>
          <cell r="L158">
            <v>0.36805555555555558</v>
          </cell>
          <cell r="M158">
            <v>0.38194444444444442</v>
          </cell>
          <cell r="N158">
            <v>0.33333333333333215</v>
          </cell>
          <cell r="O158" t="str">
            <v>Track lh kendor</v>
          </cell>
          <cell r="R158">
            <v>0</v>
          </cell>
          <cell r="V158">
            <v>0</v>
          </cell>
          <cell r="X158">
            <v>0.33333333333333215</v>
          </cell>
          <cell r="Y158" t="str">
            <v>Track lh kendor</v>
          </cell>
        </row>
        <row r="159">
          <cell r="C159">
            <v>10011.5</v>
          </cell>
          <cell r="D159">
            <v>10020</v>
          </cell>
          <cell r="E159">
            <v>10020</v>
          </cell>
          <cell r="F159">
            <v>10025.5</v>
          </cell>
          <cell r="G159">
            <v>8.5</v>
          </cell>
          <cell r="H159">
            <v>5.5</v>
          </cell>
          <cell r="I159">
            <v>14</v>
          </cell>
          <cell r="J159">
            <v>10</v>
          </cell>
          <cell r="L159">
            <v>0.29166666666666669</v>
          </cell>
          <cell r="M159">
            <v>0.3263888888888889</v>
          </cell>
          <cell r="N159">
            <v>0</v>
          </cell>
          <cell r="O159" t="str">
            <v>Lampu kerja off</v>
          </cell>
          <cell r="R159">
            <v>0</v>
          </cell>
          <cell r="V159">
            <v>0</v>
          </cell>
          <cell r="X159">
            <v>0</v>
          </cell>
          <cell r="Y159">
            <v>0</v>
          </cell>
        </row>
        <row r="160">
          <cell r="C160">
            <v>10025.5</v>
          </cell>
          <cell r="D160">
            <v>10032</v>
          </cell>
          <cell r="E160">
            <v>10032</v>
          </cell>
          <cell r="F160">
            <v>10037</v>
          </cell>
          <cell r="G160">
            <v>6.5</v>
          </cell>
          <cell r="H160">
            <v>5</v>
          </cell>
          <cell r="I160">
            <v>11.5</v>
          </cell>
          <cell r="J160">
            <v>11.083333333333332</v>
          </cell>
          <cell r="L160">
            <v>0.5</v>
          </cell>
          <cell r="M160">
            <v>0.55902777777777779</v>
          </cell>
          <cell r="N160">
            <v>1.416666666666667</v>
          </cell>
          <cell r="O160" t="str">
            <v>Tilt bucket lh hilang satu</v>
          </cell>
          <cell r="R160">
            <v>0</v>
          </cell>
          <cell r="V160">
            <v>0</v>
          </cell>
          <cell r="X160">
            <v>1.416666666666667</v>
          </cell>
          <cell r="Y160" t="str">
            <v>Tilt bucket lh hilang satu</v>
          </cell>
        </row>
        <row r="161">
          <cell r="C161">
            <v>10037</v>
          </cell>
          <cell r="D161">
            <v>10041.799999999999</v>
          </cell>
          <cell r="E161">
            <v>10041.799999999999</v>
          </cell>
          <cell r="F161">
            <v>10053</v>
          </cell>
          <cell r="G161">
            <v>4.7999999999992724</v>
          </cell>
          <cell r="H161">
            <v>11.200000000000728</v>
          </cell>
          <cell r="I161">
            <v>16</v>
          </cell>
          <cell r="J161">
            <v>8</v>
          </cell>
          <cell r="N161">
            <v>0</v>
          </cell>
          <cell r="R161">
            <v>0</v>
          </cell>
          <cell r="V161">
            <v>0</v>
          </cell>
          <cell r="X161">
            <v>0</v>
          </cell>
          <cell r="Y161">
            <v>0</v>
          </cell>
        </row>
        <row r="162">
          <cell r="C162">
            <v>10053</v>
          </cell>
          <cell r="D162">
            <v>10062.5</v>
          </cell>
          <cell r="E162">
            <v>10062.5</v>
          </cell>
          <cell r="F162">
            <v>10073.799999999999</v>
          </cell>
          <cell r="G162">
            <v>9.5</v>
          </cell>
          <cell r="H162">
            <v>11.299999999999272</v>
          </cell>
          <cell r="I162">
            <v>20.799999999999272</v>
          </cell>
          <cell r="J162">
            <v>2.4833333333340626</v>
          </cell>
          <cell r="L162">
            <v>0.47916666666666669</v>
          </cell>
          <cell r="M162">
            <v>0.50902777777777775</v>
          </cell>
          <cell r="N162">
            <v>0.71666666666666545</v>
          </cell>
          <cell r="O162" t="str">
            <v>Ac hot</v>
          </cell>
          <cell r="R162">
            <v>0</v>
          </cell>
          <cell r="V162">
            <v>0</v>
          </cell>
          <cell r="X162">
            <v>0.71666666666666545</v>
          </cell>
          <cell r="Y162" t="str">
            <v>Ac hot</v>
          </cell>
        </row>
        <row r="163">
          <cell r="C163">
            <v>10073.799999999999</v>
          </cell>
          <cell r="D163">
            <v>10083.5</v>
          </cell>
          <cell r="E163">
            <v>10083.5</v>
          </cell>
          <cell r="F163">
            <v>10095</v>
          </cell>
          <cell r="G163">
            <v>9.7000000000007276</v>
          </cell>
          <cell r="H163">
            <v>11.5</v>
          </cell>
          <cell r="I163">
            <v>21.200000000000728</v>
          </cell>
          <cell r="J163">
            <v>2.7999999999992724</v>
          </cell>
          <cell r="N163">
            <v>0</v>
          </cell>
          <cell r="R163">
            <v>0</v>
          </cell>
          <cell r="V163">
            <v>0</v>
          </cell>
          <cell r="X163">
            <v>0</v>
          </cell>
          <cell r="Y163">
            <v>0</v>
          </cell>
        </row>
        <row r="164">
          <cell r="C164">
            <v>10095</v>
          </cell>
          <cell r="D164">
            <v>10101.200000000001</v>
          </cell>
          <cell r="E164">
            <v>10101.200000000001</v>
          </cell>
          <cell r="F164">
            <v>10112.6</v>
          </cell>
          <cell r="G164">
            <v>6.2000000000007276</v>
          </cell>
          <cell r="H164">
            <v>11.399999999999636</v>
          </cell>
          <cell r="I164">
            <v>17.600000000000364</v>
          </cell>
          <cell r="J164">
            <v>5.3999999999996362</v>
          </cell>
          <cell r="L164">
            <v>0.77777777777777779</v>
          </cell>
          <cell r="M164">
            <v>0.81944444444444453</v>
          </cell>
          <cell r="N164">
            <v>1.0000000000000018</v>
          </cell>
          <cell r="O164" t="str">
            <v>Engine over head</v>
          </cell>
          <cell r="R164">
            <v>0</v>
          </cell>
          <cell r="V164">
            <v>0</v>
          </cell>
          <cell r="X164">
            <v>1.0000000000000018</v>
          </cell>
          <cell r="Y164" t="str">
            <v>Engine over head</v>
          </cell>
        </row>
        <row r="165">
          <cell r="C165">
            <v>10112.6</v>
          </cell>
          <cell r="D165">
            <v>10112.6</v>
          </cell>
          <cell r="E165">
            <v>10112.6</v>
          </cell>
          <cell r="F165">
            <v>10112.6</v>
          </cell>
          <cell r="G165">
            <v>0</v>
          </cell>
          <cell r="H165">
            <v>0</v>
          </cell>
          <cell r="I165">
            <v>0</v>
          </cell>
          <cell r="J165">
            <v>24</v>
          </cell>
          <cell r="K165" t="str">
            <v>Standby</v>
          </cell>
          <cell r="N165">
            <v>0</v>
          </cell>
          <cell r="R165">
            <v>0</v>
          </cell>
          <cell r="V165">
            <v>0</v>
          </cell>
          <cell r="X165">
            <v>0</v>
          </cell>
          <cell r="Y165">
            <v>0</v>
          </cell>
        </row>
        <row r="166">
          <cell r="C166">
            <v>10112.6</v>
          </cell>
          <cell r="D166">
            <v>10112.6</v>
          </cell>
          <cell r="E166">
            <v>10112.6</v>
          </cell>
          <cell r="F166">
            <v>10112.6</v>
          </cell>
          <cell r="G166">
            <v>0</v>
          </cell>
          <cell r="H166">
            <v>0</v>
          </cell>
          <cell r="I166">
            <v>0</v>
          </cell>
          <cell r="J166">
            <v>24</v>
          </cell>
          <cell r="K166" t="str">
            <v>Standnby</v>
          </cell>
          <cell r="N166">
            <v>0</v>
          </cell>
          <cell r="R166">
            <v>0</v>
          </cell>
          <cell r="V166">
            <v>0</v>
          </cell>
          <cell r="X166">
            <v>0</v>
          </cell>
          <cell r="Y166">
            <v>0</v>
          </cell>
        </row>
        <row r="167">
          <cell r="C167">
            <v>10112.6</v>
          </cell>
          <cell r="D167">
            <v>10112.6</v>
          </cell>
          <cell r="E167">
            <v>10112.6</v>
          </cell>
          <cell r="F167">
            <v>10112.6</v>
          </cell>
          <cell r="G167">
            <v>0</v>
          </cell>
          <cell r="H167">
            <v>0</v>
          </cell>
          <cell r="I167">
            <v>0</v>
          </cell>
          <cell r="J167">
            <v>24</v>
          </cell>
          <cell r="K167" t="str">
            <v>Standby</v>
          </cell>
          <cell r="N167">
            <v>0</v>
          </cell>
          <cell r="R167">
            <v>0</v>
          </cell>
          <cell r="V167">
            <v>0</v>
          </cell>
          <cell r="X167">
            <v>0</v>
          </cell>
          <cell r="Y167">
            <v>0</v>
          </cell>
        </row>
        <row r="168">
          <cell r="C168">
            <v>9711.7000000000007</v>
          </cell>
          <cell r="D168">
            <v>10112.6</v>
          </cell>
          <cell r="E168">
            <v>9711.7000000000007</v>
          </cell>
          <cell r="F168">
            <v>10112.6</v>
          </cell>
          <cell r="G168">
            <v>177.29999999999927</v>
          </cell>
          <cell r="H168">
            <v>223.60000000000036</v>
          </cell>
          <cell r="I168">
            <v>400.89999999999964</v>
          </cell>
          <cell r="J168">
            <v>261.566666666667</v>
          </cell>
          <cell r="N168">
            <v>62.033333333333367</v>
          </cell>
          <cell r="R168">
            <v>19.499999999999996</v>
          </cell>
          <cell r="V168">
            <v>0</v>
          </cell>
          <cell r="X168">
            <v>81.53333333333336</v>
          </cell>
        </row>
        <row r="169">
          <cell r="X169">
            <v>81.53333333333336</v>
          </cell>
        </row>
        <row r="170"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N170">
            <v>0</v>
          </cell>
          <cell r="R170">
            <v>0</v>
          </cell>
          <cell r="V170">
            <v>0</v>
          </cell>
          <cell r="X170">
            <v>0</v>
          </cell>
          <cell r="Y170">
            <v>0</v>
          </cell>
        </row>
        <row r="171"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N171">
            <v>0</v>
          </cell>
          <cell r="R171">
            <v>0</v>
          </cell>
          <cell r="V171">
            <v>0</v>
          </cell>
          <cell r="X171">
            <v>0</v>
          </cell>
          <cell r="Y171">
            <v>0</v>
          </cell>
        </row>
        <row r="172"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N172">
            <v>0</v>
          </cell>
          <cell r="R172">
            <v>0</v>
          </cell>
          <cell r="V172">
            <v>0</v>
          </cell>
          <cell r="X172">
            <v>0</v>
          </cell>
          <cell r="Y172">
            <v>0</v>
          </cell>
        </row>
        <row r="173"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N173">
            <v>0</v>
          </cell>
          <cell r="R173">
            <v>0</v>
          </cell>
          <cell r="V173">
            <v>0</v>
          </cell>
          <cell r="X173">
            <v>0</v>
          </cell>
          <cell r="Y173">
            <v>0</v>
          </cell>
        </row>
        <row r="174"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N174">
            <v>0</v>
          </cell>
          <cell r="R174">
            <v>0</v>
          </cell>
          <cell r="V174">
            <v>0</v>
          </cell>
          <cell r="X174">
            <v>0</v>
          </cell>
          <cell r="Y174">
            <v>0</v>
          </cell>
        </row>
        <row r="175"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N175">
            <v>0</v>
          </cell>
          <cell r="R175">
            <v>0</v>
          </cell>
          <cell r="V175">
            <v>0</v>
          </cell>
          <cell r="X175">
            <v>0</v>
          </cell>
          <cell r="Y175">
            <v>0</v>
          </cell>
        </row>
        <row r="176"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N176">
            <v>0</v>
          </cell>
          <cell r="R176">
            <v>0</v>
          </cell>
          <cell r="V176">
            <v>0</v>
          </cell>
          <cell r="X176">
            <v>0</v>
          </cell>
          <cell r="Y176">
            <v>0</v>
          </cell>
        </row>
        <row r="177"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N177">
            <v>0</v>
          </cell>
          <cell r="R177">
            <v>0</v>
          </cell>
          <cell r="V177">
            <v>0</v>
          </cell>
          <cell r="X177">
            <v>0</v>
          </cell>
          <cell r="Y177">
            <v>0</v>
          </cell>
        </row>
        <row r="178"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N178">
            <v>0</v>
          </cell>
          <cell r="R178">
            <v>0</v>
          </cell>
          <cell r="V178">
            <v>0</v>
          </cell>
          <cell r="X178">
            <v>0</v>
          </cell>
          <cell r="Y178">
            <v>0</v>
          </cell>
        </row>
        <row r="179"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N179">
            <v>0</v>
          </cell>
          <cell r="R179">
            <v>0</v>
          </cell>
          <cell r="V179">
            <v>0</v>
          </cell>
          <cell r="X179">
            <v>0</v>
          </cell>
          <cell r="Y179">
            <v>0</v>
          </cell>
        </row>
        <row r="180"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N180">
            <v>0</v>
          </cell>
          <cell r="R180">
            <v>0</v>
          </cell>
          <cell r="V180">
            <v>0</v>
          </cell>
          <cell r="X180">
            <v>0</v>
          </cell>
          <cell r="Y180">
            <v>0</v>
          </cell>
        </row>
        <row r="181"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N181">
            <v>0</v>
          </cell>
          <cell r="R181">
            <v>0</v>
          </cell>
          <cell r="V181">
            <v>0</v>
          </cell>
          <cell r="X181">
            <v>0</v>
          </cell>
          <cell r="Y181">
            <v>0</v>
          </cell>
        </row>
        <row r="182"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N182">
            <v>0</v>
          </cell>
          <cell r="R182">
            <v>0</v>
          </cell>
          <cell r="V182">
            <v>0</v>
          </cell>
          <cell r="X182">
            <v>0</v>
          </cell>
          <cell r="Y182">
            <v>0</v>
          </cell>
        </row>
        <row r="183"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N183">
            <v>0</v>
          </cell>
          <cell r="R183">
            <v>0</v>
          </cell>
          <cell r="V183">
            <v>0</v>
          </cell>
          <cell r="X183">
            <v>0</v>
          </cell>
          <cell r="Y183">
            <v>0</v>
          </cell>
        </row>
        <row r="184"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N184">
            <v>0</v>
          </cell>
          <cell r="R184">
            <v>0</v>
          </cell>
          <cell r="V184">
            <v>0</v>
          </cell>
          <cell r="X184">
            <v>0</v>
          </cell>
          <cell r="Y184">
            <v>0</v>
          </cell>
        </row>
        <row r="185"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N185">
            <v>0</v>
          </cell>
          <cell r="R185">
            <v>0</v>
          </cell>
          <cell r="V185">
            <v>0</v>
          </cell>
          <cell r="X185">
            <v>0</v>
          </cell>
          <cell r="Y185">
            <v>0</v>
          </cell>
        </row>
        <row r="186"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N186">
            <v>0</v>
          </cell>
          <cell r="R186">
            <v>0</v>
          </cell>
          <cell r="V186">
            <v>0</v>
          </cell>
          <cell r="X186">
            <v>0</v>
          </cell>
          <cell r="Y186">
            <v>0</v>
          </cell>
        </row>
        <row r="187"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N187">
            <v>0</v>
          </cell>
          <cell r="R187">
            <v>0</v>
          </cell>
          <cell r="V187">
            <v>0</v>
          </cell>
          <cell r="X187">
            <v>0</v>
          </cell>
          <cell r="Y187">
            <v>0</v>
          </cell>
        </row>
        <row r="188"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N188">
            <v>0</v>
          </cell>
          <cell r="R188">
            <v>0</v>
          </cell>
          <cell r="V188">
            <v>0</v>
          </cell>
          <cell r="X188">
            <v>0</v>
          </cell>
          <cell r="Y188">
            <v>0</v>
          </cell>
        </row>
        <row r="189"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N189">
            <v>0</v>
          </cell>
          <cell r="R189">
            <v>0</v>
          </cell>
          <cell r="V189">
            <v>0</v>
          </cell>
          <cell r="X189">
            <v>0</v>
          </cell>
          <cell r="Y189">
            <v>0</v>
          </cell>
        </row>
        <row r="190"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N190">
            <v>0</v>
          </cell>
          <cell r="R190">
            <v>0</v>
          </cell>
          <cell r="V190">
            <v>0</v>
          </cell>
          <cell r="X190">
            <v>0</v>
          </cell>
          <cell r="Y190">
            <v>0</v>
          </cell>
        </row>
        <row r="191"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N191">
            <v>0</v>
          </cell>
          <cell r="R191">
            <v>0</v>
          </cell>
          <cell r="V191">
            <v>0</v>
          </cell>
          <cell r="X191">
            <v>0</v>
          </cell>
          <cell r="Y191">
            <v>0</v>
          </cell>
        </row>
        <row r="192"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N192">
            <v>0</v>
          </cell>
          <cell r="R192">
            <v>0</v>
          </cell>
          <cell r="V192">
            <v>0</v>
          </cell>
          <cell r="X192">
            <v>0</v>
          </cell>
          <cell r="Y192">
            <v>0</v>
          </cell>
        </row>
        <row r="193"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N193">
            <v>0</v>
          </cell>
          <cell r="R193">
            <v>0</v>
          </cell>
          <cell r="V193">
            <v>0</v>
          </cell>
          <cell r="X193">
            <v>0</v>
          </cell>
          <cell r="Y193">
            <v>0</v>
          </cell>
        </row>
        <row r="194"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N194">
            <v>0</v>
          </cell>
          <cell r="R194">
            <v>0</v>
          </cell>
          <cell r="V194">
            <v>0</v>
          </cell>
          <cell r="X194">
            <v>0</v>
          </cell>
          <cell r="Y194">
            <v>0</v>
          </cell>
        </row>
        <row r="195"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N195">
            <v>0</v>
          </cell>
          <cell r="R195">
            <v>0</v>
          </cell>
          <cell r="V195">
            <v>0</v>
          </cell>
          <cell r="X195">
            <v>0</v>
          </cell>
          <cell r="Y195">
            <v>0</v>
          </cell>
        </row>
        <row r="196"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N196">
            <v>0</v>
          </cell>
          <cell r="R196">
            <v>0</v>
          </cell>
          <cell r="V196">
            <v>0</v>
          </cell>
          <cell r="X196">
            <v>0</v>
          </cell>
          <cell r="Y196">
            <v>0</v>
          </cell>
        </row>
        <row r="197"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N197">
            <v>0</v>
          </cell>
          <cell r="R197">
            <v>0</v>
          </cell>
          <cell r="V197">
            <v>0</v>
          </cell>
          <cell r="X197">
            <v>0</v>
          </cell>
          <cell r="Y197">
            <v>0</v>
          </cell>
        </row>
        <row r="198"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N198">
            <v>0</v>
          </cell>
          <cell r="R198">
            <v>0</v>
          </cell>
          <cell r="V198">
            <v>0</v>
          </cell>
          <cell r="X198">
            <v>0</v>
          </cell>
          <cell r="Y198">
            <v>0</v>
          </cell>
        </row>
        <row r="199"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N199">
            <v>0</v>
          </cell>
          <cell r="R199">
            <v>0</v>
          </cell>
          <cell r="V199">
            <v>0</v>
          </cell>
          <cell r="X199">
            <v>0</v>
          </cell>
          <cell r="Y199">
            <v>0</v>
          </cell>
        </row>
        <row r="200"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N200">
            <v>0</v>
          </cell>
          <cell r="R200">
            <v>0</v>
          </cell>
          <cell r="V200">
            <v>0</v>
          </cell>
          <cell r="X200">
            <v>0</v>
          </cell>
          <cell r="Y200">
            <v>0</v>
          </cell>
        </row>
        <row r="201"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N201">
            <v>0</v>
          </cell>
          <cell r="R201">
            <v>0</v>
          </cell>
          <cell r="V201">
            <v>0</v>
          </cell>
        </row>
        <row r="202">
          <cell r="V202" t="str">
            <v/>
          </cell>
        </row>
        <row r="203">
          <cell r="C203">
            <v>7125</v>
          </cell>
          <cell r="D203">
            <v>7125</v>
          </cell>
          <cell r="E203">
            <v>7125</v>
          </cell>
          <cell r="F203">
            <v>7125</v>
          </cell>
          <cell r="G203">
            <v>0</v>
          </cell>
          <cell r="H203">
            <v>0</v>
          </cell>
          <cell r="I203">
            <v>0</v>
          </cell>
          <cell r="J203">
            <v>24</v>
          </cell>
          <cell r="N203">
            <v>0</v>
          </cell>
          <cell r="R203">
            <v>0</v>
          </cell>
          <cell r="V203">
            <v>0</v>
          </cell>
          <cell r="X203">
            <v>0</v>
          </cell>
          <cell r="Y203">
            <v>0</v>
          </cell>
        </row>
        <row r="204">
          <cell r="C204">
            <v>7125</v>
          </cell>
          <cell r="D204">
            <v>7125</v>
          </cell>
          <cell r="E204">
            <v>7125</v>
          </cell>
          <cell r="F204">
            <v>7125</v>
          </cell>
          <cell r="G204">
            <v>0</v>
          </cell>
          <cell r="H204">
            <v>0</v>
          </cell>
          <cell r="I204">
            <v>0</v>
          </cell>
          <cell r="J204">
            <v>24</v>
          </cell>
          <cell r="N204">
            <v>0</v>
          </cell>
          <cell r="R204">
            <v>0</v>
          </cell>
          <cell r="V204">
            <v>0</v>
          </cell>
          <cell r="X204">
            <v>0</v>
          </cell>
          <cell r="Y204">
            <v>0</v>
          </cell>
        </row>
        <row r="205">
          <cell r="C205">
            <v>7125</v>
          </cell>
          <cell r="D205">
            <v>7125</v>
          </cell>
          <cell r="E205">
            <v>7125</v>
          </cell>
          <cell r="F205">
            <v>7125</v>
          </cell>
          <cell r="G205">
            <v>0</v>
          </cell>
          <cell r="H205">
            <v>0</v>
          </cell>
          <cell r="I205">
            <v>0</v>
          </cell>
          <cell r="J205">
            <v>24</v>
          </cell>
          <cell r="N205">
            <v>0</v>
          </cell>
          <cell r="R205">
            <v>0</v>
          </cell>
          <cell r="V205">
            <v>0</v>
          </cell>
          <cell r="X205">
            <v>0</v>
          </cell>
          <cell r="Y205">
            <v>0</v>
          </cell>
        </row>
        <row r="206">
          <cell r="C206">
            <v>7125</v>
          </cell>
          <cell r="D206">
            <v>7125</v>
          </cell>
          <cell r="E206">
            <v>7125</v>
          </cell>
          <cell r="F206">
            <v>7134.5</v>
          </cell>
          <cell r="G206">
            <v>0</v>
          </cell>
          <cell r="H206">
            <v>9.5</v>
          </cell>
          <cell r="I206">
            <v>9.5</v>
          </cell>
          <cell r="J206">
            <v>14.5</v>
          </cell>
          <cell r="N206">
            <v>0</v>
          </cell>
          <cell r="R206">
            <v>0</v>
          </cell>
          <cell r="V206">
            <v>0</v>
          </cell>
          <cell r="X206">
            <v>0</v>
          </cell>
          <cell r="Y206">
            <v>0</v>
          </cell>
        </row>
        <row r="207">
          <cell r="C207">
            <v>7134.5</v>
          </cell>
          <cell r="D207">
            <v>7134.5</v>
          </cell>
          <cell r="E207">
            <v>7134.5</v>
          </cell>
          <cell r="F207">
            <v>7135</v>
          </cell>
          <cell r="G207">
            <v>0</v>
          </cell>
          <cell r="H207">
            <v>0.5</v>
          </cell>
          <cell r="I207">
            <v>0.5</v>
          </cell>
          <cell r="J207">
            <v>23.5</v>
          </cell>
          <cell r="N207">
            <v>0</v>
          </cell>
          <cell r="R207">
            <v>0</v>
          </cell>
          <cell r="V207">
            <v>0</v>
          </cell>
          <cell r="X207">
            <v>0</v>
          </cell>
          <cell r="Y207">
            <v>0</v>
          </cell>
        </row>
        <row r="208">
          <cell r="C208">
            <v>7135</v>
          </cell>
          <cell r="D208">
            <v>7135</v>
          </cell>
          <cell r="E208">
            <v>7135</v>
          </cell>
          <cell r="F208">
            <v>7135</v>
          </cell>
          <cell r="G208">
            <v>0</v>
          </cell>
          <cell r="H208">
            <v>0</v>
          </cell>
          <cell r="I208">
            <v>0</v>
          </cell>
          <cell r="J208">
            <v>24</v>
          </cell>
          <cell r="N208">
            <v>0</v>
          </cell>
          <cell r="R208">
            <v>0</v>
          </cell>
          <cell r="V208">
            <v>0</v>
          </cell>
          <cell r="X208">
            <v>0</v>
          </cell>
          <cell r="Y208">
            <v>0</v>
          </cell>
        </row>
        <row r="209">
          <cell r="C209">
            <v>7135</v>
          </cell>
          <cell r="D209">
            <v>7135</v>
          </cell>
          <cell r="E209">
            <v>7135</v>
          </cell>
          <cell r="F209">
            <v>7146</v>
          </cell>
          <cell r="G209">
            <v>0</v>
          </cell>
          <cell r="H209">
            <v>11</v>
          </cell>
          <cell r="I209">
            <v>11</v>
          </cell>
          <cell r="J209">
            <v>13</v>
          </cell>
          <cell r="N209">
            <v>0</v>
          </cell>
          <cell r="R209">
            <v>0</v>
          </cell>
          <cell r="V209">
            <v>0</v>
          </cell>
          <cell r="X209">
            <v>0</v>
          </cell>
          <cell r="Y209">
            <v>0</v>
          </cell>
        </row>
        <row r="210">
          <cell r="C210">
            <v>7146</v>
          </cell>
          <cell r="D210">
            <v>7155</v>
          </cell>
          <cell r="E210">
            <v>7155</v>
          </cell>
          <cell r="F210">
            <v>7160.8</v>
          </cell>
          <cell r="G210">
            <v>9</v>
          </cell>
          <cell r="H210">
            <v>5.8000000000001819</v>
          </cell>
          <cell r="I210">
            <v>14.800000000000182</v>
          </cell>
          <cell r="J210">
            <v>7.7499999999998224</v>
          </cell>
          <cell r="L210">
            <v>0.76736111111111116</v>
          </cell>
          <cell r="M210">
            <v>0.82291666666666663</v>
          </cell>
          <cell r="N210">
            <v>1.3333333333333313</v>
          </cell>
          <cell r="O210" t="str">
            <v>Cant start</v>
          </cell>
          <cell r="P210">
            <v>0.67569444444444438</v>
          </cell>
          <cell r="Q210">
            <v>0.68055555555555547</v>
          </cell>
          <cell r="R210">
            <v>0.11666666666666625</v>
          </cell>
          <cell r="S210" t="str">
            <v>Over head, tambah air radiator</v>
          </cell>
          <cell r="V210">
            <v>0</v>
          </cell>
          <cell r="X210">
            <v>1.4499999999999975</v>
          </cell>
          <cell r="Y210" t="str">
            <v>Cant start,Over head, tambah air radiator</v>
          </cell>
        </row>
        <row r="211">
          <cell r="C211">
            <v>7160.8</v>
          </cell>
          <cell r="D211">
            <v>7168</v>
          </cell>
          <cell r="E211">
            <v>7168</v>
          </cell>
          <cell r="F211">
            <v>7178</v>
          </cell>
          <cell r="G211">
            <v>7.1999999999998181</v>
          </cell>
          <cell r="H211">
            <v>10</v>
          </cell>
          <cell r="I211">
            <v>17.199999999999818</v>
          </cell>
          <cell r="J211">
            <v>4.8000000000001819</v>
          </cell>
          <cell r="L211">
            <v>0.84027777777777779</v>
          </cell>
          <cell r="M211">
            <v>0.86111111111111116</v>
          </cell>
          <cell r="N211">
            <v>0.50000000000000089</v>
          </cell>
          <cell r="P211">
            <v>0.79166666666666663</v>
          </cell>
          <cell r="Q211">
            <v>0.85416666666666663</v>
          </cell>
          <cell r="R211">
            <v>1.5</v>
          </cell>
          <cell r="S211" t="str">
            <v>Repaire lampu kerja</v>
          </cell>
          <cell r="V211">
            <v>0</v>
          </cell>
          <cell r="X211">
            <v>2.0000000000000009</v>
          </cell>
          <cell r="Y211" t="str">
            <v>Repaire lampu kerja</v>
          </cell>
        </row>
        <row r="212">
          <cell r="C212">
            <v>7178</v>
          </cell>
          <cell r="D212">
            <v>7185</v>
          </cell>
          <cell r="E212">
            <v>7185</v>
          </cell>
          <cell r="F212">
            <v>7185</v>
          </cell>
          <cell r="G212">
            <v>7</v>
          </cell>
          <cell r="H212">
            <v>0</v>
          </cell>
          <cell r="I212">
            <v>7</v>
          </cell>
          <cell r="J212">
            <v>16.25</v>
          </cell>
          <cell r="L212">
            <v>0.37152777777777773</v>
          </cell>
          <cell r="M212">
            <v>0.40277777777777773</v>
          </cell>
          <cell r="N212">
            <v>0.75</v>
          </cell>
          <cell r="O212" t="str">
            <v>Alarm mundur off</v>
          </cell>
          <cell r="R212">
            <v>0</v>
          </cell>
          <cell r="V212">
            <v>0</v>
          </cell>
          <cell r="X212">
            <v>0.75</v>
          </cell>
          <cell r="Y212" t="str">
            <v>Alarm mundur off</v>
          </cell>
        </row>
        <row r="213">
          <cell r="C213">
            <v>7185</v>
          </cell>
          <cell r="D213">
            <v>7194.5</v>
          </cell>
          <cell r="E213">
            <v>7194.5</v>
          </cell>
          <cell r="F213">
            <v>7194.5</v>
          </cell>
          <cell r="G213">
            <v>9.5</v>
          </cell>
          <cell r="H213">
            <v>0</v>
          </cell>
          <cell r="I213">
            <v>9.5</v>
          </cell>
          <cell r="J213">
            <v>14.5</v>
          </cell>
          <cell r="N213">
            <v>0</v>
          </cell>
          <cell r="R213">
            <v>0</v>
          </cell>
          <cell r="V213">
            <v>0</v>
          </cell>
          <cell r="X213">
            <v>0</v>
          </cell>
          <cell r="Y213">
            <v>0</v>
          </cell>
        </row>
        <row r="214">
          <cell r="C214">
            <v>7194.5</v>
          </cell>
          <cell r="D214">
            <v>7198.5</v>
          </cell>
          <cell r="E214">
            <v>7198.5</v>
          </cell>
          <cell r="F214">
            <v>7204</v>
          </cell>
          <cell r="G214">
            <v>4</v>
          </cell>
          <cell r="H214">
            <v>5.5</v>
          </cell>
          <cell r="I214">
            <v>9.5</v>
          </cell>
          <cell r="J214">
            <v>14.333333333333334</v>
          </cell>
          <cell r="L214">
            <v>0.32291666666666669</v>
          </cell>
          <cell r="M214">
            <v>0.3298611111111111</v>
          </cell>
          <cell r="N214">
            <v>0.16666666666666607</v>
          </cell>
          <cell r="O214" t="str">
            <v>Oil engine low</v>
          </cell>
          <cell r="R214">
            <v>0</v>
          </cell>
          <cell r="V214">
            <v>0</v>
          </cell>
          <cell r="X214">
            <v>0.16666666666666607</v>
          </cell>
          <cell r="Y214" t="str">
            <v>Oil engine low</v>
          </cell>
        </row>
        <row r="215">
          <cell r="C215">
            <v>7204</v>
          </cell>
          <cell r="D215">
            <v>7204</v>
          </cell>
          <cell r="E215">
            <v>7204</v>
          </cell>
          <cell r="F215">
            <v>7208.7</v>
          </cell>
          <cell r="G215">
            <v>0</v>
          </cell>
          <cell r="H215">
            <v>4.6999999999998181</v>
          </cell>
          <cell r="I215">
            <v>4.6999999999998181</v>
          </cell>
          <cell r="J215">
            <v>19.300000000000182</v>
          </cell>
          <cell r="N215">
            <v>0</v>
          </cell>
          <cell r="R215">
            <v>0</v>
          </cell>
          <cell r="X215">
            <v>0</v>
          </cell>
          <cell r="Y215">
            <v>0</v>
          </cell>
        </row>
        <row r="216">
          <cell r="C216">
            <v>7208.7</v>
          </cell>
          <cell r="D216">
            <v>7215.2</v>
          </cell>
          <cell r="E216">
            <v>7215.2</v>
          </cell>
          <cell r="F216">
            <v>7215.2</v>
          </cell>
          <cell r="G216">
            <v>6.5</v>
          </cell>
          <cell r="H216">
            <v>0</v>
          </cell>
          <cell r="I216">
            <v>6.5</v>
          </cell>
          <cell r="J216">
            <v>16.75</v>
          </cell>
          <cell r="L216">
            <v>0.15625</v>
          </cell>
          <cell r="M216">
            <v>0.1875</v>
          </cell>
          <cell r="N216">
            <v>0.75</v>
          </cell>
          <cell r="O216" t="str">
            <v>Lampu kerja off</v>
          </cell>
          <cell r="R216">
            <v>0</v>
          </cell>
          <cell r="V216">
            <v>0</v>
          </cell>
          <cell r="X216">
            <v>0.75</v>
          </cell>
          <cell r="Y216" t="str">
            <v>Lampu kerja off</v>
          </cell>
        </row>
        <row r="217">
          <cell r="C217">
            <v>7215.2</v>
          </cell>
          <cell r="D217">
            <v>7224.2</v>
          </cell>
          <cell r="E217">
            <v>7224.2</v>
          </cell>
          <cell r="F217">
            <v>7228.5</v>
          </cell>
          <cell r="G217">
            <v>9</v>
          </cell>
          <cell r="H217">
            <v>4.3000000000001819</v>
          </cell>
          <cell r="I217">
            <v>13.300000000000182</v>
          </cell>
          <cell r="J217">
            <v>10.416666666666487</v>
          </cell>
          <cell r="L217">
            <v>0.81458333333333333</v>
          </cell>
          <cell r="M217">
            <v>0.82638888888888884</v>
          </cell>
          <cell r="N217">
            <v>0.28333333333333233</v>
          </cell>
          <cell r="O217" t="str">
            <v>Repaire lampu kerja</v>
          </cell>
          <cell r="R217">
            <v>0</v>
          </cell>
          <cell r="V217">
            <v>0</v>
          </cell>
          <cell r="X217">
            <v>0.28333333333333233</v>
          </cell>
          <cell r="Y217" t="str">
            <v>Repaire lampu kerja</v>
          </cell>
        </row>
        <row r="218">
          <cell r="C218">
            <v>7228.5</v>
          </cell>
          <cell r="D218">
            <v>7237</v>
          </cell>
          <cell r="E218">
            <v>7237</v>
          </cell>
          <cell r="F218">
            <v>7245</v>
          </cell>
          <cell r="G218">
            <v>8.5</v>
          </cell>
          <cell r="H218">
            <v>8</v>
          </cell>
          <cell r="I218">
            <v>16.5</v>
          </cell>
          <cell r="J218">
            <v>7.25</v>
          </cell>
          <cell r="L218">
            <v>0.34375</v>
          </cell>
          <cell r="M218">
            <v>0.35416666666666669</v>
          </cell>
          <cell r="N218">
            <v>0.25000000000000044</v>
          </cell>
          <cell r="O218" t="str">
            <v>Pedal gas abnormal</v>
          </cell>
          <cell r="R218">
            <v>0</v>
          </cell>
          <cell r="V218">
            <v>0</v>
          </cell>
          <cell r="X218">
            <v>0.25000000000000044</v>
          </cell>
          <cell r="Y218" t="str">
            <v>Pedal gas abnormal</v>
          </cell>
        </row>
        <row r="219">
          <cell r="C219">
            <v>7245</v>
          </cell>
          <cell r="D219">
            <v>7253</v>
          </cell>
          <cell r="E219">
            <v>7253</v>
          </cell>
          <cell r="F219">
            <v>7263</v>
          </cell>
          <cell r="G219">
            <v>8</v>
          </cell>
          <cell r="H219">
            <v>10</v>
          </cell>
          <cell r="I219">
            <v>18</v>
          </cell>
          <cell r="J219">
            <v>5.5</v>
          </cell>
          <cell r="L219">
            <v>0.69791666666666663</v>
          </cell>
          <cell r="M219">
            <v>0.71875</v>
          </cell>
          <cell r="N219">
            <v>0.50000000000000089</v>
          </cell>
          <cell r="O219" t="str">
            <v>Hose tilt bocor</v>
          </cell>
          <cell r="R219">
            <v>0</v>
          </cell>
          <cell r="V219">
            <v>0</v>
          </cell>
          <cell r="X219">
            <v>0.50000000000000089</v>
          </cell>
          <cell r="Y219" t="str">
            <v>Hose tilt bocor</v>
          </cell>
        </row>
        <row r="220">
          <cell r="C220">
            <v>7263</v>
          </cell>
          <cell r="D220">
            <v>7267</v>
          </cell>
          <cell r="E220">
            <v>7267</v>
          </cell>
          <cell r="F220">
            <v>7267</v>
          </cell>
          <cell r="G220">
            <v>4</v>
          </cell>
          <cell r="H220">
            <v>0</v>
          </cell>
          <cell r="I220">
            <v>4</v>
          </cell>
          <cell r="J220">
            <v>20</v>
          </cell>
          <cell r="N220">
            <v>0</v>
          </cell>
          <cell r="R220">
            <v>0</v>
          </cell>
          <cell r="V220">
            <v>0</v>
          </cell>
          <cell r="X220">
            <v>0</v>
          </cell>
          <cell r="Y220">
            <v>0</v>
          </cell>
        </row>
        <row r="221">
          <cell r="C221">
            <v>7267</v>
          </cell>
          <cell r="D221">
            <v>7267</v>
          </cell>
          <cell r="E221">
            <v>7267</v>
          </cell>
          <cell r="F221">
            <v>7278</v>
          </cell>
          <cell r="G221">
            <v>0</v>
          </cell>
          <cell r="H221">
            <v>11</v>
          </cell>
          <cell r="I221">
            <v>11</v>
          </cell>
          <cell r="J221">
            <v>13</v>
          </cell>
          <cell r="N221">
            <v>0</v>
          </cell>
          <cell r="R221">
            <v>0</v>
          </cell>
          <cell r="V221">
            <v>0</v>
          </cell>
          <cell r="X221">
            <v>0</v>
          </cell>
          <cell r="Y221">
            <v>0</v>
          </cell>
        </row>
        <row r="222">
          <cell r="C222">
            <v>7278</v>
          </cell>
          <cell r="D222">
            <v>7287</v>
          </cell>
          <cell r="E222">
            <v>7287</v>
          </cell>
          <cell r="F222">
            <v>7297</v>
          </cell>
          <cell r="G222">
            <v>9</v>
          </cell>
          <cell r="H222">
            <v>10</v>
          </cell>
          <cell r="I222">
            <v>19</v>
          </cell>
          <cell r="J222">
            <v>5</v>
          </cell>
          <cell r="N222">
            <v>0</v>
          </cell>
          <cell r="R222">
            <v>0</v>
          </cell>
          <cell r="V222">
            <v>0</v>
          </cell>
          <cell r="X222">
            <v>0</v>
          </cell>
          <cell r="Y222">
            <v>0</v>
          </cell>
        </row>
        <row r="223">
          <cell r="C223">
            <v>7297</v>
          </cell>
          <cell r="D223">
            <v>7301</v>
          </cell>
          <cell r="E223">
            <v>7301</v>
          </cell>
          <cell r="F223">
            <v>7301</v>
          </cell>
          <cell r="G223">
            <v>4</v>
          </cell>
          <cell r="H223">
            <v>0</v>
          </cell>
          <cell r="I223">
            <v>4</v>
          </cell>
          <cell r="J223">
            <v>20</v>
          </cell>
          <cell r="N223">
            <v>0</v>
          </cell>
          <cell r="R223">
            <v>0</v>
          </cell>
          <cell r="V223">
            <v>0</v>
          </cell>
          <cell r="X223">
            <v>0</v>
          </cell>
          <cell r="Y223">
            <v>0</v>
          </cell>
        </row>
        <row r="224">
          <cell r="C224">
            <v>7301</v>
          </cell>
          <cell r="D224">
            <v>7309</v>
          </cell>
          <cell r="E224">
            <v>7309</v>
          </cell>
          <cell r="F224">
            <v>7320</v>
          </cell>
          <cell r="G224">
            <v>8</v>
          </cell>
          <cell r="H224">
            <v>11</v>
          </cell>
          <cell r="I224">
            <v>19</v>
          </cell>
          <cell r="J224">
            <v>4.9166666666666679</v>
          </cell>
          <cell r="L224">
            <v>0.85416666666666663</v>
          </cell>
          <cell r="M224">
            <v>0.85763888888888884</v>
          </cell>
          <cell r="N224">
            <v>8.3333333333333037E-2</v>
          </cell>
          <cell r="O224" t="str">
            <v>Water radiator low</v>
          </cell>
          <cell r="R224">
            <v>0</v>
          </cell>
          <cell r="V224">
            <v>0</v>
          </cell>
          <cell r="X224">
            <v>8.3333333333333037E-2</v>
          </cell>
          <cell r="Y224" t="str">
            <v>Water radiator low</v>
          </cell>
        </row>
        <row r="225">
          <cell r="C225">
            <v>7320</v>
          </cell>
          <cell r="D225">
            <v>7321</v>
          </cell>
          <cell r="E225">
            <v>7321</v>
          </cell>
          <cell r="F225">
            <v>7321</v>
          </cell>
          <cell r="G225">
            <v>1</v>
          </cell>
          <cell r="H225">
            <v>0</v>
          </cell>
          <cell r="I225">
            <v>1</v>
          </cell>
          <cell r="J225">
            <v>17.133333333333333</v>
          </cell>
          <cell r="L225">
            <v>0.30763888888888891</v>
          </cell>
          <cell r="M225">
            <v>0.55208333333333337</v>
          </cell>
          <cell r="N225">
            <v>5.8666666666666671</v>
          </cell>
          <cell r="O225" t="str">
            <v>Ac hot</v>
          </cell>
          <cell r="R225">
            <v>0</v>
          </cell>
          <cell r="V225">
            <v>0</v>
          </cell>
          <cell r="X225">
            <v>5.8666666666666671</v>
          </cell>
          <cell r="Y225" t="str">
            <v>Ac hot</v>
          </cell>
        </row>
        <row r="226">
          <cell r="C226">
            <v>7321</v>
          </cell>
          <cell r="D226">
            <v>7330</v>
          </cell>
          <cell r="E226">
            <v>7330</v>
          </cell>
          <cell r="F226">
            <v>7340</v>
          </cell>
          <cell r="G226">
            <v>9</v>
          </cell>
          <cell r="H226">
            <v>10</v>
          </cell>
          <cell r="I226">
            <v>19</v>
          </cell>
          <cell r="J226">
            <v>4.8999999999999986</v>
          </cell>
          <cell r="L226">
            <v>0.79513888888888884</v>
          </cell>
          <cell r="M226">
            <v>0.7993055555555556</v>
          </cell>
          <cell r="N226">
            <v>0.10000000000000231</v>
          </cell>
          <cell r="O226" t="str">
            <v>Perbaikan lampu kerja</v>
          </cell>
          <cell r="R226">
            <v>0</v>
          </cell>
          <cell r="V226">
            <v>0</v>
          </cell>
          <cell r="X226">
            <v>0.10000000000000231</v>
          </cell>
          <cell r="Y226" t="str">
            <v>Perbaikan lampu kerja</v>
          </cell>
        </row>
        <row r="227">
          <cell r="C227">
            <v>7340</v>
          </cell>
          <cell r="D227">
            <v>7348</v>
          </cell>
          <cell r="E227">
            <v>7348</v>
          </cell>
          <cell r="F227">
            <v>7360</v>
          </cell>
          <cell r="G227">
            <v>8</v>
          </cell>
          <cell r="H227">
            <v>12</v>
          </cell>
          <cell r="I227">
            <v>20</v>
          </cell>
          <cell r="J227">
            <v>4</v>
          </cell>
          <cell r="N227">
            <v>0</v>
          </cell>
          <cell r="R227">
            <v>0</v>
          </cell>
          <cell r="V227">
            <v>0</v>
          </cell>
          <cell r="X227">
            <v>0</v>
          </cell>
          <cell r="Y227">
            <v>0</v>
          </cell>
        </row>
        <row r="228">
          <cell r="C228">
            <v>7360</v>
          </cell>
          <cell r="D228">
            <v>7368</v>
          </cell>
          <cell r="E228">
            <v>7368</v>
          </cell>
          <cell r="F228">
            <v>7368</v>
          </cell>
          <cell r="G228">
            <v>8</v>
          </cell>
          <cell r="H228">
            <v>0</v>
          </cell>
          <cell r="I228">
            <v>8</v>
          </cell>
          <cell r="J228">
            <v>16</v>
          </cell>
          <cell r="N228">
            <v>0</v>
          </cell>
          <cell r="R228">
            <v>0</v>
          </cell>
          <cell r="V228">
            <v>0</v>
          </cell>
          <cell r="X228">
            <v>0</v>
          </cell>
          <cell r="Y228">
            <v>0</v>
          </cell>
        </row>
        <row r="229">
          <cell r="C229">
            <v>7368</v>
          </cell>
          <cell r="D229">
            <v>7374</v>
          </cell>
          <cell r="E229">
            <v>7374</v>
          </cell>
          <cell r="F229">
            <v>7385</v>
          </cell>
          <cell r="G229">
            <v>6</v>
          </cell>
          <cell r="H229">
            <v>11</v>
          </cell>
          <cell r="I229">
            <v>17</v>
          </cell>
          <cell r="J229">
            <v>3.6666666666666679</v>
          </cell>
          <cell r="L229">
            <v>0.29166666666666669</v>
          </cell>
          <cell r="M229">
            <v>0.43055555555555558</v>
          </cell>
          <cell r="N229">
            <v>3.3333333333333335</v>
          </cell>
          <cell r="O229" t="str">
            <v>Ac abnormal</v>
          </cell>
          <cell r="R229">
            <v>0</v>
          </cell>
          <cell r="V229">
            <v>0</v>
          </cell>
          <cell r="X229">
            <v>3.3333333333333335</v>
          </cell>
          <cell r="Y229" t="str">
            <v>Ac abnormal</v>
          </cell>
        </row>
        <row r="230">
          <cell r="C230">
            <v>7385</v>
          </cell>
          <cell r="D230">
            <v>7392</v>
          </cell>
          <cell r="E230">
            <v>7392</v>
          </cell>
          <cell r="F230">
            <v>7392</v>
          </cell>
          <cell r="G230">
            <v>7</v>
          </cell>
          <cell r="H230">
            <v>0</v>
          </cell>
          <cell r="I230">
            <v>7</v>
          </cell>
          <cell r="J230">
            <v>17</v>
          </cell>
          <cell r="N230">
            <v>0</v>
          </cell>
          <cell r="R230">
            <v>0</v>
          </cell>
          <cell r="V230">
            <v>0</v>
          </cell>
          <cell r="X230">
            <v>0</v>
          </cell>
          <cell r="Y230">
            <v>0</v>
          </cell>
        </row>
        <row r="231">
          <cell r="C231">
            <v>7392</v>
          </cell>
          <cell r="D231">
            <v>7392</v>
          </cell>
          <cell r="E231">
            <v>7392</v>
          </cell>
          <cell r="F231">
            <v>7392</v>
          </cell>
          <cell r="G231">
            <v>0</v>
          </cell>
          <cell r="H231">
            <v>0</v>
          </cell>
          <cell r="I231">
            <v>0</v>
          </cell>
          <cell r="J231">
            <v>24</v>
          </cell>
          <cell r="K231" t="str">
            <v>Standby</v>
          </cell>
          <cell r="N231">
            <v>0</v>
          </cell>
          <cell r="R231">
            <v>0</v>
          </cell>
          <cell r="V231">
            <v>0</v>
          </cell>
          <cell r="X231">
            <v>0</v>
          </cell>
          <cell r="Y231">
            <v>0</v>
          </cell>
        </row>
        <row r="232">
          <cell r="C232">
            <v>7392</v>
          </cell>
          <cell r="D232">
            <v>7392</v>
          </cell>
          <cell r="E232">
            <v>7392</v>
          </cell>
          <cell r="F232">
            <v>7392</v>
          </cell>
          <cell r="G232">
            <v>0</v>
          </cell>
          <cell r="H232">
            <v>0</v>
          </cell>
          <cell r="I232">
            <v>0</v>
          </cell>
          <cell r="J232">
            <v>24</v>
          </cell>
          <cell r="K232" t="str">
            <v>Standby</v>
          </cell>
          <cell r="N232">
            <v>0</v>
          </cell>
          <cell r="R232">
            <v>0</v>
          </cell>
          <cell r="V232">
            <v>0</v>
          </cell>
          <cell r="X232">
            <v>0</v>
          </cell>
          <cell r="Y232">
            <v>0</v>
          </cell>
        </row>
        <row r="233">
          <cell r="C233">
            <v>7392</v>
          </cell>
          <cell r="D233">
            <v>7392</v>
          </cell>
          <cell r="E233">
            <v>7392</v>
          </cell>
          <cell r="F233">
            <v>7392</v>
          </cell>
          <cell r="G233">
            <v>0</v>
          </cell>
          <cell r="H233">
            <v>0</v>
          </cell>
          <cell r="I233">
            <v>0</v>
          </cell>
          <cell r="J233">
            <v>24</v>
          </cell>
          <cell r="K233" t="str">
            <v>Standby</v>
          </cell>
          <cell r="N233">
            <v>0</v>
          </cell>
          <cell r="R233">
            <v>0</v>
          </cell>
          <cell r="V233">
            <v>0</v>
          </cell>
          <cell r="X233">
            <v>0</v>
          </cell>
          <cell r="Y233">
            <v>0</v>
          </cell>
        </row>
        <row r="234">
          <cell r="C234">
            <v>7125</v>
          </cell>
          <cell r="D234">
            <v>7392</v>
          </cell>
          <cell r="E234">
            <v>7125</v>
          </cell>
          <cell r="F234">
            <v>7392</v>
          </cell>
          <cell r="G234">
            <v>132.69999999999982</v>
          </cell>
          <cell r="H234">
            <v>134.30000000000018</v>
          </cell>
          <cell r="I234">
            <v>267</v>
          </cell>
          <cell r="J234">
            <v>461.4666666666667</v>
          </cell>
          <cell r="N234">
            <v>13.91666666666667</v>
          </cell>
          <cell r="R234">
            <v>1.6166666666666663</v>
          </cell>
          <cell r="V234">
            <v>0</v>
          </cell>
        </row>
        <row r="235">
          <cell r="V235" t="str">
            <v/>
          </cell>
        </row>
        <row r="236">
          <cell r="C236">
            <v>8337.5</v>
          </cell>
          <cell r="D236">
            <v>8337.5</v>
          </cell>
          <cell r="E236">
            <v>8337.5</v>
          </cell>
          <cell r="F236">
            <v>8337.5</v>
          </cell>
          <cell r="G236">
            <v>0</v>
          </cell>
          <cell r="H236">
            <v>0</v>
          </cell>
          <cell r="I236">
            <v>0</v>
          </cell>
          <cell r="J236">
            <v>24</v>
          </cell>
          <cell r="N236">
            <v>0</v>
          </cell>
          <cell r="R236">
            <v>0</v>
          </cell>
          <cell r="V236">
            <v>0</v>
          </cell>
          <cell r="X236">
            <v>0</v>
          </cell>
          <cell r="Y236">
            <v>0</v>
          </cell>
        </row>
        <row r="237">
          <cell r="C237">
            <v>8337.5</v>
          </cell>
          <cell r="D237">
            <v>8337.5</v>
          </cell>
          <cell r="E237">
            <v>8337.5</v>
          </cell>
          <cell r="F237">
            <v>8337.5</v>
          </cell>
          <cell r="G237">
            <v>0</v>
          </cell>
          <cell r="H237">
            <v>0</v>
          </cell>
          <cell r="I237">
            <v>0</v>
          </cell>
          <cell r="J237">
            <v>24</v>
          </cell>
          <cell r="N237">
            <v>0</v>
          </cell>
          <cell r="R237">
            <v>0</v>
          </cell>
          <cell r="V237">
            <v>0</v>
          </cell>
          <cell r="X237">
            <v>0</v>
          </cell>
          <cell r="Y237">
            <v>0</v>
          </cell>
        </row>
        <row r="238">
          <cell r="C238">
            <v>8337.5</v>
          </cell>
          <cell r="D238">
            <v>8337.5</v>
          </cell>
          <cell r="E238">
            <v>8337.5</v>
          </cell>
          <cell r="F238">
            <v>8337.5</v>
          </cell>
          <cell r="G238">
            <v>0</v>
          </cell>
          <cell r="H238">
            <v>0</v>
          </cell>
          <cell r="I238">
            <v>0</v>
          </cell>
          <cell r="J238">
            <v>24</v>
          </cell>
          <cell r="N238">
            <v>0</v>
          </cell>
          <cell r="R238">
            <v>0</v>
          </cell>
          <cell r="V238">
            <v>0</v>
          </cell>
          <cell r="X238">
            <v>0</v>
          </cell>
          <cell r="Y238">
            <v>0</v>
          </cell>
        </row>
        <row r="239">
          <cell r="C239">
            <v>8337.5</v>
          </cell>
          <cell r="D239">
            <v>8337.5</v>
          </cell>
          <cell r="E239">
            <v>8337.5</v>
          </cell>
          <cell r="F239">
            <v>8337.5</v>
          </cell>
          <cell r="G239">
            <v>0</v>
          </cell>
          <cell r="H239">
            <v>0</v>
          </cell>
          <cell r="I239">
            <v>0</v>
          </cell>
          <cell r="J239">
            <v>24</v>
          </cell>
          <cell r="N239">
            <v>0</v>
          </cell>
          <cell r="R239">
            <v>0</v>
          </cell>
          <cell r="V239">
            <v>0</v>
          </cell>
          <cell r="X239">
            <v>0</v>
          </cell>
          <cell r="Y239">
            <v>0</v>
          </cell>
        </row>
        <row r="240">
          <cell r="C240">
            <v>8337.5</v>
          </cell>
          <cell r="D240">
            <v>8337.5</v>
          </cell>
          <cell r="E240">
            <v>8337.5</v>
          </cell>
          <cell r="F240">
            <v>8340</v>
          </cell>
          <cell r="G240">
            <v>0</v>
          </cell>
          <cell r="H240">
            <v>2.5</v>
          </cell>
          <cell r="I240">
            <v>2.5</v>
          </cell>
          <cell r="J240">
            <v>19.5</v>
          </cell>
          <cell r="L240">
            <v>0.78125</v>
          </cell>
          <cell r="M240">
            <v>0.86458333333333337</v>
          </cell>
          <cell r="N240">
            <v>2.0000000000000009</v>
          </cell>
          <cell r="O240" t="str">
            <v>Lampu kerja mati semua</v>
          </cell>
          <cell r="R240">
            <v>0</v>
          </cell>
          <cell r="V240">
            <v>0</v>
          </cell>
          <cell r="X240">
            <v>2.0000000000000009</v>
          </cell>
          <cell r="Y240" t="str">
            <v>Lampu kerja mati semua</v>
          </cell>
        </row>
        <row r="241">
          <cell r="C241">
            <v>8340</v>
          </cell>
          <cell r="D241">
            <v>8340</v>
          </cell>
          <cell r="E241">
            <v>8340</v>
          </cell>
          <cell r="F241">
            <v>8340</v>
          </cell>
          <cell r="G241">
            <v>0</v>
          </cell>
          <cell r="H241">
            <v>0</v>
          </cell>
          <cell r="I241">
            <v>0</v>
          </cell>
          <cell r="J241">
            <v>24</v>
          </cell>
          <cell r="N241">
            <v>0</v>
          </cell>
          <cell r="R241">
            <v>0</v>
          </cell>
          <cell r="V241">
            <v>0</v>
          </cell>
          <cell r="X241">
            <v>0</v>
          </cell>
          <cell r="Y241">
            <v>0</v>
          </cell>
        </row>
        <row r="242">
          <cell r="C242">
            <v>8340</v>
          </cell>
          <cell r="D242">
            <v>8340</v>
          </cell>
          <cell r="E242">
            <v>8340</v>
          </cell>
          <cell r="F242">
            <v>8340</v>
          </cell>
          <cell r="G242">
            <v>0</v>
          </cell>
          <cell r="H242">
            <v>0</v>
          </cell>
          <cell r="I242">
            <v>0</v>
          </cell>
          <cell r="J242">
            <v>24</v>
          </cell>
          <cell r="N242">
            <v>0</v>
          </cell>
          <cell r="R242">
            <v>0</v>
          </cell>
          <cell r="V242">
            <v>0</v>
          </cell>
          <cell r="X242">
            <v>0</v>
          </cell>
          <cell r="Y242">
            <v>0</v>
          </cell>
        </row>
        <row r="243">
          <cell r="C243">
            <v>8340</v>
          </cell>
          <cell r="D243">
            <v>8347</v>
          </cell>
          <cell r="E243">
            <v>8347</v>
          </cell>
          <cell r="F243">
            <v>8347</v>
          </cell>
          <cell r="G243">
            <v>7</v>
          </cell>
          <cell r="H243">
            <v>0</v>
          </cell>
          <cell r="I243">
            <v>7</v>
          </cell>
          <cell r="J243">
            <v>16.75</v>
          </cell>
          <cell r="L243">
            <v>0.37291666666666662</v>
          </cell>
          <cell r="M243">
            <v>0.3833333333333333</v>
          </cell>
          <cell r="N243">
            <v>0.25000000000000044</v>
          </cell>
          <cell r="O243" t="str">
            <v>Cant start</v>
          </cell>
          <cell r="V243">
            <v>0</v>
          </cell>
          <cell r="X243">
            <v>0.25000000000000044</v>
          </cell>
          <cell r="Y243" t="str">
            <v>Cant start</v>
          </cell>
        </row>
        <row r="244">
          <cell r="C244">
            <v>8347</v>
          </cell>
          <cell r="D244">
            <v>8348</v>
          </cell>
          <cell r="E244">
            <v>8348</v>
          </cell>
          <cell r="F244">
            <v>8348</v>
          </cell>
          <cell r="G244">
            <v>1</v>
          </cell>
          <cell r="H244">
            <v>0</v>
          </cell>
          <cell r="I244">
            <v>1</v>
          </cell>
          <cell r="J244">
            <v>23</v>
          </cell>
          <cell r="N244">
            <v>0</v>
          </cell>
          <cell r="V244">
            <v>0</v>
          </cell>
          <cell r="X244">
            <v>0</v>
          </cell>
          <cell r="Y244">
            <v>0</v>
          </cell>
        </row>
        <row r="245">
          <cell r="C245">
            <v>8348</v>
          </cell>
          <cell r="D245">
            <v>8357</v>
          </cell>
          <cell r="E245">
            <v>8357</v>
          </cell>
          <cell r="F245">
            <v>8366.5</v>
          </cell>
          <cell r="G245">
            <v>9</v>
          </cell>
          <cell r="H245">
            <v>9.5</v>
          </cell>
          <cell r="I245">
            <v>18.5</v>
          </cell>
          <cell r="J245">
            <v>5.3333333333333321</v>
          </cell>
          <cell r="L245">
            <v>0.30208333333333331</v>
          </cell>
          <cell r="M245">
            <v>0.30902777777777779</v>
          </cell>
          <cell r="N245">
            <v>0.16666666666666741</v>
          </cell>
          <cell r="O245" t="str">
            <v>Cant start</v>
          </cell>
          <cell r="V245">
            <v>0</v>
          </cell>
          <cell r="X245">
            <v>0.16666666666666741</v>
          </cell>
          <cell r="Y245" t="str">
            <v>Cant start</v>
          </cell>
        </row>
        <row r="246">
          <cell r="C246">
            <v>8366.5</v>
          </cell>
          <cell r="D246">
            <v>8374</v>
          </cell>
          <cell r="E246">
            <v>8374</v>
          </cell>
          <cell r="F246">
            <v>8385</v>
          </cell>
          <cell r="G246">
            <v>7.5</v>
          </cell>
          <cell r="H246">
            <v>11</v>
          </cell>
          <cell r="I246">
            <v>18.5</v>
          </cell>
          <cell r="J246">
            <v>5.5</v>
          </cell>
          <cell r="N246">
            <v>0</v>
          </cell>
          <cell r="V246">
            <v>0</v>
          </cell>
          <cell r="X246">
            <v>0</v>
          </cell>
          <cell r="Y246">
            <v>0</v>
          </cell>
        </row>
        <row r="247">
          <cell r="C247">
            <v>8385</v>
          </cell>
          <cell r="D247">
            <v>8395</v>
          </cell>
          <cell r="E247">
            <v>8395</v>
          </cell>
          <cell r="F247">
            <v>8404</v>
          </cell>
          <cell r="G247">
            <v>10</v>
          </cell>
          <cell r="H247">
            <v>9</v>
          </cell>
          <cell r="I247">
            <v>19</v>
          </cell>
          <cell r="J247">
            <v>5</v>
          </cell>
          <cell r="N247">
            <v>0</v>
          </cell>
          <cell r="V247">
            <v>0</v>
          </cell>
          <cell r="X247">
            <v>0</v>
          </cell>
          <cell r="Y247">
            <v>0</v>
          </cell>
        </row>
        <row r="248">
          <cell r="C248">
            <v>8404</v>
          </cell>
          <cell r="D248">
            <v>8412.5</v>
          </cell>
          <cell r="E248">
            <v>8412.5</v>
          </cell>
          <cell r="F248">
            <v>8423</v>
          </cell>
          <cell r="G248">
            <v>8.5</v>
          </cell>
          <cell r="H248">
            <v>10.5</v>
          </cell>
          <cell r="I248">
            <v>19</v>
          </cell>
          <cell r="J248">
            <v>5</v>
          </cell>
          <cell r="N248">
            <v>0</v>
          </cell>
          <cell r="V248">
            <v>0</v>
          </cell>
          <cell r="X248">
            <v>0</v>
          </cell>
          <cell r="Y248">
            <v>0</v>
          </cell>
        </row>
        <row r="249">
          <cell r="C249">
            <v>8423</v>
          </cell>
          <cell r="D249">
            <v>8431.7999999999993</v>
          </cell>
          <cell r="E249">
            <v>8431.7999999999993</v>
          </cell>
          <cell r="F249">
            <v>8434</v>
          </cell>
          <cell r="G249">
            <v>8.7999999999992724</v>
          </cell>
          <cell r="H249">
            <v>2.2000000000007276</v>
          </cell>
          <cell r="I249">
            <v>11</v>
          </cell>
          <cell r="J249">
            <v>9.4333333333333336</v>
          </cell>
          <cell r="L249">
            <v>0.14305555555555557</v>
          </cell>
          <cell r="M249">
            <v>0.29166666666666669</v>
          </cell>
          <cell r="N249">
            <v>3.5666666666666664</v>
          </cell>
          <cell r="O249" t="str">
            <v>Oil hydrolick bocor</v>
          </cell>
          <cell r="V249">
            <v>0</v>
          </cell>
          <cell r="X249">
            <v>3.5666666666666664</v>
          </cell>
          <cell r="Y249" t="str">
            <v>Oil hydrolick bocor</v>
          </cell>
        </row>
        <row r="250">
          <cell r="C250">
            <v>8434</v>
          </cell>
          <cell r="D250">
            <v>8440.5</v>
          </cell>
          <cell r="E250">
            <v>8440.5</v>
          </cell>
          <cell r="F250">
            <v>8449</v>
          </cell>
          <cell r="G250">
            <v>6.5</v>
          </cell>
          <cell r="H250">
            <v>8.5</v>
          </cell>
          <cell r="I250">
            <v>15</v>
          </cell>
          <cell r="J250">
            <v>8</v>
          </cell>
          <cell r="L250">
            <v>0.29166666666666669</v>
          </cell>
          <cell r="M250">
            <v>0.33333333333333331</v>
          </cell>
          <cell r="N250">
            <v>0.99999999999999911</v>
          </cell>
          <cell r="O250" t="str">
            <v>Tilt blit bocor</v>
          </cell>
          <cell r="R250">
            <v>0</v>
          </cell>
          <cell r="V250">
            <v>0</v>
          </cell>
          <cell r="X250">
            <v>0.99999999999999911</v>
          </cell>
          <cell r="Y250" t="str">
            <v>Tilt blit bocor</v>
          </cell>
        </row>
        <row r="251">
          <cell r="C251">
            <v>8449</v>
          </cell>
          <cell r="D251">
            <v>8459</v>
          </cell>
          <cell r="E251">
            <v>8459</v>
          </cell>
          <cell r="F251">
            <v>8467.5</v>
          </cell>
          <cell r="G251">
            <v>10</v>
          </cell>
          <cell r="H251">
            <v>8.5</v>
          </cell>
          <cell r="I251">
            <v>18.5</v>
          </cell>
          <cell r="J251">
            <v>5.5</v>
          </cell>
          <cell r="N251">
            <v>0</v>
          </cell>
          <cell r="R251">
            <v>0</v>
          </cell>
          <cell r="V251">
            <v>0</v>
          </cell>
          <cell r="X251">
            <v>0</v>
          </cell>
          <cell r="Y251">
            <v>0</v>
          </cell>
        </row>
        <row r="252">
          <cell r="C252">
            <v>8467.5</v>
          </cell>
          <cell r="D252">
            <v>8476.5</v>
          </cell>
          <cell r="E252">
            <v>8476.5</v>
          </cell>
          <cell r="F252">
            <v>8476.5</v>
          </cell>
          <cell r="G252">
            <v>9</v>
          </cell>
          <cell r="H252">
            <v>0</v>
          </cell>
          <cell r="I252">
            <v>9</v>
          </cell>
          <cell r="J252">
            <v>15</v>
          </cell>
          <cell r="N252">
            <v>0</v>
          </cell>
          <cell r="R252">
            <v>0</v>
          </cell>
          <cell r="V252">
            <v>0</v>
          </cell>
          <cell r="X252">
            <v>0</v>
          </cell>
          <cell r="Y252">
            <v>0</v>
          </cell>
        </row>
        <row r="253">
          <cell r="C253">
            <v>8476.5</v>
          </cell>
          <cell r="D253">
            <v>8481</v>
          </cell>
          <cell r="E253">
            <v>8481</v>
          </cell>
          <cell r="F253">
            <v>8490.1</v>
          </cell>
          <cell r="G253">
            <v>4.5</v>
          </cell>
          <cell r="H253">
            <v>9.1000000000003638</v>
          </cell>
          <cell r="I253">
            <v>13.600000000000364</v>
          </cell>
          <cell r="J253">
            <v>10.399999999999636</v>
          </cell>
          <cell r="N253">
            <v>0</v>
          </cell>
          <cell r="R253">
            <v>0</v>
          </cell>
          <cell r="V253">
            <v>0</v>
          </cell>
          <cell r="X253">
            <v>0</v>
          </cell>
          <cell r="Y253">
            <v>0</v>
          </cell>
        </row>
        <row r="254">
          <cell r="C254">
            <v>8490.1</v>
          </cell>
          <cell r="D254">
            <v>8499.7000000000007</v>
          </cell>
          <cell r="E254">
            <v>8499.7000000000007</v>
          </cell>
          <cell r="F254">
            <v>8505</v>
          </cell>
          <cell r="G254">
            <v>9.6000000000003638</v>
          </cell>
          <cell r="H254">
            <v>5.2999999999992724</v>
          </cell>
          <cell r="I254">
            <v>14.899999999999636</v>
          </cell>
          <cell r="J254">
            <v>7.6000000000003638</v>
          </cell>
          <cell r="L254">
            <v>0.45833333333333331</v>
          </cell>
          <cell r="M254">
            <v>0.5</v>
          </cell>
          <cell r="N254">
            <v>1.0000000000000004</v>
          </cell>
          <cell r="O254" t="str">
            <v>Ac hot</v>
          </cell>
          <cell r="P254">
            <v>4.1666666666666664E-2</v>
          </cell>
          <cell r="Q254">
            <v>6.25E-2</v>
          </cell>
          <cell r="R254">
            <v>0.5</v>
          </cell>
          <cell r="S254" t="str">
            <v>PsII</v>
          </cell>
          <cell r="V254">
            <v>0</v>
          </cell>
          <cell r="X254">
            <v>1.5000000000000004</v>
          </cell>
          <cell r="Y254" t="str">
            <v>Ac hot,PsII</v>
          </cell>
        </row>
        <row r="255">
          <cell r="C255">
            <v>8505</v>
          </cell>
          <cell r="D255">
            <v>8508</v>
          </cell>
          <cell r="E255">
            <v>8508</v>
          </cell>
          <cell r="F255">
            <v>8508</v>
          </cell>
          <cell r="G255">
            <v>3</v>
          </cell>
          <cell r="H255">
            <v>0</v>
          </cell>
          <cell r="I255">
            <v>3</v>
          </cell>
          <cell r="J255">
            <v>21</v>
          </cell>
          <cell r="N255">
            <v>0</v>
          </cell>
          <cell r="R255">
            <v>0</v>
          </cell>
          <cell r="V255">
            <v>0</v>
          </cell>
          <cell r="X255">
            <v>0</v>
          </cell>
          <cell r="Y255">
            <v>0</v>
          </cell>
        </row>
        <row r="256">
          <cell r="C256">
            <v>8508</v>
          </cell>
          <cell r="D256">
            <v>8508</v>
          </cell>
          <cell r="E256">
            <v>8508</v>
          </cell>
          <cell r="F256">
            <v>8508</v>
          </cell>
          <cell r="G256">
            <v>0</v>
          </cell>
          <cell r="H256">
            <v>0</v>
          </cell>
          <cell r="I256">
            <v>0</v>
          </cell>
          <cell r="J256">
            <v>24</v>
          </cell>
          <cell r="N256">
            <v>0</v>
          </cell>
          <cell r="R256">
            <v>0</v>
          </cell>
          <cell r="V256">
            <v>0</v>
          </cell>
          <cell r="X256">
            <v>0</v>
          </cell>
          <cell r="Y256">
            <v>0</v>
          </cell>
        </row>
        <row r="257">
          <cell r="C257">
            <v>8508</v>
          </cell>
          <cell r="D257">
            <v>8508</v>
          </cell>
          <cell r="E257">
            <v>8508</v>
          </cell>
          <cell r="F257">
            <v>8508</v>
          </cell>
          <cell r="G257">
            <v>0</v>
          </cell>
          <cell r="H257">
            <v>0</v>
          </cell>
          <cell r="I257">
            <v>0</v>
          </cell>
          <cell r="J257">
            <v>24</v>
          </cell>
          <cell r="N257">
            <v>0</v>
          </cell>
          <cell r="R257">
            <v>0</v>
          </cell>
          <cell r="V257">
            <v>0</v>
          </cell>
          <cell r="X257">
            <v>0</v>
          </cell>
          <cell r="Y257">
            <v>0</v>
          </cell>
        </row>
        <row r="258">
          <cell r="C258">
            <v>8508</v>
          </cell>
          <cell r="D258">
            <v>8517</v>
          </cell>
          <cell r="E258">
            <v>8517</v>
          </cell>
          <cell r="F258">
            <v>8526.4</v>
          </cell>
          <cell r="G258">
            <v>9</v>
          </cell>
          <cell r="H258">
            <v>9.3999999999996362</v>
          </cell>
          <cell r="I258">
            <v>18.399999999999636</v>
          </cell>
          <cell r="J258">
            <v>5.6000000000003638</v>
          </cell>
          <cell r="N258">
            <v>0</v>
          </cell>
          <cell r="R258">
            <v>0</v>
          </cell>
          <cell r="V258">
            <v>0</v>
          </cell>
          <cell r="X258">
            <v>0</v>
          </cell>
          <cell r="Y258">
            <v>0</v>
          </cell>
        </row>
        <row r="259">
          <cell r="C259">
            <v>8526.4</v>
          </cell>
          <cell r="D259">
            <v>8533</v>
          </cell>
          <cell r="E259">
            <v>8533</v>
          </cell>
          <cell r="F259">
            <v>8533</v>
          </cell>
          <cell r="G259">
            <v>6.6000000000003638</v>
          </cell>
          <cell r="H259">
            <v>0</v>
          </cell>
          <cell r="I259">
            <v>6.6000000000003638</v>
          </cell>
          <cell r="J259">
            <v>17.399999999999636</v>
          </cell>
          <cell r="N259">
            <v>0</v>
          </cell>
          <cell r="R259">
            <v>0</v>
          </cell>
          <cell r="V259">
            <v>0</v>
          </cell>
          <cell r="X259">
            <v>0</v>
          </cell>
          <cell r="Y259">
            <v>0</v>
          </cell>
        </row>
        <row r="260">
          <cell r="C260">
            <v>8533</v>
          </cell>
          <cell r="D260">
            <v>8543</v>
          </cell>
          <cell r="E260">
            <v>8543</v>
          </cell>
          <cell r="F260">
            <v>8553.5</v>
          </cell>
          <cell r="G260">
            <v>10</v>
          </cell>
          <cell r="H260">
            <v>10.5</v>
          </cell>
          <cell r="I260">
            <v>20.5</v>
          </cell>
          <cell r="J260">
            <v>3.5</v>
          </cell>
          <cell r="N260">
            <v>0</v>
          </cell>
          <cell r="R260">
            <v>0</v>
          </cell>
          <cell r="V260">
            <v>0</v>
          </cell>
          <cell r="X260">
            <v>0</v>
          </cell>
          <cell r="Y260">
            <v>0</v>
          </cell>
        </row>
        <row r="261">
          <cell r="C261">
            <v>8553.5</v>
          </cell>
          <cell r="D261">
            <v>8563</v>
          </cell>
          <cell r="E261">
            <v>8563</v>
          </cell>
          <cell r="F261">
            <v>8574</v>
          </cell>
          <cell r="G261">
            <v>9.5</v>
          </cell>
          <cell r="H261">
            <v>11</v>
          </cell>
          <cell r="I261">
            <v>20.5</v>
          </cell>
          <cell r="J261">
            <v>3.5</v>
          </cell>
          <cell r="N261">
            <v>0</v>
          </cell>
          <cell r="R261">
            <v>0</v>
          </cell>
          <cell r="V261">
            <v>0</v>
          </cell>
          <cell r="X261">
            <v>0</v>
          </cell>
          <cell r="Y261">
            <v>0</v>
          </cell>
        </row>
        <row r="262">
          <cell r="C262">
            <v>8574</v>
          </cell>
          <cell r="D262">
            <v>8584</v>
          </cell>
          <cell r="E262">
            <v>8584</v>
          </cell>
          <cell r="F262">
            <v>8594</v>
          </cell>
          <cell r="G262">
            <v>10</v>
          </cell>
          <cell r="H262">
            <v>10</v>
          </cell>
          <cell r="I262">
            <v>20</v>
          </cell>
          <cell r="J262">
            <v>4</v>
          </cell>
          <cell r="N262">
            <v>0</v>
          </cell>
          <cell r="R262">
            <v>0</v>
          </cell>
          <cell r="V262">
            <v>0</v>
          </cell>
          <cell r="X262">
            <v>0</v>
          </cell>
          <cell r="Y262">
            <v>0</v>
          </cell>
        </row>
        <row r="263">
          <cell r="C263">
            <v>8594</v>
          </cell>
          <cell r="D263">
            <v>8603</v>
          </cell>
          <cell r="E263">
            <v>8603</v>
          </cell>
          <cell r="F263">
            <v>8605.5</v>
          </cell>
          <cell r="G263">
            <v>9</v>
          </cell>
          <cell r="H263">
            <v>2.5</v>
          </cell>
          <cell r="I263">
            <v>11.5</v>
          </cell>
          <cell r="J263">
            <v>10.116666666666788</v>
          </cell>
          <cell r="L263">
            <v>0.96180555555555547</v>
          </cell>
          <cell r="M263">
            <v>6.1111111111111116E-2</v>
          </cell>
          <cell r="N263">
            <v>2.3833333333332121</v>
          </cell>
          <cell r="O263" t="str">
            <v>Hose seal bocor</v>
          </cell>
          <cell r="R263">
            <v>0</v>
          </cell>
          <cell r="V263">
            <v>0</v>
          </cell>
          <cell r="X263">
            <v>2.3833333333332121</v>
          </cell>
          <cell r="Y263" t="str">
            <v>Hose seal bocor</v>
          </cell>
        </row>
        <row r="264">
          <cell r="C264">
            <v>8605.5</v>
          </cell>
          <cell r="D264">
            <v>8605.5</v>
          </cell>
          <cell r="E264">
            <v>8605.5</v>
          </cell>
          <cell r="F264">
            <v>8605.5</v>
          </cell>
          <cell r="G264">
            <v>0</v>
          </cell>
          <cell r="H264">
            <v>0</v>
          </cell>
          <cell r="I264">
            <v>0</v>
          </cell>
          <cell r="J264">
            <v>24</v>
          </cell>
          <cell r="K264" t="str">
            <v>Standby</v>
          </cell>
          <cell r="N264">
            <v>0</v>
          </cell>
          <cell r="R264">
            <v>0</v>
          </cell>
          <cell r="V264">
            <v>0</v>
          </cell>
          <cell r="X264">
            <v>0</v>
          </cell>
          <cell r="Y264">
            <v>0</v>
          </cell>
        </row>
        <row r="265">
          <cell r="C265">
            <v>8605.5</v>
          </cell>
          <cell r="D265">
            <v>8605.5</v>
          </cell>
          <cell r="E265">
            <v>8605.5</v>
          </cell>
          <cell r="F265">
            <v>8605.5</v>
          </cell>
          <cell r="G265">
            <v>0</v>
          </cell>
          <cell r="H265">
            <v>0</v>
          </cell>
          <cell r="I265">
            <v>0</v>
          </cell>
          <cell r="J265">
            <v>24</v>
          </cell>
          <cell r="K265" t="str">
            <v>Standby</v>
          </cell>
          <cell r="N265">
            <v>0</v>
          </cell>
          <cell r="R265">
            <v>0</v>
          </cell>
          <cell r="V265">
            <v>0</v>
          </cell>
          <cell r="X265">
            <v>0</v>
          </cell>
          <cell r="Y265">
            <v>0</v>
          </cell>
        </row>
        <row r="266">
          <cell r="C266">
            <v>8605.5</v>
          </cell>
          <cell r="D266">
            <v>8605.5</v>
          </cell>
          <cell r="E266">
            <v>8605.5</v>
          </cell>
          <cell r="F266">
            <v>8605.5</v>
          </cell>
          <cell r="G266">
            <v>0</v>
          </cell>
          <cell r="H266">
            <v>0</v>
          </cell>
          <cell r="I266">
            <v>0</v>
          </cell>
          <cell r="J266">
            <v>24</v>
          </cell>
          <cell r="K266" t="str">
            <v>Standby</v>
          </cell>
          <cell r="N266">
            <v>0</v>
          </cell>
          <cell r="V266">
            <v>0</v>
          </cell>
          <cell r="X266">
            <v>0</v>
          </cell>
          <cell r="Y266">
            <v>0</v>
          </cell>
        </row>
        <row r="267">
          <cell r="C267">
            <v>8337.5</v>
          </cell>
          <cell r="D267">
            <v>8605.5</v>
          </cell>
          <cell r="E267">
            <v>8337.5</v>
          </cell>
          <cell r="F267">
            <v>8605.5</v>
          </cell>
          <cell r="G267">
            <v>148.5</v>
          </cell>
          <cell r="H267">
            <v>119.5</v>
          </cell>
          <cell r="I267">
            <v>268</v>
          </cell>
          <cell r="J267">
            <v>465.13333333333344</v>
          </cell>
          <cell r="N267">
            <v>10.366666666666546</v>
          </cell>
          <cell r="R267">
            <v>0.5</v>
          </cell>
          <cell r="V267">
            <v>0</v>
          </cell>
        </row>
        <row r="268">
          <cell r="V268" t="str">
            <v/>
          </cell>
        </row>
        <row r="269">
          <cell r="C269">
            <v>132.5</v>
          </cell>
          <cell r="D269">
            <v>141</v>
          </cell>
          <cell r="E269">
            <v>141</v>
          </cell>
          <cell r="F269">
            <v>145</v>
          </cell>
          <cell r="G269">
            <v>8.5</v>
          </cell>
          <cell r="H269">
            <v>4</v>
          </cell>
          <cell r="I269">
            <v>12.5</v>
          </cell>
          <cell r="J269">
            <v>11</v>
          </cell>
          <cell r="L269">
            <v>0.91666666666666663</v>
          </cell>
          <cell r="M269">
            <v>0.9375</v>
          </cell>
          <cell r="N269">
            <v>0.50000000000000089</v>
          </cell>
          <cell r="O269" t="str">
            <v>Pin riper hilang</v>
          </cell>
          <cell r="R269">
            <v>0</v>
          </cell>
          <cell r="V269">
            <v>0</v>
          </cell>
          <cell r="X269">
            <v>0.50000000000000089</v>
          </cell>
          <cell r="Y269" t="str">
            <v>Pin riper hilang</v>
          </cell>
        </row>
        <row r="270">
          <cell r="C270">
            <v>145</v>
          </cell>
          <cell r="D270">
            <v>153.5</v>
          </cell>
          <cell r="E270">
            <v>153.5</v>
          </cell>
          <cell r="F270">
            <v>164</v>
          </cell>
          <cell r="G270">
            <v>8.5</v>
          </cell>
          <cell r="H270">
            <v>10.5</v>
          </cell>
          <cell r="I270">
            <v>19</v>
          </cell>
          <cell r="J270">
            <v>4.8333333333333357</v>
          </cell>
          <cell r="L270">
            <v>0.83333333333333337</v>
          </cell>
          <cell r="M270">
            <v>0.84027777777777779</v>
          </cell>
          <cell r="N270">
            <v>0.16666666666666607</v>
          </cell>
          <cell r="O270" t="str">
            <v>Baut kendor,riper hilang</v>
          </cell>
          <cell r="R270">
            <v>0</v>
          </cell>
          <cell r="V270">
            <v>0</v>
          </cell>
          <cell r="X270">
            <v>0.16666666666666607</v>
          </cell>
          <cell r="Y270" t="str">
            <v>Baut kendor,riper hilang</v>
          </cell>
        </row>
        <row r="271">
          <cell r="C271">
            <v>164</v>
          </cell>
          <cell r="D271">
            <v>171</v>
          </cell>
          <cell r="E271">
            <v>171</v>
          </cell>
          <cell r="F271">
            <v>181.5</v>
          </cell>
          <cell r="G271">
            <v>7</v>
          </cell>
          <cell r="H271">
            <v>10.5</v>
          </cell>
          <cell r="I271">
            <v>17.5</v>
          </cell>
          <cell r="J271">
            <v>6.5</v>
          </cell>
          <cell r="N271">
            <v>0</v>
          </cell>
          <cell r="R271">
            <v>0</v>
          </cell>
          <cell r="V271">
            <v>0</v>
          </cell>
          <cell r="X271">
            <v>0</v>
          </cell>
          <cell r="Y271">
            <v>0</v>
          </cell>
        </row>
        <row r="272">
          <cell r="C272">
            <v>181.5</v>
          </cell>
          <cell r="D272">
            <v>189</v>
          </cell>
          <cell r="E272">
            <v>189</v>
          </cell>
          <cell r="F272">
            <v>200</v>
          </cell>
          <cell r="G272">
            <v>7.5</v>
          </cell>
          <cell r="H272">
            <v>11</v>
          </cell>
          <cell r="I272">
            <v>18.5</v>
          </cell>
          <cell r="J272">
            <v>5.5</v>
          </cell>
          <cell r="N272">
            <v>0</v>
          </cell>
          <cell r="R272">
            <v>0</v>
          </cell>
          <cell r="V272">
            <v>0</v>
          </cell>
          <cell r="X272">
            <v>0</v>
          </cell>
          <cell r="Y272">
            <v>0</v>
          </cell>
        </row>
        <row r="273">
          <cell r="C273">
            <v>200</v>
          </cell>
          <cell r="D273">
            <v>208</v>
          </cell>
          <cell r="E273">
            <v>208</v>
          </cell>
          <cell r="F273">
            <v>211</v>
          </cell>
          <cell r="G273">
            <v>8</v>
          </cell>
          <cell r="H273">
            <v>3</v>
          </cell>
          <cell r="I273">
            <v>11</v>
          </cell>
          <cell r="J273">
            <v>12.833333333333332</v>
          </cell>
          <cell r="L273">
            <v>0.85763888888888884</v>
          </cell>
          <cell r="M273">
            <v>0.86458333333333337</v>
          </cell>
          <cell r="N273">
            <v>0.16666666666666874</v>
          </cell>
          <cell r="O273" t="str">
            <v>Lampu kerja off semua</v>
          </cell>
          <cell r="R273">
            <v>0</v>
          </cell>
          <cell r="V273">
            <v>0</v>
          </cell>
          <cell r="X273">
            <v>0.16666666666666874</v>
          </cell>
          <cell r="Y273" t="str">
            <v>Lampu kerja off semua</v>
          </cell>
        </row>
        <row r="274">
          <cell r="C274">
            <v>211</v>
          </cell>
          <cell r="D274">
            <v>211</v>
          </cell>
          <cell r="E274">
            <v>211</v>
          </cell>
          <cell r="F274">
            <v>211</v>
          </cell>
          <cell r="G274">
            <v>0</v>
          </cell>
          <cell r="H274">
            <v>0</v>
          </cell>
          <cell r="I274">
            <v>0</v>
          </cell>
          <cell r="J274">
            <v>24</v>
          </cell>
          <cell r="N274">
            <v>0</v>
          </cell>
          <cell r="R274">
            <v>0</v>
          </cell>
          <cell r="V274">
            <v>0</v>
          </cell>
          <cell r="X274">
            <v>0</v>
          </cell>
          <cell r="Y274">
            <v>0</v>
          </cell>
        </row>
        <row r="275">
          <cell r="C275">
            <v>211</v>
          </cell>
          <cell r="D275">
            <v>211</v>
          </cell>
          <cell r="E275">
            <v>211</v>
          </cell>
          <cell r="F275">
            <v>221</v>
          </cell>
          <cell r="G275">
            <v>0</v>
          </cell>
          <cell r="H275">
            <v>10</v>
          </cell>
          <cell r="I275">
            <v>10</v>
          </cell>
          <cell r="J275">
            <v>14</v>
          </cell>
          <cell r="N275">
            <v>0</v>
          </cell>
          <cell r="R275">
            <v>0</v>
          </cell>
          <cell r="V275">
            <v>0</v>
          </cell>
          <cell r="X275">
            <v>0</v>
          </cell>
          <cell r="Y275">
            <v>0</v>
          </cell>
        </row>
        <row r="276">
          <cell r="C276">
            <v>221</v>
          </cell>
          <cell r="D276">
            <v>229</v>
          </cell>
          <cell r="E276">
            <v>229</v>
          </cell>
          <cell r="F276">
            <v>233</v>
          </cell>
          <cell r="G276">
            <v>8</v>
          </cell>
          <cell r="H276">
            <v>4</v>
          </cell>
          <cell r="I276">
            <v>12</v>
          </cell>
          <cell r="J276">
            <v>12</v>
          </cell>
          <cell r="N276">
            <v>0</v>
          </cell>
          <cell r="R276">
            <v>0</v>
          </cell>
          <cell r="V276">
            <v>0</v>
          </cell>
          <cell r="X276">
            <v>0</v>
          </cell>
          <cell r="Y276">
            <v>0</v>
          </cell>
        </row>
        <row r="277">
          <cell r="C277">
            <v>233</v>
          </cell>
          <cell r="D277">
            <v>233</v>
          </cell>
          <cell r="E277">
            <v>233</v>
          </cell>
          <cell r="F277">
            <v>244</v>
          </cell>
          <cell r="G277">
            <v>0</v>
          </cell>
          <cell r="H277">
            <v>11</v>
          </cell>
          <cell r="I277">
            <v>11</v>
          </cell>
          <cell r="J277">
            <v>13</v>
          </cell>
          <cell r="N277">
            <v>0</v>
          </cell>
          <cell r="R277">
            <v>0</v>
          </cell>
          <cell r="V277">
            <v>0</v>
          </cell>
          <cell r="X277">
            <v>0</v>
          </cell>
          <cell r="Y277">
            <v>0</v>
          </cell>
        </row>
        <row r="278">
          <cell r="C278">
            <v>244</v>
          </cell>
          <cell r="D278">
            <v>252.2</v>
          </cell>
          <cell r="E278">
            <v>252.2</v>
          </cell>
          <cell r="F278">
            <v>263.5</v>
          </cell>
          <cell r="G278">
            <v>8.1999999999999886</v>
          </cell>
          <cell r="H278">
            <v>11.300000000000011</v>
          </cell>
          <cell r="I278">
            <v>19.5</v>
          </cell>
          <cell r="J278">
            <v>4.5</v>
          </cell>
          <cell r="N278">
            <v>0</v>
          </cell>
          <cell r="R278">
            <v>0</v>
          </cell>
          <cell r="V278">
            <v>0</v>
          </cell>
          <cell r="X278">
            <v>0</v>
          </cell>
          <cell r="Y278">
            <v>0</v>
          </cell>
        </row>
        <row r="279">
          <cell r="C279">
            <v>263.5</v>
          </cell>
          <cell r="D279">
            <v>267</v>
          </cell>
          <cell r="E279">
            <v>267</v>
          </cell>
          <cell r="F279">
            <v>276.8</v>
          </cell>
          <cell r="G279">
            <v>3.5</v>
          </cell>
          <cell r="H279">
            <v>9.8000000000000114</v>
          </cell>
          <cell r="I279">
            <v>13.300000000000011</v>
          </cell>
          <cell r="J279">
            <v>10.199999999999989</v>
          </cell>
          <cell r="L279">
            <v>0.82638888888888884</v>
          </cell>
          <cell r="M279">
            <v>0.84722222222222221</v>
          </cell>
          <cell r="N279">
            <v>0.50000000000000089</v>
          </cell>
          <cell r="O279" t="str">
            <v>Lapu kerja di atas kabin off</v>
          </cell>
          <cell r="R279">
            <v>0</v>
          </cell>
          <cell r="V279">
            <v>0</v>
          </cell>
          <cell r="X279">
            <v>0.50000000000000089</v>
          </cell>
          <cell r="Y279" t="str">
            <v>Lapu kerja di atas kabin off</v>
          </cell>
        </row>
        <row r="280">
          <cell r="C280">
            <v>276.8</v>
          </cell>
          <cell r="D280">
            <v>286</v>
          </cell>
          <cell r="E280">
            <v>286</v>
          </cell>
          <cell r="F280">
            <v>289.7</v>
          </cell>
          <cell r="G280">
            <v>9.1999999999999886</v>
          </cell>
          <cell r="H280">
            <v>3.6999999999999886</v>
          </cell>
          <cell r="I280">
            <v>12.899999999999977</v>
          </cell>
          <cell r="J280">
            <v>11.016666666666689</v>
          </cell>
          <cell r="L280">
            <v>0.37152777777777773</v>
          </cell>
          <cell r="M280">
            <v>0.375</v>
          </cell>
          <cell r="N280">
            <v>8.333333333333437E-2</v>
          </cell>
          <cell r="O280" t="str">
            <v>Lampu kerja lepas</v>
          </cell>
          <cell r="R280">
            <v>0</v>
          </cell>
          <cell r="V280">
            <v>0</v>
          </cell>
          <cell r="X280">
            <v>8.333333333333437E-2</v>
          </cell>
          <cell r="Y280" t="str">
            <v>Lampu kerja lepas</v>
          </cell>
        </row>
        <row r="281">
          <cell r="C281">
            <v>289.7</v>
          </cell>
          <cell r="D281">
            <v>289.7</v>
          </cell>
          <cell r="E281">
            <v>289.7</v>
          </cell>
          <cell r="F281">
            <v>299</v>
          </cell>
          <cell r="G281">
            <v>0</v>
          </cell>
          <cell r="H281">
            <v>9.3000000000000114</v>
          </cell>
          <cell r="I281">
            <v>9.3000000000000114</v>
          </cell>
          <cell r="J281">
            <v>13.666666666666654</v>
          </cell>
          <cell r="L281">
            <v>0.91666666666666663</v>
          </cell>
          <cell r="M281">
            <v>0.92708333333333337</v>
          </cell>
          <cell r="N281">
            <v>0.25000000000000178</v>
          </cell>
          <cell r="O281" t="str">
            <v>Lampu kerja kabin lh pecah</v>
          </cell>
          <cell r="P281">
            <v>0.16666666666666666</v>
          </cell>
          <cell r="Q281">
            <v>0.19930555555555554</v>
          </cell>
          <cell r="R281">
            <v>0.78333333333333321</v>
          </cell>
          <cell r="S281" t="str">
            <v>Ps1</v>
          </cell>
          <cell r="V281">
            <v>0</v>
          </cell>
          <cell r="X281">
            <v>1.033333333333335</v>
          </cell>
          <cell r="Y281" t="str">
            <v>Lampu kerja kabin lh pecah,Ps1</v>
          </cell>
        </row>
        <row r="282">
          <cell r="C282">
            <v>299</v>
          </cell>
          <cell r="D282">
            <v>308</v>
          </cell>
          <cell r="E282">
            <v>308</v>
          </cell>
          <cell r="F282">
            <v>315</v>
          </cell>
          <cell r="G282">
            <v>9</v>
          </cell>
          <cell r="H282">
            <v>7</v>
          </cell>
          <cell r="I282">
            <v>16</v>
          </cell>
          <cell r="J282">
            <v>8</v>
          </cell>
          <cell r="N282">
            <v>0</v>
          </cell>
          <cell r="R282">
            <v>0</v>
          </cell>
          <cell r="V282">
            <v>0</v>
          </cell>
          <cell r="X282">
            <v>0</v>
          </cell>
          <cell r="Y282">
            <v>0</v>
          </cell>
        </row>
        <row r="283">
          <cell r="C283">
            <v>315</v>
          </cell>
          <cell r="D283">
            <v>323.5</v>
          </cell>
          <cell r="E283">
            <v>323.5</v>
          </cell>
          <cell r="F283">
            <v>333</v>
          </cell>
          <cell r="G283">
            <v>8.5</v>
          </cell>
          <cell r="H283">
            <v>9.5</v>
          </cell>
          <cell r="I283">
            <v>18</v>
          </cell>
          <cell r="J283">
            <v>5.5999999999999979</v>
          </cell>
          <cell r="L283">
            <v>0.95625000000000004</v>
          </cell>
          <cell r="M283">
            <v>0.97291666666666676</v>
          </cell>
          <cell r="N283">
            <v>0.40000000000000124</v>
          </cell>
          <cell r="O283" t="str">
            <v>Repaire lampu kerja</v>
          </cell>
          <cell r="R283">
            <v>0</v>
          </cell>
          <cell r="V283">
            <v>0</v>
          </cell>
          <cell r="X283">
            <v>0.40000000000000124</v>
          </cell>
          <cell r="Y283" t="str">
            <v>Repaire lampu kerja</v>
          </cell>
        </row>
        <row r="284">
          <cell r="C284">
            <v>333</v>
          </cell>
          <cell r="D284">
            <v>343.5</v>
          </cell>
          <cell r="E284">
            <v>343.5</v>
          </cell>
          <cell r="F284">
            <v>350</v>
          </cell>
          <cell r="G284">
            <v>10.5</v>
          </cell>
          <cell r="H284">
            <v>6.5</v>
          </cell>
          <cell r="I284">
            <v>17</v>
          </cell>
          <cell r="J284">
            <v>7</v>
          </cell>
          <cell r="N284">
            <v>0</v>
          </cell>
          <cell r="R284">
            <v>0</v>
          </cell>
          <cell r="V284">
            <v>0</v>
          </cell>
          <cell r="X284">
            <v>0</v>
          </cell>
          <cell r="Y284">
            <v>0</v>
          </cell>
        </row>
        <row r="285">
          <cell r="C285">
            <v>350</v>
          </cell>
          <cell r="D285">
            <v>359.5</v>
          </cell>
          <cell r="E285">
            <v>359.5</v>
          </cell>
          <cell r="F285">
            <v>366.5</v>
          </cell>
          <cell r="G285">
            <v>9.5</v>
          </cell>
          <cell r="H285">
            <v>7</v>
          </cell>
          <cell r="I285">
            <v>16.5</v>
          </cell>
          <cell r="J285">
            <v>6.4166666666666679</v>
          </cell>
          <cell r="L285">
            <v>0.78125</v>
          </cell>
          <cell r="M285">
            <v>0.82638888888888884</v>
          </cell>
          <cell r="N285">
            <v>1.0833333333333321</v>
          </cell>
          <cell r="O285" t="str">
            <v>Lampu kerja lepas</v>
          </cell>
          <cell r="R285">
            <v>0</v>
          </cell>
          <cell r="V285">
            <v>0</v>
          </cell>
          <cell r="X285">
            <v>1.0833333333333321</v>
          </cell>
          <cell r="Y285" t="str">
            <v>Lampu kerja lepas</v>
          </cell>
        </row>
        <row r="286">
          <cell r="C286">
            <v>366.5</v>
          </cell>
          <cell r="D286">
            <v>366.5</v>
          </cell>
          <cell r="E286">
            <v>366.5</v>
          </cell>
          <cell r="F286">
            <v>366.5</v>
          </cell>
          <cell r="G286">
            <v>0</v>
          </cell>
          <cell r="H286">
            <v>0</v>
          </cell>
          <cell r="I286">
            <v>0</v>
          </cell>
          <cell r="J286">
            <v>24</v>
          </cell>
          <cell r="N286">
            <v>0</v>
          </cell>
          <cell r="R286">
            <v>0</v>
          </cell>
          <cell r="V286">
            <v>0</v>
          </cell>
          <cell r="X286">
            <v>0</v>
          </cell>
          <cell r="Y286">
            <v>0</v>
          </cell>
        </row>
        <row r="287">
          <cell r="C287">
            <v>366.5</v>
          </cell>
          <cell r="D287">
            <v>372.5</v>
          </cell>
          <cell r="E287">
            <v>372.5</v>
          </cell>
          <cell r="F287">
            <v>374</v>
          </cell>
          <cell r="G287">
            <v>6</v>
          </cell>
          <cell r="H287">
            <v>1.5</v>
          </cell>
          <cell r="I287">
            <v>7.5</v>
          </cell>
          <cell r="J287">
            <v>16.5</v>
          </cell>
          <cell r="N287">
            <v>0</v>
          </cell>
          <cell r="R287">
            <v>0</v>
          </cell>
          <cell r="V287">
            <v>0</v>
          </cell>
          <cell r="X287">
            <v>0</v>
          </cell>
          <cell r="Y287">
            <v>0</v>
          </cell>
        </row>
        <row r="288">
          <cell r="C288">
            <v>374</v>
          </cell>
          <cell r="D288">
            <v>374</v>
          </cell>
          <cell r="E288">
            <v>374</v>
          </cell>
          <cell r="F288">
            <v>377</v>
          </cell>
          <cell r="G288">
            <v>0</v>
          </cell>
          <cell r="H288">
            <v>3</v>
          </cell>
          <cell r="I288">
            <v>3</v>
          </cell>
          <cell r="J288">
            <v>21</v>
          </cell>
          <cell r="N288">
            <v>0</v>
          </cell>
          <cell r="R288">
            <v>0</v>
          </cell>
          <cell r="V288">
            <v>0</v>
          </cell>
          <cell r="X288">
            <v>0</v>
          </cell>
          <cell r="Y288">
            <v>0</v>
          </cell>
        </row>
        <row r="289">
          <cell r="C289">
            <v>377</v>
          </cell>
          <cell r="D289">
            <v>377</v>
          </cell>
          <cell r="E289">
            <v>377</v>
          </cell>
          <cell r="F289">
            <v>377</v>
          </cell>
          <cell r="G289">
            <v>0</v>
          </cell>
          <cell r="H289">
            <v>0</v>
          </cell>
          <cell r="I289">
            <v>0</v>
          </cell>
          <cell r="J289">
            <v>24</v>
          </cell>
          <cell r="N289">
            <v>0</v>
          </cell>
          <cell r="R289">
            <v>0</v>
          </cell>
          <cell r="V289">
            <v>0</v>
          </cell>
          <cell r="X289">
            <v>0</v>
          </cell>
          <cell r="Y289">
            <v>0</v>
          </cell>
        </row>
        <row r="290">
          <cell r="C290">
            <v>377</v>
          </cell>
          <cell r="D290">
            <v>387</v>
          </cell>
          <cell r="E290">
            <v>387</v>
          </cell>
          <cell r="F290">
            <v>387</v>
          </cell>
          <cell r="G290">
            <v>10</v>
          </cell>
          <cell r="H290">
            <v>0</v>
          </cell>
          <cell r="I290">
            <v>10</v>
          </cell>
          <cell r="J290">
            <v>14</v>
          </cell>
          <cell r="N290">
            <v>0</v>
          </cell>
          <cell r="R290">
            <v>0</v>
          </cell>
          <cell r="V290">
            <v>0</v>
          </cell>
          <cell r="X290">
            <v>0</v>
          </cell>
          <cell r="Y290">
            <v>0</v>
          </cell>
        </row>
        <row r="291">
          <cell r="C291">
            <v>387</v>
          </cell>
          <cell r="D291">
            <v>396.5</v>
          </cell>
          <cell r="E291">
            <v>396.5</v>
          </cell>
          <cell r="F291">
            <v>397.5</v>
          </cell>
          <cell r="G291">
            <v>9.5</v>
          </cell>
          <cell r="H291">
            <v>1</v>
          </cell>
          <cell r="I291">
            <v>10.5</v>
          </cell>
          <cell r="J291">
            <v>13.333333333333334</v>
          </cell>
          <cell r="L291">
            <v>0.4513888888888889</v>
          </cell>
          <cell r="M291">
            <v>0.45833333333333331</v>
          </cell>
          <cell r="N291">
            <v>0.16666666666666607</v>
          </cell>
          <cell r="O291" t="str">
            <v>Ac hot</v>
          </cell>
          <cell r="R291">
            <v>0</v>
          </cell>
          <cell r="V291">
            <v>0</v>
          </cell>
          <cell r="X291">
            <v>0.16666666666666607</v>
          </cell>
          <cell r="Y291" t="str">
            <v>Ac hot</v>
          </cell>
        </row>
        <row r="292">
          <cell r="C292">
            <v>397.5</v>
          </cell>
          <cell r="D292">
            <v>401</v>
          </cell>
          <cell r="E292">
            <v>401</v>
          </cell>
          <cell r="F292">
            <v>401</v>
          </cell>
          <cell r="G292">
            <v>3.5</v>
          </cell>
          <cell r="H292">
            <v>0</v>
          </cell>
          <cell r="I292">
            <v>3.5</v>
          </cell>
          <cell r="J292">
            <v>20.5</v>
          </cell>
          <cell r="N292">
            <v>0</v>
          </cell>
          <cell r="R292">
            <v>0</v>
          </cell>
          <cell r="V292">
            <v>0</v>
          </cell>
          <cell r="X292">
            <v>0</v>
          </cell>
          <cell r="Y292">
            <v>0</v>
          </cell>
        </row>
        <row r="293">
          <cell r="C293">
            <v>401</v>
          </cell>
          <cell r="D293">
            <v>405.5</v>
          </cell>
          <cell r="E293">
            <v>405.5</v>
          </cell>
          <cell r="F293">
            <v>405.5</v>
          </cell>
          <cell r="G293">
            <v>4.5</v>
          </cell>
          <cell r="H293">
            <v>0</v>
          </cell>
          <cell r="I293">
            <v>4.5</v>
          </cell>
          <cell r="J293">
            <v>19.5</v>
          </cell>
          <cell r="N293">
            <v>0</v>
          </cell>
          <cell r="R293">
            <v>0</v>
          </cell>
          <cell r="V293">
            <v>0</v>
          </cell>
          <cell r="X293">
            <v>0</v>
          </cell>
          <cell r="Y293">
            <v>0</v>
          </cell>
        </row>
        <row r="294">
          <cell r="C294">
            <v>405.5</v>
          </cell>
          <cell r="D294">
            <v>414</v>
          </cell>
          <cell r="E294">
            <v>414</v>
          </cell>
          <cell r="F294">
            <v>424</v>
          </cell>
          <cell r="G294">
            <v>8.5</v>
          </cell>
          <cell r="H294">
            <v>10</v>
          </cell>
          <cell r="I294">
            <v>18.5</v>
          </cell>
          <cell r="J294">
            <v>4</v>
          </cell>
          <cell r="L294">
            <v>0.79166666666666663</v>
          </cell>
          <cell r="M294">
            <v>0.85416666666666663</v>
          </cell>
          <cell r="N294">
            <v>1.5</v>
          </cell>
          <cell r="O294" t="str">
            <v>Lampu kerja di atas kabin off</v>
          </cell>
          <cell r="R294">
            <v>0</v>
          </cell>
          <cell r="V294">
            <v>0</v>
          </cell>
          <cell r="X294">
            <v>1.5</v>
          </cell>
          <cell r="Y294" t="str">
            <v>Lampu kerja di atas kabin off</v>
          </cell>
        </row>
        <row r="295">
          <cell r="C295">
            <v>424</v>
          </cell>
          <cell r="D295">
            <v>430</v>
          </cell>
          <cell r="E295">
            <v>430</v>
          </cell>
          <cell r="F295">
            <v>430</v>
          </cell>
          <cell r="G295">
            <v>6</v>
          </cell>
          <cell r="H295">
            <v>0</v>
          </cell>
          <cell r="I295">
            <v>6</v>
          </cell>
          <cell r="J295">
            <v>18</v>
          </cell>
          <cell r="N295">
            <v>0</v>
          </cell>
          <cell r="R295">
            <v>0</v>
          </cell>
          <cell r="V295">
            <v>0</v>
          </cell>
          <cell r="X295">
            <v>0</v>
          </cell>
          <cell r="Y295">
            <v>0</v>
          </cell>
        </row>
        <row r="296">
          <cell r="C296">
            <v>430</v>
          </cell>
          <cell r="D296">
            <v>437</v>
          </cell>
          <cell r="E296">
            <v>437</v>
          </cell>
          <cell r="F296">
            <v>437</v>
          </cell>
          <cell r="G296">
            <v>7</v>
          </cell>
          <cell r="H296">
            <v>0</v>
          </cell>
          <cell r="I296">
            <v>7</v>
          </cell>
          <cell r="J296">
            <v>17</v>
          </cell>
          <cell r="N296">
            <v>0</v>
          </cell>
          <cell r="R296">
            <v>0</v>
          </cell>
          <cell r="V296">
            <v>0</v>
          </cell>
          <cell r="X296">
            <v>0</v>
          </cell>
          <cell r="Y296">
            <v>0</v>
          </cell>
        </row>
        <row r="297">
          <cell r="C297">
            <v>437</v>
          </cell>
          <cell r="D297">
            <v>437</v>
          </cell>
          <cell r="E297">
            <v>437</v>
          </cell>
          <cell r="F297">
            <v>437</v>
          </cell>
          <cell r="G297">
            <v>0</v>
          </cell>
          <cell r="H297">
            <v>0</v>
          </cell>
          <cell r="I297">
            <v>0</v>
          </cell>
          <cell r="J297">
            <v>24</v>
          </cell>
          <cell r="K297" t="str">
            <v>Standby</v>
          </cell>
          <cell r="N297">
            <v>0</v>
          </cell>
          <cell r="R297">
            <v>0</v>
          </cell>
          <cell r="V297">
            <v>0</v>
          </cell>
          <cell r="X297">
            <v>0</v>
          </cell>
          <cell r="Y297">
            <v>0</v>
          </cell>
        </row>
        <row r="298">
          <cell r="C298">
            <v>437</v>
          </cell>
          <cell r="D298">
            <v>437</v>
          </cell>
          <cell r="E298">
            <v>437</v>
          </cell>
          <cell r="F298">
            <v>437</v>
          </cell>
          <cell r="G298">
            <v>0</v>
          </cell>
          <cell r="H298">
            <v>0</v>
          </cell>
          <cell r="I298">
            <v>0</v>
          </cell>
          <cell r="J298">
            <v>24</v>
          </cell>
          <cell r="K298" t="str">
            <v>Standby</v>
          </cell>
          <cell r="N298">
            <v>0</v>
          </cell>
          <cell r="R298">
            <v>0</v>
          </cell>
          <cell r="V298">
            <v>0</v>
          </cell>
          <cell r="X298">
            <v>0</v>
          </cell>
          <cell r="Y298">
            <v>0</v>
          </cell>
        </row>
        <row r="299">
          <cell r="C299">
            <v>437</v>
          </cell>
          <cell r="D299">
            <v>437</v>
          </cell>
          <cell r="E299">
            <v>437</v>
          </cell>
          <cell r="F299">
            <v>437</v>
          </cell>
          <cell r="G299">
            <v>0</v>
          </cell>
          <cell r="H299">
            <v>0</v>
          </cell>
          <cell r="I299">
            <v>0</v>
          </cell>
          <cell r="J299">
            <v>24</v>
          </cell>
          <cell r="K299" t="str">
            <v>Standby</v>
          </cell>
          <cell r="N299">
            <v>0</v>
          </cell>
          <cell r="R299">
            <v>0</v>
          </cell>
          <cell r="V299">
            <v>0</v>
          </cell>
          <cell r="X299">
            <v>0</v>
          </cell>
          <cell r="Y299">
            <v>0</v>
          </cell>
        </row>
        <row r="300">
          <cell r="C300">
            <v>132.5</v>
          </cell>
          <cell r="D300">
            <v>437</v>
          </cell>
          <cell r="E300">
            <v>141</v>
          </cell>
          <cell r="F300">
            <v>437</v>
          </cell>
          <cell r="G300">
            <v>160.89999999999998</v>
          </cell>
          <cell r="H300">
            <v>143.60000000000002</v>
          </cell>
          <cell r="I300">
            <v>304.5</v>
          </cell>
          <cell r="J300">
            <v>433.9</v>
          </cell>
          <cell r="N300">
            <v>4.8166666666666718</v>
          </cell>
          <cell r="R300">
            <v>0.78333333333333321</v>
          </cell>
          <cell r="V300">
            <v>0</v>
          </cell>
        </row>
        <row r="301">
          <cell r="V301" t="str">
            <v/>
          </cell>
        </row>
        <row r="302">
          <cell r="C302">
            <v>1696</v>
          </cell>
          <cell r="D302">
            <v>1704</v>
          </cell>
          <cell r="E302">
            <v>1704</v>
          </cell>
          <cell r="F302">
            <v>1714</v>
          </cell>
          <cell r="G302">
            <v>8</v>
          </cell>
          <cell r="H302">
            <v>10</v>
          </cell>
          <cell r="I302">
            <v>18</v>
          </cell>
          <cell r="J302">
            <v>6</v>
          </cell>
          <cell r="N302">
            <v>0</v>
          </cell>
          <cell r="R302">
            <v>0</v>
          </cell>
          <cell r="V302">
            <v>0</v>
          </cell>
          <cell r="X302">
            <v>0</v>
          </cell>
          <cell r="Y302">
            <v>0</v>
          </cell>
        </row>
        <row r="303">
          <cell r="C303">
            <v>1714</v>
          </cell>
          <cell r="D303">
            <v>1724</v>
          </cell>
          <cell r="E303">
            <v>1724</v>
          </cell>
          <cell r="F303">
            <v>1733.5</v>
          </cell>
          <cell r="G303">
            <v>10</v>
          </cell>
          <cell r="H303">
            <v>9.5</v>
          </cell>
          <cell r="I303">
            <v>19.5</v>
          </cell>
          <cell r="J303">
            <v>4.5</v>
          </cell>
          <cell r="N303">
            <v>0</v>
          </cell>
          <cell r="R303">
            <v>0</v>
          </cell>
          <cell r="V303">
            <v>0</v>
          </cell>
          <cell r="X303">
            <v>0</v>
          </cell>
          <cell r="Y303">
            <v>0</v>
          </cell>
        </row>
        <row r="304">
          <cell r="C304">
            <v>1733.5</v>
          </cell>
          <cell r="D304">
            <v>1740.2</v>
          </cell>
          <cell r="E304">
            <v>1740.2</v>
          </cell>
          <cell r="F304">
            <v>1751</v>
          </cell>
          <cell r="G304">
            <v>6.7000000000000455</v>
          </cell>
          <cell r="H304">
            <v>10.799999999999955</v>
          </cell>
          <cell r="I304">
            <v>17.5</v>
          </cell>
          <cell r="J304">
            <v>6.5</v>
          </cell>
          <cell r="N304">
            <v>0</v>
          </cell>
          <cell r="R304">
            <v>0</v>
          </cell>
          <cell r="V304">
            <v>0</v>
          </cell>
          <cell r="X304">
            <v>0</v>
          </cell>
          <cell r="Y304">
            <v>0</v>
          </cell>
        </row>
        <row r="305">
          <cell r="C305">
            <v>1751</v>
          </cell>
          <cell r="D305">
            <v>1758.6</v>
          </cell>
          <cell r="E305">
            <v>1758.6</v>
          </cell>
          <cell r="F305">
            <v>1767.4</v>
          </cell>
          <cell r="G305">
            <v>7.5999999999999091</v>
          </cell>
          <cell r="H305">
            <v>8.8000000000001819</v>
          </cell>
          <cell r="I305">
            <v>16.400000000000091</v>
          </cell>
          <cell r="J305">
            <v>7.5999999999999091</v>
          </cell>
          <cell r="N305">
            <v>0</v>
          </cell>
          <cell r="R305">
            <v>0</v>
          </cell>
          <cell r="V305">
            <v>0</v>
          </cell>
          <cell r="X305">
            <v>0</v>
          </cell>
          <cell r="Y305">
            <v>0</v>
          </cell>
        </row>
        <row r="306">
          <cell r="C306">
            <v>1767.4</v>
          </cell>
          <cell r="D306">
            <v>1770.5</v>
          </cell>
          <cell r="E306">
            <v>1770.5</v>
          </cell>
          <cell r="F306">
            <v>1770.5</v>
          </cell>
          <cell r="G306">
            <v>3.0999999999999091</v>
          </cell>
          <cell r="H306">
            <v>0</v>
          </cell>
          <cell r="I306">
            <v>3.0999999999999091</v>
          </cell>
          <cell r="J306">
            <v>20.900000000000091</v>
          </cell>
          <cell r="N306">
            <v>0</v>
          </cell>
          <cell r="R306">
            <v>0</v>
          </cell>
          <cell r="V306">
            <v>0</v>
          </cell>
          <cell r="X306">
            <v>0</v>
          </cell>
          <cell r="Y306">
            <v>0</v>
          </cell>
        </row>
        <row r="307">
          <cell r="C307">
            <v>1770.5</v>
          </cell>
          <cell r="D307">
            <v>1770.5</v>
          </cell>
          <cell r="E307">
            <v>1770.5</v>
          </cell>
          <cell r="F307">
            <v>1770.5</v>
          </cell>
          <cell r="G307">
            <v>0</v>
          </cell>
          <cell r="H307">
            <v>0</v>
          </cell>
          <cell r="I307">
            <v>0</v>
          </cell>
          <cell r="J307">
            <v>24</v>
          </cell>
          <cell r="N307">
            <v>0</v>
          </cell>
          <cell r="R307">
            <v>0</v>
          </cell>
          <cell r="V307">
            <v>0</v>
          </cell>
          <cell r="X307">
            <v>0</v>
          </cell>
          <cell r="Y307">
            <v>0</v>
          </cell>
        </row>
        <row r="308">
          <cell r="C308">
            <v>1770.5</v>
          </cell>
          <cell r="D308">
            <v>1770.5</v>
          </cell>
          <cell r="E308">
            <v>1770.5</v>
          </cell>
          <cell r="F308">
            <v>1782</v>
          </cell>
          <cell r="G308">
            <v>0</v>
          </cell>
          <cell r="H308">
            <v>11.5</v>
          </cell>
          <cell r="I308">
            <v>11.5</v>
          </cell>
          <cell r="J308">
            <v>12.5</v>
          </cell>
          <cell r="N308">
            <v>0</v>
          </cell>
          <cell r="V308">
            <v>0</v>
          </cell>
          <cell r="X308">
            <v>0</v>
          </cell>
          <cell r="Y308">
            <v>0</v>
          </cell>
        </row>
        <row r="309">
          <cell r="C309">
            <v>1782</v>
          </cell>
          <cell r="D309">
            <v>1791</v>
          </cell>
          <cell r="E309">
            <v>1791</v>
          </cell>
          <cell r="F309">
            <v>1796</v>
          </cell>
          <cell r="G309">
            <v>9</v>
          </cell>
          <cell r="H309">
            <v>5</v>
          </cell>
          <cell r="I309">
            <v>14</v>
          </cell>
          <cell r="J309">
            <v>10</v>
          </cell>
          <cell r="N309">
            <v>0</v>
          </cell>
          <cell r="R309">
            <v>0</v>
          </cell>
          <cell r="V309">
            <v>0</v>
          </cell>
          <cell r="X309">
            <v>0</v>
          </cell>
          <cell r="Y309">
            <v>0</v>
          </cell>
        </row>
        <row r="310">
          <cell r="C310">
            <v>1796</v>
          </cell>
          <cell r="D310">
            <v>1800</v>
          </cell>
          <cell r="E310">
            <v>1800</v>
          </cell>
          <cell r="F310">
            <v>1800</v>
          </cell>
          <cell r="G310">
            <v>4</v>
          </cell>
          <cell r="H310">
            <v>0</v>
          </cell>
          <cell r="I310">
            <v>4</v>
          </cell>
          <cell r="J310">
            <v>18.75</v>
          </cell>
          <cell r="L310">
            <v>0.57291666666666663</v>
          </cell>
          <cell r="M310">
            <v>0.625</v>
          </cell>
          <cell r="N310">
            <v>1.2500000000000009</v>
          </cell>
          <cell r="O310" t="str">
            <v>Cant start</v>
          </cell>
          <cell r="R310">
            <v>0</v>
          </cell>
          <cell r="V310">
            <v>0</v>
          </cell>
          <cell r="X310">
            <v>1.2500000000000009</v>
          </cell>
          <cell r="Y310" t="str">
            <v>Cant start</v>
          </cell>
        </row>
        <row r="311">
          <cell r="C311">
            <v>1800</v>
          </cell>
          <cell r="D311">
            <v>1800</v>
          </cell>
          <cell r="E311">
            <v>1800</v>
          </cell>
          <cell r="F311">
            <v>1800</v>
          </cell>
          <cell r="G311">
            <v>0</v>
          </cell>
          <cell r="H311">
            <v>0</v>
          </cell>
          <cell r="I311">
            <v>0</v>
          </cell>
          <cell r="J311">
            <v>24</v>
          </cell>
          <cell r="N311">
            <v>0</v>
          </cell>
          <cell r="R311">
            <v>0</v>
          </cell>
          <cell r="V311">
            <v>0</v>
          </cell>
          <cell r="X311">
            <v>0</v>
          </cell>
          <cell r="Y311">
            <v>0</v>
          </cell>
        </row>
        <row r="312">
          <cell r="C312">
            <v>1800</v>
          </cell>
          <cell r="D312">
            <v>1800</v>
          </cell>
          <cell r="E312">
            <v>1800</v>
          </cell>
          <cell r="F312">
            <v>1800</v>
          </cell>
          <cell r="G312">
            <v>0</v>
          </cell>
          <cell r="H312">
            <v>0</v>
          </cell>
          <cell r="I312">
            <v>0</v>
          </cell>
          <cell r="J312">
            <v>24</v>
          </cell>
          <cell r="K312" t="str">
            <v>Masa comisioning habis</v>
          </cell>
          <cell r="N312">
            <v>0</v>
          </cell>
          <cell r="R312">
            <v>0</v>
          </cell>
          <cell r="V312">
            <v>0</v>
          </cell>
          <cell r="X312">
            <v>0</v>
          </cell>
          <cell r="Y312">
            <v>0</v>
          </cell>
        </row>
        <row r="313">
          <cell r="C313">
            <v>1800</v>
          </cell>
          <cell r="D313">
            <v>1800</v>
          </cell>
          <cell r="E313">
            <v>1800</v>
          </cell>
          <cell r="F313">
            <v>1800</v>
          </cell>
          <cell r="G313">
            <v>0</v>
          </cell>
          <cell r="H313">
            <v>0</v>
          </cell>
          <cell r="I313">
            <v>0</v>
          </cell>
          <cell r="J313">
            <v>24</v>
          </cell>
          <cell r="N313">
            <v>0</v>
          </cell>
          <cell r="R313">
            <v>0</v>
          </cell>
          <cell r="V313">
            <v>0</v>
          </cell>
          <cell r="X313">
            <v>0</v>
          </cell>
          <cell r="Y313">
            <v>0</v>
          </cell>
        </row>
        <row r="314">
          <cell r="C314">
            <v>1800</v>
          </cell>
          <cell r="D314">
            <v>1800</v>
          </cell>
          <cell r="E314">
            <v>1800</v>
          </cell>
          <cell r="F314">
            <v>1809.5</v>
          </cell>
          <cell r="G314">
            <v>0</v>
          </cell>
          <cell r="H314">
            <v>9.5</v>
          </cell>
          <cell r="I314">
            <v>9.5</v>
          </cell>
          <cell r="J314">
            <v>14.5</v>
          </cell>
          <cell r="N314">
            <v>0</v>
          </cell>
          <cell r="R314">
            <v>0</v>
          </cell>
          <cell r="V314">
            <v>0</v>
          </cell>
          <cell r="X314">
            <v>0</v>
          </cell>
          <cell r="Y314">
            <v>0</v>
          </cell>
        </row>
        <row r="315">
          <cell r="C315">
            <v>1809.5</v>
          </cell>
          <cell r="D315">
            <v>1809.5</v>
          </cell>
          <cell r="E315">
            <v>1809.5</v>
          </cell>
          <cell r="F315">
            <v>1809.5</v>
          </cell>
          <cell r="G315">
            <v>0</v>
          </cell>
          <cell r="H315">
            <v>0</v>
          </cell>
          <cell r="I315">
            <v>0</v>
          </cell>
          <cell r="J315">
            <v>24</v>
          </cell>
          <cell r="N315">
            <v>0</v>
          </cell>
          <cell r="O315" t="str">
            <v>Commisioning</v>
          </cell>
          <cell r="R315">
            <v>0</v>
          </cell>
          <cell r="V315">
            <v>0</v>
          </cell>
          <cell r="X315">
            <v>0</v>
          </cell>
          <cell r="Y315" t="str">
            <v>Commisioning</v>
          </cell>
        </row>
        <row r="316">
          <cell r="C316">
            <v>1809.5</v>
          </cell>
          <cell r="D316">
            <v>1809.5</v>
          </cell>
          <cell r="E316">
            <v>1809.5</v>
          </cell>
          <cell r="F316">
            <v>1809.5</v>
          </cell>
          <cell r="G316">
            <v>0</v>
          </cell>
          <cell r="H316">
            <v>0</v>
          </cell>
          <cell r="I316">
            <v>0</v>
          </cell>
          <cell r="J316">
            <v>24</v>
          </cell>
          <cell r="N316">
            <v>0</v>
          </cell>
          <cell r="O316" t="str">
            <v>Commisioning</v>
          </cell>
          <cell r="R316">
            <v>0</v>
          </cell>
          <cell r="V316">
            <v>0</v>
          </cell>
          <cell r="X316">
            <v>0</v>
          </cell>
          <cell r="Y316" t="str">
            <v>Commisioning</v>
          </cell>
        </row>
        <row r="317">
          <cell r="C317">
            <v>1809.5</v>
          </cell>
          <cell r="D317">
            <v>1813</v>
          </cell>
          <cell r="E317">
            <v>1813</v>
          </cell>
          <cell r="F317">
            <v>1813</v>
          </cell>
          <cell r="G317">
            <v>3.5</v>
          </cell>
          <cell r="H317">
            <v>0</v>
          </cell>
          <cell r="I317">
            <v>3.5</v>
          </cell>
          <cell r="J317">
            <v>20.5</v>
          </cell>
          <cell r="N317">
            <v>0</v>
          </cell>
          <cell r="R317">
            <v>0</v>
          </cell>
          <cell r="V317">
            <v>0</v>
          </cell>
          <cell r="X317">
            <v>0</v>
          </cell>
          <cell r="Y317">
            <v>0</v>
          </cell>
        </row>
        <row r="318">
          <cell r="C318">
            <v>1813</v>
          </cell>
          <cell r="D318">
            <v>1813</v>
          </cell>
          <cell r="E318">
            <v>1813</v>
          </cell>
          <cell r="F318">
            <v>1813</v>
          </cell>
          <cell r="G318">
            <v>0</v>
          </cell>
          <cell r="H318">
            <v>0</v>
          </cell>
          <cell r="I318">
            <v>0</v>
          </cell>
          <cell r="J318">
            <v>24</v>
          </cell>
          <cell r="N318">
            <v>0</v>
          </cell>
          <cell r="O318" t="str">
            <v>Commisioning</v>
          </cell>
          <cell r="R318">
            <v>0</v>
          </cell>
          <cell r="V318">
            <v>0</v>
          </cell>
          <cell r="X318">
            <v>0</v>
          </cell>
          <cell r="Y318" t="str">
            <v>Commisioning</v>
          </cell>
        </row>
        <row r="319">
          <cell r="C319">
            <v>1813</v>
          </cell>
          <cell r="D319">
            <v>1814</v>
          </cell>
          <cell r="E319">
            <v>1814</v>
          </cell>
          <cell r="F319">
            <v>1814</v>
          </cell>
          <cell r="G319">
            <v>1</v>
          </cell>
          <cell r="H319">
            <v>0</v>
          </cell>
          <cell r="I319">
            <v>1</v>
          </cell>
          <cell r="J319">
            <v>23</v>
          </cell>
          <cell r="N319">
            <v>0</v>
          </cell>
          <cell r="V319">
            <v>0</v>
          </cell>
          <cell r="X319">
            <v>0</v>
          </cell>
          <cell r="Y319">
            <v>0</v>
          </cell>
        </row>
        <row r="320">
          <cell r="C320">
            <v>1814</v>
          </cell>
          <cell r="D320">
            <v>1824</v>
          </cell>
          <cell r="E320">
            <v>1824</v>
          </cell>
          <cell r="F320">
            <v>1834</v>
          </cell>
          <cell r="G320">
            <v>10</v>
          </cell>
          <cell r="H320">
            <v>10</v>
          </cell>
          <cell r="I320">
            <v>20</v>
          </cell>
          <cell r="J320">
            <v>3.9166666666666679</v>
          </cell>
          <cell r="L320">
            <v>0.84027777777777779</v>
          </cell>
          <cell r="M320">
            <v>0.84375</v>
          </cell>
          <cell r="N320">
            <v>8.3333333333333037E-2</v>
          </cell>
          <cell r="O320" t="str">
            <v>Lampu belakang  off</v>
          </cell>
          <cell r="V320">
            <v>0</v>
          </cell>
          <cell r="X320">
            <v>8.3333333333333037E-2</v>
          </cell>
          <cell r="Y320" t="str">
            <v>Lampu belakang  off</v>
          </cell>
        </row>
        <row r="321">
          <cell r="C321">
            <v>1834</v>
          </cell>
          <cell r="D321">
            <v>1844</v>
          </cell>
          <cell r="E321">
            <v>1844</v>
          </cell>
          <cell r="F321">
            <v>1854</v>
          </cell>
          <cell r="G321">
            <v>10</v>
          </cell>
          <cell r="H321">
            <v>10</v>
          </cell>
          <cell r="I321">
            <v>20</v>
          </cell>
          <cell r="J321">
            <v>4</v>
          </cell>
          <cell r="N321">
            <v>0</v>
          </cell>
          <cell r="R321">
            <v>0</v>
          </cell>
          <cell r="V321">
            <v>0</v>
          </cell>
          <cell r="X321">
            <v>0</v>
          </cell>
          <cell r="Y321">
            <v>0</v>
          </cell>
        </row>
        <row r="322">
          <cell r="C322">
            <v>1854</v>
          </cell>
          <cell r="D322">
            <v>1860.5</v>
          </cell>
          <cell r="E322">
            <v>1860.5</v>
          </cell>
          <cell r="F322">
            <v>1869</v>
          </cell>
          <cell r="G322">
            <v>6.5</v>
          </cell>
          <cell r="H322">
            <v>8.5</v>
          </cell>
          <cell r="I322">
            <v>15</v>
          </cell>
          <cell r="J322">
            <v>7.4166666666667425</v>
          </cell>
          <cell r="L322">
            <v>0.95486111111111116</v>
          </cell>
          <cell r="M322">
            <v>2.0833333333333332E-2</v>
          </cell>
          <cell r="N322">
            <v>1.5833333333332575</v>
          </cell>
          <cell r="O322" t="str">
            <v>Lampu kerja mati semua</v>
          </cell>
          <cell r="R322">
            <v>0</v>
          </cell>
          <cell r="V322">
            <v>0</v>
          </cell>
          <cell r="X322">
            <v>1.5833333333332575</v>
          </cell>
          <cell r="Y322" t="str">
            <v>Lampu kerja mati semua</v>
          </cell>
        </row>
        <row r="323">
          <cell r="C323">
            <v>1869</v>
          </cell>
          <cell r="D323">
            <v>1877</v>
          </cell>
          <cell r="E323">
            <v>1877</v>
          </cell>
          <cell r="F323">
            <v>1888</v>
          </cell>
          <cell r="G323">
            <v>8</v>
          </cell>
          <cell r="H323">
            <v>11</v>
          </cell>
          <cell r="I323">
            <v>19</v>
          </cell>
          <cell r="J323">
            <v>5</v>
          </cell>
          <cell r="N323">
            <v>0</v>
          </cell>
          <cell r="R323">
            <v>0</v>
          </cell>
          <cell r="V323">
            <v>0</v>
          </cell>
          <cell r="X323">
            <v>0</v>
          </cell>
          <cell r="Y323">
            <v>0</v>
          </cell>
        </row>
        <row r="324">
          <cell r="C324">
            <v>1888</v>
          </cell>
          <cell r="D324">
            <v>1897</v>
          </cell>
          <cell r="E324">
            <v>1897</v>
          </cell>
          <cell r="F324">
            <v>1905.5</v>
          </cell>
          <cell r="G324">
            <v>9</v>
          </cell>
          <cell r="H324">
            <v>8.5</v>
          </cell>
          <cell r="I324">
            <v>17.5</v>
          </cell>
          <cell r="J324">
            <v>6.5</v>
          </cell>
          <cell r="N324">
            <v>0</v>
          </cell>
          <cell r="R324">
            <v>0</v>
          </cell>
          <cell r="V324">
            <v>0</v>
          </cell>
          <cell r="X324">
            <v>0</v>
          </cell>
          <cell r="Y324">
            <v>0</v>
          </cell>
        </row>
        <row r="325">
          <cell r="C325">
            <v>1905.5</v>
          </cell>
          <cell r="D325">
            <v>1914</v>
          </cell>
          <cell r="E325">
            <v>1914</v>
          </cell>
          <cell r="F325">
            <v>1924.5</v>
          </cell>
          <cell r="G325">
            <v>8.5</v>
          </cell>
          <cell r="H325">
            <v>10.5</v>
          </cell>
          <cell r="I325">
            <v>19</v>
          </cell>
          <cell r="J325">
            <v>5</v>
          </cell>
          <cell r="N325">
            <v>0</v>
          </cell>
          <cell r="R325">
            <v>0</v>
          </cell>
          <cell r="V325">
            <v>0</v>
          </cell>
          <cell r="X325">
            <v>0</v>
          </cell>
          <cell r="Y325">
            <v>0</v>
          </cell>
        </row>
        <row r="326">
          <cell r="C326">
            <v>1924.5</v>
          </cell>
          <cell r="D326">
            <v>1934.7</v>
          </cell>
          <cell r="E326">
            <v>1934.7</v>
          </cell>
          <cell r="F326">
            <v>1943</v>
          </cell>
          <cell r="G326">
            <v>10.200000000000045</v>
          </cell>
          <cell r="H326">
            <v>8.2999999999999545</v>
          </cell>
          <cell r="I326">
            <v>18.5</v>
          </cell>
          <cell r="J326">
            <v>5.25</v>
          </cell>
          <cell r="L326">
            <v>0.97013888888888899</v>
          </cell>
          <cell r="M326">
            <v>0.98055555555555562</v>
          </cell>
          <cell r="N326">
            <v>0.24999999999999911</v>
          </cell>
          <cell r="O326" t="str">
            <v>Perbaikan lampu kerja dan greasing</v>
          </cell>
          <cell r="R326">
            <v>0</v>
          </cell>
          <cell r="V326">
            <v>0</v>
          </cell>
          <cell r="X326">
            <v>0.24999999999999911</v>
          </cell>
          <cell r="Y326" t="str">
            <v>Perbaikan lampu kerja dan greasing</v>
          </cell>
        </row>
        <row r="327">
          <cell r="C327">
            <v>1943</v>
          </cell>
          <cell r="D327">
            <v>1952.5</v>
          </cell>
          <cell r="E327">
            <v>1952.5</v>
          </cell>
          <cell r="F327">
            <v>1963</v>
          </cell>
          <cell r="G327">
            <v>9.5</v>
          </cell>
          <cell r="H327">
            <v>10.5</v>
          </cell>
          <cell r="I327">
            <v>20</v>
          </cell>
          <cell r="J327">
            <v>4</v>
          </cell>
          <cell r="N327">
            <v>0</v>
          </cell>
          <cell r="R327">
            <v>0</v>
          </cell>
          <cell r="V327">
            <v>0</v>
          </cell>
          <cell r="X327">
            <v>0</v>
          </cell>
          <cell r="Y327">
            <v>0</v>
          </cell>
        </row>
        <row r="328">
          <cell r="C328">
            <v>1963</v>
          </cell>
          <cell r="D328">
            <v>1972</v>
          </cell>
          <cell r="E328">
            <v>1972</v>
          </cell>
          <cell r="F328">
            <v>1972</v>
          </cell>
          <cell r="G328">
            <v>9</v>
          </cell>
          <cell r="H328">
            <v>0</v>
          </cell>
          <cell r="I328">
            <v>9</v>
          </cell>
          <cell r="J328">
            <v>15</v>
          </cell>
          <cell r="N328">
            <v>0</v>
          </cell>
          <cell r="R328">
            <v>0</v>
          </cell>
          <cell r="V328">
            <v>0</v>
          </cell>
          <cell r="X328">
            <v>0</v>
          </cell>
          <cell r="Y328">
            <v>0</v>
          </cell>
        </row>
        <row r="329">
          <cell r="C329">
            <v>1972</v>
          </cell>
          <cell r="D329">
            <v>1982.2</v>
          </cell>
          <cell r="E329">
            <v>1982.2</v>
          </cell>
          <cell r="F329">
            <v>1990</v>
          </cell>
          <cell r="G329">
            <v>10.200000000000045</v>
          </cell>
          <cell r="H329">
            <v>7.7999999999999545</v>
          </cell>
          <cell r="I329">
            <v>18</v>
          </cell>
          <cell r="J329">
            <v>6</v>
          </cell>
          <cell r="N329">
            <v>0</v>
          </cell>
          <cell r="R329">
            <v>0</v>
          </cell>
          <cell r="V329">
            <v>0</v>
          </cell>
          <cell r="X329">
            <v>0</v>
          </cell>
          <cell r="Y329">
            <v>0</v>
          </cell>
        </row>
        <row r="330">
          <cell r="C330">
            <v>1990</v>
          </cell>
          <cell r="D330">
            <v>1990</v>
          </cell>
          <cell r="E330">
            <v>1990</v>
          </cell>
          <cell r="F330">
            <v>1990</v>
          </cell>
          <cell r="G330">
            <v>0</v>
          </cell>
          <cell r="H330">
            <v>0</v>
          </cell>
          <cell r="I330">
            <v>0</v>
          </cell>
          <cell r="J330">
            <v>24</v>
          </cell>
          <cell r="K330" t="str">
            <v>Standby</v>
          </cell>
          <cell r="N330">
            <v>0</v>
          </cell>
          <cell r="R330">
            <v>0</v>
          </cell>
          <cell r="V330">
            <v>0</v>
          </cell>
          <cell r="X330">
            <v>0</v>
          </cell>
          <cell r="Y330">
            <v>0</v>
          </cell>
        </row>
        <row r="331">
          <cell r="C331">
            <v>1990</v>
          </cell>
          <cell r="D331">
            <v>1990</v>
          </cell>
          <cell r="E331">
            <v>1990</v>
          </cell>
          <cell r="F331">
            <v>1990</v>
          </cell>
          <cell r="G331">
            <v>0</v>
          </cell>
          <cell r="H331">
            <v>0</v>
          </cell>
          <cell r="I331">
            <v>0</v>
          </cell>
          <cell r="J331">
            <v>24</v>
          </cell>
          <cell r="K331" t="str">
            <v>Standby</v>
          </cell>
          <cell r="N331">
            <v>0</v>
          </cell>
          <cell r="R331">
            <v>0</v>
          </cell>
          <cell r="V331">
            <v>0</v>
          </cell>
          <cell r="X331">
            <v>0</v>
          </cell>
          <cell r="Y331">
            <v>0</v>
          </cell>
        </row>
        <row r="332">
          <cell r="C332">
            <v>1990</v>
          </cell>
          <cell r="D332">
            <v>1990</v>
          </cell>
          <cell r="E332">
            <v>1990</v>
          </cell>
          <cell r="F332">
            <v>1990</v>
          </cell>
          <cell r="G332">
            <v>0</v>
          </cell>
          <cell r="H332">
            <v>0</v>
          </cell>
          <cell r="I332">
            <v>0</v>
          </cell>
          <cell r="J332">
            <v>24</v>
          </cell>
          <cell r="K332" t="str">
            <v>Standby</v>
          </cell>
          <cell r="N332">
            <v>0</v>
          </cell>
          <cell r="R332">
            <v>0</v>
          </cell>
          <cell r="V332">
            <v>0</v>
          </cell>
          <cell r="X332">
            <v>0</v>
          </cell>
          <cell r="Y332">
            <v>0</v>
          </cell>
        </row>
        <row r="333">
          <cell r="C333">
            <v>1696</v>
          </cell>
          <cell r="D333">
            <v>1990</v>
          </cell>
          <cell r="E333">
            <v>1704</v>
          </cell>
          <cell r="F333">
            <v>1990</v>
          </cell>
          <cell r="G333">
            <v>143.79999999999995</v>
          </cell>
          <cell r="H333">
            <v>150.20000000000005</v>
          </cell>
          <cell r="I333">
            <v>294</v>
          </cell>
          <cell r="J333">
            <v>374.83333333333337</v>
          </cell>
          <cell r="N333">
            <v>3.1666666666665906</v>
          </cell>
          <cell r="R333">
            <v>0</v>
          </cell>
          <cell r="V333">
            <v>0</v>
          </cell>
        </row>
        <row r="334">
          <cell r="V334" t="str">
            <v/>
          </cell>
        </row>
        <row r="335">
          <cell r="C335">
            <v>6452</v>
          </cell>
          <cell r="D335">
            <v>6452</v>
          </cell>
          <cell r="E335">
            <v>6452</v>
          </cell>
          <cell r="F335">
            <v>6452</v>
          </cell>
          <cell r="G335">
            <v>0</v>
          </cell>
          <cell r="H335">
            <v>0</v>
          </cell>
          <cell r="I335">
            <v>0</v>
          </cell>
          <cell r="J335">
            <v>24</v>
          </cell>
          <cell r="L335">
            <v>0.80763888888888891</v>
          </cell>
          <cell r="M335">
            <v>0.82291666666666663</v>
          </cell>
          <cell r="N335">
            <v>0</v>
          </cell>
          <cell r="O335" t="str">
            <v>Baut cating buket</v>
          </cell>
          <cell r="R335">
            <v>0</v>
          </cell>
          <cell r="V335">
            <v>0</v>
          </cell>
          <cell r="X335">
            <v>0</v>
          </cell>
          <cell r="Y335">
            <v>0</v>
          </cell>
        </row>
        <row r="336">
          <cell r="C336">
            <v>6452</v>
          </cell>
          <cell r="D336">
            <v>6452</v>
          </cell>
          <cell r="E336">
            <v>6452</v>
          </cell>
          <cell r="F336">
            <v>6452</v>
          </cell>
          <cell r="G336">
            <v>0</v>
          </cell>
          <cell r="H336">
            <v>0</v>
          </cell>
          <cell r="I336">
            <v>0</v>
          </cell>
          <cell r="J336">
            <v>24</v>
          </cell>
          <cell r="N336">
            <v>0</v>
          </cell>
          <cell r="V336">
            <v>0</v>
          </cell>
          <cell r="X336">
            <v>0</v>
          </cell>
          <cell r="Y336">
            <v>0</v>
          </cell>
        </row>
        <row r="337">
          <cell r="C337">
            <v>6452</v>
          </cell>
          <cell r="D337">
            <v>6452</v>
          </cell>
          <cell r="E337">
            <v>6452</v>
          </cell>
          <cell r="F337">
            <v>6452</v>
          </cell>
          <cell r="G337">
            <v>0</v>
          </cell>
          <cell r="H337">
            <v>0</v>
          </cell>
          <cell r="I337">
            <v>0</v>
          </cell>
          <cell r="J337">
            <v>24</v>
          </cell>
          <cell r="N337">
            <v>0</v>
          </cell>
          <cell r="R337">
            <v>0</v>
          </cell>
          <cell r="V337">
            <v>0</v>
          </cell>
          <cell r="X337">
            <v>0</v>
          </cell>
          <cell r="Y337">
            <v>0</v>
          </cell>
        </row>
        <row r="338">
          <cell r="C338">
            <v>6452</v>
          </cell>
          <cell r="D338">
            <v>6452</v>
          </cell>
          <cell r="E338">
            <v>6452</v>
          </cell>
          <cell r="F338">
            <v>6452</v>
          </cell>
          <cell r="G338">
            <v>0</v>
          </cell>
          <cell r="H338">
            <v>0</v>
          </cell>
          <cell r="I338">
            <v>0</v>
          </cell>
          <cell r="J338">
            <v>24</v>
          </cell>
          <cell r="N338">
            <v>0</v>
          </cell>
          <cell r="R338">
            <v>0</v>
          </cell>
          <cell r="V338">
            <v>0</v>
          </cell>
          <cell r="X338">
            <v>0</v>
          </cell>
          <cell r="Y338">
            <v>0</v>
          </cell>
        </row>
        <row r="339">
          <cell r="C339">
            <v>6452</v>
          </cell>
          <cell r="D339">
            <v>6452</v>
          </cell>
          <cell r="E339">
            <v>6452</v>
          </cell>
          <cell r="F339">
            <v>6452</v>
          </cell>
          <cell r="G339">
            <v>0</v>
          </cell>
          <cell r="H339">
            <v>0</v>
          </cell>
          <cell r="I339">
            <v>0</v>
          </cell>
          <cell r="J339">
            <v>24</v>
          </cell>
          <cell r="N339">
            <v>0</v>
          </cell>
          <cell r="R339">
            <v>0</v>
          </cell>
          <cell r="V339">
            <v>0</v>
          </cell>
          <cell r="X339">
            <v>0</v>
          </cell>
          <cell r="Y339">
            <v>0</v>
          </cell>
        </row>
        <row r="340">
          <cell r="C340">
            <v>6452</v>
          </cell>
          <cell r="D340">
            <v>6452</v>
          </cell>
          <cell r="E340">
            <v>6452</v>
          </cell>
          <cell r="F340">
            <v>6452</v>
          </cell>
          <cell r="G340">
            <v>0</v>
          </cell>
          <cell r="H340">
            <v>0</v>
          </cell>
          <cell r="I340">
            <v>0</v>
          </cell>
          <cell r="J340">
            <v>24</v>
          </cell>
          <cell r="N340">
            <v>0</v>
          </cell>
          <cell r="R340">
            <v>0</v>
          </cell>
          <cell r="V340">
            <v>0</v>
          </cell>
          <cell r="X340">
            <v>0</v>
          </cell>
          <cell r="Y340">
            <v>0</v>
          </cell>
        </row>
        <row r="341">
          <cell r="C341">
            <v>6452</v>
          </cell>
          <cell r="D341">
            <v>6452</v>
          </cell>
          <cell r="E341">
            <v>6452</v>
          </cell>
          <cell r="F341">
            <v>6452</v>
          </cell>
          <cell r="G341">
            <v>0</v>
          </cell>
          <cell r="H341">
            <v>0</v>
          </cell>
          <cell r="I341">
            <v>0</v>
          </cell>
          <cell r="J341">
            <v>24</v>
          </cell>
          <cell r="N341">
            <v>0</v>
          </cell>
          <cell r="R341">
            <v>0</v>
          </cell>
          <cell r="V341">
            <v>0</v>
          </cell>
          <cell r="X341">
            <v>0</v>
          </cell>
          <cell r="Y341">
            <v>0</v>
          </cell>
        </row>
        <row r="342">
          <cell r="C342">
            <v>6452</v>
          </cell>
          <cell r="D342">
            <v>6452</v>
          </cell>
          <cell r="E342">
            <v>6452</v>
          </cell>
          <cell r="F342">
            <v>6452</v>
          </cell>
          <cell r="G342">
            <v>0</v>
          </cell>
          <cell r="H342">
            <v>0</v>
          </cell>
          <cell r="I342">
            <v>0</v>
          </cell>
          <cell r="J342">
            <v>24</v>
          </cell>
          <cell r="K342" t="str">
            <v>Off hire</v>
          </cell>
          <cell r="N342">
            <v>0</v>
          </cell>
          <cell r="R342">
            <v>0</v>
          </cell>
          <cell r="V342">
            <v>0</v>
          </cell>
          <cell r="X342">
            <v>0</v>
          </cell>
          <cell r="Y342">
            <v>0</v>
          </cell>
        </row>
        <row r="343">
          <cell r="C343">
            <v>6452</v>
          </cell>
          <cell r="D343">
            <v>6452</v>
          </cell>
          <cell r="E343">
            <v>6452</v>
          </cell>
          <cell r="F343">
            <v>6452</v>
          </cell>
          <cell r="G343">
            <v>0</v>
          </cell>
          <cell r="H343">
            <v>0</v>
          </cell>
          <cell r="I343">
            <v>0</v>
          </cell>
          <cell r="J343">
            <v>24</v>
          </cell>
          <cell r="N343">
            <v>0</v>
          </cell>
          <cell r="R343">
            <v>0</v>
          </cell>
          <cell r="V343">
            <v>0</v>
          </cell>
          <cell r="X343">
            <v>0</v>
          </cell>
          <cell r="Y343">
            <v>0</v>
          </cell>
        </row>
        <row r="344">
          <cell r="C344">
            <v>6452</v>
          </cell>
          <cell r="D344">
            <v>6452</v>
          </cell>
          <cell r="E344">
            <v>6452</v>
          </cell>
          <cell r="F344">
            <v>6452</v>
          </cell>
          <cell r="G344">
            <v>0</v>
          </cell>
          <cell r="H344">
            <v>0</v>
          </cell>
          <cell r="I344">
            <v>0</v>
          </cell>
          <cell r="J344">
            <v>24</v>
          </cell>
          <cell r="N344">
            <v>0</v>
          </cell>
          <cell r="R344">
            <v>0</v>
          </cell>
          <cell r="V344">
            <v>0</v>
          </cell>
          <cell r="X344">
            <v>0</v>
          </cell>
          <cell r="Y344">
            <v>0</v>
          </cell>
        </row>
        <row r="345">
          <cell r="C345">
            <v>6452</v>
          </cell>
          <cell r="D345">
            <v>6452</v>
          </cell>
          <cell r="E345">
            <v>6452</v>
          </cell>
          <cell r="F345">
            <v>6452</v>
          </cell>
          <cell r="G345">
            <v>0</v>
          </cell>
          <cell r="H345">
            <v>0</v>
          </cell>
          <cell r="I345">
            <v>0</v>
          </cell>
          <cell r="J345">
            <v>24</v>
          </cell>
          <cell r="N345">
            <v>0</v>
          </cell>
          <cell r="R345">
            <v>0</v>
          </cell>
          <cell r="V345">
            <v>0</v>
          </cell>
          <cell r="X345">
            <v>0</v>
          </cell>
          <cell r="Y345">
            <v>0</v>
          </cell>
        </row>
        <row r="346">
          <cell r="C346">
            <v>6452</v>
          </cell>
          <cell r="D346">
            <v>6452</v>
          </cell>
          <cell r="E346">
            <v>6452</v>
          </cell>
          <cell r="F346">
            <v>6452</v>
          </cell>
          <cell r="G346">
            <v>0</v>
          </cell>
          <cell r="H346">
            <v>0</v>
          </cell>
          <cell r="I346">
            <v>0</v>
          </cell>
          <cell r="J346">
            <v>24</v>
          </cell>
          <cell r="N346">
            <v>0</v>
          </cell>
          <cell r="R346">
            <v>0</v>
          </cell>
          <cell r="V346">
            <v>0</v>
          </cell>
          <cell r="X346">
            <v>0</v>
          </cell>
          <cell r="Y346">
            <v>0</v>
          </cell>
        </row>
        <row r="347">
          <cell r="C347">
            <v>6452</v>
          </cell>
          <cell r="D347">
            <v>6452</v>
          </cell>
          <cell r="E347">
            <v>6452</v>
          </cell>
          <cell r="F347">
            <v>6452</v>
          </cell>
          <cell r="G347">
            <v>0</v>
          </cell>
          <cell r="H347">
            <v>0</v>
          </cell>
          <cell r="I347">
            <v>0</v>
          </cell>
          <cell r="J347">
            <v>24</v>
          </cell>
          <cell r="N347">
            <v>0</v>
          </cell>
          <cell r="R347">
            <v>0</v>
          </cell>
          <cell r="V347">
            <v>0</v>
          </cell>
          <cell r="X347">
            <v>0</v>
          </cell>
          <cell r="Y347">
            <v>0</v>
          </cell>
        </row>
        <row r="348">
          <cell r="C348">
            <v>6452</v>
          </cell>
          <cell r="D348">
            <v>6452</v>
          </cell>
          <cell r="E348">
            <v>6452</v>
          </cell>
          <cell r="F348">
            <v>6452</v>
          </cell>
          <cell r="G348">
            <v>0</v>
          </cell>
          <cell r="H348">
            <v>0</v>
          </cell>
          <cell r="I348">
            <v>0</v>
          </cell>
          <cell r="J348">
            <v>24</v>
          </cell>
          <cell r="N348">
            <v>0</v>
          </cell>
          <cell r="R348">
            <v>0</v>
          </cell>
          <cell r="V348">
            <v>0</v>
          </cell>
          <cell r="X348">
            <v>0</v>
          </cell>
          <cell r="Y348">
            <v>0</v>
          </cell>
        </row>
        <row r="349">
          <cell r="C349">
            <v>6452</v>
          </cell>
          <cell r="D349">
            <v>6452</v>
          </cell>
          <cell r="E349">
            <v>6452</v>
          </cell>
          <cell r="F349">
            <v>6452</v>
          </cell>
          <cell r="G349">
            <v>0</v>
          </cell>
          <cell r="H349">
            <v>0</v>
          </cell>
          <cell r="I349">
            <v>0</v>
          </cell>
          <cell r="J349">
            <v>24</v>
          </cell>
          <cell r="N349">
            <v>0</v>
          </cell>
          <cell r="R349">
            <v>0</v>
          </cell>
          <cell r="V349">
            <v>0</v>
          </cell>
          <cell r="X349">
            <v>0</v>
          </cell>
          <cell r="Y349">
            <v>0</v>
          </cell>
        </row>
        <row r="350">
          <cell r="C350">
            <v>6452</v>
          </cell>
          <cell r="D350">
            <v>6452</v>
          </cell>
          <cell r="E350">
            <v>6452</v>
          </cell>
          <cell r="F350">
            <v>6452</v>
          </cell>
          <cell r="G350">
            <v>0</v>
          </cell>
          <cell r="H350">
            <v>0</v>
          </cell>
          <cell r="I350">
            <v>0</v>
          </cell>
          <cell r="J350">
            <v>24</v>
          </cell>
          <cell r="N350">
            <v>0</v>
          </cell>
          <cell r="R350">
            <v>0</v>
          </cell>
          <cell r="V350">
            <v>0</v>
          </cell>
          <cell r="X350">
            <v>0</v>
          </cell>
          <cell r="Y350">
            <v>0</v>
          </cell>
        </row>
        <row r="351"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N351">
            <v>0</v>
          </cell>
          <cell r="R351">
            <v>0</v>
          </cell>
          <cell r="V351">
            <v>0</v>
          </cell>
          <cell r="X351">
            <v>0</v>
          </cell>
          <cell r="Y351">
            <v>0</v>
          </cell>
        </row>
        <row r="352"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N352">
            <v>0</v>
          </cell>
          <cell r="R352">
            <v>0</v>
          </cell>
          <cell r="V352">
            <v>0</v>
          </cell>
          <cell r="X352">
            <v>0</v>
          </cell>
          <cell r="Y352">
            <v>0</v>
          </cell>
        </row>
        <row r="353"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N353">
            <v>0</v>
          </cell>
          <cell r="R353">
            <v>0</v>
          </cell>
          <cell r="V353">
            <v>0</v>
          </cell>
          <cell r="X353">
            <v>0</v>
          </cell>
          <cell r="Y353">
            <v>0</v>
          </cell>
        </row>
        <row r="354"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N354">
            <v>0</v>
          </cell>
          <cell r="R354">
            <v>0</v>
          </cell>
          <cell r="V354">
            <v>0</v>
          </cell>
          <cell r="X354">
            <v>0</v>
          </cell>
          <cell r="Y354">
            <v>0</v>
          </cell>
        </row>
        <row r="355"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N355">
            <v>0</v>
          </cell>
          <cell r="R355">
            <v>0</v>
          </cell>
          <cell r="V355">
            <v>0</v>
          </cell>
          <cell r="X355">
            <v>0</v>
          </cell>
          <cell r="Y355">
            <v>0</v>
          </cell>
        </row>
        <row r="356"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N356">
            <v>0</v>
          </cell>
          <cell r="R356">
            <v>0</v>
          </cell>
          <cell r="V356">
            <v>0</v>
          </cell>
          <cell r="X356">
            <v>0</v>
          </cell>
          <cell r="Y356">
            <v>0</v>
          </cell>
        </row>
        <row r="357"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N357">
            <v>0</v>
          </cell>
          <cell r="R357">
            <v>0</v>
          </cell>
          <cell r="V357">
            <v>0</v>
          </cell>
          <cell r="X357">
            <v>0</v>
          </cell>
          <cell r="Y357">
            <v>0</v>
          </cell>
        </row>
        <row r="358"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N358">
            <v>0</v>
          </cell>
          <cell r="V358">
            <v>0</v>
          </cell>
          <cell r="X358">
            <v>0</v>
          </cell>
          <cell r="Y358">
            <v>0</v>
          </cell>
        </row>
        <row r="359"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N359">
            <v>0</v>
          </cell>
          <cell r="R359">
            <v>0</v>
          </cell>
          <cell r="V359">
            <v>0</v>
          </cell>
          <cell r="X359">
            <v>0</v>
          </cell>
          <cell r="Y359">
            <v>0</v>
          </cell>
        </row>
        <row r="360"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N360">
            <v>0</v>
          </cell>
          <cell r="R360">
            <v>0</v>
          </cell>
          <cell r="V360">
            <v>0</v>
          </cell>
          <cell r="X360">
            <v>0</v>
          </cell>
          <cell r="Y360">
            <v>0</v>
          </cell>
        </row>
        <row r="361"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N361">
            <v>0</v>
          </cell>
          <cell r="R361">
            <v>0</v>
          </cell>
          <cell r="V361">
            <v>0</v>
          </cell>
          <cell r="X361">
            <v>0</v>
          </cell>
          <cell r="Y361">
            <v>0</v>
          </cell>
        </row>
        <row r="362"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N362">
            <v>0</v>
          </cell>
          <cell r="R362">
            <v>0</v>
          </cell>
          <cell r="V362">
            <v>0</v>
          </cell>
          <cell r="X362">
            <v>0</v>
          </cell>
          <cell r="Y362">
            <v>0</v>
          </cell>
        </row>
        <row r="363"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N363">
            <v>0</v>
          </cell>
          <cell r="R363">
            <v>0</v>
          </cell>
          <cell r="V363">
            <v>0</v>
          </cell>
          <cell r="X363">
            <v>0</v>
          </cell>
          <cell r="Y363">
            <v>0</v>
          </cell>
        </row>
        <row r="364"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N364">
            <v>0</v>
          </cell>
          <cell r="R364">
            <v>0</v>
          </cell>
          <cell r="V364">
            <v>0</v>
          </cell>
          <cell r="X364">
            <v>0</v>
          </cell>
          <cell r="Y364">
            <v>0</v>
          </cell>
        </row>
        <row r="365"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N365">
            <v>0</v>
          </cell>
          <cell r="R365">
            <v>0</v>
          </cell>
          <cell r="V365">
            <v>0</v>
          </cell>
          <cell r="X365">
            <v>0</v>
          </cell>
          <cell r="Y365">
            <v>0</v>
          </cell>
        </row>
        <row r="366">
          <cell r="C366">
            <v>6452</v>
          </cell>
          <cell r="D366">
            <v>6452</v>
          </cell>
          <cell r="E366">
            <v>6452</v>
          </cell>
          <cell r="F366">
            <v>6452</v>
          </cell>
          <cell r="G366">
            <v>0</v>
          </cell>
          <cell r="H366">
            <v>0</v>
          </cell>
          <cell r="I366">
            <v>0</v>
          </cell>
          <cell r="J366">
            <v>384</v>
          </cell>
          <cell r="N366">
            <v>0</v>
          </cell>
          <cell r="R366">
            <v>0</v>
          </cell>
          <cell r="V366">
            <v>0</v>
          </cell>
        </row>
        <row r="367">
          <cell r="V367" t="str">
            <v/>
          </cell>
        </row>
        <row r="368">
          <cell r="C368">
            <v>749</v>
          </cell>
          <cell r="D368">
            <v>757</v>
          </cell>
          <cell r="E368">
            <v>757</v>
          </cell>
          <cell r="F368">
            <v>768</v>
          </cell>
          <cell r="G368">
            <v>8</v>
          </cell>
          <cell r="H368">
            <v>11</v>
          </cell>
          <cell r="I368">
            <v>19</v>
          </cell>
          <cell r="J368">
            <v>4.6166666666666671</v>
          </cell>
          <cell r="L368">
            <v>0.55763888888888891</v>
          </cell>
          <cell r="M368">
            <v>0.57361111111111118</v>
          </cell>
          <cell r="N368">
            <v>0.38333333333333464</v>
          </cell>
          <cell r="O368" t="str">
            <v>Pin riper arm lepas</v>
          </cell>
          <cell r="R368">
            <v>0</v>
          </cell>
          <cell r="V368">
            <v>0</v>
          </cell>
          <cell r="X368">
            <v>0.38333333333333464</v>
          </cell>
          <cell r="Y368" t="str">
            <v>Pin riper arm lepas</v>
          </cell>
        </row>
        <row r="369">
          <cell r="C369">
            <v>768</v>
          </cell>
          <cell r="D369">
            <v>776.5</v>
          </cell>
          <cell r="E369">
            <v>776.5</v>
          </cell>
          <cell r="F369">
            <v>787</v>
          </cell>
          <cell r="G369">
            <v>8.5</v>
          </cell>
          <cell r="H369">
            <v>10.5</v>
          </cell>
          <cell r="I369">
            <v>19</v>
          </cell>
          <cell r="J369">
            <v>5</v>
          </cell>
          <cell r="N369">
            <v>0</v>
          </cell>
          <cell r="R369">
            <v>0</v>
          </cell>
          <cell r="V369">
            <v>0</v>
          </cell>
          <cell r="X369">
            <v>0</v>
          </cell>
          <cell r="Y369">
            <v>0</v>
          </cell>
        </row>
        <row r="370">
          <cell r="C370">
            <v>787</v>
          </cell>
          <cell r="D370">
            <v>787</v>
          </cell>
          <cell r="E370">
            <v>787</v>
          </cell>
          <cell r="F370">
            <v>787</v>
          </cell>
          <cell r="G370">
            <v>0</v>
          </cell>
          <cell r="H370">
            <v>0</v>
          </cell>
          <cell r="I370">
            <v>0</v>
          </cell>
          <cell r="J370">
            <v>6.4499999999999993</v>
          </cell>
          <cell r="L370">
            <v>0.43541666666666662</v>
          </cell>
          <cell r="M370">
            <v>0.75</v>
          </cell>
          <cell r="N370">
            <v>7.5500000000000007</v>
          </cell>
          <cell r="O370" t="str">
            <v>Riper mau lepas</v>
          </cell>
          <cell r="P370">
            <v>0.29166666666666669</v>
          </cell>
          <cell r="Q370">
            <v>0.70833333333333337</v>
          </cell>
          <cell r="R370">
            <v>10</v>
          </cell>
          <cell r="S370" t="str">
            <v>Riper poin bengkok</v>
          </cell>
          <cell r="V370">
            <v>0</v>
          </cell>
          <cell r="X370">
            <v>17.55</v>
          </cell>
          <cell r="Y370" t="str">
            <v>Riper mau lepas,Riper poin bengkok</v>
          </cell>
        </row>
        <row r="371">
          <cell r="C371">
            <v>787</v>
          </cell>
          <cell r="D371">
            <v>791.2</v>
          </cell>
          <cell r="E371">
            <v>791.2</v>
          </cell>
          <cell r="F371">
            <v>791.5</v>
          </cell>
          <cell r="G371">
            <v>4.2000000000000455</v>
          </cell>
          <cell r="H371">
            <v>0.29999999999995453</v>
          </cell>
          <cell r="I371">
            <v>4.5</v>
          </cell>
          <cell r="J371">
            <v>13.416666666666666</v>
          </cell>
          <cell r="L371">
            <v>0.49652777777777773</v>
          </cell>
          <cell r="M371">
            <v>0.75</v>
          </cell>
          <cell r="N371">
            <v>6.0833333333333339</v>
          </cell>
          <cell r="O371" t="str">
            <v>Unit break down</v>
          </cell>
          <cell r="R371">
            <v>0</v>
          </cell>
          <cell r="V371">
            <v>0</v>
          </cell>
          <cell r="X371">
            <v>6.0833333333333339</v>
          </cell>
          <cell r="Y371" t="str">
            <v>Unit break down</v>
          </cell>
        </row>
        <row r="372">
          <cell r="C372">
            <v>791.5</v>
          </cell>
          <cell r="D372">
            <v>791.5</v>
          </cell>
          <cell r="E372">
            <v>791.5</v>
          </cell>
          <cell r="F372">
            <v>791.5</v>
          </cell>
          <cell r="G372">
            <v>0</v>
          </cell>
          <cell r="H372">
            <v>0</v>
          </cell>
          <cell r="I372">
            <v>0</v>
          </cell>
          <cell r="J372">
            <v>24</v>
          </cell>
          <cell r="N372">
            <v>0</v>
          </cell>
          <cell r="R372">
            <v>0</v>
          </cell>
          <cell r="V372">
            <v>0</v>
          </cell>
          <cell r="X372">
            <v>0</v>
          </cell>
          <cell r="Y372">
            <v>0</v>
          </cell>
        </row>
        <row r="373">
          <cell r="C373">
            <v>791.5</v>
          </cell>
          <cell r="D373">
            <v>791.5</v>
          </cell>
          <cell r="E373">
            <v>791.5</v>
          </cell>
          <cell r="F373">
            <v>791.5</v>
          </cell>
          <cell r="G373">
            <v>0</v>
          </cell>
          <cell r="H373">
            <v>0</v>
          </cell>
          <cell r="I373">
            <v>0</v>
          </cell>
          <cell r="J373">
            <v>24</v>
          </cell>
          <cell r="N373">
            <v>0</v>
          </cell>
          <cell r="R373">
            <v>0</v>
          </cell>
          <cell r="V373">
            <v>0</v>
          </cell>
          <cell r="X373">
            <v>0</v>
          </cell>
          <cell r="Y373">
            <v>0</v>
          </cell>
        </row>
        <row r="374">
          <cell r="C374">
            <v>791.5</v>
          </cell>
          <cell r="D374">
            <v>791.5</v>
          </cell>
          <cell r="E374">
            <v>791.5</v>
          </cell>
          <cell r="F374">
            <v>791.5</v>
          </cell>
          <cell r="G374">
            <v>0</v>
          </cell>
          <cell r="H374">
            <v>0</v>
          </cell>
          <cell r="I374">
            <v>0</v>
          </cell>
          <cell r="J374">
            <v>24</v>
          </cell>
          <cell r="N374">
            <v>0</v>
          </cell>
          <cell r="R374">
            <v>0</v>
          </cell>
          <cell r="V374">
            <v>0</v>
          </cell>
          <cell r="X374">
            <v>0</v>
          </cell>
          <cell r="Y374">
            <v>0</v>
          </cell>
        </row>
        <row r="375">
          <cell r="C375">
            <v>791.5</v>
          </cell>
          <cell r="D375">
            <v>796</v>
          </cell>
          <cell r="E375">
            <v>796</v>
          </cell>
          <cell r="F375">
            <v>796</v>
          </cell>
          <cell r="G375">
            <v>4.5</v>
          </cell>
          <cell r="H375">
            <v>0</v>
          </cell>
          <cell r="I375">
            <v>4.5</v>
          </cell>
          <cell r="J375">
            <v>19.5</v>
          </cell>
          <cell r="N375">
            <v>0</v>
          </cell>
          <cell r="R375">
            <v>0</v>
          </cell>
          <cell r="V375">
            <v>0</v>
          </cell>
          <cell r="X375">
            <v>0</v>
          </cell>
          <cell r="Y375">
            <v>0</v>
          </cell>
        </row>
        <row r="376">
          <cell r="C376">
            <v>796</v>
          </cell>
          <cell r="D376">
            <v>804</v>
          </cell>
          <cell r="E376">
            <v>804</v>
          </cell>
          <cell r="F376">
            <v>804</v>
          </cell>
          <cell r="G376">
            <v>8</v>
          </cell>
          <cell r="H376">
            <v>0</v>
          </cell>
          <cell r="I376">
            <v>8</v>
          </cell>
          <cell r="J376">
            <v>16</v>
          </cell>
          <cell r="N376">
            <v>0</v>
          </cell>
          <cell r="R376">
            <v>0</v>
          </cell>
          <cell r="V376">
            <v>0</v>
          </cell>
          <cell r="X376">
            <v>0</v>
          </cell>
          <cell r="Y376">
            <v>0</v>
          </cell>
        </row>
        <row r="377">
          <cell r="C377">
            <v>804</v>
          </cell>
          <cell r="D377">
            <v>814</v>
          </cell>
          <cell r="E377">
            <v>814</v>
          </cell>
          <cell r="F377">
            <v>822.2</v>
          </cell>
          <cell r="G377">
            <v>10</v>
          </cell>
          <cell r="H377">
            <v>8.2000000000000455</v>
          </cell>
          <cell r="I377">
            <v>18.200000000000045</v>
          </cell>
          <cell r="J377">
            <v>5.5499999999999545</v>
          </cell>
          <cell r="L377">
            <v>0.96527777777777779</v>
          </cell>
          <cell r="M377">
            <v>0.97569444444444453</v>
          </cell>
          <cell r="N377">
            <v>0.25000000000000178</v>
          </cell>
          <cell r="O377" t="str">
            <v>Lampu kerja off</v>
          </cell>
          <cell r="V377">
            <v>0</v>
          </cell>
          <cell r="X377">
            <v>0.25000000000000178</v>
          </cell>
          <cell r="Y377" t="str">
            <v>Lampu kerja off</v>
          </cell>
        </row>
        <row r="378">
          <cell r="C378">
            <v>822.2</v>
          </cell>
          <cell r="D378">
            <v>831</v>
          </cell>
          <cell r="E378">
            <v>831</v>
          </cell>
          <cell r="F378">
            <v>840.5</v>
          </cell>
          <cell r="G378">
            <v>8.7999999999999545</v>
          </cell>
          <cell r="H378">
            <v>9.5</v>
          </cell>
          <cell r="I378">
            <v>18.299999999999955</v>
          </cell>
          <cell r="J378">
            <v>5.7000000000000455</v>
          </cell>
          <cell r="N378">
            <v>0</v>
          </cell>
          <cell r="V378">
            <v>0</v>
          </cell>
          <cell r="X378">
            <v>0</v>
          </cell>
          <cell r="Y378">
            <v>0</v>
          </cell>
        </row>
        <row r="379">
          <cell r="C379">
            <v>840.5</v>
          </cell>
          <cell r="D379">
            <v>850.6</v>
          </cell>
          <cell r="E379">
            <v>850.6</v>
          </cell>
          <cell r="F379">
            <v>860</v>
          </cell>
          <cell r="G379">
            <v>10.100000000000023</v>
          </cell>
          <cell r="H379">
            <v>9.3999999999999773</v>
          </cell>
          <cell r="I379">
            <v>19.5</v>
          </cell>
          <cell r="J379">
            <v>4.5</v>
          </cell>
          <cell r="N379">
            <v>0</v>
          </cell>
          <cell r="V379">
            <v>0</v>
          </cell>
          <cell r="X379">
            <v>0</v>
          </cell>
          <cell r="Y379">
            <v>0</v>
          </cell>
        </row>
        <row r="380">
          <cell r="C380">
            <v>860</v>
          </cell>
          <cell r="D380">
            <v>869</v>
          </cell>
          <cell r="E380">
            <v>869</v>
          </cell>
          <cell r="F380">
            <v>879</v>
          </cell>
          <cell r="G380">
            <v>9</v>
          </cell>
          <cell r="H380">
            <v>10</v>
          </cell>
          <cell r="I380">
            <v>19</v>
          </cell>
          <cell r="J380">
            <v>5</v>
          </cell>
          <cell r="N380">
            <v>0</v>
          </cell>
          <cell r="V380">
            <v>0</v>
          </cell>
          <cell r="X380">
            <v>0</v>
          </cell>
          <cell r="Y380">
            <v>0</v>
          </cell>
        </row>
        <row r="381">
          <cell r="C381">
            <v>879</v>
          </cell>
          <cell r="D381">
            <v>888</v>
          </cell>
          <cell r="E381">
            <v>888</v>
          </cell>
          <cell r="F381">
            <v>888</v>
          </cell>
          <cell r="G381">
            <v>9</v>
          </cell>
          <cell r="H381">
            <v>0</v>
          </cell>
          <cell r="I381">
            <v>9</v>
          </cell>
          <cell r="J381">
            <v>15</v>
          </cell>
          <cell r="N381">
            <v>0</v>
          </cell>
          <cell r="R381">
            <v>0</v>
          </cell>
          <cell r="V381">
            <v>0</v>
          </cell>
          <cell r="X381">
            <v>0</v>
          </cell>
          <cell r="Y381">
            <v>0</v>
          </cell>
        </row>
        <row r="382">
          <cell r="C382">
            <v>888</v>
          </cell>
          <cell r="D382">
            <v>898</v>
          </cell>
          <cell r="E382">
            <v>898</v>
          </cell>
          <cell r="F382">
            <v>909</v>
          </cell>
          <cell r="G382">
            <v>10</v>
          </cell>
          <cell r="H382">
            <v>11</v>
          </cell>
          <cell r="I382">
            <v>21</v>
          </cell>
          <cell r="J382">
            <v>3</v>
          </cell>
          <cell r="N382">
            <v>0</v>
          </cell>
          <cell r="R382">
            <v>0</v>
          </cell>
          <cell r="V382">
            <v>0</v>
          </cell>
          <cell r="X382">
            <v>0</v>
          </cell>
          <cell r="Y382">
            <v>0</v>
          </cell>
        </row>
        <row r="383">
          <cell r="C383">
            <v>909</v>
          </cell>
          <cell r="D383">
            <v>918.5</v>
          </cell>
          <cell r="E383">
            <v>918.5</v>
          </cell>
          <cell r="F383">
            <v>929</v>
          </cell>
          <cell r="G383">
            <v>9.5</v>
          </cell>
          <cell r="H383">
            <v>10.5</v>
          </cell>
          <cell r="I383">
            <v>20</v>
          </cell>
          <cell r="J383">
            <v>4</v>
          </cell>
          <cell r="N383">
            <v>0</v>
          </cell>
          <cell r="R383">
            <v>0</v>
          </cell>
          <cell r="V383">
            <v>0</v>
          </cell>
          <cell r="X383">
            <v>0</v>
          </cell>
          <cell r="Y383">
            <v>0</v>
          </cell>
        </row>
        <row r="384">
          <cell r="C384">
            <v>929</v>
          </cell>
          <cell r="D384">
            <v>936</v>
          </cell>
          <cell r="E384">
            <v>936</v>
          </cell>
          <cell r="F384">
            <v>936</v>
          </cell>
          <cell r="G384">
            <v>7</v>
          </cell>
          <cell r="H384">
            <v>0</v>
          </cell>
          <cell r="I384">
            <v>7</v>
          </cell>
          <cell r="J384">
            <v>17</v>
          </cell>
          <cell r="N384">
            <v>0</v>
          </cell>
          <cell r="R384">
            <v>0</v>
          </cell>
          <cell r="V384">
            <v>0</v>
          </cell>
          <cell r="X384">
            <v>0</v>
          </cell>
          <cell r="Y384">
            <v>0</v>
          </cell>
        </row>
        <row r="385">
          <cell r="C385">
            <v>936</v>
          </cell>
          <cell r="D385">
            <v>938</v>
          </cell>
          <cell r="E385">
            <v>938</v>
          </cell>
          <cell r="F385">
            <v>948</v>
          </cell>
          <cell r="G385">
            <v>2</v>
          </cell>
          <cell r="H385">
            <v>10</v>
          </cell>
          <cell r="I385">
            <v>12</v>
          </cell>
          <cell r="J385">
            <v>12</v>
          </cell>
          <cell r="N385">
            <v>0</v>
          </cell>
          <cell r="R385">
            <v>0</v>
          </cell>
          <cell r="V385">
            <v>0</v>
          </cell>
          <cell r="X385">
            <v>0</v>
          </cell>
          <cell r="Y385">
            <v>0</v>
          </cell>
        </row>
        <row r="386">
          <cell r="C386">
            <v>948</v>
          </cell>
          <cell r="D386">
            <v>948</v>
          </cell>
          <cell r="E386">
            <v>948</v>
          </cell>
          <cell r="F386">
            <v>948</v>
          </cell>
          <cell r="G386">
            <v>0</v>
          </cell>
          <cell r="H386">
            <v>0</v>
          </cell>
          <cell r="I386">
            <v>0</v>
          </cell>
          <cell r="J386">
            <v>24</v>
          </cell>
          <cell r="N386">
            <v>0</v>
          </cell>
          <cell r="R386">
            <v>0</v>
          </cell>
          <cell r="V386">
            <v>0</v>
          </cell>
          <cell r="X386">
            <v>0</v>
          </cell>
          <cell r="Y386">
            <v>0</v>
          </cell>
        </row>
        <row r="387">
          <cell r="C387">
            <v>948</v>
          </cell>
          <cell r="D387">
            <v>948</v>
          </cell>
          <cell r="E387">
            <v>948</v>
          </cell>
          <cell r="F387">
            <v>948</v>
          </cell>
          <cell r="G387">
            <v>0</v>
          </cell>
          <cell r="H387">
            <v>0</v>
          </cell>
          <cell r="I387">
            <v>0</v>
          </cell>
          <cell r="J387">
            <v>24</v>
          </cell>
          <cell r="N387">
            <v>0</v>
          </cell>
          <cell r="R387">
            <v>0</v>
          </cell>
          <cell r="V387">
            <v>0</v>
          </cell>
          <cell r="X387">
            <v>0</v>
          </cell>
          <cell r="Y387">
            <v>0</v>
          </cell>
        </row>
        <row r="388">
          <cell r="C388">
            <v>948</v>
          </cell>
          <cell r="D388">
            <v>948</v>
          </cell>
          <cell r="E388">
            <v>948</v>
          </cell>
          <cell r="F388">
            <v>948</v>
          </cell>
          <cell r="G388">
            <v>0</v>
          </cell>
          <cell r="H388">
            <v>0</v>
          </cell>
          <cell r="I388">
            <v>0</v>
          </cell>
          <cell r="J388">
            <v>24</v>
          </cell>
          <cell r="N388">
            <v>0</v>
          </cell>
          <cell r="R388">
            <v>0</v>
          </cell>
          <cell r="V388">
            <v>0</v>
          </cell>
          <cell r="X388">
            <v>0</v>
          </cell>
          <cell r="Y388">
            <v>0</v>
          </cell>
        </row>
        <row r="389">
          <cell r="C389">
            <v>948</v>
          </cell>
          <cell r="D389">
            <v>948</v>
          </cell>
          <cell r="E389">
            <v>948</v>
          </cell>
          <cell r="F389">
            <v>948</v>
          </cell>
          <cell r="G389">
            <v>0</v>
          </cell>
          <cell r="H389">
            <v>0</v>
          </cell>
          <cell r="I389">
            <v>0</v>
          </cell>
          <cell r="J389">
            <v>24</v>
          </cell>
          <cell r="N389">
            <v>0</v>
          </cell>
          <cell r="R389">
            <v>0</v>
          </cell>
          <cell r="V389">
            <v>0</v>
          </cell>
          <cell r="X389">
            <v>0</v>
          </cell>
          <cell r="Y389">
            <v>0</v>
          </cell>
        </row>
        <row r="390">
          <cell r="C390">
            <v>948</v>
          </cell>
          <cell r="D390">
            <v>948</v>
          </cell>
          <cell r="E390">
            <v>948</v>
          </cell>
          <cell r="F390">
            <v>948</v>
          </cell>
          <cell r="G390">
            <v>0</v>
          </cell>
          <cell r="H390">
            <v>0</v>
          </cell>
          <cell r="I390">
            <v>0</v>
          </cell>
          <cell r="J390">
            <v>24</v>
          </cell>
          <cell r="N390">
            <v>0</v>
          </cell>
          <cell r="R390">
            <v>0</v>
          </cell>
          <cell r="V390">
            <v>0</v>
          </cell>
          <cell r="X390">
            <v>0</v>
          </cell>
          <cell r="Y390">
            <v>0</v>
          </cell>
        </row>
        <row r="391">
          <cell r="C391">
            <v>948</v>
          </cell>
          <cell r="D391">
            <v>955</v>
          </cell>
          <cell r="E391">
            <v>955</v>
          </cell>
          <cell r="F391">
            <v>965.3</v>
          </cell>
          <cell r="G391">
            <v>7</v>
          </cell>
          <cell r="H391">
            <v>10.299999999999955</v>
          </cell>
          <cell r="I391">
            <v>17.299999999999955</v>
          </cell>
          <cell r="J391">
            <v>6.5833333333333783</v>
          </cell>
          <cell r="L391">
            <v>0.83958333333333324</v>
          </cell>
          <cell r="M391">
            <v>0.84444444444444444</v>
          </cell>
          <cell r="N391">
            <v>0.11666666666666892</v>
          </cell>
          <cell r="O391" t="str">
            <v>Perbaikan lampu engine</v>
          </cell>
          <cell r="R391">
            <v>0</v>
          </cell>
          <cell r="V391">
            <v>0</v>
          </cell>
          <cell r="X391">
            <v>0.11666666666666892</v>
          </cell>
          <cell r="Y391" t="str">
            <v>Perbaikan lampu engine</v>
          </cell>
        </row>
        <row r="392">
          <cell r="C392">
            <v>965.3</v>
          </cell>
          <cell r="D392">
            <v>974</v>
          </cell>
          <cell r="E392">
            <v>974</v>
          </cell>
          <cell r="F392">
            <v>984.2</v>
          </cell>
          <cell r="G392">
            <v>8.7000000000000455</v>
          </cell>
          <cell r="H392">
            <v>10.200000000000045</v>
          </cell>
          <cell r="I392">
            <v>18.900000000000091</v>
          </cell>
          <cell r="J392">
            <v>5.0999999999999091</v>
          </cell>
          <cell r="N392">
            <v>0</v>
          </cell>
          <cell r="V392">
            <v>0</v>
          </cell>
          <cell r="X392">
            <v>0</v>
          </cell>
          <cell r="Y392">
            <v>0</v>
          </cell>
        </row>
        <row r="393">
          <cell r="C393">
            <v>984.2</v>
          </cell>
          <cell r="D393">
            <v>994.7</v>
          </cell>
          <cell r="E393">
            <v>994.7</v>
          </cell>
          <cell r="F393">
            <v>1002.5</v>
          </cell>
          <cell r="G393">
            <v>10.5</v>
          </cell>
          <cell r="H393">
            <v>7.7999999999999545</v>
          </cell>
          <cell r="I393">
            <v>18.299999999999955</v>
          </cell>
          <cell r="J393">
            <v>5.7000000000000455</v>
          </cell>
          <cell r="N393">
            <v>0</v>
          </cell>
          <cell r="R393">
            <v>0</v>
          </cell>
          <cell r="V393">
            <v>0</v>
          </cell>
          <cell r="X393">
            <v>0</v>
          </cell>
          <cell r="Y393">
            <v>0</v>
          </cell>
        </row>
        <row r="394">
          <cell r="C394">
            <v>1002.5</v>
          </cell>
          <cell r="D394">
            <v>1003.5</v>
          </cell>
          <cell r="E394">
            <v>1003.5</v>
          </cell>
          <cell r="F394">
            <v>1003.5</v>
          </cell>
          <cell r="G394">
            <v>1</v>
          </cell>
          <cell r="H394">
            <v>0</v>
          </cell>
          <cell r="I394">
            <v>1</v>
          </cell>
          <cell r="J394">
            <v>17.25</v>
          </cell>
          <cell r="L394">
            <v>0.375</v>
          </cell>
          <cell r="M394">
            <v>0.58333333333333337</v>
          </cell>
          <cell r="N394">
            <v>5.0000000000000009</v>
          </cell>
          <cell r="O394" t="str">
            <v>Pemasangan riper</v>
          </cell>
          <cell r="P394">
            <v>0.93402777777777779</v>
          </cell>
          <cell r="Q394">
            <v>0.96527777777777779</v>
          </cell>
          <cell r="R394">
            <v>0.75</v>
          </cell>
          <cell r="S394" t="str">
            <v>Ps 4 ( oil engine )</v>
          </cell>
          <cell r="V394">
            <v>0</v>
          </cell>
          <cell r="X394">
            <v>5.7500000000000009</v>
          </cell>
          <cell r="Y394" t="str">
            <v>Pemasangan riper,Ps 4 ( oil engine )</v>
          </cell>
        </row>
        <row r="395">
          <cell r="C395">
            <v>1003.5</v>
          </cell>
          <cell r="D395">
            <v>1014.5</v>
          </cell>
          <cell r="E395">
            <v>1014.5</v>
          </cell>
          <cell r="F395">
            <v>1024.5999999999999</v>
          </cell>
          <cell r="G395">
            <v>11</v>
          </cell>
          <cell r="H395">
            <v>10.099999999999909</v>
          </cell>
          <cell r="I395">
            <v>21.099999999999909</v>
          </cell>
          <cell r="J395">
            <v>2.9000000000000909</v>
          </cell>
          <cell r="N395">
            <v>0</v>
          </cell>
          <cell r="R395">
            <v>0</v>
          </cell>
          <cell r="V395">
            <v>0</v>
          </cell>
          <cell r="X395">
            <v>0</v>
          </cell>
          <cell r="Y395">
            <v>0</v>
          </cell>
        </row>
        <row r="396">
          <cell r="C396">
            <v>1024.5999999999999</v>
          </cell>
          <cell r="D396">
            <v>1024.5999999999999</v>
          </cell>
          <cell r="E396">
            <v>1024.5999999999999</v>
          </cell>
          <cell r="F396">
            <v>1024.5999999999999</v>
          </cell>
          <cell r="G396">
            <v>0</v>
          </cell>
          <cell r="H396">
            <v>0</v>
          </cell>
          <cell r="I396">
            <v>0</v>
          </cell>
          <cell r="J396">
            <v>24</v>
          </cell>
          <cell r="K396" t="str">
            <v>Standby</v>
          </cell>
          <cell r="N396">
            <v>0</v>
          </cell>
          <cell r="R396">
            <v>0</v>
          </cell>
          <cell r="V396">
            <v>0</v>
          </cell>
          <cell r="X396">
            <v>0</v>
          </cell>
          <cell r="Y396">
            <v>0</v>
          </cell>
        </row>
        <row r="397">
          <cell r="C397">
            <v>1024.5999999999999</v>
          </cell>
          <cell r="D397">
            <v>1024.5999999999999</v>
          </cell>
          <cell r="E397">
            <v>1024.5999999999999</v>
          </cell>
          <cell r="F397">
            <v>1024.5999999999999</v>
          </cell>
          <cell r="G397">
            <v>0</v>
          </cell>
          <cell r="H397">
            <v>0</v>
          </cell>
          <cell r="I397">
            <v>0</v>
          </cell>
          <cell r="J397">
            <v>24</v>
          </cell>
          <cell r="K397" t="str">
            <v>Stanndby</v>
          </cell>
          <cell r="N397">
            <v>0</v>
          </cell>
          <cell r="R397">
            <v>0</v>
          </cell>
          <cell r="V397">
            <v>0</v>
          </cell>
          <cell r="X397">
            <v>0</v>
          </cell>
          <cell r="Y397">
            <v>0</v>
          </cell>
        </row>
        <row r="398">
          <cell r="C398">
            <v>1024.5999999999999</v>
          </cell>
          <cell r="D398">
            <v>1024.5999999999999</v>
          </cell>
          <cell r="E398">
            <v>1024.5999999999999</v>
          </cell>
          <cell r="F398">
            <v>1024.5999999999999</v>
          </cell>
          <cell r="G398">
            <v>0</v>
          </cell>
          <cell r="H398">
            <v>0</v>
          </cell>
          <cell r="I398">
            <v>0</v>
          </cell>
          <cell r="J398">
            <v>24</v>
          </cell>
          <cell r="K398" t="str">
            <v>Standby</v>
          </cell>
          <cell r="N398">
            <v>0</v>
          </cell>
          <cell r="R398">
            <v>0</v>
          </cell>
          <cell r="V398">
            <v>0</v>
          </cell>
          <cell r="X398">
            <v>0</v>
          </cell>
          <cell r="Y398">
            <v>0</v>
          </cell>
        </row>
        <row r="399">
          <cell r="C399">
            <v>749</v>
          </cell>
          <cell r="D399">
            <v>1024.5999999999999</v>
          </cell>
          <cell r="E399">
            <v>757</v>
          </cell>
          <cell r="F399">
            <v>1024.5999999999999</v>
          </cell>
          <cell r="G399">
            <v>146.80000000000007</v>
          </cell>
          <cell r="H399">
            <v>128.79999999999984</v>
          </cell>
          <cell r="I399">
            <v>275.59999999999991</v>
          </cell>
          <cell r="J399">
            <v>438.26666666666677</v>
          </cell>
          <cell r="N399">
            <v>19.38333333333334</v>
          </cell>
          <cell r="R399">
            <v>10.75</v>
          </cell>
          <cell r="V399">
            <v>0</v>
          </cell>
        </row>
        <row r="400">
          <cell r="V400" t="str">
            <v/>
          </cell>
        </row>
        <row r="401">
          <cell r="C401">
            <v>663</v>
          </cell>
          <cell r="D401">
            <v>671</v>
          </cell>
          <cell r="E401">
            <v>671</v>
          </cell>
          <cell r="F401">
            <v>680</v>
          </cell>
          <cell r="G401">
            <v>8</v>
          </cell>
          <cell r="H401">
            <v>9</v>
          </cell>
          <cell r="I401">
            <v>17</v>
          </cell>
          <cell r="J401">
            <v>7</v>
          </cell>
          <cell r="N401">
            <v>0</v>
          </cell>
          <cell r="R401">
            <v>0</v>
          </cell>
          <cell r="V401">
            <v>0</v>
          </cell>
          <cell r="X401">
            <v>0</v>
          </cell>
          <cell r="Y401">
            <v>0</v>
          </cell>
        </row>
        <row r="402">
          <cell r="C402">
            <v>680</v>
          </cell>
          <cell r="D402">
            <v>680</v>
          </cell>
          <cell r="E402">
            <v>680</v>
          </cell>
          <cell r="F402">
            <v>680</v>
          </cell>
          <cell r="G402">
            <v>0</v>
          </cell>
          <cell r="H402">
            <v>0</v>
          </cell>
          <cell r="I402">
            <v>0</v>
          </cell>
          <cell r="J402">
            <v>24</v>
          </cell>
          <cell r="N402">
            <v>0</v>
          </cell>
          <cell r="R402">
            <v>0</v>
          </cell>
          <cell r="V402">
            <v>0</v>
          </cell>
          <cell r="X402">
            <v>0</v>
          </cell>
          <cell r="Y402">
            <v>0</v>
          </cell>
        </row>
        <row r="403">
          <cell r="C403">
            <v>680</v>
          </cell>
          <cell r="D403">
            <v>680</v>
          </cell>
          <cell r="E403">
            <v>680</v>
          </cell>
          <cell r="F403">
            <v>680</v>
          </cell>
          <cell r="G403">
            <v>0</v>
          </cell>
          <cell r="H403">
            <v>0</v>
          </cell>
          <cell r="I403">
            <v>0</v>
          </cell>
          <cell r="J403">
            <v>24</v>
          </cell>
          <cell r="N403">
            <v>0</v>
          </cell>
          <cell r="R403">
            <v>0</v>
          </cell>
          <cell r="V403">
            <v>0</v>
          </cell>
          <cell r="X403">
            <v>0</v>
          </cell>
          <cell r="Y403">
            <v>0</v>
          </cell>
        </row>
        <row r="404">
          <cell r="C404">
            <v>680</v>
          </cell>
          <cell r="D404">
            <v>680</v>
          </cell>
          <cell r="E404">
            <v>680</v>
          </cell>
          <cell r="F404">
            <v>680</v>
          </cell>
          <cell r="G404">
            <v>0</v>
          </cell>
          <cell r="H404">
            <v>0</v>
          </cell>
          <cell r="I404">
            <v>0</v>
          </cell>
          <cell r="J404">
            <v>24</v>
          </cell>
          <cell r="N404">
            <v>0</v>
          </cell>
          <cell r="R404">
            <v>0</v>
          </cell>
          <cell r="V404">
            <v>0</v>
          </cell>
          <cell r="X404">
            <v>0</v>
          </cell>
          <cell r="Y404">
            <v>0</v>
          </cell>
        </row>
        <row r="405">
          <cell r="C405">
            <v>680</v>
          </cell>
          <cell r="D405">
            <v>680</v>
          </cell>
          <cell r="E405">
            <v>680</v>
          </cell>
          <cell r="F405">
            <v>680</v>
          </cell>
          <cell r="G405">
            <v>0</v>
          </cell>
          <cell r="H405">
            <v>0</v>
          </cell>
          <cell r="I405">
            <v>0</v>
          </cell>
          <cell r="J405">
            <v>24</v>
          </cell>
          <cell r="N405">
            <v>0</v>
          </cell>
          <cell r="R405">
            <v>0</v>
          </cell>
          <cell r="V405">
            <v>0</v>
          </cell>
          <cell r="X405">
            <v>0</v>
          </cell>
          <cell r="Y405">
            <v>0</v>
          </cell>
        </row>
        <row r="406">
          <cell r="C406">
            <v>680</v>
          </cell>
          <cell r="D406">
            <v>680</v>
          </cell>
          <cell r="E406">
            <v>680</v>
          </cell>
          <cell r="F406">
            <v>680</v>
          </cell>
          <cell r="G406">
            <v>0</v>
          </cell>
          <cell r="H406">
            <v>0</v>
          </cell>
          <cell r="I406">
            <v>0</v>
          </cell>
          <cell r="J406">
            <v>24</v>
          </cell>
          <cell r="N406">
            <v>0</v>
          </cell>
          <cell r="R406">
            <v>0</v>
          </cell>
          <cell r="V406">
            <v>0</v>
          </cell>
          <cell r="X406">
            <v>0</v>
          </cell>
          <cell r="Y406">
            <v>0</v>
          </cell>
        </row>
        <row r="407">
          <cell r="C407">
            <v>680</v>
          </cell>
          <cell r="D407">
            <v>680</v>
          </cell>
          <cell r="E407">
            <v>680</v>
          </cell>
          <cell r="F407">
            <v>686</v>
          </cell>
          <cell r="G407">
            <v>0</v>
          </cell>
          <cell r="H407">
            <v>6</v>
          </cell>
          <cell r="I407">
            <v>6</v>
          </cell>
          <cell r="J407">
            <v>18</v>
          </cell>
          <cell r="N407">
            <v>0</v>
          </cell>
          <cell r="R407">
            <v>0</v>
          </cell>
          <cell r="V407">
            <v>0</v>
          </cell>
          <cell r="X407">
            <v>0</v>
          </cell>
          <cell r="Y407">
            <v>0</v>
          </cell>
        </row>
        <row r="408">
          <cell r="C408">
            <v>686</v>
          </cell>
          <cell r="D408">
            <v>689</v>
          </cell>
          <cell r="E408">
            <v>689</v>
          </cell>
          <cell r="F408">
            <v>696</v>
          </cell>
          <cell r="G408">
            <v>3</v>
          </cell>
          <cell r="H408">
            <v>7</v>
          </cell>
          <cell r="I408">
            <v>10</v>
          </cell>
          <cell r="J408">
            <v>14</v>
          </cell>
          <cell r="N408">
            <v>0</v>
          </cell>
          <cell r="R408">
            <v>0</v>
          </cell>
          <cell r="V408">
            <v>0</v>
          </cell>
          <cell r="X408">
            <v>0</v>
          </cell>
          <cell r="Y408">
            <v>0</v>
          </cell>
        </row>
        <row r="409">
          <cell r="C409">
            <v>696</v>
          </cell>
          <cell r="D409">
            <v>702</v>
          </cell>
          <cell r="E409">
            <v>702</v>
          </cell>
          <cell r="F409">
            <v>707.5</v>
          </cell>
          <cell r="G409">
            <v>6</v>
          </cell>
          <cell r="H409">
            <v>5.5</v>
          </cell>
          <cell r="I409">
            <v>11.5</v>
          </cell>
          <cell r="J409">
            <v>12.5</v>
          </cell>
          <cell r="N409">
            <v>0</v>
          </cell>
          <cell r="R409">
            <v>0</v>
          </cell>
          <cell r="V409">
            <v>0</v>
          </cell>
          <cell r="X409">
            <v>0</v>
          </cell>
          <cell r="Y409">
            <v>0</v>
          </cell>
        </row>
        <row r="410">
          <cell r="C410">
            <v>707.5</v>
          </cell>
          <cell r="D410">
            <v>717</v>
          </cell>
          <cell r="E410">
            <v>717</v>
          </cell>
          <cell r="F410">
            <v>722</v>
          </cell>
          <cell r="G410">
            <v>9.5</v>
          </cell>
          <cell r="H410">
            <v>5</v>
          </cell>
          <cell r="I410">
            <v>14.5</v>
          </cell>
          <cell r="J410">
            <v>8.4166666666666288</v>
          </cell>
          <cell r="L410">
            <v>0.97569444444444453</v>
          </cell>
          <cell r="M410">
            <v>2.0833333333333332E-2</v>
          </cell>
          <cell r="N410">
            <v>1.0833333333333712</v>
          </cell>
          <cell r="O410" t="str">
            <v>Oil hydrolick low</v>
          </cell>
          <cell r="R410">
            <v>0</v>
          </cell>
          <cell r="V410">
            <v>0</v>
          </cell>
          <cell r="X410">
            <v>1.0833333333333712</v>
          </cell>
          <cell r="Y410" t="str">
            <v>Oil hydrolick low</v>
          </cell>
        </row>
        <row r="411">
          <cell r="C411">
            <v>722</v>
          </cell>
          <cell r="D411">
            <v>728</v>
          </cell>
          <cell r="E411">
            <v>728</v>
          </cell>
          <cell r="F411">
            <v>739</v>
          </cell>
          <cell r="G411">
            <v>6</v>
          </cell>
          <cell r="H411">
            <v>11</v>
          </cell>
          <cell r="I411">
            <v>17</v>
          </cell>
          <cell r="J411">
            <v>6.75</v>
          </cell>
          <cell r="L411">
            <v>0.8125</v>
          </cell>
          <cell r="M411">
            <v>0.82291666666666663</v>
          </cell>
          <cell r="N411">
            <v>0.24999999999999911</v>
          </cell>
          <cell r="O411" t="str">
            <v>Lampu kerja off</v>
          </cell>
          <cell r="R411">
            <v>0</v>
          </cell>
          <cell r="V411">
            <v>0</v>
          </cell>
          <cell r="X411">
            <v>0.24999999999999911</v>
          </cell>
          <cell r="Y411" t="str">
            <v>Lampu kerja off</v>
          </cell>
        </row>
        <row r="412">
          <cell r="C412">
            <v>739</v>
          </cell>
          <cell r="D412">
            <v>747</v>
          </cell>
          <cell r="E412">
            <v>747</v>
          </cell>
          <cell r="F412">
            <v>752</v>
          </cell>
          <cell r="G412">
            <v>8</v>
          </cell>
          <cell r="H412">
            <v>5</v>
          </cell>
          <cell r="I412">
            <v>13</v>
          </cell>
          <cell r="J412">
            <v>11</v>
          </cell>
          <cell r="N412">
            <v>0</v>
          </cell>
          <cell r="R412">
            <v>0</v>
          </cell>
          <cell r="V412">
            <v>0</v>
          </cell>
          <cell r="X412">
            <v>0</v>
          </cell>
          <cell r="Y412">
            <v>0</v>
          </cell>
        </row>
        <row r="413">
          <cell r="C413">
            <v>752</v>
          </cell>
          <cell r="D413">
            <v>763</v>
          </cell>
          <cell r="E413">
            <v>763</v>
          </cell>
          <cell r="F413">
            <v>763</v>
          </cell>
          <cell r="G413">
            <v>11</v>
          </cell>
          <cell r="H413">
            <v>0</v>
          </cell>
          <cell r="I413">
            <v>11</v>
          </cell>
          <cell r="J413">
            <v>13</v>
          </cell>
          <cell r="N413">
            <v>0</v>
          </cell>
          <cell r="R413">
            <v>0</v>
          </cell>
          <cell r="V413">
            <v>0</v>
          </cell>
          <cell r="X413">
            <v>0</v>
          </cell>
          <cell r="Y413">
            <v>0</v>
          </cell>
        </row>
        <row r="414">
          <cell r="C414">
            <v>763</v>
          </cell>
          <cell r="D414">
            <v>771</v>
          </cell>
          <cell r="E414">
            <v>771</v>
          </cell>
          <cell r="F414">
            <v>772</v>
          </cell>
          <cell r="G414">
            <v>8</v>
          </cell>
          <cell r="H414">
            <v>1</v>
          </cell>
          <cell r="I414">
            <v>9</v>
          </cell>
          <cell r="J414">
            <v>15</v>
          </cell>
          <cell r="N414">
            <v>0</v>
          </cell>
          <cell r="R414">
            <v>0</v>
          </cell>
          <cell r="V414">
            <v>0</v>
          </cell>
          <cell r="X414">
            <v>0</v>
          </cell>
          <cell r="Y414">
            <v>0</v>
          </cell>
        </row>
        <row r="415">
          <cell r="C415">
            <v>772</v>
          </cell>
          <cell r="D415">
            <v>780</v>
          </cell>
          <cell r="E415">
            <v>780</v>
          </cell>
          <cell r="F415">
            <v>780</v>
          </cell>
          <cell r="G415">
            <v>8</v>
          </cell>
          <cell r="H415">
            <v>0</v>
          </cell>
          <cell r="I415">
            <v>8</v>
          </cell>
          <cell r="J415">
            <v>16</v>
          </cell>
          <cell r="N415">
            <v>0</v>
          </cell>
          <cell r="R415">
            <v>0</v>
          </cell>
          <cell r="V415">
            <v>0</v>
          </cell>
          <cell r="X415">
            <v>0</v>
          </cell>
          <cell r="Y415">
            <v>0</v>
          </cell>
        </row>
        <row r="416">
          <cell r="C416">
            <v>780</v>
          </cell>
          <cell r="D416">
            <v>789.1</v>
          </cell>
          <cell r="E416">
            <v>789.1</v>
          </cell>
          <cell r="F416">
            <v>793</v>
          </cell>
          <cell r="G416">
            <v>9.1000000000000227</v>
          </cell>
          <cell r="H416">
            <v>3.8999999999999773</v>
          </cell>
          <cell r="I416">
            <v>13</v>
          </cell>
          <cell r="J416">
            <v>10.500000000000002</v>
          </cell>
          <cell r="L416">
            <v>0.91319444444444453</v>
          </cell>
          <cell r="M416">
            <v>0.93402777777777779</v>
          </cell>
          <cell r="N416">
            <v>0.49999999999999822</v>
          </cell>
          <cell r="O416" t="str">
            <v>Ac off</v>
          </cell>
          <cell r="R416">
            <v>0</v>
          </cell>
          <cell r="V416">
            <v>0</v>
          </cell>
          <cell r="X416">
            <v>0.49999999999999822</v>
          </cell>
          <cell r="Y416" t="str">
            <v>Ac off</v>
          </cell>
        </row>
        <row r="417">
          <cell r="C417">
            <v>793</v>
          </cell>
          <cell r="D417">
            <v>797</v>
          </cell>
          <cell r="E417">
            <v>797</v>
          </cell>
          <cell r="F417">
            <v>805</v>
          </cell>
          <cell r="G417">
            <v>4</v>
          </cell>
          <cell r="H417">
            <v>8</v>
          </cell>
          <cell r="I417">
            <v>12</v>
          </cell>
          <cell r="J417">
            <v>12</v>
          </cell>
          <cell r="N417">
            <v>0</v>
          </cell>
          <cell r="R417">
            <v>0</v>
          </cell>
          <cell r="V417">
            <v>0</v>
          </cell>
          <cell r="X417">
            <v>0</v>
          </cell>
          <cell r="Y417">
            <v>0</v>
          </cell>
        </row>
        <row r="418">
          <cell r="C418">
            <v>805</v>
          </cell>
          <cell r="D418">
            <v>805</v>
          </cell>
          <cell r="E418">
            <v>805</v>
          </cell>
          <cell r="F418">
            <v>805</v>
          </cell>
          <cell r="G418">
            <v>0</v>
          </cell>
          <cell r="H418">
            <v>0</v>
          </cell>
          <cell r="I418">
            <v>0</v>
          </cell>
          <cell r="J418">
            <v>24</v>
          </cell>
          <cell r="N418">
            <v>0</v>
          </cell>
          <cell r="R418">
            <v>0</v>
          </cell>
          <cell r="V418">
            <v>0</v>
          </cell>
          <cell r="X418">
            <v>0</v>
          </cell>
          <cell r="Y418">
            <v>0</v>
          </cell>
        </row>
        <row r="419">
          <cell r="C419">
            <v>805</v>
          </cell>
          <cell r="D419">
            <v>805</v>
          </cell>
          <cell r="E419">
            <v>805</v>
          </cell>
          <cell r="F419">
            <v>815</v>
          </cell>
          <cell r="G419">
            <v>0</v>
          </cell>
          <cell r="H419">
            <v>10</v>
          </cell>
          <cell r="I419">
            <v>10</v>
          </cell>
          <cell r="J419">
            <v>13.916666666666668</v>
          </cell>
          <cell r="L419">
            <v>0.88749999999999996</v>
          </cell>
          <cell r="M419">
            <v>0.89097222222222217</v>
          </cell>
          <cell r="N419">
            <v>8.3333333333333037E-2</v>
          </cell>
          <cell r="O419" t="str">
            <v>Ganti air clener</v>
          </cell>
          <cell r="R419">
            <v>0</v>
          </cell>
          <cell r="V419">
            <v>0</v>
          </cell>
          <cell r="X419">
            <v>8.3333333333333037E-2</v>
          </cell>
          <cell r="Y419" t="str">
            <v>Ganti air clener</v>
          </cell>
        </row>
        <row r="420">
          <cell r="C420">
            <v>815</v>
          </cell>
          <cell r="D420">
            <v>822</v>
          </cell>
          <cell r="E420">
            <v>822</v>
          </cell>
          <cell r="F420">
            <v>832</v>
          </cell>
          <cell r="G420">
            <v>7</v>
          </cell>
          <cell r="H420">
            <v>10</v>
          </cell>
          <cell r="I420">
            <v>17</v>
          </cell>
          <cell r="J420">
            <v>6.4166666666666679</v>
          </cell>
          <cell r="L420">
            <v>0.12152777777777778</v>
          </cell>
          <cell r="M420">
            <v>0.14583333333333334</v>
          </cell>
          <cell r="N420">
            <v>0.58333333333333359</v>
          </cell>
          <cell r="O420" t="str">
            <v>Anjust track lh</v>
          </cell>
          <cell r="R420">
            <v>0</v>
          </cell>
          <cell r="V420">
            <v>0</v>
          </cell>
          <cell r="X420">
            <v>0.58333333333333359</v>
          </cell>
          <cell r="Y420" t="str">
            <v>Anjust track lh</v>
          </cell>
        </row>
        <row r="421">
          <cell r="C421">
            <v>832</v>
          </cell>
          <cell r="D421">
            <v>840</v>
          </cell>
          <cell r="E421">
            <v>840</v>
          </cell>
          <cell r="F421">
            <v>850</v>
          </cell>
          <cell r="G421">
            <v>8</v>
          </cell>
          <cell r="H421">
            <v>10</v>
          </cell>
          <cell r="I421">
            <v>18</v>
          </cell>
          <cell r="J421">
            <v>6</v>
          </cell>
          <cell r="N421">
            <v>0</v>
          </cell>
          <cell r="R421">
            <v>0</v>
          </cell>
          <cell r="V421">
            <v>0</v>
          </cell>
          <cell r="X421">
            <v>0</v>
          </cell>
          <cell r="Y421">
            <v>0</v>
          </cell>
        </row>
        <row r="422">
          <cell r="C422">
            <v>850</v>
          </cell>
          <cell r="D422">
            <v>859.5</v>
          </cell>
          <cell r="E422">
            <v>859.5</v>
          </cell>
          <cell r="F422">
            <v>869</v>
          </cell>
          <cell r="G422">
            <v>9.5</v>
          </cell>
          <cell r="H422">
            <v>9.5</v>
          </cell>
          <cell r="I422">
            <v>19</v>
          </cell>
          <cell r="J422">
            <v>3.75</v>
          </cell>
          <cell r="L422">
            <v>0.30902777777777779</v>
          </cell>
          <cell r="M422">
            <v>0.3611111111111111</v>
          </cell>
          <cell r="N422">
            <v>1.2499999999999996</v>
          </cell>
          <cell r="O422" t="str">
            <v>Oil hydrolick low</v>
          </cell>
          <cell r="R422">
            <v>0</v>
          </cell>
          <cell r="V422">
            <v>0</v>
          </cell>
          <cell r="X422">
            <v>1.2499999999999996</v>
          </cell>
          <cell r="Y422" t="str">
            <v>Oil hydrolick low</v>
          </cell>
        </row>
        <row r="423">
          <cell r="C423">
            <v>869</v>
          </cell>
          <cell r="D423">
            <v>877</v>
          </cell>
          <cell r="E423">
            <v>877</v>
          </cell>
          <cell r="F423">
            <v>886</v>
          </cell>
          <cell r="G423">
            <v>8</v>
          </cell>
          <cell r="H423">
            <v>9</v>
          </cell>
          <cell r="I423">
            <v>17</v>
          </cell>
          <cell r="J423">
            <v>7</v>
          </cell>
          <cell r="N423">
            <v>0</v>
          </cell>
          <cell r="R423">
            <v>0</v>
          </cell>
          <cell r="V423">
            <v>0</v>
          </cell>
          <cell r="X423">
            <v>0</v>
          </cell>
          <cell r="Y423">
            <v>0</v>
          </cell>
        </row>
        <row r="424">
          <cell r="C424">
            <v>886</v>
          </cell>
          <cell r="D424">
            <v>895</v>
          </cell>
          <cell r="E424">
            <v>895</v>
          </cell>
          <cell r="F424">
            <v>906</v>
          </cell>
          <cell r="G424">
            <v>9</v>
          </cell>
          <cell r="H424">
            <v>11</v>
          </cell>
          <cell r="I424">
            <v>20</v>
          </cell>
          <cell r="J424">
            <v>4</v>
          </cell>
          <cell r="N424">
            <v>0</v>
          </cell>
          <cell r="R424">
            <v>0</v>
          </cell>
          <cell r="V424">
            <v>0</v>
          </cell>
          <cell r="X424">
            <v>0</v>
          </cell>
          <cell r="Y424">
            <v>0</v>
          </cell>
        </row>
        <row r="425">
          <cell r="C425">
            <v>906</v>
          </cell>
          <cell r="D425">
            <v>914</v>
          </cell>
          <cell r="E425">
            <v>914</v>
          </cell>
          <cell r="F425">
            <v>925.5</v>
          </cell>
          <cell r="G425">
            <v>8</v>
          </cell>
          <cell r="H425">
            <v>11.5</v>
          </cell>
          <cell r="I425">
            <v>19.5</v>
          </cell>
          <cell r="J425">
            <v>3.0999999999999979</v>
          </cell>
          <cell r="L425">
            <v>0.23958333333333334</v>
          </cell>
          <cell r="M425">
            <v>0.29166666666666669</v>
          </cell>
          <cell r="N425">
            <v>1.2500000000000002</v>
          </cell>
          <cell r="O425" t="str">
            <v>Pin bucket lepas</v>
          </cell>
          <cell r="P425">
            <v>0.79374999999999996</v>
          </cell>
          <cell r="Q425">
            <v>0.8</v>
          </cell>
          <cell r="R425">
            <v>0.15000000000000213</v>
          </cell>
          <cell r="S425" t="str">
            <v>Oil hydrolick low</v>
          </cell>
          <cell r="V425">
            <v>0</v>
          </cell>
          <cell r="X425">
            <v>1.4000000000000024</v>
          </cell>
          <cell r="Y425" t="str">
            <v>Pin bucket lepas,Oil hydrolick low</v>
          </cell>
        </row>
        <row r="426">
          <cell r="C426">
            <v>925.5</v>
          </cell>
          <cell r="D426">
            <v>928</v>
          </cell>
          <cell r="E426">
            <v>928</v>
          </cell>
          <cell r="F426">
            <v>935</v>
          </cell>
          <cell r="G426">
            <v>2.5</v>
          </cell>
          <cell r="H426">
            <v>7</v>
          </cell>
          <cell r="I426">
            <v>9.5</v>
          </cell>
          <cell r="J426">
            <v>14.5</v>
          </cell>
          <cell r="L426">
            <v>0.29166666666666669</v>
          </cell>
          <cell r="M426">
            <v>0.31944444444444448</v>
          </cell>
          <cell r="N426">
            <v>0</v>
          </cell>
          <cell r="O426" t="str">
            <v>Pn bucket lepas</v>
          </cell>
          <cell r="P426">
            <v>0.40277777777777773</v>
          </cell>
          <cell r="Q426">
            <v>0.75</v>
          </cell>
          <cell r="R426">
            <v>0</v>
          </cell>
          <cell r="S426" t="str">
            <v>Pn bucket lepas</v>
          </cell>
          <cell r="T426">
            <v>0.75</v>
          </cell>
          <cell r="U426">
            <v>0.79166666666666663</v>
          </cell>
          <cell r="V426">
            <v>0.99999999999999911</v>
          </cell>
          <cell r="W426" t="str">
            <v>Pin bucket hilang</v>
          </cell>
          <cell r="X426">
            <v>0</v>
          </cell>
          <cell r="Y426">
            <v>0</v>
          </cell>
        </row>
        <row r="427">
          <cell r="C427">
            <v>935</v>
          </cell>
          <cell r="D427">
            <v>944</v>
          </cell>
          <cell r="E427">
            <v>944</v>
          </cell>
          <cell r="F427">
            <v>955</v>
          </cell>
          <cell r="G427">
            <v>9</v>
          </cell>
          <cell r="H427">
            <v>11</v>
          </cell>
          <cell r="I427">
            <v>20</v>
          </cell>
          <cell r="J427">
            <v>3.5833333333333321</v>
          </cell>
          <cell r="L427">
            <v>5.347222222222222E-2</v>
          </cell>
          <cell r="M427">
            <v>7.0833333333333331E-2</v>
          </cell>
          <cell r="N427">
            <v>0.41666666666666669</v>
          </cell>
          <cell r="O427" t="str">
            <v>Perbaikan konector brake</v>
          </cell>
          <cell r="R427">
            <v>0</v>
          </cell>
          <cell r="V427">
            <v>0</v>
          </cell>
          <cell r="X427">
            <v>0.41666666666666669</v>
          </cell>
          <cell r="Y427" t="str">
            <v>Perbaikan konector brake</v>
          </cell>
        </row>
        <row r="428">
          <cell r="C428">
            <v>955</v>
          </cell>
          <cell r="D428">
            <v>960</v>
          </cell>
          <cell r="E428">
            <v>960</v>
          </cell>
          <cell r="F428">
            <v>969.5</v>
          </cell>
          <cell r="G428">
            <v>5</v>
          </cell>
          <cell r="H428">
            <v>9.5</v>
          </cell>
          <cell r="I428">
            <v>14.5</v>
          </cell>
          <cell r="J428">
            <v>9.4</v>
          </cell>
          <cell r="L428">
            <v>0.86250000000000004</v>
          </cell>
          <cell r="M428">
            <v>0.8666666666666667</v>
          </cell>
          <cell r="N428">
            <v>9.9999999999999645E-2</v>
          </cell>
          <cell r="O428" t="str">
            <v>Tambah oil hydrolick</v>
          </cell>
          <cell r="R428">
            <v>0</v>
          </cell>
          <cell r="V428">
            <v>0</v>
          </cell>
          <cell r="X428">
            <v>9.9999999999999645E-2</v>
          </cell>
          <cell r="Y428" t="str">
            <v>Tambah oil hydrolick</v>
          </cell>
        </row>
        <row r="429">
          <cell r="C429">
            <v>969.5</v>
          </cell>
          <cell r="D429">
            <v>969.5</v>
          </cell>
          <cell r="E429">
            <v>969.5</v>
          </cell>
          <cell r="F429">
            <v>969.5</v>
          </cell>
          <cell r="G429">
            <v>0</v>
          </cell>
          <cell r="H429">
            <v>0</v>
          </cell>
          <cell r="I429">
            <v>0</v>
          </cell>
          <cell r="J429">
            <v>24</v>
          </cell>
          <cell r="K429" t="str">
            <v>Standby</v>
          </cell>
          <cell r="N429">
            <v>0</v>
          </cell>
          <cell r="R429">
            <v>0</v>
          </cell>
          <cell r="V429">
            <v>0</v>
          </cell>
          <cell r="X429">
            <v>0</v>
          </cell>
          <cell r="Y429">
            <v>0</v>
          </cell>
        </row>
        <row r="430">
          <cell r="C430">
            <v>969.5</v>
          </cell>
          <cell r="D430">
            <v>969.5</v>
          </cell>
          <cell r="E430">
            <v>969.5</v>
          </cell>
          <cell r="F430">
            <v>969.5</v>
          </cell>
          <cell r="G430">
            <v>0</v>
          </cell>
          <cell r="H430">
            <v>0</v>
          </cell>
          <cell r="I430">
            <v>0</v>
          </cell>
          <cell r="J430">
            <v>24</v>
          </cell>
          <cell r="K430" t="str">
            <v>Standby</v>
          </cell>
          <cell r="N430">
            <v>0</v>
          </cell>
          <cell r="R430">
            <v>0</v>
          </cell>
          <cell r="V430">
            <v>0</v>
          </cell>
          <cell r="X430">
            <v>0</v>
          </cell>
          <cell r="Y430">
            <v>0</v>
          </cell>
        </row>
        <row r="431">
          <cell r="C431">
            <v>969.5</v>
          </cell>
          <cell r="D431">
            <v>969.5</v>
          </cell>
          <cell r="E431">
            <v>969.5</v>
          </cell>
          <cell r="F431">
            <v>969.5</v>
          </cell>
          <cell r="G431">
            <v>0</v>
          </cell>
          <cell r="H431">
            <v>0</v>
          </cell>
          <cell r="I431">
            <v>0</v>
          </cell>
          <cell r="J431">
            <v>24</v>
          </cell>
          <cell r="K431" t="str">
            <v>Standby</v>
          </cell>
          <cell r="N431">
            <v>0</v>
          </cell>
          <cell r="R431">
            <v>0</v>
          </cell>
          <cell r="V431">
            <v>0</v>
          </cell>
          <cell r="X431">
            <v>0</v>
          </cell>
          <cell r="Y431">
            <v>0</v>
          </cell>
        </row>
        <row r="432">
          <cell r="C432">
            <v>663</v>
          </cell>
          <cell r="D432">
            <v>969.5</v>
          </cell>
          <cell r="E432">
            <v>671</v>
          </cell>
          <cell r="F432">
            <v>969.5</v>
          </cell>
          <cell r="G432">
            <v>146.60000000000002</v>
          </cell>
          <cell r="H432">
            <v>159.89999999999998</v>
          </cell>
          <cell r="I432">
            <v>306.5</v>
          </cell>
          <cell r="J432">
            <v>431.83333333333331</v>
          </cell>
          <cell r="N432">
            <v>5.5166666666667012</v>
          </cell>
          <cell r="R432">
            <v>0.15000000000000213</v>
          </cell>
          <cell r="V432">
            <v>0.99999999999999911</v>
          </cell>
        </row>
      </sheetData>
      <sheetData sheetId="1" refreshError="1">
        <row r="4">
          <cell r="B4" t="str">
            <v>KPTJEX023</v>
          </cell>
          <cell r="C4" t="str">
            <v>D_AWL</v>
          </cell>
          <cell r="D4" t="str">
            <v>D_AHL</v>
          </cell>
          <cell r="E4" t="str">
            <v>N_AWL</v>
          </cell>
          <cell r="F4" t="str">
            <v>N_AHL</v>
          </cell>
          <cell r="G4" t="str">
            <v>D_TL</v>
          </cell>
          <cell r="H4" t="str">
            <v>N_TL</v>
          </cell>
          <cell r="I4" t="str">
            <v>DN_TL</v>
          </cell>
          <cell r="J4" t="str">
            <v>STBL</v>
          </cell>
          <cell r="K4" t="str">
            <v>REML</v>
          </cell>
          <cell r="L4" t="str">
            <v>Start1</v>
          </cell>
          <cell r="M4" t="str">
            <v>Stop1</v>
          </cell>
          <cell r="N4" t="str">
            <v>AC1</v>
          </cell>
          <cell r="O4" t="str">
            <v>REMARK1</v>
          </cell>
          <cell r="P4" t="str">
            <v>Start2</v>
          </cell>
          <cell r="Q4" t="str">
            <v>Stop2</v>
          </cell>
          <cell r="R4" t="str">
            <v>AC2</v>
          </cell>
          <cell r="S4" t="str">
            <v>REMARK2</v>
          </cell>
          <cell r="T4" t="str">
            <v>Start3</v>
          </cell>
          <cell r="U4" t="str">
            <v>Stop3</v>
          </cell>
          <cell r="V4" t="str">
            <v>AC3</v>
          </cell>
          <cell r="W4" t="str">
            <v>REMARK3</v>
          </cell>
          <cell r="X4" t="str">
            <v>TOTAL</v>
          </cell>
          <cell r="Y4" t="str">
            <v>REMARK_ALL</v>
          </cell>
        </row>
        <row r="5">
          <cell r="C5">
            <v>769</v>
          </cell>
          <cell r="D5">
            <v>769</v>
          </cell>
          <cell r="E5">
            <v>769</v>
          </cell>
          <cell r="F5">
            <v>769</v>
          </cell>
          <cell r="G5">
            <v>0</v>
          </cell>
          <cell r="H5">
            <v>0</v>
          </cell>
          <cell r="I5">
            <v>0</v>
          </cell>
          <cell r="J5">
            <v>24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</row>
        <row r="6">
          <cell r="C6">
            <v>769</v>
          </cell>
          <cell r="D6">
            <v>769</v>
          </cell>
          <cell r="E6">
            <v>769</v>
          </cell>
          <cell r="F6">
            <v>769</v>
          </cell>
          <cell r="G6">
            <v>0</v>
          </cell>
          <cell r="H6">
            <v>0</v>
          </cell>
          <cell r="I6">
            <v>0</v>
          </cell>
          <cell r="J6">
            <v>24</v>
          </cell>
          <cell r="N6">
            <v>0</v>
          </cell>
          <cell r="R6">
            <v>0</v>
          </cell>
          <cell r="V6">
            <v>0</v>
          </cell>
          <cell r="X6">
            <v>0</v>
          </cell>
          <cell r="Y6">
            <v>0</v>
          </cell>
        </row>
        <row r="7">
          <cell r="C7">
            <v>769</v>
          </cell>
          <cell r="D7">
            <v>769</v>
          </cell>
          <cell r="E7">
            <v>769</v>
          </cell>
          <cell r="F7">
            <v>769</v>
          </cell>
          <cell r="G7">
            <v>0</v>
          </cell>
          <cell r="H7">
            <v>0</v>
          </cell>
          <cell r="I7">
            <v>0</v>
          </cell>
          <cell r="J7">
            <v>24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</row>
        <row r="8">
          <cell r="C8">
            <v>769</v>
          </cell>
          <cell r="D8">
            <v>769</v>
          </cell>
          <cell r="E8">
            <v>769</v>
          </cell>
          <cell r="F8">
            <v>769</v>
          </cell>
          <cell r="G8">
            <v>0</v>
          </cell>
          <cell r="H8">
            <v>0</v>
          </cell>
          <cell r="I8">
            <v>0</v>
          </cell>
          <cell r="J8">
            <v>24</v>
          </cell>
          <cell r="N8">
            <v>0</v>
          </cell>
          <cell r="R8">
            <v>0</v>
          </cell>
          <cell r="V8">
            <v>0</v>
          </cell>
          <cell r="X8">
            <v>0</v>
          </cell>
          <cell r="Y8">
            <v>0</v>
          </cell>
        </row>
        <row r="9">
          <cell r="C9">
            <v>769</v>
          </cell>
          <cell r="D9">
            <v>769</v>
          </cell>
          <cell r="E9">
            <v>769</v>
          </cell>
          <cell r="F9">
            <v>769</v>
          </cell>
          <cell r="G9">
            <v>0</v>
          </cell>
          <cell r="H9">
            <v>0</v>
          </cell>
          <cell r="I9">
            <v>0</v>
          </cell>
          <cell r="J9">
            <v>24</v>
          </cell>
          <cell r="N9">
            <v>0</v>
          </cell>
          <cell r="R9">
            <v>0</v>
          </cell>
          <cell r="V9">
            <v>0</v>
          </cell>
          <cell r="X9">
            <v>0</v>
          </cell>
          <cell r="Y9">
            <v>0</v>
          </cell>
        </row>
        <row r="10">
          <cell r="C10">
            <v>769</v>
          </cell>
          <cell r="D10">
            <v>769</v>
          </cell>
          <cell r="E10">
            <v>769</v>
          </cell>
          <cell r="F10">
            <v>769</v>
          </cell>
          <cell r="G10">
            <v>0</v>
          </cell>
          <cell r="H10">
            <v>0</v>
          </cell>
          <cell r="I10">
            <v>0</v>
          </cell>
          <cell r="J10">
            <v>24</v>
          </cell>
          <cell r="K10">
            <v>13.5</v>
          </cell>
          <cell r="L10">
            <v>8.5</v>
          </cell>
          <cell r="M10">
            <v>9</v>
          </cell>
          <cell r="N10">
            <v>0</v>
          </cell>
          <cell r="O10">
            <v>2.3999999999996362</v>
          </cell>
          <cell r="P10">
            <v>0.6000000000003638</v>
          </cell>
          <cell r="Q10">
            <v>3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10.5</v>
          </cell>
          <cell r="X10">
            <v>0</v>
          </cell>
          <cell r="Y10">
            <v>0</v>
          </cell>
        </row>
        <row r="11">
          <cell r="C11">
            <v>769</v>
          </cell>
          <cell r="D11">
            <v>769</v>
          </cell>
          <cell r="E11">
            <v>769</v>
          </cell>
          <cell r="F11">
            <v>769</v>
          </cell>
          <cell r="G11">
            <v>0</v>
          </cell>
          <cell r="H11">
            <v>0</v>
          </cell>
          <cell r="I11">
            <v>0</v>
          </cell>
          <cell r="J11">
            <v>24</v>
          </cell>
          <cell r="K11">
            <v>16</v>
          </cell>
          <cell r="L11">
            <v>6</v>
          </cell>
          <cell r="M11">
            <v>5</v>
          </cell>
          <cell r="N11">
            <v>0</v>
          </cell>
          <cell r="O11">
            <v>11</v>
          </cell>
          <cell r="P11">
            <v>6</v>
          </cell>
          <cell r="Q11">
            <v>17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5</v>
          </cell>
          <cell r="X11">
            <v>0</v>
          </cell>
          <cell r="Y11">
            <v>0</v>
          </cell>
        </row>
        <row r="12">
          <cell r="C12">
            <v>769</v>
          </cell>
          <cell r="D12">
            <v>769</v>
          </cell>
          <cell r="E12">
            <v>769</v>
          </cell>
          <cell r="F12">
            <v>769</v>
          </cell>
          <cell r="G12">
            <v>0</v>
          </cell>
          <cell r="H12">
            <v>0</v>
          </cell>
          <cell r="I12">
            <v>0</v>
          </cell>
          <cell r="J12">
            <v>24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</row>
        <row r="13">
          <cell r="C13">
            <v>769</v>
          </cell>
          <cell r="D13">
            <v>769</v>
          </cell>
          <cell r="E13">
            <v>769</v>
          </cell>
          <cell r="F13">
            <v>769</v>
          </cell>
          <cell r="G13">
            <v>0</v>
          </cell>
          <cell r="H13">
            <v>0</v>
          </cell>
          <cell r="I13">
            <v>0</v>
          </cell>
          <cell r="J13">
            <v>24</v>
          </cell>
          <cell r="K13">
            <v>0</v>
          </cell>
          <cell r="L13">
            <v>0</v>
          </cell>
          <cell r="M13">
            <v>9.5</v>
          </cell>
          <cell r="N13">
            <v>0</v>
          </cell>
          <cell r="O13">
            <v>0</v>
          </cell>
          <cell r="P13">
            <v>0.5</v>
          </cell>
          <cell r="Q13">
            <v>0.5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11</v>
          </cell>
          <cell r="X13">
            <v>0</v>
          </cell>
          <cell r="Y13">
            <v>0</v>
          </cell>
        </row>
        <row r="14">
          <cell r="C14">
            <v>769</v>
          </cell>
          <cell r="D14">
            <v>769</v>
          </cell>
          <cell r="E14">
            <v>769</v>
          </cell>
          <cell r="F14">
            <v>777.5</v>
          </cell>
          <cell r="G14">
            <v>0</v>
          </cell>
          <cell r="H14">
            <v>8.5</v>
          </cell>
          <cell r="I14">
            <v>8.5</v>
          </cell>
          <cell r="J14">
            <v>15.5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2.5</v>
          </cell>
          <cell r="Q14">
            <v>2.5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C15">
            <v>777.5</v>
          </cell>
          <cell r="D15">
            <v>785</v>
          </cell>
          <cell r="E15">
            <v>785</v>
          </cell>
          <cell r="F15">
            <v>795.5</v>
          </cell>
          <cell r="G15">
            <v>7.5</v>
          </cell>
          <cell r="H15">
            <v>10.5</v>
          </cell>
          <cell r="I15">
            <v>18</v>
          </cell>
          <cell r="J15">
            <v>6</v>
          </cell>
          <cell r="K15">
            <v>17.5</v>
          </cell>
          <cell r="L15">
            <v>7.5</v>
          </cell>
          <cell r="M15">
            <v>11</v>
          </cell>
          <cell r="N15">
            <v>0</v>
          </cell>
          <cell r="O15">
            <v>8</v>
          </cell>
          <cell r="P15">
            <v>3</v>
          </cell>
          <cell r="Q15">
            <v>11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10</v>
          </cell>
          <cell r="X15">
            <v>0</v>
          </cell>
          <cell r="Y15">
            <v>0</v>
          </cell>
        </row>
        <row r="16">
          <cell r="C16">
            <v>795.5</v>
          </cell>
          <cell r="D16">
            <v>805</v>
          </cell>
          <cell r="E16">
            <v>805</v>
          </cell>
          <cell r="F16">
            <v>814</v>
          </cell>
          <cell r="G16">
            <v>9.5</v>
          </cell>
          <cell r="H16">
            <v>9</v>
          </cell>
          <cell r="I16">
            <v>18.5</v>
          </cell>
          <cell r="J16">
            <v>5.5</v>
          </cell>
          <cell r="N16">
            <v>0</v>
          </cell>
          <cell r="R16">
            <v>0</v>
          </cell>
          <cell r="V16">
            <v>0</v>
          </cell>
          <cell r="X16">
            <v>0</v>
          </cell>
          <cell r="Y16">
            <v>0</v>
          </cell>
        </row>
        <row r="17">
          <cell r="C17">
            <v>814</v>
          </cell>
          <cell r="D17">
            <v>820</v>
          </cell>
          <cell r="E17">
            <v>820</v>
          </cell>
          <cell r="F17">
            <v>828.5</v>
          </cell>
          <cell r="G17">
            <v>6</v>
          </cell>
          <cell r="H17">
            <v>8.5</v>
          </cell>
          <cell r="I17">
            <v>14.5</v>
          </cell>
          <cell r="J17">
            <v>9.5</v>
          </cell>
          <cell r="N17">
            <v>0</v>
          </cell>
          <cell r="R17">
            <v>0</v>
          </cell>
          <cell r="V17">
            <v>0</v>
          </cell>
          <cell r="X17">
            <v>0</v>
          </cell>
          <cell r="Y17">
            <v>0</v>
          </cell>
        </row>
        <row r="18">
          <cell r="C18">
            <v>828.5</v>
          </cell>
          <cell r="D18">
            <v>838.5</v>
          </cell>
          <cell r="E18">
            <v>838.5</v>
          </cell>
          <cell r="F18">
            <v>843</v>
          </cell>
          <cell r="G18">
            <v>10</v>
          </cell>
          <cell r="H18">
            <v>4.5</v>
          </cell>
          <cell r="I18">
            <v>14.5</v>
          </cell>
          <cell r="J18">
            <v>9.5</v>
          </cell>
          <cell r="K18">
            <v>17.5</v>
          </cell>
          <cell r="L18">
            <v>7.5999999999999091</v>
          </cell>
          <cell r="M18">
            <v>8.8000000000001819</v>
          </cell>
          <cell r="N18">
            <v>0</v>
          </cell>
          <cell r="O18">
            <v>3.0999999999999091</v>
          </cell>
          <cell r="P18">
            <v>0</v>
          </cell>
          <cell r="Q18">
            <v>3.0999999999999091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11.5</v>
          </cell>
          <cell r="X18">
            <v>0</v>
          </cell>
          <cell r="Y18">
            <v>0</v>
          </cell>
        </row>
        <row r="19">
          <cell r="C19">
            <v>843</v>
          </cell>
          <cell r="D19">
            <v>851.5</v>
          </cell>
          <cell r="E19">
            <v>851.5</v>
          </cell>
          <cell r="F19">
            <v>860</v>
          </cell>
          <cell r="G19">
            <v>8.5</v>
          </cell>
          <cell r="H19">
            <v>8.5</v>
          </cell>
          <cell r="I19">
            <v>17</v>
          </cell>
          <cell r="J19">
            <v>7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C20">
            <v>860</v>
          </cell>
          <cell r="D20">
            <v>869.5</v>
          </cell>
          <cell r="E20">
            <v>869.5</v>
          </cell>
          <cell r="F20">
            <v>875</v>
          </cell>
          <cell r="G20">
            <v>9.5</v>
          </cell>
          <cell r="H20">
            <v>5.5</v>
          </cell>
          <cell r="I20">
            <v>15</v>
          </cell>
          <cell r="J20">
            <v>9</v>
          </cell>
          <cell r="N20">
            <v>0</v>
          </cell>
          <cell r="R20">
            <v>0</v>
          </cell>
          <cell r="V20">
            <v>0</v>
          </cell>
          <cell r="X20">
            <v>0</v>
          </cell>
          <cell r="Y20">
            <v>0</v>
          </cell>
        </row>
        <row r="21">
          <cell r="C21">
            <v>875</v>
          </cell>
          <cell r="D21">
            <v>885</v>
          </cell>
          <cell r="E21">
            <v>885</v>
          </cell>
          <cell r="F21">
            <v>893</v>
          </cell>
          <cell r="G21">
            <v>10</v>
          </cell>
          <cell r="H21">
            <v>8</v>
          </cell>
          <cell r="I21">
            <v>18</v>
          </cell>
          <cell r="J21">
            <v>6</v>
          </cell>
          <cell r="K21">
            <v>0</v>
          </cell>
          <cell r="L21">
            <v>4.2000000000000455</v>
          </cell>
          <cell r="M21">
            <v>0.29999999999995453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</row>
        <row r="22">
          <cell r="C22">
            <v>893</v>
          </cell>
          <cell r="D22">
            <v>900.5</v>
          </cell>
          <cell r="E22">
            <v>900.5</v>
          </cell>
          <cell r="F22">
            <v>910.5</v>
          </cell>
          <cell r="G22">
            <v>7.5</v>
          </cell>
          <cell r="H22">
            <v>10</v>
          </cell>
          <cell r="I22">
            <v>17.5</v>
          </cell>
          <cell r="J22">
            <v>6.3333333333333357</v>
          </cell>
          <cell r="K22">
            <v>0</v>
          </cell>
          <cell r="L22">
            <v>0.63541666666666663</v>
          </cell>
          <cell r="M22">
            <v>0.64236111111111105</v>
          </cell>
          <cell r="N22">
            <v>0.16666666666666607</v>
          </cell>
          <cell r="O22" t="str">
            <v>Oil hydrolick low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6</v>
          </cell>
          <cell r="X22">
            <v>0.16666666666666607</v>
          </cell>
          <cell r="Y22" t="str">
            <v>Oil hydrolick low</v>
          </cell>
        </row>
        <row r="23">
          <cell r="C23">
            <v>910.5</v>
          </cell>
          <cell r="D23">
            <v>918.5</v>
          </cell>
          <cell r="E23">
            <v>918.5</v>
          </cell>
          <cell r="F23">
            <v>928.5</v>
          </cell>
          <cell r="G23">
            <v>8</v>
          </cell>
          <cell r="H23">
            <v>10</v>
          </cell>
          <cell r="I23">
            <v>18</v>
          </cell>
          <cell r="J23">
            <v>6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C24">
            <v>928.5</v>
          </cell>
          <cell r="D24">
            <v>937</v>
          </cell>
          <cell r="E24">
            <v>937</v>
          </cell>
          <cell r="F24">
            <v>947.5</v>
          </cell>
          <cell r="G24">
            <v>8.5</v>
          </cell>
          <cell r="H24">
            <v>10.5</v>
          </cell>
          <cell r="I24">
            <v>19</v>
          </cell>
          <cell r="J24">
            <v>5</v>
          </cell>
          <cell r="K24">
            <v>4</v>
          </cell>
          <cell r="L24">
            <v>10</v>
          </cell>
          <cell r="M24">
            <v>0</v>
          </cell>
          <cell r="N24">
            <v>10</v>
          </cell>
          <cell r="O24">
            <v>7</v>
          </cell>
          <cell r="P24">
            <v>0</v>
          </cell>
          <cell r="Q24">
            <v>7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8</v>
          </cell>
          <cell r="X24">
            <v>0</v>
          </cell>
          <cell r="Y24">
            <v>0</v>
          </cell>
        </row>
        <row r="25">
          <cell r="C25">
            <v>947.5</v>
          </cell>
          <cell r="D25">
            <v>956</v>
          </cell>
          <cell r="E25">
            <v>956</v>
          </cell>
          <cell r="F25">
            <v>956</v>
          </cell>
          <cell r="G25">
            <v>8.5</v>
          </cell>
          <cell r="H25">
            <v>0</v>
          </cell>
          <cell r="I25">
            <v>8.5</v>
          </cell>
          <cell r="J25">
            <v>15.5</v>
          </cell>
          <cell r="K25">
            <v>15</v>
          </cell>
          <cell r="L25">
            <v>6.5</v>
          </cell>
          <cell r="M25">
            <v>8.5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C26">
            <v>956</v>
          </cell>
          <cell r="D26">
            <v>965</v>
          </cell>
          <cell r="E26">
            <v>965</v>
          </cell>
          <cell r="F26">
            <v>975.5</v>
          </cell>
          <cell r="G26">
            <v>9</v>
          </cell>
          <cell r="H26">
            <v>10.5</v>
          </cell>
          <cell r="I26">
            <v>19.5</v>
          </cell>
          <cell r="J26">
            <v>4.5</v>
          </cell>
          <cell r="K26">
            <v>10</v>
          </cell>
          <cell r="L26">
            <v>4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C27">
            <v>975.5</v>
          </cell>
          <cell r="D27">
            <v>984.5</v>
          </cell>
          <cell r="E27">
            <v>984.5</v>
          </cell>
          <cell r="F27">
            <v>994.5</v>
          </cell>
          <cell r="G27">
            <v>9</v>
          </cell>
          <cell r="H27">
            <v>10</v>
          </cell>
          <cell r="I27">
            <v>19</v>
          </cell>
          <cell r="J27">
            <v>5</v>
          </cell>
          <cell r="K27">
            <v>1.5</v>
          </cell>
          <cell r="L27">
            <v>8</v>
          </cell>
          <cell r="M27">
            <v>1.5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</row>
        <row r="28">
          <cell r="C28">
            <v>994.5</v>
          </cell>
          <cell r="D28">
            <v>1003</v>
          </cell>
          <cell r="E28">
            <v>1003</v>
          </cell>
          <cell r="F28">
            <v>1011</v>
          </cell>
          <cell r="G28">
            <v>8.5</v>
          </cell>
          <cell r="H28">
            <v>8</v>
          </cell>
          <cell r="I28">
            <v>16.5</v>
          </cell>
          <cell r="J28">
            <v>7.5</v>
          </cell>
          <cell r="N28">
            <v>0</v>
          </cell>
          <cell r="R28">
            <v>0</v>
          </cell>
          <cell r="V28">
            <v>0</v>
          </cell>
          <cell r="X28">
            <v>0</v>
          </cell>
          <cell r="Y28">
            <v>0</v>
          </cell>
        </row>
        <row r="29">
          <cell r="C29">
            <v>1011</v>
          </cell>
          <cell r="D29">
            <v>1011</v>
          </cell>
          <cell r="E29">
            <v>1011</v>
          </cell>
          <cell r="F29">
            <v>1020.5</v>
          </cell>
          <cell r="G29">
            <v>0</v>
          </cell>
          <cell r="H29">
            <v>9.5</v>
          </cell>
          <cell r="I29">
            <v>9.5</v>
          </cell>
          <cell r="J29">
            <v>14.5</v>
          </cell>
          <cell r="N29">
            <v>0</v>
          </cell>
          <cell r="R29">
            <v>0</v>
          </cell>
          <cell r="V29">
            <v>0</v>
          </cell>
          <cell r="X29">
            <v>0</v>
          </cell>
          <cell r="Y29">
            <v>0</v>
          </cell>
        </row>
        <row r="30">
          <cell r="C30">
            <v>1020.5</v>
          </cell>
          <cell r="D30">
            <v>1029.5</v>
          </cell>
          <cell r="E30">
            <v>1029.5</v>
          </cell>
          <cell r="F30">
            <v>1040</v>
          </cell>
          <cell r="G30">
            <v>9</v>
          </cell>
          <cell r="H30">
            <v>10.5</v>
          </cell>
          <cell r="I30">
            <v>19.5</v>
          </cell>
          <cell r="J30">
            <v>4.5</v>
          </cell>
          <cell r="K30" t="str">
            <v>Oprasi di mess bumi etam</v>
          </cell>
          <cell r="N30">
            <v>0</v>
          </cell>
          <cell r="R30">
            <v>0</v>
          </cell>
          <cell r="V30">
            <v>0</v>
          </cell>
          <cell r="X30">
            <v>0</v>
          </cell>
          <cell r="Y30">
            <v>0</v>
          </cell>
        </row>
        <row r="31">
          <cell r="C31">
            <v>1040</v>
          </cell>
          <cell r="D31">
            <v>1048.5</v>
          </cell>
          <cell r="E31">
            <v>1048.5</v>
          </cell>
          <cell r="F31">
            <v>1058</v>
          </cell>
          <cell r="G31">
            <v>8.5</v>
          </cell>
          <cell r="H31">
            <v>9.5</v>
          </cell>
          <cell r="I31">
            <v>18</v>
          </cell>
          <cell r="J31">
            <v>6</v>
          </cell>
          <cell r="N31">
            <v>0</v>
          </cell>
          <cell r="R31">
            <v>0</v>
          </cell>
          <cell r="V31">
            <v>0</v>
          </cell>
          <cell r="X31">
            <v>0</v>
          </cell>
          <cell r="Y31">
            <v>0</v>
          </cell>
        </row>
        <row r="32">
          <cell r="C32">
            <v>1058</v>
          </cell>
          <cell r="D32">
            <v>1068</v>
          </cell>
          <cell r="E32">
            <v>1068</v>
          </cell>
          <cell r="F32">
            <v>1076.5</v>
          </cell>
          <cell r="G32">
            <v>10</v>
          </cell>
          <cell r="H32">
            <v>8.5</v>
          </cell>
          <cell r="I32">
            <v>18.5</v>
          </cell>
          <cell r="J32">
            <v>5.5</v>
          </cell>
          <cell r="N32">
            <v>0</v>
          </cell>
          <cell r="R32">
            <v>0</v>
          </cell>
          <cell r="V32">
            <v>0</v>
          </cell>
          <cell r="X32">
            <v>0</v>
          </cell>
          <cell r="Y32">
            <v>0</v>
          </cell>
        </row>
        <row r="33">
          <cell r="C33">
            <v>1076.5</v>
          </cell>
          <cell r="D33">
            <v>1076.5</v>
          </cell>
          <cell r="E33">
            <v>1076.5</v>
          </cell>
          <cell r="F33">
            <v>1076.5</v>
          </cell>
          <cell r="G33">
            <v>0</v>
          </cell>
          <cell r="H33">
            <v>0</v>
          </cell>
          <cell r="I33">
            <v>0</v>
          </cell>
          <cell r="J33">
            <v>24</v>
          </cell>
          <cell r="K33" t="str">
            <v>Standby</v>
          </cell>
          <cell r="L33">
            <v>0.37777777777777777</v>
          </cell>
          <cell r="M33">
            <v>0.38819444444444445</v>
          </cell>
          <cell r="N33">
            <v>0</v>
          </cell>
          <cell r="O33" t="str">
            <v>Perbaikan Ac</v>
          </cell>
          <cell r="R33">
            <v>0</v>
          </cell>
          <cell r="V33">
            <v>0</v>
          </cell>
          <cell r="X33">
            <v>0</v>
          </cell>
          <cell r="Y33">
            <v>0</v>
          </cell>
        </row>
        <row r="34">
          <cell r="C34">
            <v>1076.5</v>
          </cell>
          <cell r="D34">
            <v>1076.5</v>
          </cell>
          <cell r="E34">
            <v>1076.5</v>
          </cell>
          <cell r="F34">
            <v>1076.5</v>
          </cell>
          <cell r="G34">
            <v>0</v>
          </cell>
          <cell r="H34">
            <v>0</v>
          </cell>
          <cell r="I34">
            <v>0</v>
          </cell>
          <cell r="J34">
            <v>24</v>
          </cell>
          <cell r="K34" t="str">
            <v>Standby</v>
          </cell>
          <cell r="N34">
            <v>0</v>
          </cell>
          <cell r="R34">
            <v>0</v>
          </cell>
          <cell r="V34">
            <v>0</v>
          </cell>
          <cell r="X34">
            <v>0</v>
          </cell>
          <cell r="Y34">
            <v>0</v>
          </cell>
        </row>
        <row r="35">
          <cell r="C35">
            <v>1076.5</v>
          </cell>
          <cell r="D35">
            <v>1076.5</v>
          </cell>
          <cell r="E35">
            <v>1076.5</v>
          </cell>
          <cell r="F35">
            <v>1076.5</v>
          </cell>
          <cell r="G35">
            <v>0</v>
          </cell>
          <cell r="H35">
            <v>0</v>
          </cell>
          <cell r="I35">
            <v>0</v>
          </cell>
          <cell r="J35">
            <v>24</v>
          </cell>
          <cell r="K35" t="str">
            <v>Standby</v>
          </cell>
          <cell r="N35">
            <v>0</v>
          </cell>
          <cell r="R35">
            <v>0</v>
          </cell>
          <cell r="V35">
            <v>0</v>
          </cell>
          <cell r="X35">
            <v>0</v>
          </cell>
          <cell r="Y35">
            <v>0</v>
          </cell>
        </row>
        <row r="36">
          <cell r="C36">
            <v>769</v>
          </cell>
          <cell r="D36">
            <v>1076.5</v>
          </cell>
          <cell r="E36">
            <v>769</v>
          </cell>
          <cell r="F36">
            <v>1076.5</v>
          </cell>
          <cell r="G36">
            <v>147.5</v>
          </cell>
          <cell r="H36">
            <v>160</v>
          </cell>
          <cell r="I36">
            <v>307.5</v>
          </cell>
          <cell r="J36">
            <v>436.33333333333331</v>
          </cell>
          <cell r="N36">
            <v>0.16666666666666607</v>
          </cell>
          <cell r="R36">
            <v>0</v>
          </cell>
          <cell r="V36">
            <v>0</v>
          </cell>
        </row>
        <row r="37">
          <cell r="V37" t="str">
            <v/>
          </cell>
        </row>
        <row r="38">
          <cell r="C38">
            <v>776.5</v>
          </cell>
          <cell r="D38">
            <v>784.5</v>
          </cell>
          <cell r="E38">
            <v>784.5</v>
          </cell>
          <cell r="F38">
            <v>794.5</v>
          </cell>
          <cell r="G38">
            <v>8</v>
          </cell>
          <cell r="H38">
            <v>10</v>
          </cell>
          <cell r="I38">
            <v>18</v>
          </cell>
          <cell r="J38">
            <v>6</v>
          </cell>
          <cell r="N38">
            <v>0</v>
          </cell>
          <cell r="R38">
            <v>0</v>
          </cell>
          <cell r="V38">
            <v>0</v>
          </cell>
          <cell r="X38">
            <v>0</v>
          </cell>
          <cell r="Y38">
            <v>0</v>
          </cell>
        </row>
        <row r="39">
          <cell r="C39">
            <v>794.5</v>
          </cell>
          <cell r="D39">
            <v>802</v>
          </cell>
          <cell r="E39">
            <v>802</v>
          </cell>
          <cell r="F39">
            <v>809</v>
          </cell>
          <cell r="G39">
            <v>7.5</v>
          </cell>
          <cell r="H39">
            <v>7</v>
          </cell>
          <cell r="I39">
            <v>14.5</v>
          </cell>
          <cell r="J39">
            <v>9.5</v>
          </cell>
          <cell r="N39">
            <v>0</v>
          </cell>
          <cell r="R39">
            <v>0</v>
          </cell>
          <cell r="V39">
            <v>0</v>
          </cell>
          <cell r="X39">
            <v>0</v>
          </cell>
          <cell r="Y39">
            <v>0</v>
          </cell>
        </row>
        <row r="40">
          <cell r="C40">
            <v>809</v>
          </cell>
          <cell r="D40">
            <v>813</v>
          </cell>
          <cell r="E40">
            <v>813</v>
          </cell>
          <cell r="F40">
            <v>813</v>
          </cell>
          <cell r="G40">
            <v>4</v>
          </cell>
          <cell r="H40">
            <v>0</v>
          </cell>
          <cell r="I40">
            <v>4</v>
          </cell>
          <cell r="J40">
            <v>20</v>
          </cell>
          <cell r="N40">
            <v>0</v>
          </cell>
          <cell r="R40">
            <v>0</v>
          </cell>
          <cell r="V40">
            <v>0</v>
          </cell>
          <cell r="X40">
            <v>0</v>
          </cell>
          <cell r="Y40">
            <v>0</v>
          </cell>
        </row>
        <row r="41">
          <cell r="C41">
            <v>813</v>
          </cell>
          <cell r="D41">
            <v>823</v>
          </cell>
          <cell r="E41">
            <v>823</v>
          </cell>
          <cell r="F41">
            <v>823</v>
          </cell>
          <cell r="G41">
            <v>10</v>
          </cell>
          <cell r="H41">
            <v>0</v>
          </cell>
          <cell r="I41">
            <v>10</v>
          </cell>
          <cell r="J41">
            <v>14</v>
          </cell>
          <cell r="N41">
            <v>0</v>
          </cell>
          <cell r="R41">
            <v>0</v>
          </cell>
          <cell r="V41">
            <v>0</v>
          </cell>
          <cell r="X41">
            <v>0</v>
          </cell>
          <cell r="Y41">
            <v>0</v>
          </cell>
        </row>
        <row r="42">
          <cell r="C42">
            <v>823</v>
          </cell>
          <cell r="D42">
            <v>830</v>
          </cell>
          <cell r="E42">
            <v>830</v>
          </cell>
          <cell r="F42">
            <v>830</v>
          </cell>
          <cell r="G42">
            <v>7</v>
          </cell>
          <cell r="H42">
            <v>0</v>
          </cell>
          <cell r="I42">
            <v>7</v>
          </cell>
          <cell r="J42">
            <v>17</v>
          </cell>
          <cell r="N42">
            <v>0</v>
          </cell>
          <cell r="R42">
            <v>0</v>
          </cell>
          <cell r="V42">
            <v>0</v>
          </cell>
          <cell r="X42">
            <v>0</v>
          </cell>
          <cell r="Y42">
            <v>0</v>
          </cell>
        </row>
        <row r="43">
          <cell r="C43">
            <v>830</v>
          </cell>
          <cell r="D43">
            <v>830</v>
          </cell>
          <cell r="E43">
            <v>830</v>
          </cell>
          <cell r="F43">
            <v>830</v>
          </cell>
          <cell r="G43">
            <v>0</v>
          </cell>
          <cell r="H43">
            <v>0</v>
          </cell>
          <cell r="I43">
            <v>0</v>
          </cell>
          <cell r="J43">
            <v>24</v>
          </cell>
          <cell r="N43">
            <v>0</v>
          </cell>
          <cell r="R43">
            <v>0</v>
          </cell>
          <cell r="V43">
            <v>0</v>
          </cell>
          <cell r="X43">
            <v>0</v>
          </cell>
          <cell r="Y43">
            <v>0</v>
          </cell>
        </row>
        <row r="44">
          <cell r="C44">
            <v>830</v>
          </cell>
          <cell r="D44">
            <v>830</v>
          </cell>
          <cell r="E44">
            <v>830</v>
          </cell>
          <cell r="F44">
            <v>838</v>
          </cell>
          <cell r="G44">
            <v>0</v>
          </cell>
          <cell r="H44">
            <v>8</v>
          </cell>
          <cell r="I44">
            <v>8</v>
          </cell>
          <cell r="J44">
            <v>16</v>
          </cell>
          <cell r="N44">
            <v>0</v>
          </cell>
          <cell r="R44">
            <v>0</v>
          </cell>
          <cell r="V44">
            <v>0</v>
          </cell>
          <cell r="X44">
            <v>0</v>
          </cell>
          <cell r="Y44">
            <v>0</v>
          </cell>
        </row>
        <row r="45">
          <cell r="C45">
            <v>838</v>
          </cell>
          <cell r="D45">
            <v>847</v>
          </cell>
          <cell r="E45">
            <v>847</v>
          </cell>
          <cell r="F45">
            <v>855</v>
          </cell>
          <cell r="G45">
            <v>9</v>
          </cell>
          <cell r="H45">
            <v>8</v>
          </cell>
          <cell r="I45">
            <v>17</v>
          </cell>
          <cell r="J45">
            <v>6.9166666666666679</v>
          </cell>
          <cell r="L45">
            <v>0.8125</v>
          </cell>
          <cell r="M45">
            <v>0.81597222222222221</v>
          </cell>
          <cell r="N45">
            <v>8.3333333333333037E-2</v>
          </cell>
          <cell r="O45" t="str">
            <v>Air filter tersumbat</v>
          </cell>
          <cell r="R45">
            <v>0</v>
          </cell>
          <cell r="V45">
            <v>0</v>
          </cell>
          <cell r="X45">
            <v>8.3333333333333037E-2</v>
          </cell>
          <cell r="Y45" t="str">
            <v>Air filter tersumbat</v>
          </cell>
        </row>
        <row r="46">
          <cell r="C46">
            <v>855</v>
          </cell>
          <cell r="D46">
            <v>863</v>
          </cell>
          <cell r="E46">
            <v>863</v>
          </cell>
          <cell r="F46">
            <v>874</v>
          </cell>
          <cell r="G46">
            <v>8</v>
          </cell>
          <cell r="H46">
            <v>11</v>
          </cell>
          <cell r="I46">
            <v>19</v>
          </cell>
          <cell r="J46">
            <v>5</v>
          </cell>
          <cell r="N46">
            <v>0</v>
          </cell>
          <cell r="R46">
            <v>0</v>
          </cell>
          <cell r="V46">
            <v>0</v>
          </cell>
          <cell r="X46">
            <v>0</v>
          </cell>
          <cell r="Y46">
            <v>0</v>
          </cell>
        </row>
        <row r="47">
          <cell r="C47">
            <v>874</v>
          </cell>
          <cell r="D47">
            <v>883.5</v>
          </cell>
          <cell r="E47">
            <v>883.5</v>
          </cell>
          <cell r="F47">
            <v>890</v>
          </cell>
          <cell r="G47">
            <v>9.5</v>
          </cell>
          <cell r="H47">
            <v>6.5</v>
          </cell>
          <cell r="I47">
            <v>16</v>
          </cell>
          <cell r="J47">
            <v>8</v>
          </cell>
          <cell r="N47">
            <v>0</v>
          </cell>
          <cell r="R47">
            <v>0</v>
          </cell>
          <cell r="V47">
            <v>0</v>
          </cell>
          <cell r="X47">
            <v>0</v>
          </cell>
          <cell r="Y47">
            <v>0</v>
          </cell>
        </row>
        <row r="48">
          <cell r="C48">
            <v>890</v>
          </cell>
          <cell r="D48">
            <v>899</v>
          </cell>
          <cell r="E48">
            <v>899</v>
          </cell>
          <cell r="F48">
            <v>907.5</v>
          </cell>
          <cell r="G48">
            <v>9</v>
          </cell>
          <cell r="H48">
            <v>8.5</v>
          </cell>
          <cell r="I48">
            <v>17.5</v>
          </cell>
          <cell r="J48">
            <v>6.5</v>
          </cell>
          <cell r="N48">
            <v>0</v>
          </cell>
          <cell r="R48">
            <v>0</v>
          </cell>
          <cell r="V48">
            <v>0</v>
          </cell>
          <cell r="X48">
            <v>0</v>
          </cell>
          <cell r="Y48">
            <v>0</v>
          </cell>
        </row>
        <row r="49">
          <cell r="C49">
            <v>907.5</v>
          </cell>
          <cell r="D49">
            <v>917</v>
          </cell>
          <cell r="E49">
            <v>917</v>
          </cell>
          <cell r="F49">
            <v>926</v>
          </cell>
          <cell r="G49">
            <v>9.5</v>
          </cell>
          <cell r="H49">
            <v>9</v>
          </cell>
          <cell r="I49">
            <v>18.5</v>
          </cell>
          <cell r="J49">
            <v>5.5</v>
          </cell>
          <cell r="N49">
            <v>0</v>
          </cell>
          <cell r="R49">
            <v>0</v>
          </cell>
          <cell r="V49">
            <v>0</v>
          </cell>
          <cell r="X49">
            <v>0</v>
          </cell>
          <cell r="Y49">
            <v>0</v>
          </cell>
        </row>
        <row r="50">
          <cell r="C50">
            <v>926</v>
          </cell>
          <cell r="D50">
            <v>930</v>
          </cell>
          <cell r="E50">
            <v>930</v>
          </cell>
          <cell r="F50">
            <v>940</v>
          </cell>
          <cell r="G50">
            <v>4</v>
          </cell>
          <cell r="H50">
            <v>10</v>
          </cell>
          <cell r="I50">
            <v>14</v>
          </cell>
          <cell r="J50">
            <v>10</v>
          </cell>
          <cell r="N50">
            <v>0</v>
          </cell>
          <cell r="R50">
            <v>0</v>
          </cell>
          <cell r="V50">
            <v>0</v>
          </cell>
          <cell r="X50">
            <v>0</v>
          </cell>
          <cell r="Y50">
            <v>0</v>
          </cell>
        </row>
        <row r="51">
          <cell r="C51">
            <v>940</v>
          </cell>
          <cell r="D51">
            <v>949.5</v>
          </cell>
          <cell r="E51">
            <v>949.5</v>
          </cell>
          <cell r="F51">
            <v>953</v>
          </cell>
          <cell r="G51">
            <v>9.5</v>
          </cell>
          <cell r="H51">
            <v>3.5</v>
          </cell>
          <cell r="I51">
            <v>13</v>
          </cell>
          <cell r="J51">
            <v>11</v>
          </cell>
          <cell r="N51">
            <v>0</v>
          </cell>
          <cell r="R51">
            <v>0</v>
          </cell>
          <cell r="V51">
            <v>0</v>
          </cell>
          <cell r="X51">
            <v>0</v>
          </cell>
          <cell r="Y51">
            <v>0</v>
          </cell>
        </row>
        <row r="52">
          <cell r="C52">
            <v>953</v>
          </cell>
          <cell r="D52">
            <v>961.5</v>
          </cell>
          <cell r="E52">
            <v>961.5</v>
          </cell>
          <cell r="F52">
            <v>971</v>
          </cell>
          <cell r="G52">
            <v>8.5</v>
          </cell>
          <cell r="H52">
            <v>9.5</v>
          </cell>
          <cell r="I52">
            <v>18</v>
          </cell>
          <cell r="J52">
            <v>6</v>
          </cell>
          <cell r="N52">
            <v>0</v>
          </cell>
          <cell r="R52">
            <v>0</v>
          </cell>
          <cell r="V52">
            <v>0</v>
          </cell>
          <cell r="X52">
            <v>0</v>
          </cell>
          <cell r="Y52">
            <v>0</v>
          </cell>
        </row>
        <row r="53">
          <cell r="C53">
            <v>971</v>
          </cell>
          <cell r="D53">
            <v>980</v>
          </cell>
          <cell r="E53">
            <v>980</v>
          </cell>
          <cell r="F53">
            <v>980</v>
          </cell>
          <cell r="G53">
            <v>9</v>
          </cell>
          <cell r="H53">
            <v>0</v>
          </cell>
          <cell r="I53">
            <v>9</v>
          </cell>
          <cell r="J53">
            <v>15</v>
          </cell>
          <cell r="N53">
            <v>0</v>
          </cell>
          <cell r="R53">
            <v>0</v>
          </cell>
          <cell r="V53">
            <v>0</v>
          </cell>
          <cell r="X53">
            <v>0</v>
          </cell>
          <cell r="Y53">
            <v>0</v>
          </cell>
        </row>
        <row r="54">
          <cell r="C54">
            <v>980</v>
          </cell>
          <cell r="D54">
            <v>991</v>
          </cell>
          <cell r="E54">
            <v>991</v>
          </cell>
          <cell r="F54">
            <v>991</v>
          </cell>
          <cell r="G54">
            <v>11</v>
          </cell>
          <cell r="H54">
            <v>0</v>
          </cell>
          <cell r="I54">
            <v>11</v>
          </cell>
          <cell r="J54">
            <v>13</v>
          </cell>
          <cell r="N54">
            <v>0</v>
          </cell>
          <cell r="R54">
            <v>0</v>
          </cell>
          <cell r="V54">
            <v>0</v>
          </cell>
          <cell r="X54">
            <v>0</v>
          </cell>
          <cell r="Y54">
            <v>0</v>
          </cell>
        </row>
        <row r="55">
          <cell r="C55">
            <v>991</v>
          </cell>
          <cell r="D55">
            <v>1000</v>
          </cell>
          <cell r="E55">
            <v>1000</v>
          </cell>
          <cell r="F55">
            <v>1000</v>
          </cell>
          <cell r="G55">
            <v>9</v>
          </cell>
          <cell r="H55">
            <v>0</v>
          </cell>
          <cell r="I55">
            <v>9</v>
          </cell>
          <cell r="J55">
            <v>15</v>
          </cell>
          <cell r="N55">
            <v>0</v>
          </cell>
          <cell r="R55">
            <v>0</v>
          </cell>
          <cell r="V55">
            <v>0</v>
          </cell>
          <cell r="X55">
            <v>0</v>
          </cell>
          <cell r="Y55">
            <v>0</v>
          </cell>
        </row>
        <row r="56">
          <cell r="C56">
            <v>1000</v>
          </cell>
          <cell r="D56">
            <v>1007</v>
          </cell>
          <cell r="E56">
            <v>1007</v>
          </cell>
          <cell r="F56">
            <v>1009</v>
          </cell>
          <cell r="G56">
            <v>7</v>
          </cell>
          <cell r="H56">
            <v>2</v>
          </cell>
          <cell r="I56">
            <v>9</v>
          </cell>
          <cell r="J56">
            <v>15</v>
          </cell>
          <cell r="N56">
            <v>0</v>
          </cell>
          <cell r="R56">
            <v>0</v>
          </cell>
          <cell r="V56">
            <v>0</v>
          </cell>
          <cell r="X56">
            <v>0</v>
          </cell>
          <cell r="Y56">
            <v>0</v>
          </cell>
        </row>
        <row r="57">
          <cell r="C57">
            <v>1009</v>
          </cell>
          <cell r="D57">
            <v>1017</v>
          </cell>
          <cell r="E57">
            <v>1017</v>
          </cell>
          <cell r="F57">
            <v>1027.9000000000001</v>
          </cell>
          <cell r="G57">
            <v>8</v>
          </cell>
          <cell r="H57">
            <v>10.900000000000091</v>
          </cell>
          <cell r="I57">
            <v>18.900000000000091</v>
          </cell>
          <cell r="J57">
            <v>3.7666666666665733</v>
          </cell>
          <cell r="L57">
            <v>0.44444444444444442</v>
          </cell>
          <cell r="M57">
            <v>0.5</v>
          </cell>
          <cell r="N57">
            <v>1.3333333333333339</v>
          </cell>
          <cell r="O57" t="str">
            <v>Panel oil engine nyala</v>
          </cell>
          <cell r="R57">
            <v>0</v>
          </cell>
          <cell r="V57">
            <v>0</v>
          </cell>
          <cell r="X57">
            <v>1.3333333333333339</v>
          </cell>
          <cell r="Y57" t="str">
            <v>Panel oil engine nyala</v>
          </cell>
        </row>
        <row r="58">
          <cell r="C58">
            <v>1027.9000000000001</v>
          </cell>
          <cell r="D58">
            <v>1036</v>
          </cell>
          <cell r="E58">
            <v>1036</v>
          </cell>
          <cell r="F58">
            <v>1036</v>
          </cell>
          <cell r="G58">
            <v>8.0999999999999091</v>
          </cell>
          <cell r="H58">
            <v>0</v>
          </cell>
          <cell r="I58">
            <v>8.0999999999999091</v>
          </cell>
          <cell r="J58">
            <v>15.900000000000091</v>
          </cell>
          <cell r="N58">
            <v>0</v>
          </cell>
          <cell r="R58">
            <v>0</v>
          </cell>
          <cell r="V58">
            <v>0</v>
          </cell>
          <cell r="X58">
            <v>0</v>
          </cell>
          <cell r="Y58">
            <v>0</v>
          </cell>
        </row>
        <row r="59">
          <cell r="C59">
            <v>1036</v>
          </cell>
          <cell r="D59">
            <v>1042</v>
          </cell>
          <cell r="E59">
            <v>1042</v>
          </cell>
          <cell r="F59">
            <v>1042</v>
          </cell>
          <cell r="G59">
            <v>6</v>
          </cell>
          <cell r="H59">
            <v>0</v>
          </cell>
          <cell r="I59">
            <v>6</v>
          </cell>
          <cell r="J59">
            <v>1.0833333333333357</v>
          </cell>
          <cell r="L59">
            <v>0.58680555555555558</v>
          </cell>
          <cell r="M59">
            <v>0.75</v>
          </cell>
          <cell r="N59">
            <v>3.9166666666666661</v>
          </cell>
          <cell r="O59" t="str">
            <v>Cylinder arm bocor</v>
          </cell>
          <cell r="P59">
            <v>0.75</v>
          </cell>
          <cell r="Q59">
            <v>0.29166666666666669</v>
          </cell>
          <cell r="R59">
            <v>13</v>
          </cell>
          <cell r="S59" t="str">
            <v>Cylinder arm bocor</v>
          </cell>
          <cell r="V59">
            <v>0</v>
          </cell>
          <cell r="X59">
            <v>16.916666666666664</v>
          </cell>
          <cell r="Y59" t="str">
            <v>Cylinder arm bocor,Cylinder arm bocor</v>
          </cell>
        </row>
        <row r="60">
          <cell r="C60">
            <v>1042</v>
          </cell>
          <cell r="D60">
            <v>1042</v>
          </cell>
          <cell r="E60">
            <v>1042</v>
          </cell>
          <cell r="F60">
            <v>1042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L60">
            <v>0.29166666666666669</v>
          </cell>
          <cell r="M60">
            <v>0.75</v>
          </cell>
          <cell r="N60">
            <v>11</v>
          </cell>
          <cell r="O60" t="str">
            <v>Cylinder arm bocor</v>
          </cell>
          <cell r="P60">
            <v>0.75</v>
          </cell>
          <cell r="Q60">
            <v>0.29166666666666669</v>
          </cell>
          <cell r="R60">
            <v>13</v>
          </cell>
          <cell r="S60" t="str">
            <v>Cylinder arm bocor</v>
          </cell>
          <cell r="V60">
            <v>0</v>
          </cell>
          <cell r="X60">
            <v>24</v>
          </cell>
          <cell r="Y60" t="str">
            <v>Cylinder arm bocor,Cylinder arm bocor</v>
          </cell>
        </row>
        <row r="61">
          <cell r="C61">
            <v>1042</v>
          </cell>
          <cell r="D61">
            <v>1042</v>
          </cell>
          <cell r="E61">
            <v>1042</v>
          </cell>
          <cell r="F61">
            <v>1052.3</v>
          </cell>
          <cell r="G61">
            <v>0</v>
          </cell>
          <cell r="H61">
            <v>10.299999999999955</v>
          </cell>
          <cell r="I61">
            <v>10.299999999999955</v>
          </cell>
          <cell r="J61">
            <v>4.2833333333333812</v>
          </cell>
          <cell r="L61">
            <v>0.29166666666666669</v>
          </cell>
          <cell r="M61">
            <v>0.68402777777777779</v>
          </cell>
          <cell r="N61">
            <v>9.4166666666666661</v>
          </cell>
          <cell r="O61" t="str">
            <v>Cylinder arm bocor</v>
          </cell>
          <cell r="R61">
            <v>0</v>
          </cell>
          <cell r="V61">
            <v>0</v>
          </cell>
          <cell r="X61">
            <v>9.4166666666666661</v>
          </cell>
          <cell r="Y61" t="str">
            <v>Cylinder arm bocor</v>
          </cell>
        </row>
        <row r="62">
          <cell r="C62">
            <v>1052.3</v>
          </cell>
          <cell r="D62">
            <v>1061</v>
          </cell>
          <cell r="E62">
            <v>1061</v>
          </cell>
          <cell r="F62">
            <v>1071</v>
          </cell>
          <cell r="G62">
            <v>8.7000000000000455</v>
          </cell>
          <cell r="H62">
            <v>10</v>
          </cell>
          <cell r="I62">
            <v>18.700000000000045</v>
          </cell>
          <cell r="J62">
            <v>5.2999999999999545</v>
          </cell>
          <cell r="N62">
            <v>0</v>
          </cell>
          <cell r="R62">
            <v>0</v>
          </cell>
          <cell r="V62">
            <v>0</v>
          </cell>
          <cell r="X62">
            <v>0</v>
          </cell>
          <cell r="Y62">
            <v>0</v>
          </cell>
        </row>
        <row r="63">
          <cell r="C63">
            <v>1071</v>
          </cell>
          <cell r="D63">
            <v>1080</v>
          </cell>
          <cell r="E63">
            <v>1080</v>
          </cell>
          <cell r="F63">
            <v>1090</v>
          </cell>
          <cell r="G63">
            <v>9</v>
          </cell>
          <cell r="H63">
            <v>10</v>
          </cell>
          <cell r="I63">
            <v>19</v>
          </cell>
          <cell r="J63">
            <v>4.5833333333333357</v>
          </cell>
          <cell r="L63">
            <v>0.33333333333333331</v>
          </cell>
          <cell r="M63">
            <v>0.34722222222222227</v>
          </cell>
          <cell r="N63">
            <v>0.33333333333333481</v>
          </cell>
          <cell r="O63" t="str">
            <v>Back pres error</v>
          </cell>
          <cell r="P63">
            <v>0.75694444444444453</v>
          </cell>
          <cell r="Q63">
            <v>0.76041666666666663</v>
          </cell>
          <cell r="R63">
            <v>8.3333333333330373E-2</v>
          </cell>
          <cell r="S63" t="str">
            <v>Lock pin bucket patah</v>
          </cell>
          <cell r="V63">
            <v>0</v>
          </cell>
          <cell r="X63">
            <v>0.41666666666666519</v>
          </cell>
          <cell r="Y63" t="str">
            <v>Back pres error,Lock pin bucket patah</v>
          </cell>
        </row>
        <row r="64">
          <cell r="C64">
            <v>1090</v>
          </cell>
          <cell r="D64">
            <v>1098</v>
          </cell>
          <cell r="E64">
            <v>1098</v>
          </cell>
          <cell r="F64">
            <v>1108</v>
          </cell>
          <cell r="G64">
            <v>8</v>
          </cell>
          <cell r="H64">
            <v>10</v>
          </cell>
          <cell r="I64">
            <v>18</v>
          </cell>
          <cell r="J64">
            <v>6</v>
          </cell>
          <cell r="N64">
            <v>0</v>
          </cell>
          <cell r="R64">
            <v>0</v>
          </cell>
          <cell r="V64">
            <v>0</v>
          </cell>
          <cell r="X64">
            <v>0</v>
          </cell>
          <cell r="Y64">
            <v>0</v>
          </cell>
        </row>
        <row r="65">
          <cell r="C65">
            <v>1108</v>
          </cell>
          <cell r="D65">
            <v>1117</v>
          </cell>
          <cell r="E65">
            <v>1117</v>
          </cell>
          <cell r="F65">
            <v>1126</v>
          </cell>
          <cell r="G65">
            <v>9</v>
          </cell>
          <cell r="H65">
            <v>9</v>
          </cell>
          <cell r="I65">
            <v>18</v>
          </cell>
          <cell r="J65">
            <v>6</v>
          </cell>
          <cell r="N65">
            <v>0</v>
          </cell>
          <cell r="R65">
            <v>0</v>
          </cell>
          <cell r="V65">
            <v>0</v>
          </cell>
          <cell r="X65">
            <v>0</v>
          </cell>
          <cell r="Y65">
            <v>0</v>
          </cell>
        </row>
        <row r="66">
          <cell r="C66">
            <v>1126</v>
          </cell>
          <cell r="D66">
            <v>1126</v>
          </cell>
          <cell r="E66">
            <v>1126</v>
          </cell>
          <cell r="F66">
            <v>1126</v>
          </cell>
          <cell r="G66">
            <v>0</v>
          </cell>
          <cell r="H66">
            <v>0</v>
          </cell>
          <cell r="I66">
            <v>0</v>
          </cell>
          <cell r="J66">
            <v>24</v>
          </cell>
          <cell r="K66" t="str">
            <v>Standby</v>
          </cell>
          <cell r="N66">
            <v>0</v>
          </cell>
          <cell r="R66">
            <v>0</v>
          </cell>
          <cell r="V66">
            <v>0</v>
          </cell>
          <cell r="X66">
            <v>0</v>
          </cell>
          <cell r="Y66">
            <v>0</v>
          </cell>
        </row>
        <row r="67">
          <cell r="C67">
            <v>1126</v>
          </cell>
          <cell r="D67">
            <v>1126</v>
          </cell>
          <cell r="E67">
            <v>1126</v>
          </cell>
          <cell r="F67">
            <v>1126</v>
          </cell>
          <cell r="G67">
            <v>0</v>
          </cell>
          <cell r="H67">
            <v>0</v>
          </cell>
          <cell r="I67">
            <v>0</v>
          </cell>
          <cell r="J67">
            <v>24</v>
          </cell>
          <cell r="K67" t="str">
            <v>Standby</v>
          </cell>
          <cell r="N67">
            <v>0</v>
          </cell>
          <cell r="R67">
            <v>0</v>
          </cell>
          <cell r="V67">
            <v>0</v>
          </cell>
          <cell r="X67">
            <v>0</v>
          </cell>
          <cell r="Y67">
            <v>0</v>
          </cell>
        </row>
        <row r="68">
          <cell r="C68">
            <v>1126</v>
          </cell>
          <cell r="D68">
            <v>1126</v>
          </cell>
          <cell r="E68">
            <v>1126</v>
          </cell>
          <cell r="F68">
            <v>1126</v>
          </cell>
          <cell r="G68">
            <v>0</v>
          </cell>
          <cell r="H68">
            <v>0</v>
          </cell>
          <cell r="I68">
            <v>0</v>
          </cell>
          <cell r="J68">
            <v>24</v>
          </cell>
          <cell r="K68" t="str">
            <v>Standby</v>
          </cell>
          <cell r="N68">
            <v>0</v>
          </cell>
          <cell r="R68">
            <v>0</v>
          </cell>
          <cell r="V68">
            <v>0</v>
          </cell>
          <cell r="X68">
            <v>0</v>
          </cell>
          <cell r="Y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1126</v>
          </cell>
          <cell r="G69">
            <v>196.29999999999995</v>
          </cell>
          <cell r="H69">
            <v>153.20000000000005</v>
          </cell>
          <cell r="I69">
            <v>349.5</v>
          </cell>
          <cell r="J69">
            <v>342.33333333333337</v>
          </cell>
          <cell r="N69">
            <v>26.083333333333336</v>
          </cell>
          <cell r="R69">
            <v>26.083333333333329</v>
          </cell>
          <cell r="V69">
            <v>0</v>
          </cell>
        </row>
        <row r="70">
          <cell r="V70" t="str">
            <v/>
          </cell>
        </row>
        <row r="71">
          <cell r="C71">
            <v>756.2</v>
          </cell>
          <cell r="D71">
            <v>763</v>
          </cell>
          <cell r="E71">
            <v>763</v>
          </cell>
          <cell r="F71">
            <v>772</v>
          </cell>
          <cell r="G71">
            <v>6.7999999999999545</v>
          </cell>
          <cell r="H71">
            <v>9</v>
          </cell>
          <cell r="I71">
            <v>15.799999999999955</v>
          </cell>
          <cell r="J71">
            <v>8.2000000000000455</v>
          </cell>
          <cell r="L71">
            <v>0.29166666666666669</v>
          </cell>
          <cell r="M71">
            <v>0.75</v>
          </cell>
          <cell r="N71">
            <v>0</v>
          </cell>
          <cell r="O71" t="str">
            <v>Kabin bocor</v>
          </cell>
          <cell r="P71">
            <v>0.75</v>
          </cell>
          <cell r="Q71">
            <v>0.29166666666666669</v>
          </cell>
          <cell r="R71">
            <v>13</v>
          </cell>
          <cell r="S71" t="str">
            <v>Kabin bocor</v>
          </cell>
          <cell r="V71">
            <v>0</v>
          </cell>
          <cell r="X71">
            <v>24</v>
          </cell>
          <cell r="Y71" t="str">
            <v>Kabin bocor,Kabin bocor</v>
          </cell>
        </row>
        <row r="72">
          <cell r="C72">
            <v>772</v>
          </cell>
          <cell r="D72">
            <v>779</v>
          </cell>
          <cell r="E72">
            <v>779</v>
          </cell>
          <cell r="F72">
            <v>781</v>
          </cell>
          <cell r="G72">
            <v>7</v>
          </cell>
          <cell r="H72">
            <v>2</v>
          </cell>
          <cell r="I72">
            <v>9</v>
          </cell>
          <cell r="J72">
            <v>15</v>
          </cell>
          <cell r="L72">
            <v>0.29166666666666669</v>
          </cell>
          <cell r="M72">
            <v>0.75</v>
          </cell>
          <cell r="N72">
            <v>0</v>
          </cell>
          <cell r="O72" t="str">
            <v>Kabin bocor</v>
          </cell>
          <cell r="P72">
            <v>0.75</v>
          </cell>
          <cell r="Q72">
            <v>0.29166666666666669</v>
          </cell>
          <cell r="R72">
            <v>0</v>
          </cell>
          <cell r="S72" t="str">
            <v>Kabin bocor</v>
          </cell>
          <cell r="V72">
            <v>0</v>
          </cell>
          <cell r="X72">
            <v>0</v>
          </cell>
          <cell r="Y72">
            <v>0</v>
          </cell>
        </row>
        <row r="73">
          <cell r="C73">
            <v>781</v>
          </cell>
          <cell r="D73">
            <v>788.6</v>
          </cell>
          <cell r="E73">
            <v>788.6</v>
          </cell>
          <cell r="F73">
            <v>796</v>
          </cell>
          <cell r="G73">
            <v>7.6000000000000227</v>
          </cell>
          <cell r="H73">
            <v>7.3999999999999773</v>
          </cell>
          <cell r="I73">
            <v>15</v>
          </cell>
          <cell r="J73">
            <v>9</v>
          </cell>
          <cell r="L73">
            <v>0.29166666666666669</v>
          </cell>
          <cell r="M73">
            <v>0.75</v>
          </cell>
          <cell r="N73">
            <v>0</v>
          </cell>
          <cell r="O73" t="str">
            <v>Kabin bocor</v>
          </cell>
          <cell r="P73">
            <v>0.75</v>
          </cell>
          <cell r="Q73">
            <v>0.29166666666666669</v>
          </cell>
          <cell r="R73">
            <v>0</v>
          </cell>
          <cell r="S73" t="str">
            <v>Kabin bocor</v>
          </cell>
          <cell r="V73">
            <v>0</v>
          </cell>
          <cell r="X73">
            <v>0</v>
          </cell>
          <cell r="Y73">
            <v>0</v>
          </cell>
        </row>
        <row r="74">
          <cell r="C74">
            <v>796</v>
          </cell>
          <cell r="D74">
            <v>802.5</v>
          </cell>
          <cell r="E74">
            <v>802.5</v>
          </cell>
          <cell r="F74">
            <v>811</v>
          </cell>
          <cell r="G74">
            <v>6.5</v>
          </cell>
          <cell r="H74">
            <v>8.5</v>
          </cell>
          <cell r="I74">
            <v>15</v>
          </cell>
          <cell r="J74">
            <v>9</v>
          </cell>
          <cell r="L74">
            <v>0.29166666666666669</v>
          </cell>
          <cell r="M74">
            <v>0.75</v>
          </cell>
          <cell r="N74">
            <v>0</v>
          </cell>
          <cell r="O74" t="str">
            <v>Kabin bocor</v>
          </cell>
          <cell r="P74">
            <v>0.75</v>
          </cell>
          <cell r="Q74">
            <v>0.29166666666666669</v>
          </cell>
          <cell r="R74">
            <v>0</v>
          </cell>
          <cell r="S74" t="str">
            <v>Kabin bocor</v>
          </cell>
          <cell r="V74">
            <v>0</v>
          </cell>
          <cell r="X74">
            <v>0</v>
          </cell>
          <cell r="Y74">
            <v>0</v>
          </cell>
        </row>
        <row r="75">
          <cell r="C75">
            <v>811</v>
          </cell>
          <cell r="D75">
            <v>811</v>
          </cell>
          <cell r="E75">
            <v>811</v>
          </cell>
          <cell r="F75">
            <v>811</v>
          </cell>
          <cell r="G75">
            <v>0</v>
          </cell>
          <cell r="H75">
            <v>0</v>
          </cell>
          <cell r="I75">
            <v>0</v>
          </cell>
          <cell r="J75">
            <v>24</v>
          </cell>
          <cell r="L75">
            <v>0.29166666666666669</v>
          </cell>
          <cell r="M75">
            <v>0.75</v>
          </cell>
          <cell r="N75">
            <v>0</v>
          </cell>
          <cell r="O75" t="str">
            <v>Kabin bocor</v>
          </cell>
          <cell r="P75">
            <v>0.75</v>
          </cell>
          <cell r="Q75">
            <v>0.29166666666666669</v>
          </cell>
          <cell r="R75">
            <v>0</v>
          </cell>
          <cell r="S75" t="str">
            <v>Kabin bocor</v>
          </cell>
          <cell r="V75">
            <v>0</v>
          </cell>
          <cell r="X75">
            <v>0</v>
          </cell>
          <cell r="Y75">
            <v>0</v>
          </cell>
        </row>
        <row r="76">
          <cell r="C76">
            <v>811</v>
          </cell>
          <cell r="D76">
            <v>811</v>
          </cell>
          <cell r="E76">
            <v>811</v>
          </cell>
          <cell r="F76">
            <v>811</v>
          </cell>
          <cell r="G76">
            <v>0</v>
          </cell>
          <cell r="H76">
            <v>0</v>
          </cell>
          <cell r="I76">
            <v>0</v>
          </cell>
          <cell r="J76">
            <v>24</v>
          </cell>
          <cell r="L76">
            <v>0.29166666666666669</v>
          </cell>
          <cell r="M76">
            <v>0.75</v>
          </cell>
          <cell r="N76">
            <v>0</v>
          </cell>
          <cell r="O76" t="str">
            <v>Kabin bocor</v>
          </cell>
          <cell r="P76">
            <v>0.75</v>
          </cell>
          <cell r="Q76">
            <v>0.29166666666666669</v>
          </cell>
          <cell r="R76">
            <v>0</v>
          </cell>
          <cell r="S76" t="str">
            <v>Kabin bocor</v>
          </cell>
          <cell r="V76">
            <v>0</v>
          </cell>
          <cell r="X76">
            <v>0</v>
          </cell>
          <cell r="Y76">
            <v>0</v>
          </cell>
        </row>
        <row r="77">
          <cell r="C77">
            <v>811</v>
          </cell>
          <cell r="D77">
            <v>811</v>
          </cell>
          <cell r="E77">
            <v>811</v>
          </cell>
          <cell r="F77">
            <v>811</v>
          </cell>
          <cell r="G77">
            <v>0</v>
          </cell>
          <cell r="H77">
            <v>0</v>
          </cell>
          <cell r="I77">
            <v>0</v>
          </cell>
          <cell r="J77">
            <v>24</v>
          </cell>
          <cell r="L77">
            <v>0.29166666666666669</v>
          </cell>
          <cell r="M77">
            <v>0.75</v>
          </cell>
          <cell r="N77">
            <v>0</v>
          </cell>
          <cell r="O77" t="str">
            <v>Kabin bocor</v>
          </cell>
          <cell r="P77">
            <v>0.75</v>
          </cell>
          <cell r="Q77">
            <v>0.29166666666666669</v>
          </cell>
          <cell r="R77">
            <v>0</v>
          </cell>
          <cell r="S77" t="str">
            <v>Kabin bocor</v>
          </cell>
          <cell r="V77">
            <v>0</v>
          </cell>
          <cell r="X77">
            <v>0</v>
          </cell>
          <cell r="Y77">
            <v>0</v>
          </cell>
        </row>
        <row r="78">
          <cell r="C78">
            <v>811</v>
          </cell>
          <cell r="D78">
            <v>820</v>
          </cell>
          <cell r="E78">
            <v>820</v>
          </cell>
          <cell r="F78">
            <v>827</v>
          </cell>
          <cell r="G78">
            <v>9</v>
          </cell>
          <cell r="H78">
            <v>7</v>
          </cell>
          <cell r="I78">
            <v>16</v>
          </cell>
          <cell r="J78">
            <v>8</v>
          </cell>
          <cell r="L78">
            <v>0.29166666666666669</v>
          </cell>
          <cell r="M78">
            <v>0.75</v>
          </cell>
          <cell r="N78">
            <v>0</v>
          </cell>
          <cell r="O78" t="str">
            <v>Kabin bocor</v>
          </cell>
          <cell r="P78">
            <v>0.75</v>
          </cell>
          <cell r="Q78">
            <v>0.29166666666666669</v>
          </cell>
          <cell r="R78">
            <v>0</v>
          </cell>
          <cell r="S78" t="str">
            <v>Kabin bocor</v>
          </cell>
          <cell r="V78">
            <v>0</v>
          </cell>
          <cell r="X78">
            <v>0</v>
          </cell>
          <cell r="Y78">
            <v>0</v>
          </cell>
        </row>
        <row r="79">
          <cell r="C79">
            <v>827</v>
          </cell>
          <cell r="D79">
            <v>835</v>
          </cell>
          <cell r="E79">
            <v>835</v>
          </cell>
          <cell r="F79">
            <v>835</v>
          </cell>
          <cell r="G79">
            <v>8</v>
          </cell>
          <cell r="H79">
            <v>0</v>
          </cell>
          <cell r="I79">
            <v>8</v>
          </cell>
          <cell r="J79">
            <v>16</v>
          </cell>
          <cell r="L79">
            <v>0.29166666666666669</v>
          </cell>
          <cell r="M79">
            <v>0.75</v>
          </cell>
          <cell r="N79">
            <v>0</v>
          </cell>
          <cell r="O79" t="str">
            <v>Kabin bocor</v>
          </cell>
          <cell r="P79">
            <v>0.75</v>
          </cell>
          <cell r="Q79">
            <v>0.29166666666666669</v>
          </cell>
          <cell r="R79">
            <v>0</v>
          </cell>
          <cell r="S79" t="str">
            <v>Kabin bocor</v>
          </cell>
          <cell r="V79">
            <v>0</v>
          </cell>
          <cell r="X79">
            <v>0</v>
          </cell>
          <cell r="Y79">
            <v>0</v>
          </cell>
        </row>
        <row r="80">
          <cell r="C80">
            <v>835</v>
          </cell>
          <cell r="D80">
            <v>843</v>
          </cell>
          <cell r="E80">
            <v>843</v>
          </cell>
          <cell r="F80">
            <v>850.5</v>
          </cell>
          <cell r="G80">
            <v>8</v>
          </cell>
          <cell r="H80">
            <v>7.5</v>
          </cell>
          <cell r="I80">
            <v>15.5</v>
          </cell>
          <cell r="J80">
            <v>8.5</v>
          </cell>
          <cell r="L80">
            <v>0.29166666666666669</v>
          </cell>
          <cell r="M80">
            <v>0.36458333333333331</v>
          </cell>
          <cell r="N80">
            <v>0</v>
          </cell>
          <cell r="O80" t="str">
            <v>Kabin bocor</v>
          </cell>
          <cell r="R80">
            <v>0</v>
          </cell>
          <cell r="V80">
            <v>0</v>
          </cell>
          <cell r="X80">
            <v>0</v>
          </cell>
          <cell r="Y80">
            <v>0</v>
          </cell>
        </row>
        <row r="81">
          <cell r="C81">
            <v>850.5</v>
          </cell>
          <cell r="D81">
            <v>850.5</v>
          </cell>
          <cell r="E81">
            <v>850.5</v>
          </cell>
          <cell r="F81">
            <v>850.5</v>
          </cell>
          <cell r="G81">
            <v>0</v>
          </cell>
          <cell r="H81">
            <v>0</v>
          </cell>
          <cell r="I81">
            <v>0</v>
          </cell>
          <cell r="J81">
            <v>24</v>
          </cell>
          <cell r="N81">
            <v>0</v>
          </cell>
          <cell r="O81" t="str">
            <v>Commisioning</v>
          </cell>
          <cell r="R81">
            <v>0</v>
          </cell>
          <cell r="V81">
            <v>0</v>
          </cell>
          <cell r="X81">
            <v>0</v>
          </cell>
          <cell r="Y81">
            <v>0</v>
          </cell>
        </row>
        <row r="82">
          <cell r="C82">
            <v>850.5</v>
          </cell>
          <cell r="D82">
            <v>850.5</v>
          </cell>
          <cell r="E82">
            <v>850.5</v>
          </cell>
          <cell r="F82">
            <v>853</v>
          </cell>
          <cell r="G82">
            <v>0</v>
          </cell>
          <cell r="H82">
            <v>2.5</v>
          </cell>
          <cell r="I82">
            <v>2.5</v>
          </cell>
          <cell r="J82">
            <v>21.5</v>
          </cell>
          <cell r="N82">
            <v>0</v>
          </cell>
          <cell r="O82" t="str">
            <v>Commisioning</v>
          </cell>
          <cell r="R82">
            <v>0</v>
          </cell>
          <cell r="V82">
            <v>0</v>
          </cell>
          <cell r="X82">
            <v>0</v>
          </cell>
          <cell r="Y82">
            <v>0</v>
          </cell>
        </row>
        <row r="83">
          <cell r="C83">
            <v>853</v>
          </cell>
          <cell r="D83">
            <v>856</v>
          </cell>
          <cell r="E83">
            <v>856</v>
          </cell>
          <cell r="F83">
            <v>856</v>
          </cell>
          <cell r="G83">
            <v>3</v>
          </cell>
          <cell r="H83">
            <v>0</v>
          </cell>
          <cell r="I83">
            <v>3</v>
          </cell>
          <cell r="J83">
            <v>21</v>
          </cell>
          <cell r="N83">
            <v>0</v>
          </cell>
          <cell r="O83" t="str">
            <v>Commisioning</v>
          </cell>
          <cell r="R83">
            <v>0</v>
          </cell>
          <cell r="V83">
            <v>0</v>
          </cell>
          <cell r="X83">
            <v>0</v>
          </cell>
          <cell r="Y83">
            <v>0</v>
          </cell>
        </row>
        <row r="84">
          <cell r="C84">
            <v>856</v>
          </cell>
          <cell r="D84">
            <v>858</v>
          </cell>
          <cell r="E84">
            <v>858</v>
          </cell>
          <cell r="F84">
            <v>858</v>
          </cell>
          <cell r="G84">
            <v>2</v>
          </cell>
          <cell r="H84">
            <v>0</v>
          </cell>
          <cell r="I84">
            <v>2</v>
          </cell>
          <cell r="J84">
            <v>22</v>
          </cell>
          <cell r="N84">
            <v>0</v>
          </cell>
          <cell r="O84" t="str">
            <v>Commisioning</v>
          </cell>
          <cell r="R84">
            <v>0</v>
          </cell>
          <cell r="V84">
            <v>0</v>
          </cell>
          <cell r="X84">
            <v>0</v>
          </cell>
          <cell r="Y84">
            <v>0</v>
          </cell>
        </row>
        <row r="85">
          <cell r="C85">
            <v>858</v>
          </cell>
          <cell r="D85">
            <v>858</v>
          </cell>
          <cell r="E85">
            <v>858</v>
          </cell>
          <cell r="F85">
            <v>858</v>
          </cell>
          <cell r="G85">
            <v>0</v>
          </cell>
          <cell r="H85">
            <v>0</v>
          </cell>
          <cell r="I85">
            <v>0</v>
          </cell>
          <cell r="J85">
            <v>24</v>
          </cell>
          <cell r="L85">
            <v>0.75</v>
          </cell>
          <cell r="M85">
            <v>0.125</v>
          </cell>
          <cell r="N85">
            <v>0</v>
          </cell>
          <cell r="O85" t="str">
            <v>Pin bucket lepas</v>
          </cell>
          <cell r="R85">
            <v>0</v>
          </cell>
          <cell r="V85">
            <v>0</v>
          </cell>
          <cell r="X85">
            <v>0</v>
          </cell>
          <cell r="Y85" t="str">
            <v>Commisioning</v>
          </cell>
        </row>
        <row r="86">
          <cell r="C86">
            <v>858</v>
          </cell>
          <cell r="D86">
            <v>858</v>
          </cell>
          <cell r="E86">
            <v>858</v>
          </cell>
          <cell r="F86">
            <v>858</v>
          </cell>
          <cell r="G86">
            <v>0</v>
          </cell>
          <cell r="H86">
            <v>0</v>
          </cell>
          <cell r="I86">
            <v>0</v>
          </cell>
          <cell r="J86">
            <v>24</v>
          </cell>
          <cell r="N86">
            <v>0</v>
          </cell>
          <cell r="O86" t="str">
            <v>Commisioning</v>
          </cell>
          <cell r="R86">
            <v>0</v>
          </cell>
          <cell r="V86">
            <v>0</v>
          </cell>
          <cell r="X86">
            <v>0</v>
          </cell>
          <cell r="Y86">
            <v>0</v>
          </cell>
        </row>
        <row r="87">
          <cell r="C87">
            <v>858</v>
          </cell>
          <cell r="D87">
            <v>858</v>
          </cell>
          <cell r="E87">
            <v>858</v>
          </cell>
          <cell r="F87">
            <v>858</v>
          </cell>
          <cell r="G87">
            <v>0</v>
          </cell>
          <cell r="H87">
            <v>0</v>
          </cell>
          <cell r="I87">
            <v>0</v>
          </cell>
          <cell r="J87">
            <v>24</v>
          </cell>
          <cell r="N87">
            <v>0</v>
          </cell>
          <cell r="O87" t="str">
            <v>Commisioning</v>
          </cell>
          <cell r="R87">
            <v>0</v>
          </cell>
          <cell r="V87">
            <v>0</v>
          </cell>
          <cell r="X87">
            <v>0</v>
          </cell>
          <cell r="Y87">
            <v>0</v>
          </cell>
        </row>
        <row r="88">
          <cell r="C88">
            <v>858</v>
          </cell>
          <cell r="D88">
            <v>858</v>
          </cell>
          <cell r="E88">
            <v>858</v>
          </cell>
          <cell r="F88">
            <v>858</v>
          </cell>
          <cell r="G88">
            <v>0</v>
          </cell>
          <cell r="H88">
            <v>0</v>
          </cell>
          <cell r="I88">
            <v>0</v>
          </cell>
          <cell r="J88">
            <v>24</v>
          </cell>
          <cell r="N88">
            <v>0</v>
          </cell>
          <cell r="O88" t="str">
            <v>Commisioning</v>
          </cell>
          <cell r="R88">
            <v>0</v>
          </cell>
          <cell r="V88">
            <v>0</v>
          </cell>
          <cell r="X88">
            <v>0</v>
          </cell>
          <cell r="Y88">
            <v>0</v>
          </cell>
        </row>
        <row r="89">
          <cell r="C89">
            <v>858</v>
          </cell>
          <cell r="D89">
            <v>858</v>
          </cell>
          <cell r="E89">
            <v>858</v>
          </cell>
          <cell r="F89">
            <v>858</v>
          </cell>
          <cell r="G89">
            <v>0</v>
          </cell>
          <cell r="H89">
            <v>0</v>
          </cell>
          <cell r="I89">
            <v>0</v>
          </cell>
          <cell r="J89">
            <v>24</v>
          </cell>
          <cell r="N89">
            <v>0</v>
          </cell>
          <cell r="O89" t="str">
            <v>HM Loncat --&gt; cek  (12219 - 12229)</v>
          </cell>
          <cell r="R89">
            <v>0</v>
          </cell>
          <cell r="V89">
            <v>0</v>
          </cell>
          <cell r="X89">
            <v>0</v>
          </cell>
          <cell r="Y89">
            <v>0</v>
          </cell>
        </row>
        <row r="90">
          <cell r="C90">
            <v>858</v>
          </cell>
          <cell r="D90">
            <v>858</v>
          </cell>
          <cell r="E90">
            <v>858</v>
          </cell>
          <cell r="F90">
            <v>858</v>
          </cell>
          <cell r="G90">
            <v>0</v>
          </cell>
          <cell r="H90">
            <v>0</v>
          </cell>
          <cell r="I90">
            <v>0</v>
          </cell>
          <cell r="J90">
            <v>24</v>
          </cell>
          <cell r="N90">
            <v>0</v>
          </cell>
          <cell r="R90">
            <v>0</v>
          </cell>
          <cell r="V90">
            <v>0</v>
          </cell>
          <cell r="X90">
            <v>0</v>
          </cell>
          <cell r="Y90">
            <v>0</v>
          </cell>
        </row>
        <row r="91">
          <cell r="C91">
            <v>858</v>
          </cell>
          <cell r="D91">
            <v>858</v>
          </cell>
          <cell r="E91">
            <v>858</v>
          </cell>
          <cell r="F91">
            <v>869.5</v>
          </cell>
          <cell r="G91">
            <v>0</v>
          </cell>
          <cell r="H91">
            <v>11.5</v>
          </cell>
          <cell r="I91">
            <v>11.5</v>
          </cell>
          <cell r="J91">
            <v>12.5</v>
          </cell>
          <cell r="N91">
            <v>0</v>
          </cell>
          <cell r="R91">
            <v>0</v>
          </cell>
          <cell r="V91">
            <v>0</v>
          </cell>
          <cell r="X91">
            <v>0</v>
          </cell>
          <cell r="Y91">
            <v>0</v>
          </cell>
        </row>
        <row r="92">
          <cell r="C92">
            <v>869.5</v>
          </cell>
          <cell r="D92">
            <v>879</v>
          </cell>
          <cell r="E92">
            <v>879</v>
          </cell>
          <cell r="F92">
            <v>890</v>
          </cell>
          <cell r="G92">
            <v>9.5</v>
          </cell>
          <cell r="H92">
            <v>11</v>
          </cell>
          <cell r="I92">
            <v>20.5</v>
          </cell>
          <cell r="J92">
            <v>3.5</v>
          </cell>
          <cell r="N92">
            <v>0</v>
          </cell>
          <cell r="R92">
            <v>0</v>
          </cell>
          <cell r="V92">
            <v>0</v>
          </cell>
          <cell r="X92">
            <v>0</v>
          </cell>
          <cell r="Y92">
            <v>0</v>
          </cell>
        </row>
        <row r="93">
          <cell r="C93">
            <v>890</v>
          </cell>
          <cell r="D93">
            <v>898</v>
          </cell>
          <cell r="E93">
            <v>898</v>
          </cell>
          <cell r="F93">
            <v>908.5</v>
          </cell>
          <cell r="G93">
            <v>8</v>
          </cell>
          <cell r="H93">
            <v>10.5</v>
          </cell>
          <cell r="I93">
            <v>18.5</v>
          </cell>
          <cell r="J93">
            <v>5.5</v>
          </cell>
          <cell r="N93">
            <v>0</v>
          </cell>
          <cell r="R93">
            <v>0</v>
          </cell>
          <cell r="V93">
            <v>0</v>
          </cell>
          <cell r="X93">
            <v>0</v>
          </cell>
          <cell r="Y93">
            <v>0</v>
          </cell>
        </row>
        <row r="94">
          <cell r="C94">
            <v>908.5</v>
          </cell>
          <cell r="D94">
            <v>917.5</v>
          </cell>
          <cell r="E94">
            <v>917.5</v>
          </cell>
          <cell r="F94">
            <v>927</v>
          </cell>
          <cell r="G94">
            <v>9</v>
          </cell>
          <cell r="H94">
            <v>9.5</v>
          </cell>
          <cell r="I94">
            <v>18.5</v>
          </cell>
          <cell r="J94">
            <v>5.5</v>
          </cell>
          <cell r="N94">
            <v>0</v>
          </cell>
          <cell r="R94">
            <v>0</v>
          </cell>
          <cell r="V94">
            <v>0</v>
          </cell>
          <cell r="X94">
            <v>0</v>
          </cell>
          <cell r="Y94">
            <v>0</v>
          </cell>
        </row>
        <row r="95">
          <cell r="C95">
            <v>927</v>
          </cell>
          <cell r="D95">
            <v>927</v>
          </cell>
          <cell r="E95">
            <v>927</v>
          </cell>
          <cell r="F95">
            <v>931.8</v>
          </cell>
          <cell r="G95">
            <v>0</v>
          </cell>
          <cell r="H95">
            <v>4.7999999999999545</v>
          </cell>
          <cell r="I95">
            <v>4.7999999999999545</v>
          </cell>
          <cell r="J95">
            <v>19.200000000000045</v>
          </cell>
          <cell r="N95">
            <v>0</v>
          </cell>
          <cell r="R95">
            <v>0</v>
          </cell>
          <cell r="V95">
            <v>0</v>
          </cell>
          <cell r="X95">
            <v>0</v>
          </cell>
          <cell r="Y95">
            <v>0</v>
          </cell>
        </row>
        <row r="96">
          <cell r="C96">
            <v>931.8</v>
          </cell>
          <cell r="D96">
            <v>940.5</v>
          </cell>
          <cell r="E96">
            <v>940.5</v>
          </cell>
          <cell r="F96">
            <v>940.5</v>
          </cell>
          <cell r="G96">
            <v>8.7000000000000455</v>
          </cell>
          <cell r="H96">
            <v>0</v>
          </cell>
          <cell r="I96">
            <v>8.7000000000000455</v>
          </cell>
          <cell r="J96">
            <v>14.799999999999955</v>
          </cell>
          <cell r="L96">
            <v>0.3125</v>
          </cell>
          <cell r="M96">
            <v>0.33333333333333331</v>
          </cell>
          <cell r="N96">
            <v>0.49999999999999956</v>
          </cell>
          <cell r="O96" t="str">
            <v>Air clener tersumbat</v>
          </cell>
          <cell r="P96">
            <v>0.75</v>
          </cell>
          <cell r="Q96">
            <v>0.29166666666666669</v>
          </cell>
          <cell r="R96">
            <v>0</v>
          </cell>
          <cell r="S96" t="str">
            <v>Air clener tersumbat</v>
          </cell>
          <cell r="V96">
            <v>0</v>
          </cell>
          <cell r="X96">
            <v>0.49999999999999956</v>
          </cell>
          <cell r="Y96" t="str">
            <v>Air clener tersumbat</v>
          </cell>
        </row>
        <row r="97">
          <cell r="C97">
            <v>940.5</v>
          </cell>
          <cell r="D97">
            <v>948.5</v>
          </cell>
          <cell r="E97">
            <v>948.5</v>
          </cell>
          <cell r="F97">
            <v>954</v>
          </cell>
          <cell r="G97">
            <v>8</v>
          </cell>
          <cell r="H97">
            <v>5.5</v>
          </cell>
          <cell r="I97">
            <v>13.5</v>
          </cell>
          <cell r="J97">
            <v>10.5</v>
          </cell>
          <cell r="L97">
            <v>0.90277777777777779</v>
          </cell>
          <cell r="M97">
            <v>0.29166666666666669</v>
          </cell>
          <cell r="N97">
            <v>0</v>
          </cell>
          <cell r="O97" t="str">
            <v>Ac hot</v>
          </cell>
          <cell r="R97">
            <v>0</v>
          </cell>
          <cell r="V97">
            <v>0</v>
          </cell>
          <cell r="X97">
            <v>0</v>
          </cell>
          <cell r="Y97">
            <v>0</v>
          </cell>
        </row>
        <row r="98">
          <cell r="C98">
            <v>954</v>
          </cell>
          <cell r="D98">
            <v>964</v>
          </cell>
          <cell r="E98">
            <v>964</v>
          </cell>
          <cell r="F98">
            <v>964</v>
          </cell>
          <cell r="G98">
            <v>10</v>
          </cell>
          <cell r="H98">
            <v>0</v>
          </cell>
          <cell r="I98">
            <v>10</v>
          </cell>
          <cell r="J98">
            <v>14</v>
          </cell>
          <cell r="N98">
            <v>0</v>
          </cell>
          <cell r="R98">
            <v>0</v>
          </cell>
          <cell r="V98">
            <v>0</v>
          </cell>
          <cell r="X98">
            <v>0</v>
          </cell>
          <cell r="Y98">
            <v>0</v>
          </cell>
        </row>
        <row r="99">
          <cell r="C99">
            <v>964</v>
          </cell>
          <cell r="D99">
            <v>964</v>
          </cell>
          <cell r="E99">
            <v>964</v>
          </cell>
          <cell r="F99">
            <v>974</v>
          </cell>
          <cell r="G99">
            <v>0</v>
          </cell>
          <cell r="H99">
            <v>10</v>
          </cell>
          <cell r="I99">
            <v>10</v>
          </cell>
          <cell r="J99">
            <v>14</v>
          </cell>
          <cell r="K99" t="str">
            <v>Day shift standby</v>
          </cell>
          <cell r="L99">
            <v>0.84375</v>
          </cell>
          <cell r="M99">
            <v>0.8618055555555556</v>
          </cell>
          <cell r="N99">
            <v>0</v>
          </cell>
          <cell r="O99" t="str">
            <v>Perbaikan lampu kerja</v>
          </cell>
          <cell r="R99">
            <v>0</v>
          </cell>
          <cell r="V99">
            <v>0</v>
          </cell>
          <cell r="X99">
            <v>0</v>
          </cell>
          <cell r="Y99">
            <v>0</v>
          </cell>
        </row>
        <row r="100">
          <cell r="C100">
            <v>974</v>
          </cell>
          <cell r="D100">
            <v>974</v>
          </cell>
          <cell r="E100">
            <v>974</v>
          </cell>
          <cell r="F100">
            <v>974</v>
          </cell>
          <cell r="G100">
            <v>0</v>
          </cell>
          <cell r="H100">
            <v>0</v>
          </cell>
          <cell r="I100">
            <v>0</v>
          </cell>
          <cell r="J100">
            <v>24</v>
          </cell>
          <cell r="K100" t="str">
            <v>Standby</v>
          </cell>
          <cell r="N100">
            <v>0</v>
          </cell>
          <cell r="R100">
            <v>0</v>
          </cell>
          <cell r="V100">
            <v>0</v>
          </cell>
          <cell r="X100">
            <v>0</v>
          </cell>
          <cell r="Y100">
            <v>0</v>
          </cell>
        </row>
        <row r="101">
          <cell r="C101">
            <v>974</v>
          </cell>
          <cell r="D101">
            <v>974</v>
          </cell>
          <cell r="E101">
            <v>974</v>
          </cell>
          <cell r="F101">
            <v>974</v>
          </cell>
          <cell r="G101">
            <v>0</v>
          </cell>
          <cell r="H101">
            <v>0</v>
          </cell>
          <cell r="I101">
            <v>0</v>
          </cell>
          <cell r="J101">
            <v>24</v>
          </cell>
          <cell r="K101" t="str">
            <v>Standby</v>
          </cell>
          <cell r="N101">
            <v>0</v>
          </cell>
          <cell r="R101">
            <v>0</v>
          </cell>
          <cell r="V101">
            <v>0</v>
          </cell>
          <cell r="X101">
            <v>0</v>
          </cell>
          <cell r="Y101">
            <v>0</v>
          </cell>
        </row>
        <row r="102">
          <cell r="C102">
            <v>756.2</v>
          </cell>
          <cell r="D102">
            <v>974</v>
          </cell>
          <cell r="E102">
            <v>763</v>
          </cell>
          <cell r="F102">
            <v>974</v>
          </cell>
          <cell r="G102">
            <v>111.10000000000002</v>
          </cell>
          <cell r="H102">
            <v>106.69999999999993</v>
          </cell>
          <cell r="I102">
            <v>217.79999999999995</v>
          </cell>
          <cell r="J102">
            <v>525.70000000000005</v>
          </cell>
          <cell r="N102">
            <v>0.49999999999999956</v>
          </cell>
          <cell r="R102">
            <v>0</v>
          </cell>
          <cell r="V102">
            <v>0</v>
          </cell>
          <cell r="X102">
            <v>218.18333333333334</v>
          </cell>
        </row>
        <row r="103">
          <cell r="V103" t="str">
            <v/>
          </cell>
        </row>
        <row r="104">
          <cell r="C104">
            <v>546</v>
          </cell>
          <cell r="D104">
            <v>546</v>
          </cell>
          <cell r="E104">
            <v>546</v>
          </cell>
          <cell r="F104">
            <v>546</v>
          </cell>
          <cell r="G104">
            <v>0</v>
          </cell>
          <cell r="H104">
            <v>0</v>
          </cell>
          <cell r="I104">
            <v>0</v>
          </cell>
          <cell r="J104">
            <v>24</v>
          </cell>
          <cell r="N104">
            <v>0</v>
          </cell>
          <cell r="R104">
            <v>0</v>
          </cell>
          <cell r="V104">
            <v>0</v>
          </cell>
          <cell r="X104">
            <v>0</v>
          </cell>
          <cell r="Y104">
            <v>0</v>
          </cell>
        </row>
        <row r="105">
          <cell r="C105">
            <v>546</v>
          </cell>
          <cell r="D105">
            <v>549</v>
          </cell>
          <cell r="E105">
            <v>549</v>
          </cell>
          <cell r="F105">
            <v>549</v>
          </cell>
          <cell r="G105">
            <v>3</v>
          </cell>
          <cell r="H105">
            <v>0</v>
          </cell>
          <cell r="I105">
            <v>3</v>
          </cell>
          <cell r="J105">
            <v>21</v>
          </cell>
          <cell r="N105">
            <v>0</v>
          </cell>
          <cell r="R105">
            <v>0</v>
          </cell>
          <cell r="V105">
            <v>0</v>
          </cell>
          <cell r="X105">
            <v>0</v>
          </cell>
          <cell r="Y105">
            <v>0</v>
          </cell>
        </row>
        <row r="106">
          <cell r="C106">
            <v>549</v>
          </cell>
          <cell r="D106">
            <v>557</v>
          </cell>
          <cell r="E106">
            <v>557</v>
          </cell>
          <cell r="F106">
            <v>559</v>
          </cell>
          <cell r="G106">
            <v>8</v>
          </cell>
          <cell r="H106">
            <v>2</v>
          </cell>
          <cell r="I106">
            <v>10</v>
          </cell>
          <cell r="J106">
            <v>14</v>
          </cell>
          <cell r="N106">
            <v>0</v>
          </cell>
          <cell r="R106">
            <v>0</v>
          </cell>
          <cell r="V106">
            <v>0</v>
          </cell>
          <cell r="X106">
            <v>0</v>
          </cell>
          <cell r="Y106">
            <v>0</v>
          </cell>
        </row>
        <row r="107">
          <cell r="C107">
            <v>559</v>
          </cell>
          <cell r="D107">
            <v>563</v>
          </cell>
          <cell r="E107">
            <v>563</v>
          </cell>
          <cell r="F107">
            <v>563</v>
          </cell>
          <cell r="G107">
            <v>4</v>
          </cell>
          <cell r="H107">
            <v>0</v>
          </cell>
          <cell r="I107">
            <v>4</v>
          </cell>
          <cell r="J107">
            <v>18.75</v>
          </cell>
          <cell r="L107">
            <v>0.36458333333333331</v>
          </cell>
          <cell r="M107">
            <v>0.41666666666666669</v>
          </cell>
          <cell r="N107">
            <v>1.2500000000000009</v>
          </cell>
          <cell r="O107" t="str">
            <v>Ac hot</v>
          </cell>
          <cell r="R107">
            <v>0</v>
          </cell>
          <cell r="V107">
            <v>0</v>
          </cell>
          <cell r="X107">
            <v>1.2500000000000009</v>
          </cell>
          <cell r="Y107" t="str">
            <v>Ac hot</v>
          </cell>
        </row>
        <row r="108">
          <cell r="C108">
            <v>563</v>
          </cell>
          <cell r="D108">
            <v>563</v>
          </cell>
          <cell r="E108">
            <v>563</v>
          </cell>
          <cell r="F108">
            <v>563</v>
          </cell>
          <cell r="G108">
            <v>0</v>
          </cell>
          <cell r="H108">
            <v>0</v>
          </cell>
          <cell r="I108">
            <v>0</v>
          </cell>
          <cell r="J108">
            <v>24</v>
          </cell>
          <cell r="N108">
            <v>0</v>
          </cell>
          <cell r="R108">
            <v>0</v>
          </cell>
          <cell r="V108">
            <v>0</v>
          </cell>
          <cell r="X108">
            <v>0</v>
          </cell>
          <cell r="Y108">
            <v>0</v>
          </cell>
        </row>
        <row r="109">
          <cell r="C109">
            <v>563</v>
          </cell>
          <cell r="D109">
            <v>563</v>
          </cell>
          <cell r="E109">
            <v>563</v>
          </cell>
          <cell r="F109">
            <v>563</v>
          </cell>
          <cell r="G109">
            <v>0</v>
          </cell>
          <cell r="H109">
            <v>0</v>
          </cell>
          <cell r="I109">
            <v>0</v>
          </cell>
          <cell r="J109">
            <v>24</v>
          </cell>
          <cell r="N109">
            <v>0</v>
          </cell>
          <cell r="R109">
            <v>0</v>
          </cell>
          <cell r="V109">
            <v>0</v>
          </cell>
          <cell r="X109">
            <v>0</v>
          </cell>
          <cell r="Y109">
            <v>0</v>
          </cell>
        </row>
        <row r="110">
          <cell r="C110">
            <v>563</v>
          </cell>
          <cell r="D110">
            <v>563</v>
          </cell>
          <cell r="E110">
            <v>563</v>
          </cell>
          <cell r="F110">
            <v>563</v>
          </cell>
          <cell r="G110">
            <v>0</v>
          </cell>
          <cell r="H110">
            <v>0</v>
          </cell>
          <cell r="I110">
            <v>0</v>
          </cell>
          <cell r="J110">
            <v>24</v>
          </cell>
          <cell r="L110">
            <v>0.85416666666666663</v>
          </cell>
          <cell r="M110">
            <v>0.90625</v>
          </cell>
          <cell r="N110">
            <v>0</v>
          </cell>
          <cell r="O110" t="str">
            <v>Lampu kerja lh depan off</v>
          </cell>
          <cell r="R110">
            <v>0</v>
          </cell>
          <cell r="V110">
            <v>0</v>
          </cell>
          <cell r="X110">
            <v>0</v>
          </cell>
          <cell r="Y110">
            <v>0</v>
          </cell>
        </row>
        <row r="111">
          <cell r="C111">
            <v>563</v>
          </cell>
          <cell r="D111">
            <v>566</v>
          </cell>
          <cell r="E111">
            <v>566</v>
          </cell>
          <cell r="F111">
            <v>566</v>
          </cell>
          <cell r="G111">
            <v>3</v>
          </cell>
          <cell r="H111">
            <v>0</v>
          </cell>
          <cell r="I111">
            <v>3</v>
          </cell>
          <cell r="J111">
            <v>21</v>
          </cell>
          <cell r="L111">
            <v>0.84722222222222221</v>
          </cell>
          <cell r="M111">
            <v>0.85416666666666663</v>
          </cell>
          <cell r="N111">
            <v>0</v>
          </cell>
          <cell r="O111" t="str">
            <v>Tambah oil hydrolick</v>
          </cell>
          <cell r="R111">
            <v>0</v>
          </cell>
          <cell r="V111">
            <v>0</v>
          </cell>
          <cell r="X111">
            <v>0</v>
          </cell>
          <cell r="Y111">
            <v>0</v>
          </cell>
        </row>
        <row r="112">
          <cell r="C112">
            <v>566</v>
          </cell>
          <cell r="D112">
            <v>567</v>
          </cell>
          <cell r="E112">
            <v>567</v>
          </cell>
          <cell r="F112">
            <v>569</v>
          </cell>
          <cell r="G112">
            <v>1</v>
          </cell>
          <cell r="H112">
            <v>2</v>
          </cell>
          <cell r="I112">
            <v>3</v>
          </cell>
          <cell r="J112">
            <v>21</v>
          </cell>
          <cell r="L112">
            <v>0.86458333333333337</v>
          </cell>
          <cell r="M112">
            <v>0.86805555555555547</v>
          </cell>
          <cell r="N112">
            <v>0</v>
          </cell>
          <cell r="O112" t="str">
            <v>Lampu kerja off</v>
          </cell>
          <cell r="R112">
            <v>0</v>
          </cell>
          <cell r="V112">
            <v>0</v>
          </cell>
          <cell r="X112">
            <v>0</v>
          </cell>
          <cell r="Y112">
            <v>0</v>
          </cell>
        </row>
        <row r="113">
          <cell r="C113">
            <v>569</v>
          </cell>
          <cell r="D113">
            <v>576</v>
          </cell>
          <cell r="E113">
            <v>576</v>
          </cell>
          <cell r="F113">
            <v>579</v>
          </cell>
          <cell r="G113">
            <v>7</v>
          </cell>
          <cell r="H113">
            <v>3</v>
          </cell>
          <cell r="I113">
            <v>10</v>
          </cell>
          <cell r="J113">
            <v>13.16666666666667</v>
          </cell>
          <cell r="L113">
            <v>0.89583333333333337</v>
          </cell>
          <cell r="M113">
            <v>0.93055555555555547</v>
          </cell>
          <cell r="N113">
            <v>0.83333333333333037</v>
          </cell>
          <cell r="O113" t="str">
            <v>Ac hot</v>
          </cell>
          <cell r="R113">
            <v>0</v>
          </cell>
          <cell r="V113">
            <v>0</v>
          </cell>
          <cell r="X113">
            <v>0.83333333333333037</v>
          </cell>
          <cell r="Y113" t="str">
            <v>Ac hot</v>
          </cell>
        </row>
        <row r="114">
          <cell r="C114">
            <v>579</v>
          </cell>
          <cell r="D114">
            <v>584</v>
          </cell>
          <cell r="E114">
            <v>584</v>
          </cell>
          <cell r="F114">
            <v>590</v>
          </cell>
          <cell r="G114">
            <v>5</v>
          </cell>
          <cell r="H114">
            <v>6</v>
          </cell>
          <cell r="I114">
            <v>11</v>
          </cell>
          <cell r="J114">
            <v>12</v>
          </cell>
          <cell r="L114">
            <v>0.81597222222222221</v>
          </cell>
          <cell r="M114">
            <v>0.84722222222222221</v>
          </cell>
          <cell r="N114">
            <v>0.75</v>
          </cell>
          <cell r="O114" t="str">
            <v>Ps04</v>
          </cell>
          <cell r="P114">
            <v>0.45833333333333331</v>
          </cell>
          <cell r="Q114">
            <v>0.46875</v>
          </cell>
          <cell r="R114">
            <v>0.25000000000000044</v>
          </cell>
          <cell r="S114" t="str">
            <v>Ac hot</v>
          </cell>
          <cell r="V114">
            <v>0</v>
          </cell>
          <cell r="X114">
            <v>1.0000000000000004</v>
          </cell>
          <cell r="Y114" t="str">
            <v>Ps04,Ac hot</v>
          </cell>
        </row>
        <row r="115">
          <cell r="C115">
            <v>590</v>
          </cell>
          <cell r="D115">
            <v>598</v>
          </cell>
          <cell r="E115">
            <v>598</v>
          </cell>
          <cell r="F115">
            <v>603</v>
          </cell>
          <cell r="G115">
            <v>8</v>
          </cell>
          <cell r="H115">
            <v>5</v>
          </cell>
          <cell r="I115">
            <v>13</v>
          </cell>
          <cell r="J115">
            <v>11</v>
          </cell>
          <cell r="L115">
            <v>0.30208333333333331</v>
          </cell>
          <cell r="M115">
            <v>0.3125</v>
          </cell>
          <cell r="N115">
            <v>0</v>
          </cell>
          <cell r="O115" t="str">
            <v>Air radiator low</v>
          </cell>
          <cell r="R115">
            <v>0</v>
          </cell>
          <cell r="V115">
            <v>0</v>
          </cell>
          <cell r="X115">
            <v>0</v>
          </cell>
          <cell r="Y115">
            <v>0</v>
          </cell>
        </row>
        <row r="116">
          <cell r="C116">
            <v>603</v>
          </cell>
          <cell r="D116">
            <v>603</v>
          </cell>
          <cell r="E116">
            <v>603</v>
          </cell>
          <cell r="F116">
            <v>603</v>
          </cell>
          <cell r="G116">
            <v>0</v>
          </cell>
          <cell r="H116">
            <v>0</v>
          </cell>
          <cell r="I116">
            <v>0</v>
          </cell>
          <cell r="J116">
            <v>24</v>
          </cell>
          <cell r="L116">
            <v>0.77430555555555547</v>
          </cell>
          <cell r="M116">
            <v>0.88541666666666663</v>
          </cell>
          <cell r="N116">
            <v>0</v>
          </cell>
          <cell r="O116" t="str">
            <v>Cant start</v>
          </cell>
          <cell r="R116">
            <v>0</v>
          </cell>
          <cell r="V116">
            <v>0</v>
          </cell>
          <cell r="X116">
            <v>0</v>
          </cell>
          <cell r="Y116">
            <v>0</v>
          </cell>
        </row>
        <row r="117">
          <cell r="C117">
            <v>603</v>
          </cell>
          <cell r="D117">
            <v>609</v>
          </cell>
          <cell r="E117">
            <v>609</v>
          </cell>
          <cell r="F117">
            <v>609</v>
          </cell>
          <cell r="G117">
            <v>6</v>
          </cell>
          <cell r="H117">
            <v>0</v>
          </cell>
          <cell r="I117">
            <v>6</v>
          </cell>
          <cell r="J117">
            <v>18</v>
          </cell>
          <cell r="K117" t="str">
            <v>Masa comisioning habis</v>
          </cell>
          <cell r="N117">
            <v>0</v>
          </cell>
          <cell r="R117">
            <v>0</v>
          </cell>
          <cell r="V117">
            <v>0</v>
          </cell>
          <cell r="X117">
            <v>0</v>
          </cell>
          <cell r="Y117">
            <v>0</v>
          </cell>
        </row>
        <row r="118">
          <cell r="C118">
            <v>609</v>
          </cell>
          <cell r="D118">
            <v>614</v>
          </cell>
          <cell r="E118">
            <v>614</v>
          </cell>
          <cell r="F118">
            <v>614</v>
          </cell>
          <cell r="G118">
            <v>5</v>
          </cell>
          <cell r="H118">
            <v>0</v>
          </cell>
          <cell r="I118">
            <v>5</v>
          </cell>
          <cell r="J118">
            <v>17.583333333333336</v>
          </cell>
          <cell r="L118">
            <v>0.375</v>
          </cell>
          <cell r="M118">
            <v>0.43402777777777773</v>
          </cell>
          <cell r="N118">
            <v>1.4166666666666656</v>
          </cell>
          <cell r="O118" t="str">
            <v>Cant start</v>
          </cell>
          <cell r="R118">
            <v>0</v>
          </cell>
          <cell r="V118">
            <v>0</v>
          </cell>
          <cell r="X118">
            <v>1.4166666666666656</v>
          </cell>
          <cell r="Y118" t="str">
            <v>Cant start</v>
          </cell>
        </row>
        <row r="119">
          <cell r="C119">
            <v>614</v>
          </cell>
          <cell r="D119">
            <v>618</v>
          </cell>
          <cell r="E119">
            <v>618</v>
          </cell>
          <cell r="F119">
            <v>618</v>
          </cell>
          <cell r="G119">
            <v>4</v>
          </cell>
          <cell r="H119">
            <v>0</v>
          </cell>
          <cell r="I119">
            <v>4</v>
          </cell>
          <cell r="J119">
            <v>20</v>
          </cell>
          <cell r="N119">
            <v>0</v>
          </cell>
          <cell r="O119" t="str">
            <v>Commisioning</v>
          </cell>
          <cell r="R119">
            <v>0</v>
          </cell>
          <cell r="V119">
            <v>0</v>
          </cell>
          <cell r="X119">
            <v>0</v>
          </cell>
          <cell r="Y119">
            <v>0</v>
          </cell>
        </row>
        <row r="120">
          <cell r="C120">
            <v>618</v>
          </cell>
          <cell r="D120">
            <v>624</v>
          </cell>
          <cell r="E120">
            <v>624</v>
          </cell>
          <cell r="F120">
            <v>630</v>
          </cell>
          <cell r="G120">
            <v>6</v>
          </cell>
          <cell r="H120">
            <v>6</v>
          </cell>
          <cell r="I120">
            <v>12</v>
          </cell>
          <cell r="J120">
            <v>8.5</v>
          </cell>
          <cell r="L120">
            <v>0.14583333333333334</v>
          </cell>
          <cell r="M120">
            <v>0.29166666666666669</v>
          </cell>
          <cell r="N120">
            <v>3.5</v>
          </cell>
          <cell r="O120" t="str">
            <v>Cant start</v>
          </cell>
          <cell r="R120">
            <v>0</v>
          </cell>
          <cell r="V120">
            <v>0</v>
          </cell>
          <cell r="X120">
            <v>3.5</v>
          </cell>
          <cell r="Y120" t="str">
            <v>Cant start</v>
          </cell>
        </row>
        <row r="121">
          <cell r="C121">
            <v>630</v>
          </cell>
          <cell r="D121">
            <v>630</v>
          </cell>
          <cell r="E121">
            <v>630</v>
          </cell>
          <cell r="F121">
            <v>633</v>
          </cell>
          <cell r="G121">
            <v>0</v>
          </cell>
          <cell r="H121">
            <v>3</v>
          </cell>
          <cell r="I121">
            <v>3</v>
          </cell>
          <cell r="J121">
            <v>20</v>
          </cell>
          <cell r="L121">
            <v>0.29166666666666669</v>
          </cell>
          <cell r="M121">
            <v>0.33333333333333331</v>
          </cell>
          <cell r="N121">
            <v>0.99999999999999911</v>
          </cell>
          <cell r="O121" t="str">
            <v>engine cant start</v>
          </cell>
          <cell r="R121">
            <v>0</v>
          </cell>
          <cell r="V121">
            <v>0</v>
          </cell>
          <cell r="X121">
            <v>0.99999999999999911</v>
          </cell>
          <cell r="Y121" t="str">
            <v>engine cant start</v>
          </cell>
        </row>
        <row r="122">
          <cell r="C122">
            <v>633</v>
          </cell>
          <cell r="D122">
            <v>639</v>
          </cell>
          <cell r="E122">
            <v>639</v>
          </cell>
          <cell r="F122">
            <v>643</v>
          </cell>
          <cell r="G122">
            <v>6</v>
          </cell>
          <cell r="H122">
            <v>4</v>
          </cell>
          <cell r="I122">
            <v>10</v>
          </cell>
          <cell r="J122">
            <v>12.649999999999999</v>
          </cell>
          <cell r="L122">
            <v>0.39166666666666666</v>
          </cell>
          <cell r="M122">
            <v>0.44097222222222227</v>
          </cell>
          <cell r="N122">
            <v>1.1833333333333345</v>
          </cell>
          <cell r="O122" t="str">
            <v>Ac off</v>
          </cell>
          <cell r="P122">
            <v>0.31944444444444448</v>
          </cell>
          <cell r="Q122">
            <v>0.3263888888888889</v>
          </cell>
          <cell r="R122">
            <v>0.16666666666666607</v>
          </cell>
          <cell r="S122" t="str">
            <v>Ac off</v>
          </cell>
          <cell r="V122">
            <v>0</v>
          </cell>
          <cell r="X122">
            <v>1.3500000000000005</v>
          </cell>
          <cell r="Y122" t="str">
            <v>Ac off,Ac off</v>
          </cell>
        </row>
        <row r="123">
          <cell r="C123">
            <v>643</v>
          </cell>
          <cell r="D123">
            <v>650</v>
          </cell>
          <cell r="E123">
            <v>650</v>
          </cell>
          <cell r="F123">
            <v>652.5</v>
          </cell>
          <cell r="G123">
            <v>7</v>
          </cell>
          <cell r="H123">
            <v>2.5</v>
          </cell>
          <cell r="I123">
            <v>9.5</v>
          </cell>
          <cell r="J123">
            <v>14.5</v>
          </cell>
          <cell r="N123">
            <v>0</v>
          </cell>
          <cell r="O123" t="str">
            <v>Commisioning</v>
          </cell>
          <cell r="R123">
            <v>0</v>
          </cell>
          <cell r="V123">
            <v>0</v>
          </cell>
          <cell r="X123">
            <v>0</v>
          </cell>
          <cell r="Y123">
            <v>0</v>
          </cell>
        </row>
        <row r="124">
          <cell r="C124">
            <v>652.5</v>
          </cell>
          <cell r="D124">
            <v>653.6</v>
          </cell>
          <cell r="E124">
            <v>653.6</v>
          </cell>
          <cell r="F124">
            <v>655</v>
          </cell>
          <cell r="G124">
            <v>1.1000000000000227</v>
          </cell>
          <cell r="H124">
            <v>1.3999999999999773</v>
          </cell>
          <cell r="I124">
            <v>2.5</v>
          </cell>
          <cell r="J124">
            <v>21.5</v>
          </cell>
          <cell r="N124">
            <v>0</v>
          </cell>
          <cell r="R124">
            <v>0</v>
          </cell>
          <cell r="V124">
            <v>0</v>
          </cell>
          <cell r="X124">
            <v>0</v>
          </cell>
          <cell r="Y124">
            <v>0</v>
          </cell>
        </row>
        <row r="125">
          <cell r="C125">
            <v>655</v>
          </cell>
          <cell r="D125">
            <v>663</v>
          </cell>
          <cell r="E125">
            <v>663</v>
          </cell>
          <cell r="F125">
            <v>669</v>
          </cell>
          <cell r="G125">
            <v>8</v>
          </cell>
          <cell r="H125">
            <v>6</v>
          </cell>
          <cell r="I125">
            <v>14</v>
          </cell>
          <cell r="J125">
            <v>10</v>
          </cell>
          <cell r="L125">
            <v>0.81597222222222221</v>
          </cell>
          <cell r="M125">
            <v>0.82291666666666663</v>
          </cell>
          <cell r="N125">
            <v>0</v>
          </cell>
          <cell r="O125" t="str">
            <v>Oil hydrolick low</v>
          </cell>
          <cell r="R125">
            <v>0</v>
          </cell>
          <cell r="V125">
            <v>0</v>
          </cell>
          <cell r="X125">
            <v>0</v>
          </cell>
          <cell r="Y125">
            <v>0</v>
          </cell>
        </row>
        <row r="126">
          <cell r="C126">
            <v>669</v>
          </cell>
          <cell r="D126">
            <v>669</v>
          </cell>
          <cell r="E126">
            <v>669</v>
          </cell>
          <cell r="F126">
            <v>669</v>
          </cell>
          <cell r="G126">
            <v>0</v>
          </cell>
          <cell r="H126">
            <v>0</v>
          </cell>
          <cell r="I126">
            <v>0</v>
          </cell>
          <cell r="J126">
            <v>24</v>
          </cell>
          <cell r="N126">
            <v>0</v>
          </cell>
          <cell r="R126">
            <v>0</v>
          </cell>
          <cell r="V126">
            <v>0</v>
          </cell>
          <cell r="X126">
            <v>0</v>
          </cell>
          <cell r="Y126">
            <v>0</v>
          </cell>
        </row>
        <row r="127">
          <cell r="C127">
            <v>669</v>
          </cell>
          <cell r="D127">
            <v>674</v>
          </cell>
          <cell r="E127">
            <v>674</v>
          </cell>
          <cell r="F127">
            <v>677</v>
          </cell>
          <cell r="G127">
            <v>5</v>
          </cell>
          <cell r="H127">
            <v>3</v>
          </cell>
          <cell r="I127">
            <v>8</v>
          </cell>
          <cell r="J127">
            <v>16</v>
          </cell>
          <cell r="L127">
            <v>0.35347222222222219</v>
          </cell>
          <cell r="M127">
            <v>0.3611111111111111</v>
          </cell>
          <cell r="N127">
            <v>0</v>
          </cell>
          <cell r="O127" t="str">
            <v>Oil hydrolick low</v>
          </cell>
          <cell r="P127">
            <v>0.64930555555555558</v>
          </cell>
          <cell r="Q127">
            <v>0.6791666666666667</v>
          </cell>
          <cell r="R127">
            <v>0</v>
          </cell>
          <cell r="S127" t="str">
            <v>Low power</v>
          </cell>
          <cell r="V127">
            <v>0</v>
          </cell>
          <cell r="X127">
            <v>0</v>
          </cell>
          <cell r="Y127">
            <v>0</v>
          </cell>
        </row>
        <row r="128">
          <cell r="C128">
            <v>677</v>
          </cell>
          <cell r="D128">
            <v>683</v>
          </cell>
          <cell r="E128">
            <v>683</v>
          </cell>
          <cell r="F128">
            <v>684</v>
          </cell>
          <cell r="G128">
            <v>6</v>
          </cell>
          <cell r="H128">
            <v>1</v>
          </cell>
          <cell r="I128">
            <v>7</v>
          </cell>
          <cell r="J128">
            <v>17</v>
          </cell>
          <cell r="L128">
            <v>0.76736111111111116</v>
          </cell>
          <cell r="M128">
            <v>0.77430555555555547</v>
          </cell>
          <cell r="N128">
            <v>0</v>
          </cell>
          <cell r="O128" t="str">
            <v>Oil hydrolick bocor</v>
          </cell>
          <cell r="R128">
            <v>0</v>
          </cell>
          <cell r="V128">
            <v>0</v>
          </cell>
          <cell r="X128">
            <v>0</v>
          </cell>
          <cell r="Y128">
            <v>0</v>
          </cell>
        </row>
        <row r="129">
          <cell r="C129">
            <v>684</v>
          </cell>
          <cell r="D129">
            <v>684</v>
          </cell>
          <cell r="E129">
            <v>684</v>
          </cell>
          <cell r="F129">
            <v>691</v>
          </cell>
          <cell r="G129">
            <v>0</v>
          </cell>
          <cell r="H129">
            <v>7</v>
          </cell>
          <cell r="I129">
            <v>7</v>
          </cell>
          <cell r="J129">
            <v>17</v>
          </cell>
          <cell r="N129">
            <v>0</v>
          </cell>
          <cell r="R129">
            <v>0</v>
          </cell>
          <cell r="V129">
            <v>0</v>
          </cell>
          <cell r="X129">
            <v>0</v>
          </cell>
          <cell r="Y129">
            <v>0</v>
          </cell>
        </row>
        <row r="130">
          <cell r="C130">
            <v>691</v>
          </cell>
          <cell r="D130">
            <v>697</v>
          </cell>
          <cell r="E130">
            <v>697</v>
          </cell>
          <cell r="F130">
            <v>702</v>
          </cell>
          <cell r="G130">
            <v>6</v>
          </cell>
          <cell r="H130">
            <v>5</v>
          </cell>
          <cell r="I130">
            <v>11</v>
          </cell>
          <cell r="J130">
            <v>13</v>
          </cell>
          <cell r="L130">
            <v>0.8125</v>
          </cell>
          <cell r="M130">
            <v>0.81597222222222221</v>
          </cell>
          <cell r="N130">
            <v>0</v>
          </cell>
          <cell r="O130" t="str">
            <v>Oil hydrolick low</v>
          </cell>
          <cell r="R130">
            <v>0</v>
          </cell>
          <cell r="V130">
            <v>0</v>
          </cell>
          <cell r="X130">
            <v>0</v>
          </cell>
          <cell r="Y130">
            <v>0</v>
          </cell>
        </row>
        <row r="131">
          <cell r="C131">
            <v>702</v>
          </cell>
          <cell r="D131">
            <v>708</v>
          </cell>
          <cell r="E131">
            <v>708</v>
          </cell>
          <cell r="F131">
            <v>708</v>
          </cell>
          <cell r="G131">
            <v>6</v>
          </cell>
          <cell r="H131">
            <v>0</v>
          </cell>
          <cell r="I131">
            <v>6</v>
          </cell>
          <cell r="J131">
            <v>18</v>
          </cell>
          <cell r="L131">
            <v>8.3333333333333329E-2</v>
          </cell>
          <cell r="M131">
            <v>9.8611111111111108E-2</v>
          </cell>
          <cell r="N131">
            <v>0</v>
          </cell>
          <cell r="O131" t="str">
            <v>Tambah air radiator</v>
          </cell>
          <cell r="R131">
            <v>0</v>
          </cell>
          <cell r="V131">
            <v>0</v>
          </cell>
          <cell r="X131">
            <v>0</v>
          </cell>
          <cell r="Y131">
            <v>0</v>
          </cell>
        </row>
        <row r="132">
          <cell r="C132">
            <v>708</v>
          </cell>
          <cell r="D132">
            <v>708</v>
          </cell>
          <cell r="E132">
            <v>708</v>
          </cell>
          <cell r="F132">
            <v>708</v>
          </cell>
          <cell r="G132">
            <v>0</v>
          </cell>
          <cell r="H132">
            <v>0</v>
          </cell>
          <cell r="I132">
            <v>0</v>
          </cell>
          <cell r="J132">
            <v>24</v>
          </cell>
          <cell r="K132" t="str">
            <v>Standby</v>
          </cell>
          <cell r="N132">
            <v>0</v>
          </cell>
          <cell r="R132">
            <v>0</v>
          </cell>
          <cell r="V132">
            <v>0</v>
          </cell>
          <cell r="X132">
            <v>0</v>
          </cell>
          <cell r="Y132">
            <v>0</v>
          </cell>
        </row>
        <row r="133">
          <cell r="C133">
            <v>708</v>
          </cell>
          <cell r="D133">
            <v>708</v>
          </cell>
          <cell r="E133">
            <v>708</v>
          </cell>
          <cell r="F133">
            <v>708</v>
          </cell>
          <cell r="G133">
            <v>0</v>
          </cell>
          <cell r="H133">
            <v>0</v>
          </cell>
          <cell r="I133">
            <v>0</v>
          </cell>
          <cell r="J133">
            <v>24</v>
          </cell>
          <cell r="K133" t="str">
            <v>Standby</v>
          </cell>
          <cell r="N133">
            <v>0</v>
          </cell>
          <cell r="R133">
            <v>0</v>
          </cell>
          <cell r="V133">
            <v>0</v>
          </cell>
          <cell r="X133">
            <v>0</v>
          </cell>
          <cell r="Y133">
            <v>0</v>
          </cell>
        </row>
        <row r="134">
          <cell r="C134">
            <v>708</v>
          </cell>
          <cell r="D134">
            <v>708</v>
          </cell>
          <cell r="E134">
            <v>708</v>
          </cell>
          <cell r="F134">
            <v>708</v>
          </cell>
          <cell r="G134">
            <v>0</v>
          </cell>
          <cell r="H134">
            <v>0</v>
          </cell>
          <cell r="I134">
            <v>0</v>
          </cell>
          <cell r="J134">
            <v>24</v>
          </cell>
          <cell r="K134" t="str">
            <v>Standby</v>
          </cell>
          <cell r="N134">
            <v>0</v>
          </cell>
          <cell r="R134">
            <v>0</v>
          </cell>
          <cell r="V134">
            <v>0</v>
          </cell>
          <cell r="X134">
            <v>0</v>
          </cell>
          <cell r="Y134">
            <v>0</v>
          </cell>
        </row>
        <row r="135">
          <cell r="C135">
            <v>546</v>
          </cell>
          <cell r="D135">
            <v>708</v>
          </cell>
          <cell r="E135">
            <v>546</v>
          </cell>
          <cell r="F135">
            <v>708</v>
          </cell>
          <cell r="G135">
            <v>105.10000000000002</v>
          </cell>
          <cell r="H135">
            <v>56.899999999999977</v>
          </cell>
          <cell r="I135">
            <v>162</v>
          </cell>
          <cell r="J135">
            <v>571.64999999999986</v>
          </cell>
          <cell r="N135">
            <v>9.93333333333333</v>
          </cell>
          <cell r="R135">
            <v>0.41666666666666652</v>
          </cell>
          <cell r="V135">
            <v>0</v>
          </cell>
          <cell r="X135">
            <v>6.43333333333333</v>
          </cell>
        </row>
        <row r="136">
          <cell r="N136">
            <v>0</v>
          </cell>
          <cell r="V136" t="str">
            <v/>
          </cell>
        </row>
        <row r="137">
          <cell r="C137">
            <v>531</v>
          </cell>
          <cell r="D137">
            <v>535</v>
          </cell>
          <cell r="E137">
            <v>535</v>
          </cell>
          <cell r="F137">
            <v>538.20000000000005</v>
          </cell>
          <cell r="G137">
            <v>4</v>
          </cell>
          <cell r="H137">
            <v>3.2000000000000455</v>
          </cell>
          <cell r="I137">
            <v>7.2000000000000455</v>
          </cell>
          <cell r="J137">
            <v>16.799999999999955</v>
          </cell>
          <cell r="L137">
            <v>0.29166666666666669</v>
          </cell>
          <cell r="M137">
            <v>0.75</v>
          </cell>
          <cell r="N137">
            <v>0</v>
          </cell>
          <cell r="O137" t="str">
            <v>Track lh lepas</v>
          </cell>
          <cell r="P137">
            <v>0.75</v>
          </cell>
          <cell r="Q137">
            <v>0.29166666666666669</v>
          </cell>
          <cell r="R137">
            <v>0</v>
          </cell>
          <cell r="S137" t="str">
            <v>Track lh lepas</v>
          </cell>
          <cell r="V137">
            <v>0</v>
          </cell>
          <cell r="X137">
            <v>0</v>
          </cell>
          <cell r="Y137">
            <v>0</v>
          </cell>
        </row>
        <row r="138">
          <cell r="C138">
            <v>538.20000000000005</v>
          </cell>
          <cell r="D138">
            <v>543.9</v>
          </cell>
          <cell r="E138">
            <v>543.9</v>
          </cell>
          <cell r="F138">
            <v>548.5</v>
          </cell>
          <cell r="G138">
            <v>5.6999999999999318</v>
          </cell>
          <cell r="H138">
            <v>4.6000000000000227</v>
          </cell>
          <cell r="I138">
            <v>10.299999999999955</v>
          </cell>
          <cell r="J138">
            <v>12.700000000000045</v>
          </cell>
          <cell r="L138">
            <v>0.375</v>
          </cell>
          <cell r="M138">
            <v>0.41666666666666669</v>
          </cell>
          <cell r="N138">
            <v>1.0000000000000004</v>
          </cell>
          <cell r="O138" t="str">
            <v>Ac hot</v>
          </cell>
          <cell r="R138">
            <v>0</v>
          </cell>
          <cell r="V138">
            <v>0</v>
          </cell>
          <cell r="X138">
            <v>1.0000000000000004</v>
          </cell>
          <cell r="Y138" t="str">
            <v>Ac hot</v>
          </cell>
        </row>
        <row r="139">
          <cell r="C139">
            <v>548.5</v>
          </cell>
          <cell r="D139">
            <v>550</v>
          </cell>
          <cell r="E139">
            <v>550</v>
          </cell>
          <cell r="F139">
            <v>550</v>
          </cell>
          <cell r="G139">
            <v>1.5</v>
          </cell>
          <cell r="H139">
            <v>0</v>
          </cell>
          <cell r="I139">
            <v>1.5</v>
          </cell>
          <cell r="J139">
            <v>20.333333333333336</v>
          </cell>
          <cell r="L139">
            <v>0.40625</v>
          </cell>
          <cell r="M139">
            <v>0.49652777777777773</v>
          </cell>
          <cell r="N139">
            <v>2.1666666666666656</v>
          </cell>
          <cell r="O139" t="str">
            <v>Ac hot</v>
          </cell>
          <cell r="P139">
            <v>0.75</v>
          </cell>
          <cell r="Q139">
            <v>0.29166666666666669</v>
          </cell>
          <cell r="R139">
            <v>0</v>
          </cell>
          <cell r="S139" t="str">
            <v>Engine sering off</v>
          </cell>
          <cell r="V139">
            <v>0</v>
          </cell>
          <cell r="X139">
            <v>2.1666666666666656</v>
          </cell>
          <cell r="Y139" t="str">
            <v>Ac hot</v>
          </cell>
        </row>
        <row r="140">
          <cell r="C140">
            <v>550</v>
          </cell>
          <cell r="D140">
            <v>558</v>
          </cell>
          <cell r="E140">
            <v>558</v>
          </cell>
          <cell r="F140">
            <v>559.5</v>
          </cell>
          <cell r="G140">
            <v>8</v>
          </cell>
          <cell r="H140">
            <v>1.5</v>
          </cell>
          <cell r="I140">
            <v>9.5</v>
          </cell>
          <cell r="J140">
            <v>14.5</v>
          </cell>
          <cell r="L140">
            <v>0.78125</v>
          </cell>
          <cell r="M140">
            <v>0.1076388888888889</v>
          </cell>
          <cell r="N140">
            <v>0</v>
          </cell>
          <cell r="O140" t="str">
            <v>Penggantian hose trevel rh bocor</v>
          </cell>
          <cell r="R140">
            <v>0</v>
          </cell>
          <cell r="V140">
            <v>0</v>
          </cell>
          <cell r="X140">
            <v>0</v>
          </cell>
          <cell r="Y140">
            <v>0</v>
          </cell>
        </row>
        <row r="141">
          <cell r="C141">
            <v>559.5</v>
          </cell>
          <cell r="D141">
            <v>559.5</v>
          </cell>
          <cell r="E141">
            <v>559.5</v>
          </cell>
          <cell r="F141">
            <v>559.5</v>
          </cell>
          <cell r="G141">
            <v>0</v>
          </cell>
          <cell r="H141">
            <v>0</v>
          </cell>
          <cell r="I141">
            <v>0</v>
          </cell>
          <cell r="J141">
            <v>24</v>
          </cell>
          <cell r="L141">
            <v>0.79166666666666663</v>
          </cell>
          <cell r="M141">
            <v>0.79513888888888884</v>
          </cell>
          <cell r="N141">
            <v>0</v>
          </cell>
          <cell r="O141" t="str">
            <v>Cant start</v>
          </cell>
          <cell r="R141">
            <v>0</v>
          </cell>
          <cell r="V141">
            <v>0</v>
          </cell>
          <cell r="X141">
            <v>0</v>
          </cell>
          <cell r="Y141">
            <v>0</v>
          </cell>
        </row>
        <row r="142">
          <cell r="C142">
            <v>559.5</v>
          </cell>
          <cell r="D142">
            <v>559.5</v>
          </cell>
          <cell r="E142">
            <v>559.5</v>
          </cell>
          <cell r="F142">
            <v>559.5</v>
          </cell>
          <cell r="G142">
            <v>0</v>
          </cell>
          <cell r="H142">
            <v>0</v>
          </cell>
          <cell r="I142">
            <v>0</v>
          </cell>
          <cell r="J142">
            <v>24</v>
          </cell>
          <cell r="N142">
            <v>0</v>
          </cell>
          <cell r="R142">
            <v>0</v>
          </cell>
          <cell r="V142">
            <v>0</v>
          </cell>
          <cell r="X142">
            <v>0</v>
          </cell>
          <cell r="Y142">
            <v>0</v>
          </cell>
        </row>
        <row r="143">
          <cell r="C143">
            <v>559.5</v>
          </cell>
          <cell r="D143">
            <v>559.5</v>
          </cell>
          <cell r="E143">
            <v>559.5</v>
          </cell>
          <cell r="F143">
            <v>559.5</v>
          </cell>
          <cell r="G143">
            <v>0</v>
          </cell>
          <cell r="H143">
            <v>0</v>
          </cell>
          <cell r="I143">
            <v>0</v>
          </cell>
          <cell r="J143">
            <v>24</v>
          </cell>
          <cell r="L143">
            <v>0.22222222222222221</v>
          </cell>
          <cell r="M143">
            <v>0.22916666666666666</v>
          </cell>
          <cell r="N143">
            <v>0</v>
          </cell>
          <cell r="O143" t="str">
            <v>Control valve cylinder bucket bocor</v>
          </cell>
          <cell r="R143">
            <v>0</v>
          </cell>
          <cell r="V143">
            <v>0</v>
          </cell>
          <cell r="X143">
            <v>0</v>
          </cell>
          <cell r="Y143">
            <v>0</v>
          </cell>
        </row>
        <row r="144">
          <cell r="C144">
            <v>559.5</v>
          </cell>
          <cell r="D144">
            <v>567.29999999999995</v>
          </cell>
          <cell r="E144">
            <v>567.29999999999995</v>
          </cell>
          <cell r="F144">
            <v>570.79999999999995</v>
          </cell>
          <cell r="G144">
            <v>7.7999999999999545</v>
          </cell>
          <cell r="H144">
            <v>3.5</v>
          </cell>
          <cell r="I144">
            <v>11.299999999999955</v>
          </cell>
          <cell r="J144">
            <v>12.700000000000045</v>
          </cell>
          <cell r="L144">
            <v>0.29166666666666669</v>
          </cell>
          <cell r="M144">
            <v>0.375</v>
          </cell>
          <cell r="N144">
            <v>0</v>
          </cell>
          <cell r="O144" t="str">
            <v>Hose pecah</v>
          </cell>
          <cell r="R144">
            <v>0</v>
          </cell>
          <cell r="V144">
            <v>0</v>
          </cell>
          <cell r="X144">
            <v>0</v>
          </cell>
          <cell r="Y144">
            <v>0</v>
          </cell>
        </row>
        <row r="145">
          <cell r="C145">
            <v>570.79999999999995</v>
          </cell>
          <cell r="D145">
            <v>570.79999999999995</v>
          </cell>
          <cell r="E145">
            <v>570.79999999999995</v>
          </cell>
          <cell r="F145">
            <v>573</v>
          </cell>
          <cell r="G145">
            <v>0</v>
          </cell>
          <cell r="H145">
            <v>2.2000000000000455</v>
          </cell>
          <cell r="I145">
            <v>2.2000000000000455</v>
          </cell>
          <cell r="J145">
            <v>18.299999999999955</v>
          </cell>
          <cell r="L145">
            <v>0.14583333333333334</v>
          </cell>
          <cell r="M145">
            <v>0.29166666666666669</v>
          </cell>
          <cell r="N145">
            <v>3.5</v>
          </cell>
          <cell r="O145" t="str">
            <v>Cant start</v>
          </cell>
          <cell r="R145">
            <v>0</v>
          </cell>
          <cell r="V145">
            <v>0</v>
          </cell>
          <cell r="X145">
            <v>3.5</v>
          </cell>
          <cell r="Y145" t="str">
            <v>Cant start</v>
          </cell>
        </row>
        <row r="146">
          <cell r="C146">
            <v>573</v>
          </cell>
          <cell r="D146">
            <v>581</v>
          </cell>
          <cell r="E146">
            <v>581</v>
          </cell>
          <cell r="F146">
            <v>585.29999999999995</v>
          </cell>
          <cell r="G146">
            <v>8</v>
          </cell>
          <cell r="H146">
            <v>4.2999999999999545</v>
          </cell>
          <cell r="I146">
            <v>12.299999999999955</v>
          </cell>
          <cell r="J146">
            <v>9.5333333333333794</v>
          </cell>
          <cell r="L146">
            <v>0.29166666666666669</v>
          </cell>
          <cell r="M146">
            <v>0.34375</v>
          </cell>
          <cell r="N146">
            <v>1.2499999999999996</v>
          </cell>
          <cell r="O146" t="str">
            <v>Cant start</v>
          </cell>
          <cell r="P146">
            <v>0.55208333333333337</v>
          </cell>
          <cell r="Q146">
            <v>0.5625</v>
          </cell>
          <cell r="R146">
            <v>0.24999999999999911</v>
          </cell>
          <cell r="S146" t="str">
            <v>Cant start</v>
          </cell>
          <cell r="T146">
            <v>0.75347222222222221</v>
          </cell>
          <cell r="U146">
            <v>0.78125</v>
          </cell>
          <cell r="V146">
            <v>0.66666666666666696</v>
          </cell>
          <cell r="W146" t="str">
            <v>Cant start</v>
          </cell>
          <cell r="X146">
            <v>2.1666666666666656</v>
          </cell>
          <cell r="Y146" t="str">
            <v>Cant start,Cant start</v>
          </cell>
        </row>
        <row r="147">
          <cell r="C147">
            <v>585.29999999999995</v>
          </cell>
          <cell r="D147">
            <v>592</v>
          </cell>
          <cell r="E147">
            <v>592</v>
          </cell>
          <cell r="F147">
            <v>598.1</v>
          </cell>
          <cell r="G147">
            <v>6.7000000000000455</v>
          </cell>
          <cell r="H147">
            <v>6.1000000000000227</v>
          </cell>
          <cell r="I147">
            <v>12.800000000000068</v>
          </cell>
          <cell r="J147">
            <v>11.199999999999932</v>
          </cell>
          <cell r="L147">
            <v>0.35972222222222222</v>
          </cell>
          <cell r="M147">
            <v>0.38611111111111113</v>
          </cell>
          <cell r="N147">
            <v>0</v>
          </cell>
          <cell r="O147" t="str">
            <v>Low power</v>
          </cell>
          <cell r="R147">
            <v>0</v>
          </cell>
          <cell r="V147">
            <v>0</v>
          </cell>
          <cell r="X147">
            <v>0</v>
          </cell>
          <cell r="Y147">
            <v>0</v>
          </cell>
        </row>
        <row r="148">
          <cell r="C148">
            <v>598.1</v>
          </cell>
          <cell r="D148">
            <v>606.29999999999995</v>
          </cell>
          <cell r="E148">
            <v>606.29999999999995</v>
          </cell>
          <cell r="F148">
            <v>610.79999999999995</v>
          </cell>
          <cell r="G148">
            <v>8.1999999999999318</v>
          </cell>
          <cell r="H148">
            <v>4.5</v>
          </cell>
          <cell r="I148">
            <v>12.699999999999932</v>
          </cell>
          <cell r="J148">
            <v>11.300000000000068</v>
          </cell>
          <cell r="L148">
            <v>7.9861111111111105E-2</v>
          </cell>
          <cell r="M148">
            <v>0.29166666666666669</v>
          </cell>
          <cell r="N148">
            <v>0</v>
          </cell>
          <cell r="O148" t="str">
            <v>Engine mati mendadak</v>
          </cell>
          <cell r="R148">
            <v>0</v>
          </cell>
          <cell r="V148">
            <v>0</v>
          </cell>
          <cell r="X148">
            <v>0</v>
          </cell>
          <cell r="Y148">
            <v>0</v>
          </cell>
        </row>
        <row r="149">
          <cell r="C149">
            <v>610.79999999999995</v>
          </cell>
          <cell r="D149">
            <v>610.79999999999995</v>
          </cell>
          <cell r="E149">
            <v>610.79999999999995</v>
          </cell>
          <cell r="F149">
            <v>610.79999999999995</v>
          </cell>
          <cell r="G149">
            <v>0</v>
          </cell>
          <cell r="H149">
            <v>0</v>
          </cell>
          <cell r="I149">
            <v>0</v>
          </cell>
          <cell r="J149">
            <v>24</v>
          </cell>
          <cell r="L149">
            <v>0.29166666666666669</v>
          </cell>
          <cell r="M149">
            <v>0.625</v>
          </cell>
          <cell r="N149">
            <v>0</v>
          </cell>
          <cell r="O149" t="str">
            <v>Greasing, noice</v>
          </cell>
          <cell r="R149">
            <v>0</v>
          </cell>
          <cell r="V149">
            <v>0</v>
          </cell>
          <cell r="X149">
            <v>0</v>
          </cell>
          <cell r="Y149">
            <v>0</v>
          </cell>
        </row>
        <row r="150">
          <cell r="C150">
            <v>610.79999999999995</v>
          </cell>
          <cell r="D150">
            <v>616.20000000000005</v>
          </cell>
          <cell r="E150">
            <v>616.20000000000005</v>
          </cell>
          <cell r="F150">
            <v>616.20000000000005</v>
          </cell>
          <cell r="G150">
            <v>5.4000000000000909</v>
          </cell>
          <cell r="H150">
            <v>0</v>
          </cell>
          <cell r="I150">
            <v>5.4000000000000909</v>
          </cell>
          <cell r="J150">
            <v>18.599999999999909</v>
          </cell>
          <cell r="L150">
            <v>0.29166666666666669</v>
          </cell>
          <cell r="M150">
            <v>0.33333333333333331</v>
          </cell>
          <cell r="N150">
            <v>0</v>
          </cell>
          <cell r="O150" t="str">
            <v>Break down</v>
          </cell>
          <cell r="R150">
            <v>0</v>
          </cell>
          <cell r="V150">
            <v>0</v>
          </cell>
          <cell r="X150">
            <v>0</v>
          </cell>
          <cell r="Y150">
            <v>0</v>
          </cell>
        </row>
        <row r="151">
          <cell r="C151">
            <v>616.20000000000005</v>
          </cell>
          <cell r="D151">
            <v>622.6</v>
          </cell>
          <cell r="E151">
            <v>622.6</v>
          </cell>
          <cell r="F151">
            <v>628.1</v>
          </cell>
          <cell r="G151">
            <v>6.3999999999999773</v>
          </cell>
          <cell r="H151">
            <v>5.5</v>
          </cell>
          <cell r="I151">
            <v>11.899999999999977</v>
          </cell>
          <cell r="J151">
            <v>12.100000000000023</v>
          </cell>
          <cell r="L151">
            <v>0.12291666666666667</v>
          </cell>
          <cell r="M151">
            <v>0.13402777777777777</v>
          </cell>
          <cell r="N151">
            <v>0</v>
          </cell>
          <cell r="O151" t="str">
            <v>Over head, tambah air radiator</v>
          </cell>
          <cell r="R151">
            <v>0</v>
          </cell>
          <cell r="V151">
            <v>0</v>
          </cell>
          <cell r="X151">
            <v>0</v>
          </cell>
          <cell r="Y151">
            <v>0</v>
          </cell>
        </row>
        <row r="152">
          <cell r="C152">
            <v>628.1</v>
          </cell>
          <cell r="D152">
            <v>635.29999999999995</v>
          </cell>
          <cell r="E152">
            <v>635.29999999999995</v>
          </cell>
          <cell r="F152">
            <v>639.6</v>
          </cell>
          <cell r="G152">
            <v>7.1999999999999318</v>
          </cell>
          <cell r="H152">
            <v>4.3000000000000682</v>
          </cell>
          <cell r="I152">
            <v>11.5</v>
          </cell>
          <cell r="J152">
            <v>12.5</v>
          </cell>
          <cell r="L152">
            <v>0.84375</v>
          </cell>
          <cell r="M152">
            <v>0.89583333333333337</v>
          </cell>
          <cell r="N152">
            <v>0</v>
          </cell>
          <cell r="O152" t="str">
            <v>Over head</v>
          </cell>
          <cell r="P152">
            <v>0.29166666666666669</v>
          </cell>
          <cell r="Q152">
            <v>0.33333333333333331</v>
          </cell>
          <cell r="R152">
            <v>0</v>
          </cell>
          <cell r="S152" t="str">
            <v>Perbaikan kabel</v>
          </cell>
          <cell r="V152">
            <v>0</v>
          </cell>
          <cell r="X152">
            <v>0</v>
          </cell>
          <cell r="Y152">
            <v>0</v>
          </cell>
        </row>
        <row r="153">
          <cell r="C153">
            <v>639.6</v>
          </cell>
          <cell r="D153">
            <v>648</v>
          </cell>
          <cell r="E153">
            <v>648</v>
          </cell>
          <cell r="F153">
            <v>655.9</v>
          </cell>
          <cell r="G153">
            <v>8.3999999999999773</v>
          </cell>
          <cell r="H153">
            <v>7.8999999999999773</v>
          </cell>
          <cell r="I153">
            <v>16.299999999999955</v>
          </cell>
          <cell r="J153">
            <v>7.4500000000000455</v>
          </cell>
          <cell r="L153">
            <v>0.3576388888888889</v>
          </cell>
          <cell r="M153">
            <v>0.36805555555555558</v>
          </cell>
          <cell r="N153">
            <v>0.25000000000000044</v>
          </cell>
          <cell r="O153" t="str">
            <v>Lampu panel kerja nyala terus</v>
          </cell>
          <cell r="P153">
            <v>0.82986111111111116</v>
          </cell>
          <cell r="Q153">
            <v>0.86805555555555547</v>
          </cell>
          <cell r="R153">
            <v>0</v>
          </cell>
          <cell r="S153" t="str">
            <v>Lampu kerja off</v>
          </cell>
          <cell r="V153">
            <v>0</v>
          </cell>
          <cell r="X153">
            <v>0.25000000000000044</v>
          </cell>
          <cell r="Y153" t="str">
            <v>Lampu panel kerja nyala terus</v>
          </cell>
        </row>
        <row r="154">
          <cell r="C154">
            <v>655.9</v>
          </cell>
          <cell r="D154">
            <v>655.9</v>
          </cell>
          <cell r="E154">
            <v>655.9</v>
          </cell>
          <cell r="F154">
            <v>662.1</v>
          </cell>
          <cell r="G154">
            <v>0</v>
          </cell>
          <cell r="H154">
            <v>6.2000000000000455</v>
          </cell>
          <cell r="I154">
            <v>6.2000000000000455</v>
          </cell>
          <cell r="J154">
            <v>17.799999999999955</v>
          </cell>
          <cell r="N154">
            <v>0</v>
          </cell>
          <cell r="R154">
            <v>0</v>
          </cell>
          <cell r="V154">
            <v>0</v>
          </cell>
          <cell r="X154">
            <v>0</v>
          </cell>
          <cell r="Y154">
            <v>0</v>
          </cell>
        </row>
        <row r="155">
          <cell r="C155">
            <v>662.1</v>
          </cell>
          <cell r="D155">
            <v>670.7</v>
          </cell>
          <cell r="E155">
            <v>670.7</v>
          </cell>
          <cell r="F155">
            <v>674</v>
          </cell>
          <cell r="G155">
            <v>8.6000000000000227</v>
          </cell>
          <cell r="H155">
            <v>3.2999999999999545</v>
          </cell>
          <cell r="I155">
            <v>11.899999999999977</v>
          </cell>
          <cell r="J155">
            <v>12.100000000000023</v>
          </cell>
          <cell r="N155">
            <v>0</v>
          </cell>
          <cell r="R155">
            <v>0</v>
          </cell>
          <cell r="V155">
            <v>0</v>
          </cell>
          <cell r="X155">
            <v>0</v>
          </cell>
          <cell r="Y155">
            <v>0</v>
          </cell>
        </row>
        <row r="156">
          <cell r="C156">
            <v>674</v>
          </cell>
          <cell r="D156">
            <v>682</v>
          </cell>
          <cell r="E156">
            <v>682</v>
          </cell>
          <cell r="F156">
            <v>684.8</v>
          </cell>
          <cell r="G156">
            <v>8</v>
          </cell>
          <cell r="H156">
            <v>2.7999999999999545</v>
          </cell>
          <cell r="I156">
            <v>10.799999999999955</v>
          </cell>
          <cell r="J156">
            <v>13.200000000000045</v>
          </cell>
          <cell r="L156">
            <v>0.31597222222222221</v>
          </cell>
          <cell r="M156">
            <v>0.75</v>
          </cell>
          <cell r="N156">
            <v>0</v>
          </cell>
          <cell r="O156" t="str">
            <v>Kebocoran oil hydrolick</v>
          </cell>
          <cell r="P156">
            <v>0.75</v>
          </cell>
          <cell r="Q156">
            <v>0.94097222222222221</v>
          </cell>
          <cell r="R156">
            <v>0</v>
          </cell>
          <cell r="S156" t="str">
            <v>Kebocoran oil hydrolick</v>
          </cell>
          <cell r="V156">
            <v>0</v>
          </cell>
          <cell r="X156">
            <v>0</v>
          </cell>
          <cell r="Y156">
            <v>0</v>
          </cell>
        </row>
        <row r="157">
          <cell r="C157">
            <v>684.8</v>
          </cell>
          <cell r="D157">
            <v>687</v>
          </cell>
          <cell r="E157">
            <v>687</v>
          </cell>
          <cell r="F157">
            <v>691</v>
          </cell>
          <cell r="G157">
            <v>2.2000000000000455</v>
          </cell>
          <cell r="H157">
            <v>4</v>
          </cell>
          <cell r="I157">
            <v>6.2000000000000455</v>
          </cell>
          <cell r="J157">
            <v>17.799999999999955</v>
          </cell>
          <cell r="N157">
            <v>0</v>
          </cell>
          <cell r="R157">
            <v>0</v>
          </cell>
          <cell r="V157">
            <v>0</v>
          </cell>
          <cell r="X157">
            <v>0</v>
          </cell>
          <cell r="Y157">
            <v>0</v>
          </cell>
        </row>
        <row r="158">
          <cell r="C158">
            <v>691</v>
          </cell>
          <cell r="D158">
            <v>700.5</v>
          </cell>
          <cell r="E158">
            <v>700.5</v>
          </cell>
          <cell r="F158">
            <v>706.9</v>
          </cell>
          <cell r="G158">
            <v>9.5</v>
          </cell>
          <cell r="H158">
            <v>6.3999999999999773</v>
          </cell>
          <cell r="I158">
            <v>15.899999999999977</v>
          </cell>
          <cell r="J158">
            <v>8.1000000000000227</v>
          </cell>
          <cell r="L158">
            <v>0.36805555555555558</v>
          </cell>
          <cell r="M158">
            <v>0.38194444444444442</v>
          </cell>
          <cell r="N158">
            <v>0</v>
          </cell>
          <cell r="O158" t="str">
            <v>Track lh kendor</v>
          </cell>
          <cell r="R158">
            <v>0</v>
          </cell>
          <cell r="V158">
            <v>0</v>
          </cell>
          <cell r="X158">
            <v>0</v>
          </cell>
          <cell r="Y158">
            <v>0</v>
          </cell>
        </row>
        <row r="159">
          <cell r="C159">
            <v>706.9</v>
          </cell>
          <cell r="D159">
            <v>714.2</v>
          </cell>
          <cell r="E159">
            <v>714.2</v>
          </cell>
          <cell r="F159">
            <v>714.2</v>
          </cell>
          <cell r="G159">
            <v>7.3000000000000682</v>
          </cell>
          <cell r="H159">
            <v>0</v>
          </cell>
          <cell r="I159">
            <v>7.3000000000000682</v>
          </cell>
          <cell r="J159">
            <v>15.8666666666666</v>
          </cell>
          <cell r="L159">
            <v>0.29166666666666669</v>
          </cell>
          <cell r="M159">
            <v>0.3263888888888889</v>
          </cell>
          <cell r="N159">
            <v>0.83333333333333304</v>
          </cell>
          <cell r="O159" t="str">
            <v>Lampu kerja off</v>
          </cell>
          <cell r="R159">
            <v>0</v>
          </cell>
          <cell r="V159">
            <v>0</v>
          </cell>
          <cell r="X159">
            <v>0.83333333333333304</v>
          </cell>
          <cell r="Y159" t="str">
            <v>Lampu kerja off</v>
          </cell>
        </row>
        <row r="160">
          <cell r="C160">
            <v>714.2</v>
          </cell>
          <cell r="D160">
            <v>714.2</v>
          </cell>
          <cell r="E160">
            <v>714.2</v>
          </cell>
          <cell r="F160">
            <v>719.1</v>
          </cell>
          <cell r="G160">
            <v>0</v>
          </cell>
          <cell r="H160">
            <v>4.8999999999999773</v>
          </cell>
          <cell r="I160">
            <v>4.8999999999999773</v>
          </cell>
          <cell r="J160">
            <v>19.100000000000023</v>
          </cell>
          <cell r="L160">
            <v>0.5</v>
          </cell>
          <cell r="M160">
            <v>0.55902777777777779</v>
          </cell>
          <cell r="N160">
            <v>0</v>
          </cell>
          <cell r="O160" t="str">
            <v>Tilt bucket lh hilang satu</v>
          </cell>
          <cell r="R160">
            <v>0</v>
          </cell>
          <cell r="V160">
            <v>0</v>
          </cell>
          <cell r="X160">
            <v>0</v>
          </cell>
          <cell r="Y160">
            <v>0</v>
          </cell>
        </row>
        <row r="161">
          <cell r="C161">
            <v>719.1</v>
          </cell>
          <cell r="D161">
            <v>727.6</v>
          </cell>
          <cell r="E161">
            <v>727.6</v>
          </cell>
          <cell r="F161">
            <v>731.9</v>
          </cell>
          <cell r="G161">
            <v>8.5</v>
          </cell>
          <cell r="H161">
            <v>4.2999999999999545</v>
          </cell>
          <cell r="I161">
            <v>12.799999999999955</v>
          </cell>
          <cell r="J161">
            <v>11.200000000000045</v>
          </cell>
          <cell r="N161">
            <v>0</v>
          </cell>
          <cell r="R161">
            <v>0</v>
          </cell>
          <cell r="V161">
            <v>0</v>
          </cell>
          <cell r="X161">
            <v>0</v>
          </cell>
          <cell r="Y161">
            <v>0</v>
          </cell>
        </row>
        <row r="162">
          <cell r="C162">
            <v>731.9</v>
          </cell>
          <cell r="D162">
            <v>740.5</v>
          </cell>
          <cell r="E162">
            <v>740.5</v>
          </cell>
          <cell r="F162">
            <v>743.6</v>
          </cell>
          <cell r="G162">
            <v>8.6000000000000227</v>
          </cell>
          <cell r="H162">
            <v>3.1000000000000227</v>
          </cell>
          <cell r="I162">
            <v>11.700000000000045</v>
          </cell>
          <cell r="J162">
            <v>12.299999999999955</v>
          </cell>
          <cell r="L162">
            <v>0.47916666666666669</v>
          </cell>
          <cell r="M162">
            <v>0.50902777777777775</v>
          </cell>
          <cell r="N162">
            <v>0</v>
          </cell>
          <cell r="O162" t="str">
            <v>Ac hot</v>
          </cell>
          <cell r="R162">
            <v>0</v>
          </cell>
          <cell r="V162">
            <v>0</v>
          </cell>
          <cell r="X162">
            <v>0</v>
          </cell>
          <cell r="Y162">
            <v>0</v>
          </cell>
        </row>
        <row r="163">
          <cell r="C163">
            <v>743.6</v>
          </cell>
          <cell r="D163">
            <v>749.7</v>
          </cell>
          <cell r="E163">
            <v>749.7</v>
          </cell>
          <cell r="F163">
            <v>756.2</v>
          </cell>
          <cell r="G163">
            <v>6.1000000000000227</v>
          </cell>
          <cell r="H163">
            <v>6.5</v>
          </cell>
          <cell r="I163">
            <v>12.600000000000023</v>
          </cell>
          <cell r="J163">
            <v>11.399999999999977</v>
          </cell>
          <cell r="N163">
            <v>0</v>
          </cell>
          <cell r="R163">
            <v>0</v>
          </cell>
          <cell r="V163">
            <v>0</v>
          </cell>
          <cell r="X163">
            <v>0</v>
          </cell>
          <cell r="Y163">
            <v>0</v>
          </cell>
        </row>
        <row r="164">
          <cell r="C164">
            <v>756.2</v>
          </cell>
          <cell r="D164">
            <v>762.1</v>
          </cell>
          <cell r="E164">
            <v>762.1</v>
          </cell>
          <cell r="F164">
            <v>762.1</v>
          </cell>
          <cell r="G164">
            <v>5.8999999999999773</v>
          </cell>
          <cell r="H164">
            <v>0</v>
          </cell>
          <cell r="I164">
            <v>5.8999999999999773</v>
          </cell>
          <cell r="J164">
            <v>18.100000000000023</v>
          </cell>
          <cell r="L164">
            <v>0.77777777777777779</v>
          </cell>
          <cell r="M164">
            <v>0.81944444444444453</v>
          </cell>
          <cell r="N164">
            <v>0</v>
          </cell>
          <cell r="O164" t="str">
            <v>Engine over head</v>
          </cell>
          <cell r="R164">
            <v>0</v>
          </cell>
          <cell r="V164">
            <v>0</v>
          </cell>
          <cell r="X164">
            <v>0</v>
          </cell>
          <cell r="Y164">
            <v>0</v>
          </cell>
        </row>
        <row r="165">
          <cell r="C165">
            <v>762.1</v>
          </cell>
          <cell r="D165">
            <v>762.1</v>
          </cell>
          <cell r="E165">
            <v>762.1</v>
          </cell>
          <cell r="F165">
            <v>762.1</v>
          </cell>
          <cell r="G165">
            <v>0</v>
          </cell>
          <cell r="H165">
            <v>0</v>
          </cell>
          <cell r="I165">
            <v>0</v>
          </cell>
          <cell r="J165">
            <v>24</v>
          </cell>
          <cell r="K165" t="str">
            <v>Standby</v>
          </cell>
          <cell r="N165">
            <v>0</v>
          </cell>
          <cell r="R165">
            <v>0</v>
          </cell>
          <cell r="V165">
            <v>0</v>
          </cell>
          <cell r="X165">
            <v>0</v>
          </cell>
          <cell r="Y165">
            <v>0</v>
          </cell>
        </row>
        <row r="166">
          <cell r="C166">
            <v>762.1</v>
          </cell>
          <cell r="D166">
            <v>762.1</v>
          </cell>
          <cell r="E166">
            <v>762.1</v>
          </cell>
          <cell r="F166">
            <v>762.1</v>
          </cell>
          <cell r="G166">
            <v>0</v>
          </cell>
          <cell r="H166">
            <v>0</v>
          </cell>
          <cell r="I166">
            <v>0</v>
          </cell>
          <cell r="J166">
            <v>24</v>
          </cell>
          <cell r="K166" t="str">
            <v>Standby</v>
          </cell>
          <cell r="N166">
            <v>0</v>
          </cell>
          <cell r="R166">
            <v>0</v>
          </cell>
          <cell r="V166">
            <v>0</v>
          </cell>
          <cell r="X166">
            <v>0</v>
          </cell>
          <cell r="Y166">
            <v>0</v>
          </cell>
        </row>
        <row r="167">
          <cell r="C167">
            <v>762.1</v>
          </cell>
          <cell r="D167">
            <v>762.1</v>
          </cell>
          <cell r="E167">
            <v>762.1</v>
          </cell>
          <cell r="F167">
            <v>762.1</v>
          </cell>
          <cell r="G167">
            <v>0</v>
          </cell>
          <cell r="H167">
            <v>0</v>
          </cell>
          <cell r="I167">
            <v>0</v>
          </cell>
          <cell r="J167">
            <v>24</v>
          </cell>
          <cell r="K167" t="str">
            <v>Standby</v>
          </cell>
          <cell r="N167">
            <v>0</v>
          </cell>
          <cell r="R167">
            <v>0</v>
          </cell>
          <cell r="V167">
            <v>0</v>
          </cell>
          <cell r="X167">
            <v>0</v>
          </cell>
          <cell r="Y167">
            <v>0</v>
          </cell>
        </row>
        <row r="168">
          <cell r="C168">
            <v>531</v>
          </cell>
          <cell r="D168">
            <v>762.1</v>
          </cell>
          <cell r="E168">
            <v>535</v>
          </cell>
          <cell r="F168">
            <v>762.1</v>
          </cell>
          <cell r="G168">
            <v>142</v>
          </cell>
          <cell r="H168">
            <v>89.100000000000023</v>
          </cell>
          <cell r="I168">
            <v>231.10000000000002</v>
          </cell>
          <cell r="J168">
            <v>502.98333333333335</v>
          </cell>
          <cell r="N168">
            <v>9</v>
          </cell>
          <cell r="R168">
            <v>0.24999999999999911</v>
          </cell>
          <cell r="V168">
            <v>0.66666666666666696</v>
          </cell>
          <cell r="X168">
            <v>81.53333333333336</v>
          </cell>
        </row>
      </sheetData>
      <sheetData sheetId="2" refreshError="1">
        <row r="4">
          <cell r="B4" t="str">
            <v>KPTJEX023</v>
          </cell>
          <cell r="C4">
            <v>1</v>
          </cell>
          <cell r="D4">
            <v>0</v>
          </cell>
          <cell r="E4">
            <v>1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3.5</v>
          </cell>
          <cell r="AE4">
            <v>0</v>
          </cell>
          <cell r="AF4">
            <v>3.5</v>
          </cell>
          <cell r="AG4">
            <v>0</v>
          </cell>
          <cell r="AH4">
            <v>0</v>
          </cell>
          <cell r="AI4">
            <v>0</v>
          </cell>
          <cell r="AJ4">
            <v>6.5</v>
          </cell>
          <cell r="AK4">
            <v>5</v>
          </cell>
          <cell r="AL4">
            <v>11.5</v>
          </cell>
          <cell r="AM4">
            <v>1</v>
          </cell>
          <cell r="AN4">
            <v>0</v>
          </cell>
          <cell r="AO4">
            <v>1</v>
          </cell>
          <cell r="AP4">
            <v>4</v>
          </cell>
          <cell r="AQ4">
            <v>2.5</v>
          </cell>
          <cell r="AR4">
            <v>6.5</v>
          </cell>
          <cell r="AS4">
            <v>0</v>
          </cell>
          <cell r="AT4">
            <v>3.5</v>
          </cell>
          <cell r="AU4">
            <v>3.5</v>
          </cell>
          <cell r="AV4">
            <v>2.5</v>
          </cell>
          <cell r="AW4">
            <v>0</v>
          </cell>
          <cell r="AX4">
            <v>2.5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E4">
            <v>6.5</v>
          </cell>
          <cell r="BF4">
            <v>0</v>
          </cell>
          <cell r="BG4">
            <v>6.5</v>
          </cell>
          <cell r="BH4">
            <v>0</v>
          </cell>
          <cell r="BI4">
            <v>0</v>
          </cell>
          <cell r="BJ4">
            <v>0</v>
          </cell>
          <cell r="BK4">
            <v>0</v>
          </cell>
          <cell r="BL4">
            <v>0</v>
          </cell>
          <cell r="BM4">
            <v>0</v>
          </cell>
          <cell r="BN4">
            <v>0</v>
          </cell>
          <cell r="BO4">
            <v>3</v>
          </cell>
          <cell r="BP4">
            <v>3</v>
          </cell>
          <cell r="BQ4">
            <v>3</v>
          </cell>
          <cell r="BR4">
            <v>0</v>
          </cell>
          <cell r="BS4">
            <v>3</v>
          </cell>
          <cell r="BT4">
            <v>7</v>
          </cell>
          <cell r="BU4">
            <v>10</v>
          </cell>
          <cell r="BV4">
            <v>17</v>
          </cell>
          <cell r="BW4">
            <v>6</v>
          </cell>
          <cell r="BX4">
            <v>0</v>
          </cell>
          <cell r="BY4">
            <v>6</v>
          </cell>
          <cell r="BZ4">
            <v>7</v>
          </cell>
          <cell r="CA4">
            <v>0</v>
          </cell>
          <cell r="CB4">
            <v>7</v>
          </cell>
          <cell r="CC4">
            <v>10</v>
          </cell>
          <cell r="CD4">
            <v>0</v>
          </cell>
          <cell r="CE4">
            <v>10</v>
          </cell>
          <cell r="CF4">
            <v>9</v>
          </cell>
          <cell r="CG4">
            <v>0</v>
          </cell>
          <cell r="CH4">
            <v>9</v>
          </cell>
          <cell r="CI4">
            <v>1.8000000000000114</v>
          </cell>
          <cell r="CJ4">
            <v>0</v>
          </cell>
          <cell r="CK4">
            <v>1.8000000000000114</v>
          </cell>
          <cell r="CL4">
            <v>7.1999999999999886</v>
          </cell>
          <cell r="CM4">
            <v>0</v>
          </cell>
          <cell r="CN4">
            <v>7.1999999999999886</v>
          </cell>
          <cell r="CO4">
            <v>5.5</v>
          </cell>
          <cell r="CP4">
            <v>0</v>
          </cell>
          <cell r="CQ4">
            <v>5.5</v>
          </cell>
          <cell r="CR4">
            <v>81.5</v>
          </cell>
          <cell r="CS4">
            <v>24</v>
          </cell>
          <cell r="CT4">
            <v>105.5</v>
          </cell>
          <cell r="ED4" t="str">
            <v>KPTJEX023</v>
          </cell>
          <cell r="EE4">
            <v>1</v>
          </cell>
          <cell r="EF4">
            <v>1</v>
          </cell>
          <cell r="EG4">
            <v>1</v>
          </cell>
          <cell r="EH4">
            <v>1</v>
          </cell>
          <cell r="EI4">
            <v>1</v>
          </cell>
          <cell r="EJ4">
            <v>1</v>
          </cell>
          <cell r="EK4">
            <v>1</v>
          </cell>
          <cell r="EL4">
            <v>1</v>
          </cell>
          <cell r="EM4">
            <v>1</v>
          </cell>
          <cell r="EN4">
            <v>4.5</v>
          </cell>
          <cell r="EO4">
            <v>4.5</v>
          </cell>
          <cell r="EP4">
            <v>16</v>
          </cell>
          <cell r="EQ4">
            <v>17</v>
          </cell>
          <cell r="ER4">
            <v>23.5</v>
          </cell>
          <cell r="ES4">
            <v>27</v>
          </cell>
          <cell r="ET4">
            <v>29.5</v>
          </cell>
          <cell r="EU4">
            <v>29.5</v>
          </cell>
          <cell r="EV4">
            <v>29.5</v>
          </cell>
          <cell r="EW4">
            <v>36</v>
          </cell>
          <cell r="EX4">
            <v>36</v>
          </cell>
          <cell r="EY4">
            <v>36</v>
          </cell>
          <cell r="EZ4">
            <v>39</v>
          </cell>
          <cell r="FA4">
            <v>42</v>
          </cell>
          <cell r="FB4">
            <v>59</v>
          </cell>
          <cell r="FC4">
            <v>65</v>
          </cell>
          <cell r="FD4">
            <v>72</v>
          </cell>
          <cell r="FE4">
            <v>82</v>
          </cell>
          <cell r="FF4">
            <v>91</v>
          </cell>
          <cell r="FG4">
            <v>92.800000000000011</v>
          </cell>
          <cell r="FH4">
            <v>100</v>
          </cell>
          <cell r="FI4">
            <v>105.5</v>
          </cell>
          <cell r="FJ4">
            <v>1046.3</v>
          </cell>
        </row>
        <row r="5">
          <cell r="B5" t="str">
            <v>KPTJEX003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>
            <v>0</v>
          </cell>
          <cell r="BH5">
            <v>0</v>
          </cell>
          <cell r="BI5">
            <v>0</v>
          </cell>
          <cell r="BJ5">
            <v>0</v>
          </cell>
          <cell r="BK5">
            <v>0</v>
          </cell>
          <cell r="BL5">
            <v>0</v>
          </cell>
          <cell r="BM5">
            <v>0</v>
          </cell>
          <cell r="BN5">
            <v>0</v>
          </cell>
          <cell r="BO5">
            <v>0</v>
          </cell>
          <cell r="BP5">
            <v>0</v>
          </cell>
          <cell r="BQ5">
            <v>0</v>
          </cell>
          <cell r="BR5">
            <v>0</v>
          </cell>
          <cell r="BS5">
            <v>0</v>
          </cell>
          <cell r="BT5">
            <v>0</v>
          </cell>
          <cell r="BU5">
            <v>0</v>
          </cell>
          <cell r="BV5">
            <v>0</v>
          </cell>
          <cell r="BW5">
            <v>0</v>
          </cell>
          <cell r="BX5">
            <v>0</v>
          </cell>
          <cell r="BY5">
            <v>0</v>
          </cell>
          <cell r="BZ5">
            <v>0</v>
          </cell>
          <cell r="CA5">
            <v>0</v>
          </cell>
          <cell r="CB5">
            <v>0</v>
          </cell>
          <cell r="CC5">
            <v>0</v>
          </cell>
          <cell r="CD5">
            <v>0</v>
          </cell>
          <cell r="CE5">
            <v>0</v>
          </cell>
          <cell r="CF5">
            <v>0</v>
          </cell>
          <cell r="CG5">
            <v>0</v>
          </cell>
          <cell r="CH5">
            <v>0</v>
          </cell>
          <cell r="CI5">
            <v>0</v>
          </cell>
          <cell r="CJ5">
            <v>0</v>
          </cell>
          <cell r="CK5">
            <v>0</v>
          </cell>
          <cell r="CL5">
            <v>0</v>
          </cell>
          <cell r="CM5">
            <v>0</v>
          </cell>
          <cell r="CN5">
            <v>0</v>
          </cell>
          <cell r="CO5">
            <v>0</v>
          </cell>
          <cell r="CP5">
            <v>0</v>
          </cell>
          <cell r="CQ5">
            <v>0</v>
          </cell>
          <cell r="CR5">
            <v>0</v>
          </cell>
          <cell r="CS5">
            <v>0</v>
          </cell>
          <cell r="CT5">
            <v>0</v>
          </cell>
          <cell r="ED5" t="str">
            <v>KPTJEX003</v>
          </cell>
          <cell r="EE5">
            <v>0</v>
          </cell>
          <cell r="EF5">
            <v>0</v>
          </cell>
          <cell r="EG5">
            <v>0</v>
          </cell>
          <cell r="EH5">
            <v>0</v>
          </cell>
          <cell r="EI5">
            <v>0</v>
          </cell>
          <cell r="EJ5">
            <v>0</v>
          </cell>
          <cell r="EK5">
            <v>0</v>
          </cell>
          <cell r="EL5">
            <v>0</v>
          </cell>
          <cell r="EM5">
            <v>0</v>
          </cell>
          <cell r="EN5">
            <v>0</v>
          </cell>
          <cell r="EO5">
            <v>0</v>
          </cell>
          <cell r="EP5">
            <v>0</v>
          </cell>
          <cell r="EQ5">
            <v>0</v>
          </cell>
          <cell r="ER5">
            <v>0</v>
          </cell>
          <cell r="ES5">
            <v>0</v>
          </cell>
          <cell r="ET5">
            <v>0</v>
          </cell>
          <cell r="EU5">
            <v>0</v>
          </cell>
          <cell r="EV5">
            <v>0</v>
          </cell>
          <cell r="EW5">
            <v>0</v>
          </cell>
          <cell r="EX5">
            <v>0</v>
          </cell>
          <cell r="EY5">
            <v>0</v>
          </cell>
          <cell r="EZ5">
            <v>0</v>
          </cell>
          <cell r="FA5">
            <v>0</v>
          </cell>
          <cell r="FB5">
            <v>0</v>
          </cell>
          <cell r="FC5">
            <v>0</v>
          </cell>
          <cell r="FD5">
            <v>0</v>
          </cell>
          <cell r="FE5">
            <v>0</v>
          </cell>
          <cell r="FF5">
            <v>0</v>
          </cell>
          <cell r="FG5">
            <v>0</v>
          </cell>
          <cell r="FH5">
            <v>0</v>
          </cell>
          <cell r="FI5">
            <v>0</v>
          </cell>
          <cell r="FJ5">
            <v>0</v>
          </cell>
        </row>
        <row r="6">
          <cell r="B6" t="str">
            <v>KPTJDZ004</v>
          </cell>
          <cell r="C6">
            <v>119</v>
          </cell>
          <cell r="D6">
            <v>119</v>
          </cell>
          <cell r="E6">
            <v>119</v>
          </cell>
          <cell r="F6">
            <v>119</v>
          </cell>
          <cell r="G6">
            <v>0</v>
          </cell>
          <cell r="H6">
            <v>0</v>
          </cell>
          <cell r="I6">
            <v>0</v>
          </cell>
          <cell r="J6">
            <v>24</v>
          </cell>
          <cell r="N6">
            <v>0</v>
          </cell>
          <cell r="R6">
            <v>0</v>
          </cell>
          <cell r="V6">
            <v>0</v>
          </cell>
          <cell r="X6">
            <v>0</v>
          </cell>
          <cell r="Y6">
            <v>0</v>
          </cell>
          <cell r="CR6">
            <v>0</v>
          </cell>
          <cell r="CS6">
            <v>0</v>
          </cell>
          <cell r="CT6">
            <v>0</v>
          </cell>
          <cell r="ED6" t="str">
            <v>KPTJDZ004</v>
          </cell>
          <cell r="EE6">
            <v>0</v>
          </cell>
          <cell r="EF6">
            <v>0</v>
          </cell>
          <cell r="EG6">
            <v>0</v>
          </cell>
          <cell r="EH6">
            <v>0</v>
          </cell>
          <cell r="EI6">
            <v>0</v>
          </cell>
          <cell r="EJ6">
            <v>0</v>
          </cell>
          <cell r="EK6">
            <v>0</v>
          </cell>
          <cell r="EL6">
            <v>0</v>
          </cell>
          <cell r="EM6">
            <v>0</v>
          </cell>
          <cell r="EN6">
            <v>0</v>
          </cell>
          <cell r="EO6">
            <v>0</v>
          </cell>
          <cell r="EP6">
            <v>0</v>
          </cell>
          <cell r="EQ6">
            <v>0</v>
          </cell>
          <cell r="ER6">
            <v>0</v>
          </cell>
          <cell r="ES6">
            <v>0</v>
          </cell>
          <cell r="ET6">
            <v>0</v>
          </cell>
          <cell r="EU6">
            <v>0</v>
          </cell>
          <cell r="EV6">
            <v>0</v>
          </cell>
          <cell r="EW6">
            <v>0</v>
          </cell>
          <cell r="EX6">
            <v>0</v>
          </cell>
          <cell r="EY6">
            <v>0</v>
          </cell>
          <cell r="EZ6">
            <v>0</v>
          </cell>
          <cell r="FA6">
            <v>0</v>
          </cell>
          <cell r="FB6">
            <v>0</v>
          </cell>
          <cell r="FC6">
            <v>0</v>
          </cell>
          <cell r="FD6">
            <v>0</v>
          </cell>
          <cell r="FE6">
            <v>0</v>
          </cell>
          <cell r="FF6">
            <v>0</v>
          </cell>
          <cell r="FG6">
            <v>0</v>
          </cell>
          <cell r="FH6">
            <v>0</v>
          </cell>
          <cell r="FI6">
            <v>0</v>
          </cell>
          <cell r="FJ6">
            <v>0</v>
          </cell>
        </row>
        <row r="7">
          <cell r="B7" t="str">
            <v>KPTJDZ005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10</v>
          </cell>
          <cell r="BF7">
            <v>8</v>
          </cell>
          <cell r="BG7">
            <v>18</v>
          </cell>
          <cell r="BH7">
            <v>2</v>
          </cell>
          <cell r="BI7">
            <v>0</v>
          </cell>
          <cell r="BJ7">
            <v>2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7</v>
          </cell>
          <cell r="BX7">
            <v>10</v>
          </cell>
          <cell r="BY7">
            <v>17</v>
          </cell>
          <cell r="BZ7">
            <v>9</v>
          </cell>
          <cell r="CA7">
            <v>0</v>
          </cell>
          <cell r="CB7">
            <v>9</v>
          </cell>
          <cell r="CC7">
            <v>9</v>
          </cell>
          <cell r="CD7">
            <v>0</v>
          </cell>
          <cell r="CE7">
            <v>9</v>
          </cell>
          <cell r="CF7">
            <v>0</v>
          </cell>
          <cell r="CG7">
            <v>10</v>
          </cell>
          <cell r="CH7">
            <v>10</v>
          </cell>
          <cell r="CI7">
            <v>0</v>
          </cell>
          <cell r="CJ7">
            <v>0</v>
          </cell>
          <cell r="CK7">
            <v>0</v>
          </cell>
          <cell r="CL7">
            <v>0</v>
          </cell>
          <cell r="CM7">
            <v>0</v>
          </cell>
          <cell r="CN7">
            <v>0</v>
          </cell>
          <cell r="CO7">
            <v>0</v>
          </cell>
          <cell r="CP7">
            <v>0</v>
          </cell>
          <cell r="CQ7">
            <v>0</v>
          </cell>
          <cell r="CR7">
            <v>37</v>
          </cell>
          <cell r="CS7">
            <v>28</v>
          </cell>
          <cell r="CT7">
            <v>65</v>
          </cell>
          <cell r="ED7" t="str">
            <v>KPTJDZ005</v>
          </cell>
          <cell r="EE7">
            <v>0</v>
          </cell>
          <cell r="EF7">
            <v>0</v>
          </cell>
          <cell r="EG7">
            <v>0</v>
          </cell>
          <cell r="EH7">
            <v>0</v>
          </cell>
          <cell r="EI7">
            <v>0</v>
          </cell>
          <cell r="EJ7">
            <v>0</v>
          </cell>
          <cell r="EK7">
            <v>0</v>
          </cell>
          <cell r="EL7">
            <v>0</v>
          </cell>
          <cell r="EM7">
            <v>0</v>
          </cell>
          <cell r="EN7">
            <v>0</v>
          </cell>
          <cell r="EO7">
            <v>0</v>
          </cell>
          <cell r="EP7">
            <v>0</v>
          </cell>
          <cell r="EQ7">
            <v>0</v>
          </cell>
          <cell r="ER7">
            <v>0</v>
          </cell>
          <cell r="ES7">
            <v>0</v>
          </cell>
          <cell r="ET7">
            <v>0</v>
          </cell>
          <cell r="EU7">
            <v>0</v>
          </cell>
          <cell r="EV7">
            <v>0</v>
          </cell>
          <cell r="EW7">
            <v>18</v>
          </cell>
          <cell r="EX7">
            <v>20</v>
          </cell>
          <cell r="EY7">
            <v>20</v>
          </cell>
          <cell r="EZ7">
            <v>20</v>
          </cell>
          <cell r="FA7">
            <v>20</v>
          </cell>
          <cell r="FB7">
            <v>20</v>
          </cell>
          <cell r="FC7">
            <v>37</v>
          </cell>
          <cell r="FD7">
            <v>46</v>
          </cell>
          <cell r="FE7">
            <v>55</v>
          </cell>
          <cell r="FF7">
            <v>65</v>
          </cell>
          <cell r="FG7">
            <v>65</v>
          </cell>
          <cell r="FH7">
            <v>65</v>
          </cell>
          <cell r="FI7">
            <v>65</v>
          </cell>
          <cell r="FJ7">
            <v>516</v>
          </cell>
        </row>
        <row r="8">
          <cell r="B8" t="str">
            <v>KPTJCP006</v>
          </cell>
          <cell r="C8">
            <v>119</v>
          </cell>
          <cell r="D8">
            <v>119</v>
          </cell>
          <cell r="E8">
            <v>119</v>
          </cell>
          <cell r="F8">
            <v>119</v>
          </cell>
          <cell r="G8">
            <v>0</v>
          </cell>
          <cell r="H8">
            <v>0</v>
          </cell>
          <cell r="I8">
            <v>0</v>
          </cell>
          <cell r="J8">
            <v>24</v>
          </cell>
          <cell r="N8">
            <v>0</v>
          </cell>
          <cell r="R8">
            <v>0</v>
          </cell>
          <cell r="V8">
            <v>0</v>
          </cell>
          <cell r="X8">
            <v>0</v>
          </cell>
          <cell r="Y8">
            <v>0</v>
          </cell>
          <cell r="CR8">
            <v>0</v>
          </cell>
          <cell r="CS8">
            <v>0</v>
          </cell>
          <cell r="CT8">
            <v>0</v>
          </cell>
          <cell r="ED8" t="str">
            <v>KPTJCP006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>
            <v>0</v>
          </cell>
          <cell r="EK8">
            <v>0</v>
          </cell>
          <cell r="EL8">
            <v>0</v>
          </cell>
          <cell r="EM8">
            <v>0</v>
          </cell>
          <cell r="EN8">
            <v>0</v>
          </cell>
          <cell r="EO8">
            <v>0</v>
          </cell>
          <cell r="EP8">
            <v>0</v>
          </cell>
          <cell r="EQ8">
            <v>0</v>
          </cell>
          <cell r="ER8">
            <v>0</v>
          </cell>
          <cell r="ES8">
            <v>0</v>
          </cell>
          <cell r="ET8">
            <v>0</v>
          </cell>
          <cell r="EU8">
            <v>0</v>
          </cell>
          <cell r="EV8">
            <v>0</v>
          </cell>
          <cell r="EW8">
            <v>0</v>
          </cell>
          <cell r="EX8">
            <v>0</v>
          </cell>
          <cell r="EY8">
            <v>0</v>
          </cell>
          <cell r="EZ8">
            <v>0</v>
          </cell>
          <cell r="FA8">
            <v>0</v>
          </cell>
          <cell r="FB8">
            <v>0</v>
          </cell>
          <cell r="FC8">
            <v>0</v>
          </cell>
          <cell r="FD8">
            <v>0</v>
          </cell>
          <cell r="FE8">
            <v>0</v>
          </cell>
          <cell r="FF8">
            <v>0</v>
          </cell>
          <cell r="FG8">
            <v>0</v>
          </cell>
          <cell r="FH8">
            <v>0</v>
          </cell>
          <cell r="FI8">
            <v>0</v>
          </cell>
          <cell r="FJ8">
            <v>0</v>
          </cell>
        </row>
        <row r="9">
          <cell r="B9" t="str">
            <v>KPTJEX007</v>
          </cell>
          <cell r="C9">
            <v>119</v>
          </cell>
          <cell r="D9">
            <v>119</v>
          </cell>
          <cell r="E9">
            <v>119</v>
          </cell>
          <cell r="F9">
            <v>119</v>
          </cell>
          <cell r="G9">
            <v>0</v>
          </cell>
          <cell r="H9">
            <v>0</v>
          </cell>
          <cell r="I9">
            <v>0</v>
          </cell>
          <cell r="J9">
            <v>24</v>
          </cell>
          <cell r="N9">
            <v>0</v>
          </cell>
          <cell r="R9">
            <v>0</v>
          </cell>
          <cell r="V9">
            <v>0</v>
          </cell>
          <cell r="X9">
            <v>0</v>
          </cell>
          <cell r="Y9">
            <v>0</v>
          </cell>
          <cell r="CR9">
            <v>0</v>
          </cell>
          <cell r="CS9">
            <v>0</v>
          </cell>
          <cell r="CT9">
            <v>0</v>
          </cell>
          <cell r="ED9" t="str">
            <v>KPTJEX007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>
            <v>0</v>
          </cell>
          <cell r="EK9">
            <v>0</v>
          </cell>
          <cell r="EL9">
            <v>0</v>
          </cell>
          <cell r="EM9">
            <v>0</v>
          </cell>
          <cell r="EN9">
            <v>0</v>
          </cell>
          <cell r="EO9">
            <v>0</v>
          </cell>
          <cell r="EP9">
            <v>0</v>
          </cell>
          <cell r="EQ9">
            <v>0</v>
          </cell>
          <cell r="ER9">
            <v>0</v>
          </cell>
          <cell r="ES9">
            <v>0</v>
          </cell>
          <cell r="ET9">
            <v>0</v>
          </cell>
          <cell r="EU9">
            <v>0</v>
          </cell>
          <cell r="EV9">
            <v>0</v>
          </cell>
          <cell r="EW9">
            <v>0</v>
          </cell>
          <cell r="EX9">
            <v>0</v>
          </cell>
          <cell r="EY9">
            <v>0</v>
          </cell>
          <cell r="EZ9">
            <v>0</v>
          </cell>
          <cell r="FA9">
            <v>0</v>
          </cell>
          <cell r="FB9">
            <v>0</v>
          </cell>
          <cell r="FC9">
            <v>0</v>
          </cell>
          <cell r="FD9">
            <v>0</v>
          </cell>
          <cell r="FE9">
            <v>0</v>
          </cell>
          <cell r="FF9">
            <v>0</v>
          </cell>
          <cell r="FG9">
            <v>0</v>
          </cell>
          <cell r="FH9">
            <v>0</v>
          </cell>
          <cell r="FI9">
            <v>0</v>
          </cell>
          <cell r="FJ9">
            <v>0</v>
          </cell>
        </row>
        <row r="10">
          <cell r="B10" t="str">
            <v>KPTJDZ008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6</v>
          </cell>
          <cell r="J10">
            <v>7.5</v>
          </cell>
          <cell r="K10">
            <v>13.5</v>
          </cell>
          <cell r="L10">
            <v>8.5</v>
          </cell>
          <cell r="M10">
            <v>9</v>
          </cell>
          <cell r="N10">
            <v>17.5</v>
          </cell>
          <cell r="O10">
            <v>2.3999999999996362</v>
          </cell>
          <cell r="P10">
            <v>0.6000000000003638</v>
          </cell>
          <cell r="Q10">
            <v>3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10.5</v>
          </cell>
          <cell r="W10">
            <v>10.5</v>
          </cell>
          <cell r="X10">
            <v>8.5</v>
          </cell>
          <cell r="Y10">
            <v>5</v>
          </cell>
          <cell r="Z10">
            <v>13.5</v>
          </cell>
          <cell r="AA10">
            <v>9</v>
          </cell>
          <cell r="AB10">
            <v>10</v>
          </cell>
          <cell r="AC10">
            <v>19</v>
          </cell>
          <cell r="AD10">
            <v>9</v>
          </cell>
          <cell r="AE10">
            <v>8</v>
          </cell>
          <cell r="AF10">
            <v>17</v>
          </cell>
          <cell r="AG10">
            <v>8.5</v>
          </cell>
          <cell r="AH10">
            <v>9.5</v>
          </cell>
          <cell r="AI10">
            <v>18</v>
          </cell>
          <cell r="AJ10">
            <v>9</v>
          </cell>
          <cell r="AK10">
            <v>9.5</v>
          </cell>
          <cell r="AL10">
            <v>18.5</v>
          </cell>
          <cell r="AM10">
            <v>8.5</v>
          </cell>
          <cell r="AN10">
            <v>0</v>
          </cell>
          <cell r="AO10">
            <v>8.5</v>
          </cell>
          <cell r="AP10">
            <v>9.5</v>
          </cell>
          <cell r="AQ10">
            <v>5.5</v>
          </cell>
          <cell r="AR10">
            <v>15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12</v>
          </cell>
          <cell r="BM10">
            <v>12</v>
          </cell>
          <cell r="BN10">
            <v>9</v>
          </cell>
          <cell r="BO10">
            <v>10.5</v>
          </cell>
          <cell r="BP10">
            <v>19.5</v>
          </cell>
          <cell r="BQ10">
            <v>8.5</v>
          </cell>
          <cell r="BR10">
            <v>8</v>
          </cell>
          <cell r="BS10">
            <v>16.5</v>
          </cell>
          <cell r="BT10">
            <v>8</v>
          </cell>
          <cell r="BU10">
            <v>11</v>
          </cell>
          <cell r="BV10">
            <v>19</v>
          </cell>
          <cell r="BW10">
            <v>9</v>
          </cell>
          <cell r="BX10">
            <v>0</v>
          </cell>
          <cell r="BY10">
            <v>9</v>
          </cell>
          <cell r="BZ10">
            <v>7</v>
          </cell>
          <cell r="CA10">
            <v>11</v>
          </cell>
          <cell r="CB10">
            <v>18</v>
          </cell>
          <cell r="CC10">
            <v>9</v>
          </cell>
          <cell r="CD10">
            <v>10.5</v>
          </cell>
          <cell r="CE10">
            <v>19.5</v>
          </cell>
          <cell r="CF10">
            <v>9.5</v>
          </cell>
          <cell r="CG10">
            <v>9</v>
          </cell>
          <cell r="CH10">
            <v>18.5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138.89999999999964</v>
          </cell>
          <cell r="CS10">
            <v>147.10000000000036</v>
          </cell>
          <cell r="CT10">
            <v>286</v>
          </cell>
          <cell r="ED10" t="str">
            <v>KPTJDZ008</v>
          </cell>
          <cell r="EE10">
            <v>0</v>
          </cell>
          <cell r="EF10">
            <v>0</v>
          </cell>
          <cell r="EG10">
            <v>13.5</v>
          </cell>
          <cell r="EH10">
            <v>31</v>
          </cell>
          <cell r="EI10">
            <v>34</v>
          </cell>
          <cell r="EJ10">
            <v>34</v>
          </cell>
          <cell r="EK10">
            <v>44.5</v>
          </cell>
          <cell r="EL10">
            <v>58</v>
          </cell>
          <cell r="EM10">
            <v>77</v>
          </cell>
          <cell r="EN10">
            <v>94</v>
          </cell>
          <cell r="EO10">
            <v>112</v>
          </cell>
          <cell r="EP10">
            <v>130.5</v>
          </cell>
          <cell r="EQ10">
            <v>139</v>
          </cell>
          <cell r="ER10">
            <v>154</v>
          </cell>
          <cell r="ES10">
            <v>154</v>
          </cell>
          <cell r="ET10">
            <v>154</v>
          </cell>
          <cell r="EU10">
            <v>154</v>
          </cell>
          <cell r="EV10">
            <v>154</v>
          </cell>
          <cell r="EW10">
            <v>154</v>
          </cell>
          <cell r="EX10">
            <v>154</v>
          </cell>
          <cell r="EY10">
            <v>166</v>
          </cell>
          <cell r="EZ10">
            <v>185.5</v>
          </cell>
          <cell r="FA10">
            <v>202</v>
          </cell>
          <cell r="FB10">
            <v>221</v>
          </cell>
          <cell r="FC10">
            <v>230</v>
          </cell>
          <cell r="FD10">
            <v>248</v>
          </cell>
          <cell r="FE10">
            <v>267.5</v>
          </cell>
          <cell r="FF10">
            <v>286</v>
          </cell>
          <cell r="FG10">
            <v>286</v>
          </cell>
          <cell r="FH10">
            <v>286</v>
          </cell>
          <cell r="FI10">
            <v>286</v>
          </cell>
          <cell r="FJ10">
            <v>4509.5</v>
          </cell>
        </row>
        <row r="11">
          <cell r="B11" t="str">
            <v>KPTJEX009</v>
          </cell>
          <cell r="C11">
            <v>0</v>
          </cell>
          <cell r="D11">
            <v>0</v>
          </cell>
          <cell r="E11">
            <v>0</v>
          </cell>
          <cell r="F11">
            <v>8.2999999999992724</v>
          </cell>
          <cell r="G11">
            <v>10</v>
          </cell>
          <cell r="H11">
            <v>18.299999999999272</v>
          </cell>
          <cell r="I11">
            <v>9</v>
          </cell>
          <cell r="J11">
            <v>7</v>
          </cell>
          <cell r="K11">
            <v>16</v>
          </cell>
          <cell r="L11">
            <v>6</v>
          </cell>
          <cell r="M11">
            <v>5</v>
          </cell>
          <cell r="N11">
            <v>11</v>
          </cell>
          <cell r="O11">
            <v>11</v>
          </cell>
          <cell r="P11">
            <v>6</v>
          </cell>
          <cell r="Q11">
            <v>17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5</v>
          </cell>
          <cell r="W11">
            <v>5</v>
          </cell>
          <cell r="X11">
            <v>7</v>
          </cell>
          <cell r="Y11">
            <v>7</v>
          </cell>
          <cell r="Z11">
            <v>14</v>
          </cell>
          <cell r="AA11">
            <v>9</v>
          </cell>
          <cell r="AB11">
            <v>7</v>
          </cell>
          <cell r="AC11">
            <v>16</v>
          </cell>
          <cell r="AD11">
            <v>5</v>
          </cell>
          <cell r="AE11">
            <v>8</v>
          </cell>
          <cell r="AF11">
            <v>13</v>
          </cell>
          <cell r="AG11">
            <v>4.5</v>
          </cell>
          <cell r="AH11">
            <v>10.700000000000728</v>
          </cell>
          <cell r="AI11">
            <v>15.200000000000728</v>
          </cell>
          <cell r="AJ11">
            <v>8.7999999999992724</v>
          </cell>
          <cell r="AK11">
            <v>7.2999999999992724</v>
          </cell>
          <cell r="AL11">
            <v>16.099999999998545</v>
          </cell>
          <cell r="AM11">
            <v>0</v>
          </cell>
          <cell r="AN11">
            <v>10.700000000000728</v>
          </cell>
          <cell r="AO11">
            <v>10.700000000000728</v>
          </cell>
          <cell r="AP11">
            <v>8</v>
          </cell>
          <cell r="AQ11">
            <v>9.5</v>
          </cell>
          <cell r="AR11">
            <v>17.5</v>
          </cell>
          <cell r="AS11">
            <v>8.5</v>
          </cell>
          <cell r="AT11">
            <v>9</v>
          </cell>
          <cell r="AU11">
            <v>17.5</v>
          </cell>
          <cell r="AV11">
            <v>8.7999999999992724</v>
          </cell>
          <cell r="AW11">
            <v>8.2000000000007276</v>
          </cell>
          <cell r="AX11">
            <v>17</v>
          </cell>
          <cell r="AY11">
            <v>9</v>
          </cell>
          <cell r="AZ11">
            <v>9.7999999999992724</v>
          </cell>
          <cell r="BA11">
            <v>18.799999999999272</v>
          </cell>
          <cell r="BB11">
            <v>6.2000000000007276</v>
          </cell>
          <cell r="BC11">
            <v>10</v>
          </cell>
          <cell r="BD11">
            <v>16.200000000000728</v>
          </cell>
          <cell r="BE11">
            <v>10</v>
          </cell>
          <cell r="BF11">
            <v>11.5</v>
          </cell>
          <cell r="BG11">
            <v>21.5</v>
          </cell>
          <cell r="BH11">
            <v>0</v>
          </cell>
          <cell r="BI11">
            <v>9</v>
          </cell>
          <cell r="BJ11">
            <v>9</v>
          </cell>
          <cell r="BK11">
            <v>8.5</v>
          </cell>
          <cell r="BL11">
            <v>9</v>
          </cell>
          <cell r="BM11">
            <v>17.5</v>
          </cell>
          <cell r="BN11">
            <v>4.5</v>
          </cell>
          <cell r="BO11">
            <v>8</v>
          </cell>
          <cell r="BP11">
            <v>12.5</v>
          </cell>
          <cell r="BQ11">
            <v>8.5</v>
          </cell>
          <cell r="BR11">
            <v>5.5</v>
          </cell>
          <cell r="BS11">
            <v>14</v>
          </cell>
          <cell r="BT11">
            <v>6.5</v>
          </cell>
          <cell r="BU11">
            <v>5</v>
          </cell>
          <cell r="BV11">
            <v>11.5</v>
          </cell>
          <cell r="BW11">
            <v>4.7999999999992724</v>
          </cell>
          <cell r="BX11">
            <v>11.200000000000728</v>
          </cell>
          <cell r="BY11">
            <v>16</v>
          </cell>
          <cell r="BZ11">
            <v>9.5</v>
          </cell>
          <cell r="CA11">
            <v>11.299999999999272</v>
          </cell>
          <cell r="CB11">
            <v>20.799999999999272</v>
          </cell>
          <cell r="CC11">
            <v>9.7000000000007276</v>
          </cell>
          <cell r="CD11">
            <v>11.5</v>
          </cell>
          <cell r="CE11">
            <v>21.200000000000728</v>
          </cell>
          <cell r="CF11">
            <v>6.2000000000007276</v>
          </cell>
          <cell r="CG11">
            <v>11.399999999999636</v>
          </cell>
          <cell r="CH11">
            <v>17.600000000000364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177.29999999999927</v>
          </cell>
          <cell r="CS11">
            <v>223.60000000000036</v>
          </cell>
          <cell r="CT11">
            <v>400.89999999999964</v>
          </cell>
          <cell r="ED11" t="str">
            <v>KPTJEX009</v>
          </cell>
          <cell r="EE11">
            <v>0</v>
          </cell>
          <cell r="EF11">
            <v>18.299999999999272</v>
          </cell>
          <cell r="EG11">
            <v>34.299999999999272</v>
          </cell>
          <cell r="EH11">
            <v>45.299999999999272</v>
          </cell>
          <cell r="EI11">
            <v>62.299999999999272</v>
          </cell>
          <cell r="EJ11">
            <v>62.299999999999272</v>
          </cell>
          <cell r="EK11">
            <v>67.299999999999272</v>
          </cell>
          <cell r="EL11">
            <v>81.299999999999272</v>
          </cell>
          <cell r="EM11">
            <v>97.299999999999272</v>
          </cell>
          <cell r="EN11">
            <v>110.29999999999927</v>
          </cell>
          <cell r="EO11">
            <v>125.5</v>
          </cell>
          <cell r="EP11">
            <v>141.59999999999854</v>
          </cell>
          <cell r="EQ11">
            <v>152.29999999999927</v>
          </cell>
          <cell r="ER11">
            <v>169.79999999999927</v>
          </cell>
          <cell r="ES11">
            <v>187.29999999999927</v>
          </cell>
          <cell r="ET11">
            <v>204.29999999999927</v>
          </cell>
          <cell r="EU11">
            <v>223.09999999999854</v>
          </cell>
          <cell r="EV11">
            <v>239.29999999999927</v>
          </cell>
          <cell r="EW11">
            <v>260.79999999999927</v>
          </cell>
          <cell r="EX11">
            <v>269.79999999999927</v>
          </cell>
          <cell r="EY11">
            <v>287.29999999999927</v>
          </cell>
          <cell r="EZ11">
            <v>299.79999999999927</v>
          </cell>
          <cell r="FA11">
            <v>313.79999999999927</v>
          </cell>
          <cell r="FB11">
            <v>325.29999999999927</v>
          </cell>
          <cell r="FC11">
            <v>341.29999999999927</v>
          </cell>
          <cell r="FD11">
            <v>362.09999999999854</v>
          </cell>
          <cell r="FE11">
            <v>383.29999999999927</v>
          </cell>
          <cell r="FF11">
            <v>400.89999999999964</v>
          </cell>
          <cell r="FG11">
            <v>400.89999999999964</v>
          </cell>
          <cell r="FH11">
            <v>400.89999999999964</v>
          </cell>
          <cell r="FI11">
            <v>400.89999999999964</v>
          </cell>
          <cell r="FJ11">
            <v>6468.9999999999782</v>
          </cell>
        </row>
        <row r="12">
          <cell r="B12" t="str">
            <v>KPTJEX010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ED12" t="str">
            <v>KPTJEX010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</row>
        <row r="13">
          <cell r="B13" t="str">
            <v>KPTJDZ011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9.5</v>
          </cell>
          <cell r="N13">
            <v>9.5</v>
          </cell>
          <cell r="O13">
            <v>0</v>
          </cell>
          <cell r="P13">
            <v>0.5</v>
          </cell>
          <cell r="Q13">
            <v>0.5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11</v>
          </cell>
          <cell r="W13">
            <v>11</v>
          </cell>
          <cell r="X13">
            <v>9</v>
          </cell>
          <cell r="Y13">
            <v>5.8000000000001819</v>
          </cell>
          <cell r="Z13">
            <v>14.800000000000182</v>
          </cell>
          <cell r="AA13">
            <v>7.1999999999998181</v>
          </cell>
          <cell r="AB13">
            <v>10</v>
          </cell>
          <cell r="AC13">
            <v>17.199999999999818</v>
          </cell>
          <cell r="AD13">
            <v>7</v>
          </cell>
          <cell r="AE13">
            <v>0</v>
          </cell>
          <cell r="AF13">
            <v>7</v>
          </cell>
          <cell r="AG13">
            <v>9.5</v>
          </cell>
          <cell r="AH13">
            <v>0</v>
          </cell>
          <cell r="AI13">
            <v>9.5</v>
          </cell>
          <cell r="AJ13">
            <v>4</v>
          </cell>
          <cell r="AK13">
            <v>5.5</v>
          </cell>
          <cell r="AL13">
            <v>9.5</v>
          </cell>
          <cell r="AM13">
            <v>0</v>
          </cell>
          <cell r="AN13">
            <v>4.6999999999998181</v>
          </cell>
          <cell r="AO13">
            <v>4.6999999999998181</v>
          </cell>
          <cell r="AP13">
            <v>6.5</v>
          </cell>
          <cell r="AQ13">
            <v>0</v>
          </cell>
          <cell r="AR13">
            <v>6.5</v>
          </cell>
          <cell r="AS13">
            <v>9</v>
          </cell>
          <cell r="AT13">
            <v>4.3000000000001819</v>
          </cell>
          <cell r="AU13">
            <v>13.300000000000182</v>
          </cell>
          <cell r="AV13">
            <v>8.5</v>
          </cell>
          <cell r="AW13">
            <v>8</v>
          </cell>
          <cell r="AX13">
            <v>16.5</v>
          </cell>
          <cell r="AY13">
            <v>8</v>
          </cell>
          <cell r="AZ13">
            <v>10</v>
          </cell>
          <cell r="BA13">
            <v>18</v>
          </cell>
          <cell r="BB13">
            <v>4</v>
          </cell>
          <cell r="BC13">
            <v>0</v>
          </cell>
          <cell r="BD13">
            <v>4</v>
          </cell>
          <cell r="BE13">
            <v>0</v>
          </cell>
          <cell r="BF13">
            <v>11</v>
          </cell>
          <cell r="BG13">
            <v>11</v>
          </cell>
          <cell r="BH13">
            <v>9</v>
          </cell>
          <cell r="BI13">
            <v>10</v>
          </cell>
          <cell r="BJ13">
            <v>19</v>
          </cell>
          <cell r="BK13">
            <v>4</v>
          </cell>
          <cell r="BL13">
            <v>0</v>
          </cell>
          <cell r="BM13">
            <v>4</v>
          </cell>
          <cell r="BN13">
            <v>8</v>
          </cell>
          <cell r="BO13">
            <v>11</v>
          </cell>
          <cell r="BP13">
            <v>19</v>
          </cell>
          <cell r="BQ13">
            <v>1</v>
          </cell>
          <cell r="BR13">
            <v>0</v>
          </cell>
          <cell r="BS13">
            <v>1</v>
          </cell>
          <cell r="BT13">
            <v>9</v>
          </cell>
          <cell r="BU13">
            <v>10</v>
          </cell>
          <cell r="BV13">
            <v>19</v>
          </cell>
          <cell r="BW13">
            <v>8</v>
          </cell>
          <cell r="BX13">
            <v>12</v>
          </cell>
          <cell r="BY13">
            <v>20</v>
          </cell>
          <cell r="BZ13">
            <v>8</v>
          </cell>
          <cell r="CA13">
            <v>0</v>
          </cell>
          <cell r="CB13">
            <v>8</v>
          </cell>
          <cell r="CC13">
            <v>6</v>
          </cell>
          <cell r="CD13">
            <v>11</v>
          </cell>
          <cell r="CE13">
            <v>17</v>
          </cell>
          <cell r="CF13">
            <v>7</v>
          </cell>
          <cell r="CG13">
            <v>0</v>
          </cell>
          <cell r="CH13">
            <v>7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132.69999999999982</v>
          </cell>
          <cell r="CS13">
            <v>134.30000000000018</v>
          </cell>
          <cell r="CT13">
            <v>267</v>
          </cell>
          <cell r="ED13" t="str">
            <v>KPTJDZ011</v>
          </cell>
          <cell r="EE13">
            <v>0</v>
          </cell>
          <cell r="EF13">
            <v>0</v>
          </cell>
          <cell r="EG13">
            <v>0</v>
          </cell>
          <cell r="EH13">
            <v>9.5</v>
          </cell>
          <cell r="EI13">
            <v>10</v>
          </cell>
          <cell r="EJ13">
            <v>10</v>
          </cell>
          <cell r="EK13">
            <v>21</v>
          </cell>
          <cell r="EL13">
            <v>35.800000000000182</v>
          </cell>
          <cell r="EM13">
            <v>53</v>
          </cell>
          <cell r="EN13">
            <v>60</v>
          </cell>
          <cell r="EO13">
            <v>69.5</v>
          </cell>
          <cell r="EP13">
            <v>79</v>
          </cell>
          <cell r="EQ13">
            <v>83.699999999999818</v>
          </cell>
          <cell r="ER13">
            <v>90.199999999999818</v>
          </cell>
          <cell r="ES13">
            <v>103.5</v>
          </cell>
          <cell r="ET13">
            <v>120</v>
          </cell>
          <cell r="EU13">
            <v>138</v>
          </cell>
          <cell r="EV13">
            <v>142</v>
          </cell>
          <cell r="EW13">
            <v>153</v>
          </cell>
          <cell r="EX13">
            <v>172</v>
          </cell>
          <cell r="EY13">
            <v>176</v>
          </cell>
          <cell r="EZ13">
            <v>195</v>
          </cell>
          <cell r="FA13">
            <v>196</v>
          </cell>
          <cell r="FB13">
            <v>215</v>
          </cell>
          <cell r="FC13">
            <v>235</v>
          </cell>
          <cell r="FD13">
            <v>243</v>
          </cell>
          <cell r="FE13">
            <v>260</v>
          </cell>
          <cell r="FF13">
            <v>267</v>
          </cell>
          <cell r="FG13">
            <v>267</v>
          </cell>
          <cell r="FH13">
            <v>267</v>
          </cell>
          <cell r="FI13">
            <v>267</v>
          </cell>
          <cell r="FJ13">
            <v>3938.2</v>
          </cell>
        </row>
        <row r="14">
          <cell r="B14" t="str">
            <v>KPTJDZ012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2.5</v>
          </cell>
          <cell r="Q14">
            <v>2.5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7</v>
          </cell>
          <cell r="Y14">
            <v>0</v>
          </cell>
          <cell r="Z14">
            <v>7</v>
          </cell>
          <cell r="AA14">
            <v>1</v>
          </cell>
          <cell r="AB14">
            <v>0</v>
          </cell>
          <cell r="AC14">
            <v>1</v>
          </cell>
          <cell r="AD14">
            <v>9</v>
          </cell>
          <cell r="AE14">
            <v>9.5</v>
          </cell>
          <cell r="AF14">
            <v>18.5</v>
          </cell>
          <cell r="AG14">
            <v>7.5</v>
          </cell>
          <cell r="AH14">
            <v>11</v>
          </cell>
          <cell r="AI14">
            <v>18.5</v>
          </cell>
          <cell r="AJ14">
            <v>10</v>
          </cell>
          <cell r="AK14">
            <v>9</v>
          </cell>
          <cell r="AL14">
            <v>19</v>
          </cell>
          <cell r="AM14">
            <v>8.5</v>
          </cell>
          <cell r="AN14">
            <v>10.5</v>
          </cell>
          <cell r="AO14">
            <v>19</v>
          </cell>
          <cell r="AP14">
            <v>8.7999999999992724</v>
          </cell>
          <cell r="AQ14">
            <v>2.2000000000007276</v>
          </cell>
          <cell r="AR14">
            <v>11</v>
          </cell>
          <cell r="AS14">
            <v>6.5</v>
          </cell>
          <cell r="AT14">
            <v>8.5</v>
          </cell>
          <cell r="AU14">
            <v>15</v>
          </cell>
          <cell r="AV14">
            <v>10</v>
          </cell>
          <cell r="AW14">
            <v>8.5</v>
          </cell>
          <cell r="AX14">
            <v>18.5</v>
          </cell>
          <cell r="AY14">
            <v>9</v>
          </cell>
          <cell r="AZ14">
            <v>0</v>
          </cell>
          <cell r="BA14">
            <v>9</v>
          </cell>
          <cell r="BB14">
            <v>4.5</v>
          </cell>
          <cell r="BC14">
            <v>9.1000000000003638</v>
          </cell>
          <cell r="BD14">
            <v>13.600000000000364</v>
          </cell>
          <cell r="BE14">
            <v>9.6000000000003638</v>
          </cell>
          <cell r="BF14">
            <v>5.2999999999992724</v>
          </cell>
          <cell r="BG14">
            <v>14.899999999999636</v>
          </cell>
          <cell r="BH14">
            <v>3</v>
          </cell>
          <cell r="BI14">
            <v>0</v>
          </cell>
          <cell r="BJ14">
            <v>3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9</v>
          </cell>
          <cell r="BR14">
            <v>9.3999999999996362</v>
          </cell>
          <cell r="BS14">
            <v>18.399999999999636</v>
          </cell>
          <cell r="BT14">
            <v>6.6000000000003638</v>
          </cell>
          <cell r="BU14">
            <v>0</v>
          </cell>
          <cell r="BV14">
            <v>6.6000000000003638</v>
          </cell>
          <cell r="BW14">
            <v>10</v>
          </cell>
          <cell r="BX14">
            <v>10.5</v>
          </cell>
          <cell r="BY14">
            <v>20.5</v>
          </cell>
          <cell r="BZ14">
            <v>9.5</v>
          </cell>
          <cell r="CA14">
            <v>11</v>
          </cell>
          <cell r="CB14">
            <v>20.5</v>
          </cell>
          <cell r="CC14">
            <v>10</v>
          </cell>
          <cell r="CD14">
            <v>10</v>
          </cell>
          <cell r="CE14">
            <v>20</v>
          </cell>
          <cell r="CF14">
            <v>9</v>
          </cell>
          <cell r="CG14">
            <v>2.5</v>
          </cell>
          <cell r="CH14">
            <v>11.5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148.5</v>
          </cell>
          <cell r="CS14">
            <v>119.5</v>
          </cell>
          <cell r="CT14">
            <v>268</v>
          </cell>
          <cell r="ED14" t="str">
            <v>KPTJDZ012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2.5</v>
          </cell>
          <cell r="EJ14">
            <v>2.5</v>
          </cell>
          <cell r="EK14">
            <v>2.5</v>
          </cell>
          <cell r="EL14">
            <v>9.5</v>
          </cell>
          <cell r="EM14">
            <v>10.5</v>
          </cell>
          <cell r="EN14">
            <v>29</v>
          </cell>
          <cell r="EO14">
            <v>47.5</v>
          </cell>
          <cell r="EP14">
            <v>66.5</v>
          </cell>
          <cell r="EQ14">
            <v>85.5</v>
          </cell>
          <cell r="ER14">
            <v>96.5</v>
          </cell>
          <cell r="ES14">
            <v>111.5</v>
          </cell>
          <cell r="ET14">
            <v>130</v>
          </cell>
          <cell r="EU14">
            <v>139</v>
          </cell>
          <cell r="EV14">
            <v>152.60000000000036</v>
          </cell>
          <cell r="EW14">
            <v>167.5</v>
          </cell>
          <cell r="EX14">
            <v>170.5</v>
          </cell>
          <cell r="EY14">
            <v>170.5</v>
          </cell>
          <cell r="EZ14">
            <v>170.5</v>
          </cell>
          <cell r="FA14">
            <v>188.89999999999964</v>
          </cell>
          <cell r="FB14">
            <v>195.5</v>
          </cell>
          <cell r="FC14">
            <v>216</v>
          </cell>
          <cell r="FD14">
            <v>236.5</v>
          </cell>
          <cell r="FE14">
            <v>256.5</v>
          </cell>
          <cell r="FF14">
            <v>268</v>
          </cell>
          <cell r="FG14">
            <v>268</v>
          </cell>
          <cell r="FH14">
            <v>268</v>
          </cell>
          <cell r="FI14">
            <v>268</v>
          </cell>
          <cell r="FJ14">
            <v>3730</v>
          </cell>
        </row>
        <row r="15">
          <cell r="B15" t="str">
            <v>KPTJDZ022</v>
          </cell>
          <cell r="C15">
            <v>8.5</v>
          </cell>
          <cell r="D15">
            <v>4</v>
          </cell>
          <cell r="E15">
            <v>12.5</v>
          </cell>
          <cell r="F15">
            <v>8.5</v>
          </cell>
          <cell r="G15">
            <v>10.5</v>
          </cell>
          <cell r="H15">
            <v>19</v>
          </cell>
          <cell r="I15">
            <v>7</v>
          </cell>
          <cell r="J15">
            <v>10.5</v>
          </cell>
          <cell r="K15">
            <v>17.5</v>
          </cell>
          <cell r="L15">
            <v>7.5</v>
          </cell>
          <cell r="M15">
            <v>11</v>
          </cell>
          <cell r="N15">
            <v>18.5</v>
          </cell>
          <cell r="O15">
            <v>8</v>
          </cell>
          <cell r="P15">
            <v>3</v>
          </cell>
          <cell r="Q15">
            <v>11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10</v>
          </cell>
          <cell r="W15">
            <v>10</v>
          </cell>
          <cell r="X15">
            <v>8</v>
          </cell>
          <cell r="Y15">
            <v>4</v>
          </cell>
          <cell r="Z15">
            <v>12</v>
          </cell>
          <cell r="AA15">
            <v>0</v>
          </cell>
          <cell r="AB15">
            <v>11</v>
          </cell>
          <cell r="AC15">
            <v>11</v>
          </cell>
          <cell r="AD15">
            <v>8.1999999999999886</v>
          </cell>
          <cell r="AE15">
            <v>11.300000000000011</v>
          </cell>
          <cell r="AF15">
            <v>19.5</v>
          </cell>
          <cell r="AG15">
            <v>3.5</v>
          </cell>
          <cell r="AH15">
            <v>9.8000000000000114</v>
          </cell>
          <cell r="AI15">
            <v>13.300000000000011</v>
          </cell>
          <cell r="AJ15">
            <v>9.1999999999999886</v>
          </cell>
          <cell r="AK15">
            <v>3.6999999999999886</v>
          </cell>
          <cell r="AL15">
            <v>12.899999999999977</v>
          </cell>
          <cell r="AM15">
            <v>0</v>
          </cell>
          <cell r="AN15">
            <v>9.3000000000000114</v>
          </cell>
          <cell r="AO15">
            <v>9.3000000000000114</v>
          </cell>
          <cell r="AP15">
            <v>9</v>
          </cell>
          <cell r="AQ15">
            <v>7</v>
          </cell>
          <cell r="AR15">
            <v>16</v>
          </cell>
          <cell r="AS15">
            <v>8.5</v>
          </cell>
          <cell r="AT15">
            <v>9.5</v>
          </cell>
          <cell r="AU15">
            <v>18</v>
          </cell>
          <cell r="AV15">
            <v>10.5</v>
          </cell>
          <cell r="AW15">
            <v>6.5</v>
          </cell>
          <cell r="AX15">
            <v>17</v>
          </cell>
          <cell r="AY15">
            <v>9.5</v>
          </cell>
          <cell r="AZ15">
            <v>7</v>
          </cell>
          <cell r="BA15">
            <v>16.5</v>
          </cell>
          <cell r="BB15">
            <v>0</v>
          </cell>
          <cell r="BC15">
            <v>0</v>
          </cell>
          <cell r="BD15">
            <v>0</v>
          </cell>
          <cell r="BE15">
            <v>6</v>
          </cell>
          <cell r="BF15">
            <v>1.5</v>
          </cell>
          <cell r="BG15">
            <v>7.5</v>
          </cell>
          <cell r="BH15">
            <v>0</v>
          </cell>
          <cell r="BI15">
            <v>3</v>
          </cell>
          <cell r="BJ15">
            <v>3</v>
          </cell>
          <cell r="BK15">
            <v>0</v>
          </cell>
          <cell r="BL15">
            <v>0</v>
          </cell>
          <cell r="BM15">
            <v>0</v>
          </cell>
          <cell r="BN15">
            <v>10</v>
          </cell>
          <cell r="BO15">
            <v>0</v>
          </cell>
          <cell r="BP15">
            <v>10</v>
          </cell>
          <cell r="BQ15">
            <v>9.5</v>
          </cell>
          <cell r="BR15">
            <v>1</v>
          </cell>
          <cell r="BS15">
            <v>10.5</v>
          </cell>
          <cell r="BT15">
            <v>3.5</v>
          </cell>
          <cell r="BU15">
            <v>0</v>
          </cell>
          <cell r="BV15">
            <v>3.5</v>
          </cell>
          <cell r="BW15">
            <v>4.5</v>
          </cell>
          <cell r="BX15">
            <v>0</v>
          </cell>
          <cell r="BY15">
            <v>4.5</v>
          </cell>
          <cell r="BZ15">
            <v>8.5</v>
          </cell>
          <cell r="CA15">
            <v>10</v>
          </cell>
          <cell r="CB15">
            <v>18.5</v>
          </cell>
          <cell r="CC15">
            <v>6</v>
          </cell>
          <cell r="CD15">
            <v>0</v>
          </cell>
          <cell r="CE15">
            <v>6</v>
          </cell>
          <cell r="CF15">
            <v>7</v>
          </cell>
          <cell r="CG15">
            <v>0</v>
          </cell>
          <cell r="CH15">
            <v>7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160.89999999999998</v>
          </cell>
          <cell r="CS15">
            <v>143.60000000000002</v>
          </cell>
          <cell r="CT15">
            <v>304.5</v>
          </cell>
          <cell r="ED15" t="str">
            <v>KPTJDZ022</v>
          </cell>
          <cell r="EE15">
            <v>12.5</v>
          </cell>
          <cell r="EF15">
            <v>31.5</v>
          </cell>
          <cell r="EG15">
            <v>49</v>
          </cell>
          <cell r="EH15">
            <v>67.5</v>
          </cell>
          <cell r="EI15">
            <v>78.5</v>
          </cell>
          <cell r="EJ15">
            <v>78.5</v>
          </cell>
          <cell r="EK15">
            <v>88.5</v>
          </cell>
          <cell r="EL15">
            <v>100.5</v>
          </cell>
          <cell r="EM15">
            <v>111.5</v>
          </cell>
          <cell r="EN15">
            <v>131</v>
          </cell>
          <cell r="EO15">
            <v>144.30000000000001</v>
          </cell>
          <cell r="EP15">
            <v>157.19999999999999</v>
          </cell>
          <cell r="EQ15">
            <v>166.5</v>
          </cell>
          <cell r="ER15">
            <v>182.5</v>
          </cell>
          <cell r="ES15">
            <v>200.5</v>
          </cell>
          <cell r="ET15">
            <v>217.5</v>
          </cell>
          <cell r="EU15">
            <v>234</v>
          </cell>
          <cell r="EV15">
            <v>234</v>
          </cell>
          <cell r="EW15">
            <v>241.5</v>
          </cell>
          <cell r="EX15">
            <v>244.5</v>
          </cell>
          <cell r="EY15">
            <v>244.5</v>
          </cell>
          <cell r="EZ15">
            <v>254.5</v>
          </cell>
          <cell r="FA15">
            <v>265</v>
          </cell>
          <cell r="FB15">
            <v>268.5</v>
          </cell>
          <cell r="FC15">
            <v>273</v>
          </cell>
          <cell r="FD15">
            <v>291.5</v>
          </cell>
          <cell r="FE15">
            <v>297.5</v>
          </cell>
          <cell r="FF15">
            <v>304.5</v>
          </cell>
          <cell r="FG15">
            <v>304.5</v>
          </cell>
          <cell r="FH15">
            <v>304.5</v>
          </cell>
          <cell r="FI15">
            <v>304.5</v>
          </cell>
          <cell r="FJ15">
            <v>5884</v>
          </cell>
        </row>
        <row r="16">
          <cell r="B16" t="str">
            <v>KPTJDZ015</v>
          </cell>
          <cell r="C16">
            <v>122.5</v>
          </cell>
          <cell r="D16">
            <v>129</v>
          </cell>
          <cell r="E16">
            <v>129</v>
          </cell>
          <cell r="F16">
            <v>134</v>
          </cell>
          <cell r="G16">
            <v>6.5</v>
          </cell>
          <cell r="H16">
            <v>5</v>
          </cell>
          <cell r="I16">
            <v>11.5</v>
          </cell>
          <cell r="J16">
            <v>12.5</v>
          </cell>
          <cell r="N16">
            <v>0</v>
          </cell>
          <cell r="R16">
            <v>0</v>
          </cell>
          <cell r="V16">
            <v>0</v>
          </cell>
          <cell r="X16">
            <v>0</v>
          </cell>
          <cell r="Y16">
            <v>0</v>
          </cell>
          <cell r="CR16">
            <v>0</v>
          </cell>
          <cell r="CS16">
            <v>0</v>
          </cell>
          <cell r="CT16">
            <v>0</v>
          </cell>
          <cell r="ED16" t="str">
            <v>KPTJDZ015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EZ16">
            <v>0</v>
          </cell>
          <cell r="FA16">
            <v>0</v>
          </cell>
          <cell r="FB16">
            <v>0</v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</row>
        <row r="17">
          <cell r="B17" t="str">
            <v>KPTJDZ016</v>
          </cell>
          <cell r="C17">
            <v>134</v>
          </cell>
          <cell r="D17">
            <v>135</v>
          </cell>
          <cell r="E17">
            <v>135</v>
          </cell>
          <cell r="F17">
            <v>135</v>
          </cell>
          <cell r="G17">
            <v>1</v>
          </cell>
          <cell r="H17">
            <v>0</v>
          </cell>
          <cell r="I17">
            <v>1</v>
          </cell>
          <cell r="J17">
            <v>23</v>
          </cell>
          <cell r="N17">
            <v>0</v>
          </cell>
          <cell r="R17">
            <v>0</v>
          </cell>
          <cell r="V17">
            <v>0</v>
          </cell>
          <cell r="X17">
            <v>0</v>
          </cell>
          <cell r="Y17">
            <v>0</v>
          </cell>
          <cell r="CR17">
            <v>0</v>
          </cell>
          <cell r="CS17">
            <v>0</v>
          </cell>
          <cell r="CT17">
            <v>0</v>
          </cell>
          <cell r="ED17" t="str">
            <v>KPTJDZ016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0</v>
          </cell>
          <cell r="EZ17">
            <v>0</v>
          </cell>
          <cell r="FA17">
            <v>0</v>
          </cell>
          <cell r="FB17">
            <v>0</v>
          </cell>
          <cell r="FC17">
            <v>0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</row>
        <row r="18">
          <cell r="B18" t="str">
            <v>KPTJDZ017</v>
          </cell>
          <cell r="C18">
            <v>8</v>
          </cell>
          <cell r="D18">
            <v>10</v>
          </cell>
          <cell r="E18">
            <v>18</v>
          </cell>
          <cell r="F18">
            <v>10</v>
          </cell>
          <cell r="G18">
            <v>9.5</v>
          </cell>
          <cell r="H18">
            <v>19.5</v>
          </cell>
          <cell r="I18">
            <v>6.7000000000000455</v>
          </cell>
          <cell r="J18">
            <v>10.799999999999955</v>
          </cell>
          <cell r="K18">
            <v>17.5</v>
          </cell>
          <cell r="L18">
            <v>7.5999999999999091</v>
          </cell>
          <cell r="M18">
            <v>8.8000000000001819</v>
          </cell>
          <cell r="N18">
            <v>16.400000000000091</v>
          </cell>
          <cell r="O18">
            <v>3.0999999999999091</v>
          </cell>
          <cell r="P18">
            <v>0</v>
          </cell>
          <cell r="Q18">
            <v>3.0999999999999091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11.5</v>
          </cell>
          <cell r="W18">
            <v>11.5</v>
          </cell>
          <cell r="X18">
            <v>9</v>
          </cell>
          <cell r="Y18">
            <v>5</v>
          </cell>
          <cell r="Z18">
            <v>14</v>
          </cell>
          <cell r="AA18">
            <v>4</v>
          </cell>
          <cell r="AB18">
            <v>0</v>
          </cell>
          <cell r="AC18">
            <v>4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9.5</v>
          </cell>
          <cell r="AO18">
            <v>9.5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3.5</v>
          </cell>
          <cell r="AW18">
            <v>0</v>
          </cell>
          <cell r="AX18">
            <v>3.5</v>
          </cell>
          <cell r="AY18">
            <v>0</v>
          </cell>
          <cell r="AZ18">
            <v>0</v>
          </cell>
          <cell r="BA18">
            <v>0</v>
          </cell>
          <cell r="BB18">
            <v>1</v>
          </cell>
          <cell r="BC18">
            <v>0</v>
          </cell>
          <cell r="BD18">
            <v>1</v>
          </cell>
          <cell r="BE18">
            <v>10</v>
          </cell>
          <cell r="BF18">
            <v>10</v>
          </cell>
          <cell r="BG18">
            <v>20</v>
          </cell>
          <cell r="BH18">
            <v>10</v>
          </cell>
          <cell r="BI18">
            <v>10</v>
          </cell>
          <cell r="BJ18">
            <v>20</v>
          </cell>
          <cell r="BK18">
            <v>6.5</v>
          </cell>
          <cell r="BL18">
            <v>8.5</v>
          </cell>
          <cell r="BM18">
            <v>15</v>
          </cell>
          <cell r="BN18">
            <v>8</v>
          </cell>
          <cell r="BO18">
            <v>11</v>
          </cell>
          <cell r="BP18">
            <v>19</v>
          </cell>
          <cell r="BQ18">
            <v>9</v>
          </cell>
          <cell r="BR18">
            <v>8.5</v>
          </cell>
          <cell r="BS18">
            <v>17.5</v>
          </cell>
          <cell r="BT18">
            <v>8.5</v>
          </cell>
          <cell r="BU18">
            <v>10.5</v>
          </cell>
          <cell r="BV18">
            <v>19</v>
          </cell>
          <cell r="BW18">
            <v>10.200000000000045</v>
          </cell>
          <cell r="BX18">
            <v>8.2999999999999545</v>
          </cell>
          <cell r="BY18">
            <v>18.5</v>
          </cell>
          <cell r="BZ18">
            <v>9.5</v>
          </cell>
          <cell r="CA18">
            <v>10.5</v>
          </cell>
          <cell r="CB18">
            <v>20</v>
          </cell>
          <cell r="CC18">
            <v>9</v>
          </cell>
          <cell r="CD18">
            <v>0</v>
          </cell>
          <cell r="CE18">
            <v>9</v>
          </cell>
          <cell r="CF18">
            <v>10.200000000000045</v>
          </cell>
          <cell r="CG18">
            <v>7.7999999999999545</v>
          </cell>
          <cell r="CH18">
            <v>18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143.79999999999995</v>
          </cell>
          <cell r="CS18">
            <v>150.20000000000005</v>
          </cell>
          <cell r="CT18">
            <v>294</v>
          </cell>
          <cell r="ED18" t="str">
            <v>KPTJDZ017</v>
          </cell>
          <cell r="EE18">
            <v>18</v>
          </cell>
          <cell r="EF18">
            <v>37.5</v>
          </cell>
          <cell r="EG18">
            <v>55</v>
          </cell>
          <cell r="EH18">
            <v>71.400000000000091</v>
          </cell>
          <cell r="EI18">
            <v>74.5</v>
          </cell>
          <cell r="EJ18">
            <v>74.5</v>
          </cell>
          <cell r="EK18">
            <v>86</v>
          </cell>
          <cell r="EL18">
            <v>100</v>
          </cell>
          <cell r="EM18">
            <v>104</v>
          </cell>
          <cell r="EN18">
            <v>104</v>
          </cell>
          <cell r="EO18">
            <v>104</v>
          </cell>
          <cell r="EP18">
            <v>104</v>
          </cell>
          <cell r="EQ18">
            <v>113.5</v>
          </cell>
          <cell r="ER18">
            <v>113.5</v>
          </cell>
          <cell r="ES18">
            <v>113.5</v>
          </cell>
          <cell r="ET18">
            <v>117</v>
          </cell>
          <cell r="EU18">
            <v>117</v>
          </cell>
          <cell r="EV18">
            <v>118</v>
          </cell>
          <cell r="EW18">
            <v>138</v>
          </cell>
          <cell r="EX18">
            <v>158</v>
          </cell>
          <cell r="EY18">
            <v>173</v>
          </cell>
          <cell r="EZ18">
            <v>192</v>
          </cell>
          <cell r="FA18">
            <v>209.5</v>
          </cell>
          <cell r="FB18">
            <v>228.5</v>
          </cell>
          <cell r="FC18">
            <v>247</v>
          </cell>
          <cell r="FD18">
            <v>267</v>
          </cell>
          <cell r="FE18">
            <v>276</v>
          </cell>
          <cell r="FF18">
            <v>294</v>
          </cell>
          <cell r="FG18">
            <v>294</v>
          </cell>
          <cell r="FH18">
            <v>294</v>
          </cell>
          <cell r="FI18">
            <v>294</v>
          </cell>
          <cell r="FJ18">
            <v>4690.3999999999996</v>
          </cell>
        </row>
        <row r="19">
          <cell r="B19" t="str">
            <v>KPTJEX018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ED19" t="str">
            <v>KPTJEX018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0</v>
          </cell>
          <cell r="EZ19">
            <v>0</v>
          </cell>
          <cell r="FA19">
            <v>0</v>
          </cell>
          <cell r="FB19">
            <v>0</v>
          </cell>
          <cell r="FC19">
            <v>0</v>
          </cell>
          <cell r="FD19">
            <v>0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</row>
        <row r="20">
          <cell r="B20" t="str">
            <v>KPTJCP019</v>
          </cell>
          <cell r="C20">
            <v>145</v>
          </cell>
          <cell r="D20">
            <v>147.5</v>
          </cell>
          <cell r="E20">
            <v>147.5</v>
          </cell>
          <cell r="F20">
            <v>147.5</v>
          </cell>
          <cell r="G20">
            <v>2.5</v>
          </cell>
          <cell r="H20">
            <v>0</v>
          </cell>
          <cell r="I20">
            <v>2.5</v>
          </cell>
          <cell r="J20">
            <v>21.5</v>
          </cell>
          <cell r="N20">
            <v>0</v>
          </cell>
          <cell r="R20">
            <v>0</v>
          </cell>
          <cell r="V20">
            <v>0</v>
          </cell>
          <cell r="X20">
            <v>0</v>
          </cell>
          <cell r="Y20">
            <v>0</v>
          </cell>
          <cell r="CR20">
            <v>0</v>
          </cell>
          <cell r="CS20">
            <v>0</v>
          </cell>
          <cell r="CT20">
            <v>0</v>
          </cell>
          <cell r="ED20" t="str">
            <v>KPTJCP019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0</v>
          </cell>
          <cell r="EN20">
            <v>0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>
            <v>0</v>
          </cell>
          <cell r="EX20">
            <v>0</v>
          </cell>
          <cell r="EY20">
            <v>0</v>
          </cell>
          <cell r="EZ20">
            <v>0</v>
          </cell>
          <cell r="FA20">
            <v>0</v>
          </cell>
          <cell r="FB20">
            <v>0</v>
          </cell>
          <cell r="FC20">
            <v>0</v>
          </cell>
          <cell r="FD20">
            <v>0</v>
          </cell>
          <cell r="FE20">
            <v>0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</row>
        <row r="21">
          <cell r="B21" t="str">
            <v>KPTJDZ020</v>
          </cell>
          <cell r="C21">
            <v>8</v>
          </cell>
          <cell r="D21">
            <v>11</v>
          </cell>
          <cell r="E21">
            <v>19</v>
          </cell>
          <cell r="F21">
            <v>8.5</v>
          </cell>
          <cell r="G21">
            <v>10.5</v>
          </cell>
          <cell r="H21">
            <v>19</v>
          </cell>
          <cell r="I21">
            <v>0</v>
          </cell>
          <cell r="J21">
            <v>0</v>
          </cell>
          <cell r="K21">
            <v>0</v>
          </cell>
          <cell r="L21">
            <v>4.2000000000000455</v>
          </cell>
          <cell r="M21">
            <v>0.29999999999995453</v>
          </cell>
          <cell r="N21">
            <v>4.5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4.5</v>
          </cell>
          <cell r="Y21">
            <v>0</v>
          </cell>
          <cell r="Z21">
            <v>4.5</v>
          </cell>
          <cell r="AA21">
            <v>8</v>
          </cell>
          <cell r="AB21">
            <v>0</v>
          </cell>
          <cell r="AC21">
            <v>8</v>
          </cell>
          <cell r="AD21">
            <v>10</v>
          </cell>
          <cell r="AE21">
            <v>8.2000000000000455</v>
          </cell>
          <cell r="AF21">
            <v>18.200000000000045</v>
          </cell>
          <cell r="AG21">
            <v>8.7999999999999545</v>
          </cell>
          <cell r="AH21">
            <v>9.5</v>
          </cell>
          <cell r="AI21">
            <v>18.299999999999955</v>
          </cell>
          <cell r="AJ21">
            <v>10.100000000000023</v>
          </cell>
          <cell r="AK21">
            <v>9.3999999999999773</v>
          </cell>
          <cell r="AL21">
            <v>19.5</v>
          </cell>
          <cell r="AM21">
            <v>9</v>
          </cell>
          <cell r="AN21">
            <v>10</v>
          </cell>
          <cell r="AO21">
            <v>19</v>
          </cell>
          <cell r="AP21">
            <v>9</v>
          </cell>
          <cell r="AQ21">
            <v>0</v>
          </cell>
          <cell r="AR21">
            <v>9</v>
          </cell>
          <cell r="AS21">
            <v>10</v>
          </cell>
          <cell r="AT21">
            <v>11</v>
          </cell>
          <cell r="AU21">
            <v>21</v>
          </cell>
          <cell r="AV21">
            <v>9.5</v>
          </cell>
          <cell r="AW21">
            <v>10.5</v>
          </cell>
          <cell r="AX21">
            <v>20</v>
          </cell>
          <cell r="AY21">
            <v>7</v>
          </cell>
          <cell r="AZ21">
            <v>0</v>
          </cell>
          <cell r="BA21">
            <v>7</v>
          </cell>
          <cell r="BB21">
            <v>2</v>
          </cell>
          <cell r="BC21">
            <v>10</v>
          </cell>
          <cell r="BD21">
            <v>12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7</v>
          </cell>
          <cell r="BU21">
            <v>10.299999999999955</v>
          </cell>
          <cell r="BV21">
            <v>17.299999999999955</v>
          </cell>
          <cell r="BW21">
            <v>8.7000000000000455</v>
          </cell>
          <cell r="BX21">
            <v>10.200000000000045</v>
          </cell>
          <cell r="BY21">
            <v>18.900000000000091</v>
          </cell>
          <cell r="BZ21">
            <v>10.5</v>
          </cell>
          <cell r="CA21">
            <v>7.7999999999999545</v>
          </cell>
          <cell r="CB21">
            <v>18.299999999999955</v>
          </cell>
          <cell r="CC21">
            <v>1</v>
          </cell>
          <cell r="CD21">
            <v>0</v>
          </cell>
          <cell r="CE21">
            <v>1</v>
          </cell>
          <cell r="CF21">
            <v>11</v>
          </cell>
          <cell r="CG21">
            <v>10.099999999999909</v>
          </cell>
          <cell r="CH21">
            <v>21.099999999999909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146.80000000000007</v>
          </cell>
          <cell r="CS21">
            <v>128.79999999999984</v>
          </cell>
          <cell r="CT21">
            <v>275.59999999999991</v>
          </cell>
          <cell r="ED21" t="str">
            <v>KPTJDZ020</v>
          </cell>
          <cell r="EE21">
            <v>19</v>
          </cell>
          <cell r="EF21">
            <v>38</v>
          </cell>
          <cell r="EG21">
            <v>38</v>
          </cell>
          <cell r="EH21">
            <v>42.5</v>
          </cell>
          <cell r="EI21">
            <v>42.5</v>
          </cell>
          <cell r="EJ21">
            <v>42.5</v>
          </cell>
          <cell r="EK21">
            <v>42.5</v>
          </cell>
          <cell r="EL21">
            <v>47</v>
          </cell>
          <cell r="EM21">
            <v>55</v>
          </cell>
          <cell r="EN21">
            <v>73.200000000000045</v>
          </cell>
          <cell r="EO21">
            <v>91.5</v>
          </cell>
          <cell r="EP21">
            <v>111</v>
          </cell>
          <cell r="EQ21">
            <v>130</v>
          </cell>
          <cell r="ER21">
            <v>139</v>
          </cell>
          <cell r="ES21">
            <v>160</v>
          </cell>
          <cell r="ET21">
            <v>180</v>
          </cell>
          <cell r="EU21">
            <v>187</v>
          </cell>
          <cell r="EV21">
            <v>199</v>
          </cell>
          <cell r="EW21">
            <v>199</v>
          </cell>
          <cell r="EX21">
            <v>199</v>
          </cell>
          <cell r="EY21">
            <v>199</v>
          </cell>
          <cell r="EZ21">
            <v>199</v>
          </cell>
          <cell r="FA21">
            <v>199</v>
          </cell>
          <cell r="FB21">
            <v>216.29999999999995</v>
          </cell>
          <cell r="FC21">
            <v>235.20000000000005</v>
          </cell>
          <cell r="FD21">
            <v>253.5</v>
          </cell>
          <cell r="FE21">
            <v>254.5</v>
          </cell>
          <cell r="FF21">
            <v>275.59999999999991</v>
          </cell>
          <cell r="FG21">
            <v>275.59999999999991</v>
          </cell>
          <cell r="FH21">
            <v>275.59999999999991</v>
          </cell>
          <cell r="FI21">
            <v>275.59999999999991</v>
          </cell>
          <cell r="FJ21">
            <v>4694.6000000000004</v>
          </cell>
        </row>
        <row r="22">
          <cell r="B22" t="str">
            <v>KPTJDZ021</v>
          </cell>
          <cell r="C22">
            <v>8</v>
          </cell>
          <cell r="D22">
            <v>9</v>
          </cell>
          <cell r="E22">
            <v>17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6</v>
          </cell>
          <cell r="W22">
            <v>6</v>
          </cell>
          <cell r="X22">
            <v>3</v>
          </cell>
          <cell r="Y22">
            <v>7</v>
          </cell>
          <cell r="Z22">
            <v>10</v>
          </cell>
          <cell r="AA22">
            <v>6</v>
          </cell>
          <cell r="AB22">
            <v>5.5</v>
          </cell>
          <cell r="AC22">
            <v>11.5</v>
          </cell>
          <cell r="AD22">
            <v>9.5</v>
          </cell>
          <cell r="AE22">
            <v>5</v>
          </cell>
          <cell r="AF22">
            <v>14.5</v>
          </cell>
          <cell r="AG22">
            <v>6</v>
          </cell>
          <cell r="AH22">
            <v>11</v>
          </cell>
          <cell r="AI22">
            <v>17</v>
          </cell>
          <cell r="AJ22">
            <v>8</v>
          </cell>
          <cell r="AK22">
            <v>5</v>
          </cell>
          <cell r="AL22">
            <v>13</v>
          </cell>
          <cell r="AM22">
            <v>11</v>
          </cell>
          <cell r="AN22">
            <v>0</v>
          </cell>
          <cell r="AO22">
            <v>11</v>
          </cell>
          <cell r="AP22">
            <v>8</v>
          </cell>
          <cell r="AQ22">
            <v>1</v>
          </cell>
          <cell r="AR22">
            <v>9</v>
          </cell>
          <cell r="AS22">
            <v>8</v>
          </cell>
          <cell r="AT22">
            <v>0</v>
          </cell>
          <cell r="AU22">
            <v>8</v>
          </cell>
          <cell r="AV22">
            <v>9.1000000000000227</v>
          </cell>
          <cell r="AW22">
            <v>3.8999999999999773</v>
          </cell>
          <cell r="AX22">
            <v>13</v>
          </cell>
          <cell r="AY22">
            <v>4</v>
          </cell>
          <cell r="AZ22">
            <v>8</v>
          </cell>
          <cell r="BA22">
            <v>12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10</v>
          </cell>
          <cell r="BG22">
            <v>10</v>
          </cell>
          <cell r="BH22">
            <v>7</v>
          </cell>
          <cell r="BI22">
            <v>10</v>
          </cell>
          <cell r="BJ22">
            <v>17</v>
          </cell>
          <cell r="BK22">
            <v>8</v>
          </cell>
          <cell r="BL22">
            <v>10</v>
          </cell>
          <cell r="BM22">
            <v>18</v>
          </cell>
          <cell r="BN22">
            <v>9.5</v>
          </cell>
          <cell r="BO22">
            <v>9.5</v>
          </cell>
          <cell r="BP22">
            <v>19</v>
          </cell>
          <cell r="BQ22">
            <v>8</v>
          </cell>
          <cell r="BR22">
            <v>9</v>
          </cell>
          <cell r="BS22">
            <v>17</v>
          </cell>
          <cell r="BT22">
            <v>9</v>
          </cell>
          <cell r="BU22">
            <v>11</v>
          </cell>
          <cell r="BV22">
            <v>20</v>
          </cell>
          <cell r="BW22">
            <v>8</v>
          </cell>
          <cell r="BX22">
            <v>11.5</v>
          </cell>
          <cell r="BY22">
            <v>19.5</v>
          </cell>
          <cell r="BZ22">
            <v>2.5</v>
          </cell>
          <cell r="CA22">
            <v>7</v>
          </cell>
          <cell r="CB22">
            <v>9.5</v>
          </cell>
          <cell r="CC22">
            <v>9</v>
          </cell>
          <cell r="CD22">
            <v>11</v>
          </cell>
          <cell r="CE22">
            <v>20</v>
          </cell>
          <cell r="CF22">
            <v>5</v>
          </cell>
          <cell r="CG22">
            <v>9.5</v>
          </cell>
          <cell r="CH22">
            <v>14.5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146.60000000000002</v>
          </cell>
          <cell r="CS22">
            <v>159.89999999999998</v>
          </cell>
          <cell r="CT22">
            <v>306.5</v>
          </cell>
          <cell r="ED22" t="str">
            <v>KPTJDZ021</v>
          </cell>
          <cell r="EE22">
            <v>17</v>
          </cell>
          <cell r="EF22">
            <v>17</v>
          </cell>
          <cell r="EG22">
            <v>17</v>
          </cell>
          <cell r="EH22">
            <v>17</v>
          </cell>
          <cell r="EI22">
            <v>17</v>
          </cell>
          <cell r="EJ22">
            <v>17</v>
          </cell>
          <cell r="EK22">
            <v>23</v>
          </cell>
          <cell r="EL22">
            <v>33</v>
          </cell>
          <cell r="EM22">
            <v>44.5</v>
          </cell>
          <cell r="EN22">
            <v>59</v>
          </cell>
          <cell r="EO22">
            <v>76</v>
          </cell>
          <cell r="EP22">
            <v>89</v>
          </cell>
          <cell r="EQ22">
            <v>100</v>
          </cell>
          <cell r="ER22">
            <v>109</v>
          </cell>
          <cell r="ES22">
            <v>117</v>
          </cell>
          <cell r="ET22">
            <v>130</v>
          </cell>
          <cell r="EU22">
            <v>142</v>
          </cell>
          <cell r="EV22">
            <v>142</v>
          </cell>
          <cell r="EW22">
            <v>152</v>
          </cell>
          <cell r="EX22">
            <v>169</v>
          </cell>
          <cell r="EY22">
            <v>187</v>
          </cell>
          <cell r="EZ22">
            <v>206</v>
          </cell>
          <cell r="FA22">
            <v>223</v>
          </cell>
          <cell r="FB22">
            <v>243</v>
          </cell>
          <cell r="FC22">
            <v>262.5</v>
          </cell>
          <cell r="FD22">
            <v>272</v>
          </cell>
          <cell r="FE22">
            <v>292</v>
          </cell>
          <cell r="FF22">
            <v>306.5</v>
          </cell>
          <cell r="FG22">
            <v>306.5</v>
          </cell>
          <cell r="FH22">
            <v>306.5</v>
          </cell>
          <cell r="FI22">
            <v>306.5</v>
          </cell>
          <cell r="FJ22">
            <v>4399</v>
          </cell>
        </row>
        <row r="23">
          <cell r="B23" t="str">
            <v>KPLMEX001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8.5</v>
          </cell>
          <cell r="AF23">
            <v>8.5</v>
          </cell>
          <cell r="AG23">
            <v>7.5</v>
          </cell>
          <cell r="AH23">
            <v>10.5</v>
          </cell>
          <cell r="AI23">
            <v>18</v>
          </cell>
          <cell r="AJ23">
            <v>9.5</v>
          </cell>
          <cell r="AK23">
            <v>9</v>
          </cell>
          <cell r="AL23">
            <v>18.5</v>
          </cell>
          <cell r="AM23">
            <v>6</v>
          </cell>
          <cell r="AN23">
            <v>8.5</v>
          </cell>
          <cell r="AO23">
            <v>14.5</v>
          </cell>
          <cell r="AP23">
            <v>10</v>
          </cell>
          <cell r="AQ23">
            <v>4.5</v>
          </cell>
          <cell r="AR23">
            <v>14.5</v>
          </cell>
          <cell r="AS23">
            <v>8.5</v>
          </cell>
          <cell r="AT23">
            <v>8.5</v>
          </cell>
          <cell r="AU23">
            <v>17</v>
          </cell>
          <cell r="AV23">
            <v>9.5</v>
          </cell>
          <cell r="AW23">
            <v>5.5</v>
          </cell>
          <cell r="AX23">
            <v>15</v>
          </cell>
          <cell r="AY23">
            <v>10</v>
          </cell>
          <cell r="AZ23">
            <v>8</v>
          </cell>
          <cell r="BA23">
            <v>18</v>
          </cell>
          <cell r="BB23">
            <v>7.5</v>
          </cell>
          <cell r="BC23">
            <v>10</v>
          </cell>
          <cell r="BD23">
            <v>17.5</v>
          </cell>
          <cell r="BE23">
            <v>8</v>
          </cell>
          <cell r="BF23">
            <v>10</v>
          </cell>
          <cell r="BG23">
            <v>18</v>
          </cell>
          <cell r="BH23">
            <v>8.5</v>
          </cell>
          <cell r="BI23">
            <v>10.5</v>
          </cell>
          <cell r="BJ23">
            <v>19</v>
          </cell>
          <cell r="BK23">
            <v>8.5</v>
          </cell>
          <cell r="BL23">
            <v>0</v>
          </cell>
          <cell r="BM23">
            <v>8.5</v>
          </cell>
          <cell r="BN23">
            <v>9</v>
          </cell>
          <cell r="BO23">
            <v>10.5</v>
          </cell>
          <cell r="BP23">
            <v>19.5</v>
          </cell>
          <cell r="BQ23">
            <v>9</v>
          </cell>
          <cell r="BR23">
            <v>10</v>
          </cell>
          <cell r="BS23">
            <v>19</v>
          </cell>
          <cell r="BT23">
            <v>8.5</v>
          </cell>
          <cell r="BU23">
            <v>8</v>
          </cell>
          <cell r="BV23">
            <v>16.5</v>
          </cell>
          <cell r="BW23">
            <v>0</v>
          </cell>
          <cell r="BX23">
            <v>9.5</v>
          </cell>
          <cell r="BY23">
            <v>9.5</v>
          </cell>
          <cell r="BZ23">
            <v>9</v>
          </cell>
          <cell r="CA23">
            <v>10.5</v>
          </cell>
          <cell r="CB23">
            <v>19.5</v>
          </cell>
          <cell r="CC23">
            <v>8.5</v>
          </cell>
          <cell r="CD23">
            <v>9.5</v>
          </cell>
          <cell r="CE23">
            <v>18</v>
          </cell>
          <cell r="CF23">
            <v>10</v>
          </cell>
          <cell r="CG23">
            <v>8.5</v>
          </cell>
          <cell r="CH23">
            <v>18.5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147.5</v>
          </cell>
          <cell r="CS23">
            <v>160</v>
          </cell>
          <cell r="CT23">
            <v>307.5</v>
          </cell>
          <cell r="ED23" t="str">
            <v>KPLMEX001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8.5</v>
          </cell>
          <cell r="EO23">
            <v>26.5</v>
          </cell>
          <cell r="EP23">
            <v>45</v>
          </cell>
          <cell r="EQ23">
            <v>59.5</v>
          </cell>
          <cell r="ER23">
            <v>74</v>
          </cell>
          <cell r="ES23">
            <v>91</v>
          </cell>
          <cell r="ET23">
            <v>106</v>
          </cell>
          <cell r="EU23">
            <v>124</v>
          </cell>
          <cell r="EV23">
            <v>141.5</v>
          </cell>
          <cell r="EW23">
            <v>159.5</v>
          </cell>
          <cell r="EX23">
            <v>178.5</v>
          </cell>
          <cell r="EY23">
            <v>187</v>
          </cell>
          <cell r="EZ23">
            <v>206.5</v>
          </cell>
          <cell r="FA23">
            <v>225.5</v>
          </cell>
          <cell r="FB23">
            <v>242</v>
          </cell>
          <cell r="FC23">
            <v>251.5</v>
          </cell>
          <cell r="FD23">
            <v>271</v>
          </cell>
          <cell r="FE23">
            <v>289</v>
          </cell>
          <cell r="FF23">
            <v>307.5</v>
          </cell>
          <cell r="FG23">
            <v>307.5</v>
          </cell>
          <cell r="FH23">
            <v>307.5</v>
          </cell>
          <cell r="FI23">
            <v>307.5</v>
          </cell>
          <cell r="FJ23">
            <v>3916.5</v>
          </cell>
        </row>
        <row r="24">
          <cell r="B24" t="str">
            <v>KPLMEX002</v>
          </cell>
          <cell r="C24">
            <v>8</v>
          </cell>
          <cell r="D24">
            <v>10</v>
          </cell>
          <cell r="E24">
            <v>18</v>
          </cell>
          <cell r="F24">
            <v>7.5</v>
          </cell>
          <cell r="G24">
            <v>7</v>
          </cell>
          <cell r="H24">
            <v>14.5</v>
          </cell>
          <cell r="I24">
            <v>4</v>
          </cell>
          <cell r="J24">
            <v>0</v>
          </cell>
          <cell r="K24">
            <v>4</v>
          </cell>
          <cell r="L24">
            <v>10</v>
          </cell>
          <cell r="M24">
            <v>0</v>
          </cell>
          <cell r="N24">
            <v>10</v>
          </cell>
          <cell r="O24">
            <v>7</v>
          </cell>
          <cell r="P24">
            <v>0</v>
          </cell>
          <cell r="Q24">
            <v>7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8</v>
          </cell>
          <cell r="W24">
            <v>8</v>
          </cell>
          <cell r="X24">
            <v>9</v>
          </cell>
          <cell r="Y24">
            <v>8</v>
          </cell>
          <cell r="Z24">
            <v>17</v>
          </cell>
          <cell r="AA24">
            <v>8</v>
          </cell>
          <cell r="AB24">
            <v>11</v>
          </cell>
          <cell r="AC24">
            <v>19</v>
          </cell>
          <cell r="AD24">
            <v>9.5</v>
          </cell>
          <cell r="AE24">
            <v>6.5</v>
          </cell>
          <cell r="AF24">
            <v>16</v>
          </cell>
          <cell r="AG24">
            <v>9</v>
          </cell>
          <cell r="AH24">
            <v>8.5</v>
          </cell>
          <cell r="AI24">
            <v>17.5</v>
          </cell>
          <cell r="AJ24">
            <v>9.5</v>
          </cell>
          <cell r="AK24">
            <v>9</v>
          </cell>
          <cell r="AL24">
            <v>18.5</v>
          </cell>
          <cell r="AM24">
            <v>4</v>
          </cell>
          <cell r="AN24">
            <v>10</v>
          </cell>
          <cell r="AO24">
            <v>14</v>
          </cell>
          <cell r="AP24">
            <v>9.5</v>
          </cell>
          <cell r="AQ24">
            <v>3.5</v>
          </cell>
          <cell r="AR24">
            <v>13</v>
          </cell>
          <cell r="AS24">
            <v>8.5</v>
          </cell>
          <cell r="AT24">
            <v>9.5</v>
          </cell>
          <cell r="AU24">
            <v>18</v>
          </cell>
          <cell r="AV24">
            <v>9</v>
          </cell>
          <cell r="AW24">
            <v>0</v>
          </cell>
          <cell r="AX24">
            <v>9</v>
          </cell>
          <cell r="AY24">
            <v>11</v>
          </cell>
          <cell r="AZ24">
            <v>0</v>
          </cell>
          <cell r="BA24">
            <v>11</v>
          </cell>
          <cell r="BB24">
            <v>9</v>
          </cell>
          <cell r="BC24">
            <v>0</v>
          </cell>
          <cell r="BD24">
            <v>9</v>
          </cell>
          <cell r="BE24">
            <v>7</v>
          </cell>
          <cell r="BF24">
            <v>2</v>
          </cell>
          <cell r="BG24">
            <v>9</v>
          </cell>
          <cell r="BH24">
            <v>8</v>
          </cell>
          <cell r="BI24">
            <v>10.900000000000091</v>
          </cell>
          <cell r="BJ24">
            <v>18.900000000000091</v>
          </cell>
          <cell r="BK24">
            <v>8.0999999999999091</v>
          </cell>
          <cell r="BL24">
            <v>0</v>
          </cell>
          <cell r="BM24">
            <v>8.0999999999999091</v>
          </cell>
          <cell r="BN24">
            <v>6</v>
          </cell>
          <cell r="BO24">
            <v>0</v>
          </cell>
          <cell r="BP24">
            <v>6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10.299999999999955</v>
          </cell>
          <cell r="BV24">
            <v>10.299999999999955</v>
          </cell>
          <cell r="BW24">
            <v>8.7000000000000455</v>
          </cell>
          <cell r="BX24">
            <v>10</v>
          </cell>
          <cell r="BY24">
            <v>18.700000000000045</v>
          </cell>
          <cell r="BZ24">
            <v>9</v>
          </cell>
          <cell r="CA24">
            <v>10</v>
          </cell>
          <cell r="CB24">
            <v>19</v>
          </cell>
          <cell r="CC24">
            <v>8</v>
          </cell>
          <cell r="CD24">
            <v>10</v>
          </cell>
          <cell r="CE24">
            <v>18</v>
          </cell>
          <cell r="CF24">
            <v>9</v>
          </cell>
          <cell r="CG24">
            <v>9</v>
          </cell>
          <cell r="CH24">
            <v>18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196.29999999999995</v>
          </cell>
          <cell r="CS24">
            <v>153.20000000000005</v>
          </cell>
          <cell r="CT24">
            <v>349.5</v>
          </cell>
          <cell r="ED24" t="str">
            <v>KPLMEX002</v>
          </cell>
          <cell r="EE24">
            <v>18</v>
          </cell>
          <cell r="EF24">
            <v>32.5</v>
          </cell>
          <cell r="EG24">
            <v>36.5</v>
          </cell>
          <cell r="EH24">
            <v>46.5</v>
          </cell>
          <cell r="EI24">
            <v>53.5</v>
          </cell>
          <cell r="EJ24">
            <v>53.5</v>
          </cell>
          <cell r="EK24">
            <v>61.5</v>
          </cell>
          <cell r="EL24">
            <v>78.5</v>
          </cell>
          <cell r="EM24">
            <v>97.5</v>
          </cell>
          <cell r="EN24">
            <v>113.5</v>
          </cell>
          <cell r="EO24">
            <v>131</v>
          </cell>
          <cell r="EP24">
            <v>149.5</v>
          </cell>
          <cell r="EQ24">
            <v>163.5</v>
          </cell>
          <cell r="ER24">
            <v>176.5</v>
          </cell>
          <cell r="ES24">
            <v>194.5</v>
          </cell>
          <cell r="ET24">
            <v>203.5</v>
          </cell>
          <cell r="EU24">
            <v>214.5</v>
          </cell>
          <cell r="EV24">
            <v>223.5</v>
          </cell>
          <cell r="EW24">
            <v>232.5</v>
          </cell>
          <cell r="EX24">
            <v>251.40000000000009</v>
          </cell>
          <cell r="EY24">
            <v>259.5</v>
          </cell>
          <cell r="EZ24">
            <v>265.5</v>
          </cell>
          <cell r="FA24">
            <v>265.5</v>
          </cell>
          <cell r="FB24">
            <v>275.79999999999995</v>
          </cell>
          <cell r="FC24">
            <v>294.5</v>
          </cell>
          <cell r="FD24">
            <v>313.5</v>
          </cell>
          <cell r="FE24">
            <v>331.5</v>
          </cell>
          <cell r="FF24">
            <v>349.5</v>
          </cell>
          <cell r="FG24">
            <v>349.5</v>
          </cell>
          <cell r="FH24">
            <v>349.5</v>
          </cell>
          <cell r="FI24">
            <v>349.5</v>
          </cell>
          <cell r="FJ24">
            <v>5935.7</v>
          </cell>
        </row>
        <row r="25">
          <cell r="B25" t="str">
            <v>KPLMEX003</v>
          </cell>
          <cell r="C25">
            <v>6.7999999999999545</v>
          </cell>
          <cell r="D25">
            <v>9</v>
          </cell>
          <cell r="E25">
            <v>15.799999999999955</v>
          </cell>
          <cell r="F25">
            <v>7</v>
          </cell>
          <cell r="G25">
            <v>2</v>
          </cell>
          <cell r="H25">
            <v>9</v>
          </cell>
          <cell r="I25">
            <v>7.6000000000000227</v>
          </cell>
          <cell r="J25">
            <v>7.3999999999999773</v>
          </cell>
          <cell r="K25">
            <v>15</v>
          </cell>
          <cell r="L25">
            <v>6.5</v>
          </cell>
          <cell r="M25">
            <v>8.5</v>
          </cell>
          <cell r="N25">
            <v>15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9</v>
          </cell>
          <cell r="Y25">
            <v>7</v>
          </cell>
          <cell r="Z25">
            <v>16</v>
          </cell>
          <cell r="AA25">
            <v>8</v>
          </cell>
          <cell r="AB25">
            <v>0</v>
          </cell>
          <cell r="AC25">
            <v>8</v>
          </cell>
          <cell r="AD25">
            <v>8</v>
          </cell>
          <cell r="AE25">
            <v>7.5</v>
          </cell>
          <cell r="AF25">
            <v>15.5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2.5</v>
          </cell>
          <cell r="AL25">
            <v>2.5</v>
          </cell>
          <cell r="AM25">
            <v>3</v>
          </cell>
          <cell r="AN25">
            <v>0</v>
          </cell>
          <cell r="AO25">
            <v>3</v>
          </cell>
          <cell r="AP25">
            <v>2</v>
          </cell>
          <cell r="AQ25">
            <v>0</v>
          </cell>
          <cell r="AR25">
            <v>2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11.5</v>
          </cell>
          <cell r="BM25">
            <v>11.5</v>
          </cell>
          <cell r="BN25">
            <v>9.5</v>
          </cell>
          <cell r="BO25">
            <v>11</v>
          </cell>
          <cell r="BP25">
            <v>20.5</v>
          </cell>
          <cell r="BQ25">
            <v>8</v>
          </cell>
          <cell r="BR25">
            <v>10.5</v>
          </cell>
          <cell r="BS25">
            <v>18.5</v>
          </cell>
          <cell r="BT25">
            <v>9</v>
          </cell>
          <cell r="BU25">
            <v>9.5</v>
          </cell>
          <cell r="BV25">
            <v>18.5</v>
          </cell>
          <cell r="BW25">
            <v>0</v>
          </cell>
          <cell r="BX25">
            <v>4.7999999999999545</v>
          </cell>
          <cell r="BY25">
            <v>4.7999999999999545</v>
          </cell>
          <cell r="BZ25">
            <v>8.7000000000000455</v>
          </cell>
          <cell r="CA25">
            <v>0</v>
          </cell>
          <cell r="CB25">
            <v>8.7000000000000455</v>
          </cell>
          <cell r="CC25">
            <v>8</v>
          </cell>
          <cell r="CD25">
            <v>5.5</v>
          </cell>
          <cell r="CE25">
            <v>13.5</v>
          </cell>
          <cell r="CF25">
            <v>10</v>
          </cell>
          <cell r="CG25">
            <v>0</v>
          </cell>
          <cell r="CH25">
            <v>10</v>
          </cell>
          <cell r="CI25">
            <v>0</v>
          </cell>
          <cell r="CJ25">
            <v>10</v>
          </cell>
          <cell r="CK25">
            <v>10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111.10000000000002</v>
          </cell>
          <cell r="CS25">
            <v>106.69999999999993</v>
          </cell>
          <cell r="CT25">
            <v>217.79999999999995</v>
          </cell>
          <cell r="ED25" t="str">
            <v>KPLMEX003</v>
          </cell>
          <cell r="EE25">
            <v>15.799999999999955</v>
          </cell>
          <cell r="EF25">
            <v>24.799999999999955</v>
          </cell>
          <cell r="EG25">
            <v>39.799999999999955</v>
          </cell>
          <cell r="EH25">
            <v>54.799999999999955</v>
          </cell>
          <cell r="EI25">
            <v>54.799999999999955</v>
          </cell>
          <cell r="EJ25">
            <v>54.799999999999955</v>
          </cell>
          <cell r="EK25">
            <v>54.799999999999955</v>
          </cell>
          <cell r="EL25">
            <v>70.799999999999955</v>
          </cell>
          <cell r="EM25">
            <v>78.799999999999955</v>
          </cell>
          <cell r="EN25">
            <v>94.299999999999955</v>
          </cell>
          <cell r="EO25">
            <v>94.299999999999955</v>
          </cell>
          <cell r="EP25">
            <v>96.799999999999955</v>
          </cell>
          <cell r="EQ25">
            <v>99.799999999999955</v>
          </cell>
          <cell r="ER25">
            <v>101.79999999999995</v>
          </cell>
          <cell r="ES25">
            <v>101.79999999999995</v>
          </cell>
          <cell r="ET25">
            <v>101.79999999999995</v>
          </cell>
          <cell r="EU25">
            <v>101.79999999999995</v>
          </cell>
          <cell r="EV25">
            <v>101.79999999999995</v>
          </cell>
          <cell r="EW25">
            <v>101.79999999999995</v>
          </cell>
          <cell r="EX25">
            <v>101.79999999999995</v>
          </cell>
          <cell r="EY25">
            <v>113.29999999999995</v>
          </cell>
          <cell r="EZ25">
            <v>133.79999999999995</v>
          </cell>
          <cell r="FA25">
            <v>152.29999999999995</v>
          </cell>
          <cell r="FB25">
            <v>170.79999999999995</v>
          </cell>
          <cell r="FC25">
            <v>175.59999999999991</v>
          </cell>
          <cell r="FD25">
            <v>184.29999999999995</v>
          </cell>
          <cell r="FE25">
            <v>197.79999999999995</v>
          </cell>
          <cell r="FF25">
            <v>207.79999999999995</v>
          </cell>
          <cell r="FG25">
            <v>217.79999999999995</v>
          </cell>
          <cell r="FH25">
            <v>217.79999999999995</v>
          </cell>
          <cell r="FI25">
            <v>217.79999999999995</v>
          </cell>
          <cell r="FJ25">
            <v>3536.0999999999995</v>
          </cell>
        </row>
        <row r="26">
          <cell r="B26" t="str">
            <v>KPLMCP004</v>
          </cell>
          <cell r="C26">
            <v>0</v>
          </cell>
          <cell r="D26">
            <v>0</v>
          </cell>
          <cell r="E26">
            <v>0</v>
          </cell>
          <cell r="F26">
            <v>3</v>
          </cell>
          <cell r="G26">
            <v>0</v>
          </cell>
          <cell r="H26">
            <v>3</v>
          </cell>
          <cell r="I26">
            <v>8</v>
          </cell>
          <cell r="J26">
            <v>2</v>
          </cell>
          <cell r="K26">
            <v>10</v>
          </cell>
          <cell r="L26">
            <v>4</v>
          </cell>
          <cell r="M26">
            <v>0</v>
          </cell>
          <cell r="N26">
            <v>4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3</v>
          </cell>
          <cell r="Y26">
            <v>0</v>
          </cell>
          <cell r="Z26">
            <v>3</v>
          </cell>
          <cell r="AA26">
            <v>1</v>
          </cell>
          <cell r="AB26">
            <v>2</v>
          </cell>
          <cell r="AC26">
            <v>3</v>
          </cell>
          <cell r="AD26">
            <v>7</v>
          </cell>
          <cell r="AE26">
            <v>3</v>
          </cell>
          <cell r="AF26">
            <v>10</v>
          </cell>
          <cell r="AG26">
            <v>5</v>
          </cell>
          <cell r="AH26">
            <v>6</v>
          </cell>
          <cell r="AI26">
            <v>11</v>
          </cell>
          <cell r="AJ26">
            <v>8</v>
          </cell>
          <cell r="AK26">
            <v>5</v>
          </cell>
          <cell r="AL26">
            <v>13</v>
          </cell>
          <cell r="AM26">
            <v>0</v>
          </cell>
          <cell r="AN26">
            <v>0</v>
          </cell>
          <cell r="AO26">
            <v>0</v>
          </cell>
          <cell r="AP26">
            <v>6</v>
          </cell>
          <cell r="AQ26">
            <v>0</v>
          </cell>
          <cell r="AR26">
            <v>6</v>
          </cell>
          <cell r="AS26">
            <v>5</v>
          </cell>
          <cell r="AT26">
            <v>0</v>
          </cell>
          <cell r="AU26">
            <v>5</v>
          </cell>
          <cell r="AV26">
            <v>4</v>
          </cell>
          <cell r="AW26">
            <v>0</v>
          </cell>
          <cell r="AX26">
            <v>4</v>
          </cell>
          <cell r="AY26">
            <v>6</v>
          </cell>
          <cell r="AZ26">
            <v>6</v>
          </cell>
          <cell r="BA26">
            <v>12</v>
          </cell>
          <cell r="BB26">
            <v>0</v>
          </cell>
          <cell r="BC26">
            <v>3</v>
          </cell>
          <cell r="BD26">
            <v>3</v>
          </cell>
          <cell r="BE26">
            <v>6</v>
          </cell>
          <cell r="BF26">
            <v>4</v>
          </cell>
          <cell r="BG26">
            <v>10</v>
          </cell>
          <cell r="BH26">
            <v>7</v>
          </cell>
          <cell r="BI26">
            <v>2.5</v>
          </cell>
          <cell r="BJ26">
            <v>9.5</v>
          </cell>
          <cell r="BK26">
            <v>1.1000000000000227</v>
          </cell>
          <cell r="BL26">
            <v>1.3999999999999773</v>
          </cell>
          <cell r="BM26">
            <v>2.5</v>
          </cell>
          <cell r="BN26">
            <v>8</v>
          </cell>
          <cell r="BO26">
            <v>6</v>
          </cell>
          <cell r="BP26">
            <v>14</v>
          </cell>
          <cell r="BQ26">
            <v>0</v>
          </cell>
          <cell r="BR26">
            <v>0</v>
          </cell>
          <cell r="BS26">
            <v>0</v>
          </cell>
          <cell r="BT26">
            <v>5</v>
          </cell>
          <cell r="BU26">
            <v>3</v>
          </cell>
          <cell r="BV26">
            <v>8</v>
          </cell>
          <cell r="BW26">
            <v>6</v>
          </cell>
          <cell r="BX26">
            <v>1</v>
          </cell>
          <cell r="BY26">
            <v>7</v>
          </cell>
          <cell r="BZ26">
            <v>0</v>
          </cell>
          <cell r="CA26">
            <v>7</v>
          </cell>
          <cell r="CB26">
            <v>7</v>
          </cell>
          <cell r="CC26">
            <v>6</v>
          </cell>
          <cell r="CD26">
            <v>5</v>
          </cell>
          <cell r="CE26">
            <v>11</v>
          </cell>
          <cell r="CF26">
            <v>6</v>
          </cell>
          <cell r="CG26">
            <v>0</v>
          </cell>
          <cell r="CH26">
            <v>6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105.10000000000002</v>
          </cell>
          <cell r="CS26">
            <v>56.899999999999977</v>
          </cell>
          <cell r="CT26">
            <v>162</v>
          </cell>
          <cell r="ED26" t="str">
            <v>KPLMCP004</v>
          </cell>
          <cell r="EE26">
            <v>0</v>
          </cell>
          <cell r="EF26">
            <v>3</v>
          </cell>
          <cell r="EG26">
            <v>13</v>
          </cell>
          <cell r="EH26">
            <v>17</v>
          </cell>
          <cell r="EI26">
            <v>17</v>
          </cell>
          <cell r="EJ26">
            <v>17</v>
          </cell>
          <cell r="EK26">
            <v>17</v>
          </cell>
          <cell r="EL26">
            <v>20</v>
          </cell>
          <cell r="EM26">
            <v>23</v>
          </cell>
          <cell r="EN26">
            <v>33</v>
          </cell>
          <cell r="EO26">
            <v>44</v>
          </cell>
          <cell r="EP26">
            <v>57</v>
          </cell>
          <cell r="EQ26">
            <v>57</v>
          </cell>
          <cell r="ER26">
            <v>63</v>
          </cell>
          <cell r="ES26">
            <v>68</v>
          </cell>
          <cell r="ET26">
            <v>72</v>
          </cell>
          <cell r="EU26">
            <v>84</v>
          </cell>
          <cell r="EV26">
            <v>87</v>
          </cell>
          <cell r="EW26">
            <v>97</v>
          </cell>
          <cell r="EX26">
            <v>106.5</v>
          </cell>
          <cell r="EY26">
            <v>109</v>
          </cell>
          <cell r="EZ26">
            <v>123</v>
          </cell>
          <cell r="FA26">
            <v>123</v>
          </cell>
          <cell r="FB26">
            <v>131</v>
          </cell>
          <cell r="FC26">
            <v>138</v>
          </cell>
          <cell r="FD26">
            <v>145</v>
          </cell>
          <cell r="FE26">
            <v>156</v>
          </cell>
          <cell r="FF26">
            <v>162</v>
          </cell>
          <cell r="FG26">
            <v>162</v>
          </cell>
          <cell r="FH26">
            <v>162</v>
          </cell>
          <cell r="FI26">
            <v>162</v>
          </cell>
          <cell r="FJ26">
            <v>2468.5</v>
          </cell>
        </row>
        <row r="27">
          <cell r="B27" t="str">
            <v>KPLMCP005</v>
          </cell>
          <cell r="C27">
            <v>4</v>
          </cell>
          <cell r="D27">
            <v>3.2000000000000455</v>
          </cell>
          <cell r="E27">
            <v>7.2000000000000455</v>
          </cell>
          <cell r="F27">
            <v>5.6999999999999318</v>
          </cell>
          <cell r="G27">
            <v>4.6000000000000227</v>
          </cell>
          <cell r="H27">
            <v>10.299999999999955</v>
          </cell>
          <cell r="I27">
            <v>1.5</v>
          </cell>
          <cell r="J27">
            <v>0</v>
          </cell>
          <cell r="K27">
            <v>1.5</v>
          </cell>
          <cell r="L27">
            <v>8</v>
          </cell>
          <cell r="M27">
            <v>1.5</v>
          </cell>
          <cell r="N27">
            <v>9.5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7.7999999999999545</v>
          </cell>
          <cell r="Y27">
            <v>3.5</v>
          </cell>
          <cell r="Z27">
            <v>11.299999999999955</v>
          </cell>
          <cell r="AA27">
            <v>0</v>
          </cell>
          <cell r="AB27">
            <v>2.2000000000000455</v>
          </cell>
          <cell r="AC27">
            <v>2.2000000000000455</v>
          </cell>
          <cell r="AD27">
            <v>8</v>
          </cell>
          <cell r="AE27">
            <v>4.2999999999999545</v>
          </cell>
          <cell r="AF27">
            <v>12.299999999999955</v>
          </cell>
          <cell r="AG27">
            <v>6.7000000000000455</v>
          </cell>
          <cell r="AH27">
            <v>6.1000000000000227</v>
          </cell>
          <cell r="AI27">
            <v>12.800000000000068</v>
          </cell>
          <cell r="AJ27">
            <v>8.1999999999999318</v>
          </cell>
          <cell r="AK27">
            <v>4.5</v>
          </cell>
          <cell r="AL27">
            <v>12.699999999999932</v>
          </cell>
          <cell r="AM27">
            <v>0</v>
          </cell>
          <cell r="AN27">
            <v>0</v>
          </cell>
          <cell r="AO27">
            <v>0</v>
          </cell>
          <cell r="AP27">
            <v>5.4000000000000909</v>
          </cell>
          <cell r="AQ27">
            <v>0</v>
          </cell>
          <cell r="AR27">
            <v>5.4000000000000909</v>
          </cell>
          <cell r="AS27">
            <v>6.3999999999999773</v>
          </cell>
          <cell r="AT27">
            <v>5.5</v>
          </cell>
          <cell r="AU27">
            <v>11.899999999999977</v>
          </cell>
          <cell r="AV27">
            <v>7.1999999999999318</v>
          </cell>
          <cell r="AW27">
            <v>4.3000000000000682</v>
          </cell>
          <cell r="AX27">
            <v>11.5</v>
          </cell>
          <cell r="AY27">
            <v>8.3999999999999773</v>
          </cell>
          <cell r="AZ27">
            <v>7.8999999999999773</v>
          </cell>
          <cell r="BA27">
            <v>16.299999999999955</v>
          </cell>
          <cell r="BB27">
            <v>0</v>
          </cell>
          <cell r="BC27">
            <v>6.2000000000000455</v>
          </cell>
          <cell r="BD27">
            <v>6.2000000000000455</v>
          </cell>
          <cell r="BE27">
            <v>8.6000000000000227</v>
          </cell>
          <cell r="BF27">
            <v>3.2999999999999545</v>
          </cell>
          <cell r="BG27">
            <v>11.899999999999977</v>
          </cell>
          <cell r="BH27">
            <v>8</v>
          </cell>
          <cell r="BI27">
            <v>2.7999999999999545</v>
          </cell>
          <cell r="BJ27">
            <v>10.799999999999955</v>
          </cell>
          <cell r="BK27">
            <v>2.2000000000000455</v>
          </cell>
          <cell r="BL27">
            <v>4</v>
          </cell>
          <cell r="BM27">
            <v>6.2000000000000455</v>
          </cell>
          <cell r="BN27">
            <v>9.5</v>
          </cell>
          <cell r="BO27">
            <v>6.3999999999999773</v>
          </cell>
          <cell r="BP27">
            <v>15.899999999999977</v>
          </cell>
          <cell r="BQ27">
            <v>7.3000000000000682</v>
          </cell>
          <cell r="BR27">
            <v>0</v>
          </cell>
          <cell r="BS27">
            <v>7.3000000000000682</v>
          </cell>
          <cell r="BT27">
            <v>0</v>
          </cell>
          <cell r="BU27">
            <v>4.8999999999999773</v>
          </cell>
          <cell r="BV27">
            <v>4.8999999999999773</v>
          </cell>
          <cell r="BW27">
            <v>8.5</v>
          </cell>
          <cell r="BX27">
            <v>4.2999999999999545</v>
          </cell>
          <cell r="BY27">
            <v>12.799999999999955</v>
          </cell>
          <cell r="BZ27">
            <v>8.6000000000000227</v>
          </cell>
          <cell r="CA27">
            <v>3.1000000000000227</v>
          </cell>
          <cell r="CB27">
            <v>11.700000000000045</v>
          </cell>
          <cell r="CC27">
            <v>6.1000000000000227</v>
          </cell>
          <cell r="CD27">
            <v>6.5</v>
          </cell>
          <cell r="CE27">
            <v>12.600000000000023</v>
          </cell>
          <cell r="CF27">
            <v>5.8999999999999773</v>
          </cell>
          <cell r="CG27">
            <v>0</v>
          </cell>
          <cell r="CH27">
            <v>5.8999999999999773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142</v>
          </cell>
          <cell r="CS27">
            <v>89.100000000000023</v>
          </cell>
          <cell r="CT27">
            <v>231.10000000000002</v>
          </cell>
          <cell r="ED27" t="str">
            <v>KPLMCP005</v>
          </cell>
          <cell r="EE27">
            <v>7.2000000000000455</v>
          </cell>
          <cell r="EF27">
            <v>17.5</v>
          </cell>
          <cell r="EG27">
            <v>19</v>
          </cell>
          <cell r="EH27">
            <v>28.5</v>
          </cell>
          <cell r="EI27">
            <v>28.5</v>
          </cell>
          <cell r="EJ27">
            <v>28.5</v>
          </cell>
          <cell r="EK27">
            <v>28.5</v>
          </cell>
          <cell r="EL27">
            <v>39.799999999999955</v>
          </cell>
          <cell r="EM27">
            <v>42</v>
          </cell>
          <cell r="EN27">
            <v>54.299999999999955</v>
          </cell>
          <cell r="EO27">
            <v>67.100000000000023</v>
          </cell>
          <cell r="EP27">
            <v>79.799999999999955</v>
          </cell>
          <cell r="EQ27">
            <v>79.799999999999955</v>
          </cell>
          <cell r="ER27">
            <v>85.200000000000045</v>
          </cell>
          <cell r="ES27">
            <v>97.100000000000023</v>
          </cell>
          <cell r="ET27">
            <v>108.60000000000002</v>
          </cell>
          <cell r="EU27">
            <v>124.89999999999998</v>
          </cell>
          <cell r="EV27">
            <v>131.10000000000002</v>
          </cell>
          <cell r="EW27">
            <v>143</v>
          </cell>
          <cell r="EX27">
            <v>153.79999999999995</v>
          </cell>
          <cell r="EY27">
            <v>160</v>
          </cell>
          <cell r="EZ27">
            <v>175.89999999999998</v>
          </cell>
          <cell r="FA27">
            <v>183.20000000000005</v>
          </cell>
          <cell r="FB27">
            <v>188.10000000000002</v>
          </cell>
          <cell r="FC27">
            <v>200.89999999999998</v>
          </cell>
          <cell r="FD27">
            <v>212.60000000000002</v>
          </cell>
          <cell r="FE27">
            <v>225.20000000000005</v>
          </cell>
          <cell r="FF27">
            <v>231.10000000000002</v>
          </cell>
          <cell r="FG27">
            <v>231.10000000000002</v>
          </cell>
          <cell r="FH27">
            <v>231.10000000000002</v>
          </cell>
          <cell r="FI27">
            <v>231.10000000000002</v>
          </cell>
          <cell r="FJ27">
            <v>3634.5</v>
          </cell>
        </row>
        <row r="34">
          <cell r="ED34" t="str">
            <v>KPTJEX023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>
            <v>0</v>
          </cell>
          <cell r="EK34">
            <v>0</v>
          </cell>
          <cell r="EL34">
            <v>0</v>
          </cell>
          <cell r="EM34">
            <v>0</v>
          </cell>
          <cell r="EN34">
            <v>0</v>
          </cell>
          <cell r="EO34">
            <v>0</v>
          </cell>
          <cell r="EP34">
            <v>0</v>
          </cell>
          <cell r="EQ34">
            <v>0</v>
          </cell>
          <cell r="ER34">
            <v>0</v>
          </cell>
          <cell r="ES34">
            <v>0</v>
          </cell>
          <cell r="ET34">
            <v>0</v>
          </cell>
          <cell r="EU34">
            <v>0</v>
          </cell>
          <cell r="EV34">
            <v>0</v>
          </cell>
          <cell r="EW34">
            <v>0</v>
          </cell>
          <cell r="EX34">
            <v>0</v>
          </cell>
          <cell r="EY34">
            <v>0</v>
          </cell>
          <cell r="EZ34">
            <v>0</v>
          </cell>
          <cell r="FA34">
            <v>0</v>
          </cell>
          <cell r="FB34">
            <v>0</v>
          </cell>
          <cell r="FC34">
            <v>0</v>
          </cell>
          <cell r="FD34">
            <v>0</v>
          </cell>
          <cell r="FE34">
            <v>0</v>
          </cell>
          <cell r="FF34">
            <v>0</v>
          </cell>
          <cell r="FG34">
            <v>0.25000000000000044</v>
          </cell>
          <cell r="FH34">
            <v>0.25000000000000044</v>
          </cell>
          <cell r="FI34">
            <v>0.25000000000000044</v>
          </cell>
          <cell r="FJ34">
            <v>0.75000000000000133</v>
          </cell>
        </row>
        <row r="35">
          <cell r="ED35" t="str">
            <v>KPTJEX003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0</v>
          </cell>
          <cell r="EM35">
            <v>0</v>
          </cell>
          <cell r="EN35">
            <v>0</v>
          </cell>
          <cell r="EO35">
            <v>0</v>
          </cell>
          <cell r="EP35">
            <v>0</v>
          </cell>
          <cell r="EQ35">
            <v>0</v>
          </cell>
          <cell r="ER35">
            <v>0</v>
          </cell>
          <cell r="ES35">
            <v>0</v>
          </cell>
          <cell r="ET35">
            <v>0</v>
          </cell>
          <cell r="EU35">
            <v>0</v>
          </cell>
          <cell r="EV35">
            <v>0</v>
          </cell>
          <cell r="EW35">
            <v>0</v>
          </cell>
          <cell r="EX35">
            <v>0</v>
          </cell>
          <cell r="EY35">
            <v>0</v>
          </cell>
          <cell r="EZ35">
            <v>0</v>
          </cell>
          <cell r="FA35">
            <v>0</v>
          </cell>
          <cell r="FB35">
            <v>0</v>
          </cell>
          <cell r="FC35">
            <v>0</v>
          </cell>
          <cell r="FD35">
            <v>0</v>
          </cell>
          <cell r="FE35">
            <v>0</v>
          </cell>
          <cell r="FF35">
            <v>0</v>
          </cell>
          <cell r="FG35">
            <v>0</v>
          </cell>
          <cell r="FH35">
            <v>0</v>
          </cell>
          <cell r="FI35">
            <v>0</v>
          </cell>
          <cell r="FJ35">
            <v>0</v>
          </cell>
        </row>
        <row r="36">
          <cell r="ED36" t="str">
            <v>KPTJDZ004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0</v>
          </cell>
          <cell r="EM36">
            <v>0</v>
          </cell>
          <cell r="EN36">
            <v>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X36">
            <v>0</v>
          </cell>
          <cell r="EY36">
            <v>0</v>
          </cell>
          <cell r="EZ36">
            <v>0</v>
          </cell>
          <cell r="FA36">
            <v>0</v>
          </cell>
          <cell r="FB36">
            <v>0</v>
          </cell>
          <cell r="FC36">
            <v>0</v>
          </cell>
          <cell r="FD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0</v>
          </cell>
        </row>
        <row r="37">
          <cell r="ED37" t="str">
            <v>KPTJDZ005</v>
          </cell>
          <cell r="EE37">
            <v>24</v>
          </cell>
          <cell r="EF37">
            <v>48</v>
          </cell>
          <cell r="EG37">
            <v>72</v>
          </cell>
          <cell r="EH37">
            <v>96</v>
          </cell>
          <cell r="EI37">
            <v>120</v>
          </cell>
          <cell r="EJ37">
            <v>144</v>
          </cell>
          <cell r="EK37">
            <v>168</v>
          </cell>
          <cell r="EL37">
            <v>192</v>
          </cell>
          <cell r="EM37">
            <v>216</v>
          </cell>
          <cell r="EN37">
            <v>217.75</v>
          </cell>
          <cell r="EO37">
            <v>217.75</v>
          </cell>
          <cell r="EP37">
            <v>217.75</v>
          </cell>
          <cell r="EQ37">
            <v>217.75</v>
          </cell>
          <cell r="ER37">
            <v>217.75</v>
          </cell>
          <cell r="ES37">
            <v>217.75</v>
          </cell>
          <cell r="ET37">
            <v>217.75</v>
          </cell>
          <cell r="EU37">
            <v>217.75</v>
          </cell>
          <cell r="EV37">
            <v>217.75</v>
          </cell>
          <cell r="EW37">
            <v>217.75</v>
          </cell>
          <cell r="EX37">
            <v>217.75</v>
          </cell>
          <cell r="EY37">
            <v>217.75</v>
          </cell>
          <cell r="EZ37">
            <v>217.75</v>
          </cell>
          <cell r="FA37">
            <v>217.75</v>
          </cell>
          <cell r="FB37">
            <v>217.75</v>
          </cell>
          <cell r="FC37">
            <v>217.75</v>
          </cell>
          <cell r="FD37">
            <v>217.75</v>
          </cell>
          <cell r="FE37">
            <v>217.75</v>
          </cell>
          <cell r="FF37">
            <v>217.75</v>
          </cell>
          <cell r="FG37">
            <v>218.18333333333334</v>
          </cell>
          <cell r="FH37">
            <v>218.18333333333334</v>
          </cell>
          <cell r="FI37">
            <v>218.18333333333334</v>
          </cell>
          <cell r="FJ37">
            <v>5871.8</v>
          </cell>
        </row>
        <row r="38">
          <cell r="ED38" t="str">
            <v>KPTJCP006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0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  <cell r="EX38">
            <v>0</v>
          </cell>
          <cell r="EY38">
            <v>0</v>
          </cell>
          <cell r="EZ38">
            <v>0</v>
          </cell>
          <cell r="FA38">
            <v>0</v>
          </cell>
          <cell r="FB38">
            <v>0</v>
          </cell>
          <cell r="FC38">
            <v>0</v>
          </cell>
          <cell r="FD38">
            <v>0</v>
          </cell>
          <cell r="FE38">
            <v>0</v>
          </cell>
          <cell r="FF38">
            <v>0</v>
          </cell>
          <cell r="FG38">
            <v>0</v>
          </cell>
          <cell r="FH38">
            <v>0</v>
          </cell>
          <cell r="FI38">
            <v>0</v>
          </cell>
          <cell r="FJ38">
            <v>0</v>
          </cell>
        </row>
        <row r="39">
          <cell r="ED39" t="str">
            <v>KPTJEX007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0</v>
          </cell>
          <cell r="EM39">
            <v>0</v>
          </cell>
          <cell r="EN39">
            <v>0</v>
          </cell>
          <cell r="EO39">
            <v>0</v>
          </cell>
          <cell r="EP39">
            <v>0</v>
          </cell>
          <cell r="EQ39">
            <v>0</v>
          </cell>
          <cell r="ER39">
            <v>0</v>
          </cell>
          <cell r="ES39">
            <v>0</v>
          </cell>
          <cell r="ET39">
            <v>0</v>
          </cell>
          <cell r="EU39">
            <v>0</v>
          </cell>
          <cell r="EV39">
            <v>0</v>
          </cell>
          <cell r="EW39">
            <v>0</v>
          </cell>
          <cell r="EX39">
            <v>0</v>
          </cell>
          <cell r="EY39">
            <v>0</v>
          </cell>
          <cell r="EZ39">
            <v>0</v>
          </cell>
          <cell r="FA39">
            <v>0</v>
          </cell>
          <cell r="FB39">
            <v>0</v>
          </cell>
          <cell r="FC39">
            <v>0</v>
          </cell>
          <cell r="FD39">
            <v>0</v>
          </cell>
          <cell r="FE39">
            <v>0</v>
          </cell>
          <cell r="FF39">
            <v>0</v>
          </cell>
          <cell r="FG39">
            <v>0</v>
          </cell>
          <cell r="FH39">
            <v>0</v>
          </cell>
          <cell r="FI39">
            <v>0</v>
          </cell>
          <cell r="FJ39">
            <v>0</v>
          </cell>
        </row>
        <row r="40">
          <cell r="ED40" t="str">
            <v>KPTJDZ008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1.2500000000000009</v>
          </cell>
          <cell r="EL40">
            <v>1.416666666666667</v>
          </cell>
          <cell r="EM40">
            <v>1.4999999999999973</v>
          </cell>
          <cell r="EN40">
            <v>1.5833333333333304</v>
          </cell>
          <cell r="EO40">
            <v>1.8333333333333321</v>
          </cell>
          <cell r="EP40">
            <v>2.0833333333333326</v>
          </cell>
          <cell r="EQ40">
            <v>4.75</v>
          </cell>
          <cell r="ER40">
            <v>4.75</v>
          </cell>
          <cell r="ES40">
            <v>4.75</v>
          </cell>
          <cell r="ET40">
            <v>4.75</v>
          </cell>
          <cell r="EU40">
            <v>4.75</v>
          </cell>
          <cell r="EV40">
            <v>4.75</v>
          </cell>
          <cell r="EW40">
            <v>4.75</v>
          </cell>
          <cell r="EX40">
            <v>4.75</v>
          </cell>
          <cell r="EY40">
            <v>4.75</v>
          </cell>
          <cell r="EZ40">
            <v>4.9166666666666661</v>
          </cell>
          <cell r="FA40">
            <v>4.9166666666666661</v>
          </cell>
          <cell r="FB40">
            <v>5.8166666666666664</v>
          </cell>
          <cell r="FC40">
            <v>5.9833333333333298</v>
          </cell>
          <cell r="FD40">
            <v>5.9833333333333298</v>
          </cell>
          <cell r="FE40">
            <v>6.0666666666666629</v>
          </cell>
          <cell r="FF40">
            <v>6.43333333333333</v>
          </cell>
          <cell r="FG40">
            <v>6.43333333333333</v>
          </cell>
          <cell r="FH40">
            <v>6.43333333333333</v>
          </cell>
          <cell r="FI40">
            <v>6.43333333333333</v>
          </cell>
          <cell r="FJ40">
            <v>111.83333333333331</v>
          </cell>
        </row>
        <row r="41">
          <cell r="ED41" t="str">
            <v>KPTJEX009</v>
          </cell>
          <cell r="EE41">
            <v>24</v>
          </cell>
          <cell r="EF41">
            <v>29.666666666666664</v>
          </cell>
          <cell r="EG41">
            <v>29.666666666666664</v>
          </cell>
          <cell r="EH41">
            <v>37.500000000000036</v>
          </cell>
          <cell r="EI41">
            <v>37.500000000000036</v>
          </cell>
          <cell r="EJ41">
            <v>37.500000000000036</v>
          </cell>
          <cell r="EK41">
            <v>37.6666666666667</v>
          </cell>
          <cell r="EL41">
            <v>39.6666666666667</v>
          </cell>
          <cell r="EM41">
            <v>40.383333333333368</v>
          </cell>
          <cell r="EN41">
            <v>45.866666666666703</v>
          </cell>
          <cell r="EO41">
            <v>46.500000000000036</v>
          </cell>
          <cell r="EP41">
            <v>51.583333333333371</v>
          </cell>
          <cell r="EQ41">
            <v>59.583333333333371</v>
          </cell>
          <cell r="ER41">
            <v>59.583333333333371</v>
          </cell>
          <cell r="ES41">
            <v>59.850000000000037</v>
          </cell>
          <cell r="ET41">
            <v>62.100000000000037</v>
          </cell>
          <cell r="EU41">
            <v>63.066666666666698</v>
          </cell>
          <cell r="EV41">
            <v>63.066666666666698</v>
          </cell>
          <cell r="EW41">
            <v>63.066666666666698</v>
          </cell>
          <cell r="EX41">
            <v>78.066666666666691</v>
          </cell>
          <cell r="EY41">
            <v>78.066666666666691</v>
          </cell>
          <cell r="EZ41">
            <v>78.40000000000002</v>
          </cell>
          <cell r="FA41">
            <v>78.40000000000002</v>
          </cell>
          <cell r="FB41">
            <v>79.816666666666691</v>
          </cell>
          <cell r="FC41">
            <v>79.816666666666691</v>
          </cell>
          <cell r="FD41">
            <v>80.53333333333336</v>
          </cell>
          <cell r="FE41">
            <v>80.53333333333336</v>
          </cell>
          <cell r="FF41">
            <v>81.53333333333336</v>
          </cell>
          <cell r="FG41">
            <v>81.53333333333336</v>
          </cell>
          <cell r="FH41">
            <v>81.53333333333336</v>
          </cell>
          <cell r="FI41">
            <v>81.53333333333336</v>
          </cell>
          <cell r="FJ41">
            <v>1847.5833333333339</v>
          </cell>
        </row>
        <row r="42">
          <cell r="ED42" t="str">
            <v>KPTJEX010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>
            <v>0</v>
          </cell>
          <cell r="EY42">
            <v>0</v>
          </cell>
          <cell r="EZ42">
            <v>0</v>
          </cell>
          <cell r="FA42">
            <v>0</v>
          </cell>
          <cell r="FB42">
            <v>0</v>
          </cell>
          <cell r="FC42">
            <v>0</v>
          </cell>
          <cell r="FD42">
            <v>0</v>
          </cell>
          <cell r="FE42">
            <v>0</v>
          </cell>
          <cell r="FF42">
            <v>0</v>
          </cell>
          <cell r="FG42">
            <v>0</v>
          </cell>
          <cell r="FH42">
            <v>0</v>
          </cell>
          <cell r="FI42">
            <v>0</v>
          </cell>
          <cell r="FJ42">
            <v>0</v>
          </cell>
        </row>
        <row r="43">
          <cell r="ED43" t="str">
            <v>KPTJDZ011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1.4499999999999975</v>
          </cell>
          <cell r="EM43">
            <v>3.4499999999999984</v>
          </cell>
          <cell r="EN43">
            <v>4.1999999999999984</v>
          </cell>
          <cell r="EO43">
            <v>4.1999999999999984</v>
          </cell>
          <cell r="EP43">
            <v>4.3666666666666645</v>
          </cell>
          <cell r="EQ43">
            <v>4.3666666666666645</v>
          </cell>
          <cell r="ER43">
            <v>5.1166666666666645</v>
          </cell>
          <cell r="ES43">
            <v>5.3999999999999968</v>
          </cell>
          <cell r="ET43">
            <v>5.6499999999999968</v>
          </cell>
          <cell r="EU43">
            <v>6.1499999999999977</v>
          </cell>
          <cell r="EV43">
            <v>6.1499999999999977</v>
          </cell>
          <cell r="EW43">
            <v>6.1499999999999977</v>
          </cell>
          <cell r="EX43">
            <v>6.1499999999999977</v>
          </cell>
          <cell r="EY43">
            <v>6.1499999999999977</v>
          </cell>
          <cell r="EZ43">
            <v>6.2333333333333307</v>
          </cell>
          <cell r="FA43">
            <v>12.099999999999998</v>
          </cell>
          <cell r="FB43">
            <v>12.2</v>
          </cell>
          <cell r="FC43">
            <v>12.2</v>
          </cell>
          <cell r="FD43">
            <v>12.2</v>
          </cell>
          <cell r="FE43">
            <v>15.533333333333333</v>
          </cell>
          <cell r="FF43">
            <v>15.533333333333333</v>
          </cell>
          <cell r="FG43">
            <v>15.533333333333333</v>
          </cell>
          <cell r="FH43">
            <v>15.533333333333333</v>
          </cell>
          <cell r="FI43">
            <v>15.533333333333333</v>
          </cell>
          <cell r="FJ43">
            <v>201.54999999999998</v>
          </cell>
        </row>
        <row r="44">
          <cell r="ED44" t="str">
            <v>KPTJDZ012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2.0000000000000009</v>
          </cell>
          <cell r="EJ44">
            <v>2.0000000000000009</v>
          </cell>
          <cell r="EK44">
            <v>2.0000000000000009</v>
          </cell>
          <cell r="EL44">
            <v>2.2500000000000013</v>
          </cell>
          <cell r="EM44">
            <v>2.2500000000000013</v>
          </cell>
          <cell r="EN44">
            <v>2.4166666666666687</v>
          </cell>
          <cell r="EO44">
            <v>2.4166666666666687</v>
          </cell>
          <cell r="EP44">
            <v>2.4166666666666687</v>
          </cell>
          <cell r="EQ44">
            <v>2.4166666666666687</v>
          </cell>
          <cell r="ER44">
            <v>5.9833333333333352</v>
          </cell>
          <cell r="ES44">
            <v>6.9833333333333343</v>
          </cell>
          <cell r="ET44">
            <v>6.9833333333333343</v>
          </cell>
          <cell r="EU44">
            <v>6.9833333333333343</v>
          </cell>
          <cell r="EV44">
            <v>6.9833333333333343</v>
          </cell>
          <cell r="EW44">
            <v>8.4833333333333343</v>
          </cell>
          <cell r="EX44">
            <v>8.4833333333333343</v>
          </cell>
          <cell r="EY44">
            <v>8.4833333333333343</v>
          </cell>
          <cell r="EZ44">
            <v>8.4833333333333343</v>
          </cell>
          <cell r="FA44">
            <v>8.4833333333333343</v>
          </cell>
          <cell r="FB44">
            <v>8.4833333333333343</v>
          </cell>
          <cell r="FC44">
            <v>8.4833333333333343</v>
          </cell>
          <cell r="FD44">
            <v>8.4833333333333343</v>
          </cell>
          <cell r="FE44">
            <v>8.4833333333333343</v>
          </cell>
          <cell r="FF44">
            <v>10.866666666666546</v>
          </cell>
          <cell r="FG44">
            <v>10.866666666666546</v>
          </cell>
          <cell r="FH44">
            <v>10.866666666666546</v>
          </cell>
          <cell r="FI44">
            <v>10.866666666666546</v>
          </cell>
          <cell r="FJ44">
            <v>173.89999999999958</v>
          </cell>
        </row>
        <row r="45">
          <cell r="ED45" t="str">
            <v>KPTJDZ022</v>
          </cell>
          <cell r="EE45">
            <v>0.50000000000000089</v>
          </cell>
          <cell r="EF45">
            <v>0.66666666666666696</v>
          </cell>
          <cell r="EG45">
            <v>0.66666666666666696</v>
          </cell>
          <cell r="EH45">
            <v>0.66666666666666696</v>
          </cell>
          <cell r="EI45">
            <v>0.8333333333333357</v>
          </cell>
          <cell r="EJ45">
            <v>0.8333333333333357</v>
          </cell>
          <cell r="EK45">
            <v>0.8333333333333357</v>
          </cell>
          <cell r="EL45">
            <v>0.8333333333333357</v>
          </cell>
          <cell r="EM45">
            <v>0.8333333333333357</v>
          </cell>
          <cell r="EN45">
            <v>0.8333333333333357</v>
          </cell>
          <cell r="EO45">
            <v>1.3333333333333366</v>
          </cell>
          <cell r="EP45">
            <v>1.416666666666671</v>
          </cell>
          <cell r="EQ45">
            <v>2.450000000000006</v>
          </cell>
          <cell r="ER45">
            <v>2.450000000000006</v>
          </cell>
          <cell r="ES45">
            <v>2.8500000000000072</v>
          </cell>
          <cell r="ET45">
            <v>2.8500000000000072</v>
          </cell>
          <cell r="EU45">
            <v>3.9333333333333393</v>
          </cell>
          <cell r="EV45">
            <v>3.9333333333333393</v>
          </cell>
          <cell r="EW45">
            <v>3.9333333333333393</v>
          </cell>
          <cell r="EX45">
            <v>3.9333333333333393</v>
          </cell>
          <cell r="EY45">
            <v>3.9333333333333393</v>
          </cell>
          <cell r="EZ45">
            <v>3.9333333333333393</v>
          </cell>
          <cell r="FA45">
            <v>4.100000000000005</v>
          </cell>
          <cell r="FB45">
            <v>4.100000000000005</v>
          </cell>
          <cell r="FC45">
            <v>4.100000000000005</v>
          </cell>
          <cell r="FD45">
            <v>5.600000000000005</v>
          </cell>
          <cell r="FE45">
            <v>5.600000000000005</v>
          </cell>
          <cell r="FF45">
            <v>5.600000000000005</v>
          </cell>
          <cell r="FG45">
            <v>5.600000000000005</v>
          </cell>
          <cell r="FH45">
            <v>5.600000000000005</v>
          </cell>
          <cell r="FI45">
            <v>5.600000000000005</v>
          </cell>
          <cell r="FJ45">
            <v>90.350000000000165</v>
          </cell>
        </row>
        <row r="46">
          <cell r="ED46" t="str">
            <v>KPTJDZ015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  <cell r="EL46">
            <v>0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  <cell r="EQ46">
            <v>0</v>
          </cell>
          <cell r="ER46">
            <v>0</v>
          </cell>
          <cell r="ES46">
            <v>0</v>
          </cell>
          <cell r="ET46">
            <v>0</v>
          </cell>
          <cell r="EU46">
            <v>0</v>
          </cell>
          <cell r="EV46">
            <v>0</v>
          </cell>
          <cell r="EW46">
            <v>0</v>
          </cell>
          <cell r="EX46">
            <v>0</v>
          </cell>
          <cell r="EY46">
            <v>0</v>
          </cell>
          <cell r="EZ46">
            <v>0</v>
          </cell>
          <cell r="FA46">
            <v>0</v>
          </cell>
          <cell r="FB46">
            <v>0</v>
          </cell>
          <cell r="FC46">
            <v>0</v>
          </cell>
          <cell r="FD46">
            <v>0</v>
          </cell>
          <cell r="FE46">
            <v>0</v>
          </cell>
          <cell r="FF46">
            <v>0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</row>
        <row r="47">
          <cell r="ED47" t="str">
            <v>KPTJDZ016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0</v>
          </cell>
          <cell r="EM47">
            <v>0</v>
          </cell>
          <cell r="EN47">
            <v>0</v>
          </cell>
          <cell r="EO47">
            <v>0</v>
          </cell>
          <cell r="EP47">
            <v>0</v>
          </cell>
          <cell r="EQ47">
            <v>0</v>
          </cell>
          <cell r="ER47">
            <v>0</v>
          </cell>
          <cell r="ES47">
            <v>0</v>
          </cell>
          <cell r="ET47">
            <v>0</v>
          </cell>
          <cell r="EU47">
            <v>0</v>
          </cell>
          <cell r="EV47">
            <v>0</v>
          </cell>
          <cell r="EW47">
            <v>0</v>
          </cell>
          <cell r="EX47">
            <v>0</v>
          </cell>
          <cell r="EY47">
            <v>0</v>
          </cell>
          <cell r="EZ47">
            <v>0</v>
          </cell>
          <cell r="FA47">
            <v>0</v>
          </cell>
          <cell r="FB47">
            <v>0</v>
          </cell>
          <cell r="FC47">
            <v>0</v>
          </cell>
          <cell r="FD47">
            <v>0</v>
          </cell>
          <cell r="FE47">
            <v>0</v>
          </cell>
          <cell r="FF47">
            <v>0</v>
          </cell>
          <cell r="FG47">
            <v>0</v>
          </cell>
          <cell r="FH47">
            <v>0</v>
          </cell>
          <cell r="FI47">
            <v>0</v>
          </cell>
          <cell r="FJ47">
            <v>0</v>
          </cell>
        </row>
        <row r="48">
          <cell r="ED48" t="str">
            <v>KPTJDZ017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0</v>
          </cell>
          <cell r="EM48">
            <v>1.2500000000000009</v>
          </cell>
          <cell r="EN48">
            <v>1.2500000000000009</v>
          </cell>
          <cell r="EO48">
            <v>1.2500000000000009</v>
          </cell>
          <cell r="EP48">
            <v>1.2500000000000009</v>
          </cell>
          <cell r="EQ48">
            <v>1.2500000000000009</v>
          </cell>
          <cell r="ER48">
            <v>1.2500000000000009</v>
          </cell>
          <cell r="ES48">
            <v>1.2500000000000009</v>
          </cell>
          <cell r="ET48">
            <v>1.2500000000000009</v>
          </cell>
          <cell r="EU48">
            <v>1.2500000000000009</v>
          </cell>
          <cell r="EV48">
            <v>1.2500000000000009</v>
          </cell>
          <cell r="EW48">
            <v>1.3333333333333339</v>
          </cell>
          <cell r="EX48">
            <v>1.3333333333333339</v>
          </cell>
          <cell r="EY48">
            <v>2.9166666666665915</v>
          </cell>
          <cell r="EZ48">
            <v>2.9166666666665915</v>
          </cell>
          <cell r="FA48">
            <v>2.9166666666665915</v>
          </cell>
          <cell r="FB48">
            <v>2.9166666666665915</v>
          </cell>
          <cell r="FC48">
            <v>3.1666666666665906</v>
          </cell>
          <cell r="FD48">
            <v>3.1666666666665906</v>
          </cell>
          <cell r="FE48">
            <v>3.1666666666665906</v>
          </cell>
          <cell r="FF48">
            <v>3.1666666666665906</v>
          </cell>
          <cell r="FG48">
            <v>3.1666666666665906</v>
          </cell>
          <cell r="FH48">
            <v>3.1666666666665906</v>
          </cell>
          <cell r="FI48">
            <v>3.1666666666665906</v>
          </cell>
          <cell r="FJ48">
            <v>48.99999999999919</v>
          </cell>
        </row>
        <row r="49">
          <cell r="ED49" t="str">
            <v>KPTJEX018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0</v>
          </cell>
          <cell r="EM49">
            <v>0</v>
          </cell>
          <cell r="EN49">
            <v>0</v>
          </cell>
          <cell r="EO49">
            <v>0</v>
          </cell>
          <cell r="EP49">
            <v>0</v>
          </cell>
          <cell r="EQ49">
            <v>0</v>
          </cell>
          <cell r="ER49">
            <v>0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>
            <v>0</v>
          </cell>
          <cell r="EX49">
            <v>0</v>
          </cell>
          <cell r="EY49">
            <v>0</v>
          </cell>
          <cell r="EZ49">
            <v>0</v>
          </cell>
          <cell r="FA49">
            <v>0</v>
          </cell>
          <cell r="FB49">
            <v>0</v>
          </cell>
          <cell r="FC49">
            <v>0</v>
          </cell>
          <cell r="FD49">
            <v>0</v>
          </cell>
          <cell r="FE49">
            <v>0</v>
          </cell>
          <cell r="FF49">
            <v>0</v>
          </cell>
          <cell r="FG49">
            <v>0</v>
          </cell>
          <cell r="FH49">
            <v>0</v>
          </cell>
          <cell r="FI49">
            <v>0</v>
          </cell>
          <cell r="FJ49">
            <v>0</v>
          </cell>
        </row>
        <row r="50">
          <cell r="ED50" t="str">
            <v>KPTJCP019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0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0</v>
          </cell>
          <cell r="EZ50">
            <v>0</v>
          </cell>
          <cell r="FA50">
            <v>0</v>
          </cell>
          <cell r="FB50">
            <v>0</v>
          </cell>
          <cell r="FC50">
            <v>0</v>
          </cell>
          <cell r="FD50">
            <v>0</v>
          </cell>
          <cell r="FE50">
            <v>0</v>
          </cell>
          <cell r="FF50">
            <v>0</v>
          </cell>
          <cell r="FG50">
            <v>0</v>
          </cell>
          <cell r="FH50">
            <v>0</v>
          </cell>
          <cell r="FI50">
            <v>0</v>
          </cell>
          <cell r="FJ50">
            <v>0</v>
          </cell>
        </row>
        <row r="51">
          <cell r="ED51" t="str">
            <v>KPTJDZ020</v>
          </cell>
          <cell r="EE51">
            <v>0.38333333333333464</v>
          </cell>
          <cell r="EF51">
            <v>0.38333333333333464</v>
          </cell>
          <cell r="EG51">
            <v>17.933333333333337</v>
          </cell>
          <cell r="EH51">
            <v>24.016666666666673</v>
          </cell>
          <cell r="EI51">
            <v>24.016666666666673</v>
          </cell>
          <cell r="EJ51">
            <v>24.016666666666673</v>
          </cell>
          <cell r="EK51">
            <v>24.016666666666673</v>
          </cell>
          <cell r="EL51">
            <v>24.016666666666673</v>
          </cell>
          <cell r="EM51">
            <v>24.016666666666673</v>
          </cell>
          <cell r="EN51">
            <v>24.266666666666673</v>
          </cell>
          <cell r="EO51">
            <v>24.266666666666673</v>
          </cell>
          <cell r="EP51">
            <v>24.266666666666673</v>
          </cell>
          <cell r="EQ51">
            <v>24.266666666666673</v>
          </cell>
          <cell r="ER51">
            <v>24.266666666666673</v>
          </cell>
          <cell r="ES51">
            <v>24.266666666666673</v>
          </cell>
          <cell r="ET51">
            <v>24.266666666666673</v>
          </cell>
          <cell r="EU51">
            <v>24.266666666666673</v>
          </cell>
          <cell r="EV51">
            <v>24.266666666666673</v>
          </cell>
          <cell r="EW51">
            <v>24.266666666666673</v>
          </cell>
          <cell r="EX51">
            <v>24.266666666666673</v>
          </cell>
          <cell r="EY51">
            <v>24.266666666666673</v>
          </cell>
          <cell r="EZ51">
            <v>24.266666666666673</v>
          </cell>
          <cell r="FA51">
            <v>24.266666666666673</v>
          </cell>
          <cell r="FB51">
            <v>24.38333333333334</v>
          </cell>
          <cell r="FC51">
            <v>24.38333333333334</v>
          </cell>
          <cell r="FD51">
            <v>24.38333333333334</v>
          </cell>
          <cell r="FE51">
            <v>30.13333333333334</v>
          </cell>
          <cell r="FF51">
            <v>30.13333333333334</v>
          </cell>
          <cell r="FG51">
            <v>30.13333333333334</v>
          </cell>
          <cell r="FH51">
            <v>30.13333333333334</v>
          </cell>
          <cell r="FI51">
            <v>30.13333333333334</v>
          </cell>
          <cell r="FJ51">
            <v>726.34999999999991</v>
          </cell>
        </row>
        <row r="52">
          <cell r="ED52" t="str">
            <v>KPTJDZ021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M52">
            <v>0</v>
          </cell>
          <cell r="EN52">
            <v>1.0833333333333712</v>
          </cell>
          <cell r="EO52">
            <v>1.3333333333333703</v>
          </cell>
          <cell r="EP52">
            <v>1.3333333333333703</v>
          </cell>
          <cell r="EQ52">
            <v>1.3333333333333703</v>
          </cell>
          <cell r="ER52">
            <v>1.3333333333333703</v>
          </cell>
          <cell r="ES52">
            <v>1.3333333333333703</v>
          </cell>
          <cell r="ET52">
            <v>1.8333333333333686</v>
          </cell>
          <cell r="EU52">
            <v>1.8333333333333686</v>
          </cell>
          <cell r="EV52">
            <v>1.8333333333333686</v>
          </cell>
          <cell r="EW52">
            <v>1.9166666666667016</v>
          </cell>
          <cell r="EX52">
            <v>2.5000000000000351</v>
          </cell>
          <cell r="EY52">
            <v>2.5000000000000351</v>
          </cell>
          <cell r="EZ52">
            <v>3.7500000000000346</v>
          </cell>
          <cell r="FA52">
            <v>3.7500000000000346</v>
          </cell>
          <cell r="FB52">
            <v>3.7500000000000346</v>
          </cell>
          <cell r="FC52">
            <v>5.1500000000000368</v>
          </cell>
          <cell r="FD52">
            <v>5.1500000000000368</v>
          </cell>
          <cell r="FE52">
            <v>5.5666666666667037</v>
          </cell>
          <cell r="FF52">
            <v>5.6666666666667034</v>
          </cell>
          <cell r="FG52">
            <v>5.6666666666667034</v>
          </cell>
          <cell r="FH52">
            <v>5.6666666666667034</v>
          </cell>
          <cell r="FI52">
            <v>5.6666666666667034</v>
          </cell>
          <cell r="FJ52">
            <v>69.950000000000784</v>
          </cell>
        </row>
        <row r="53">
          <cell r="ED53" t="str">
            <v>KPLMEX001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0</v>
          </cell>
          <cell r="EM53">
            <v>0</v>
          </cell>
          <cell r="EN53">
            <v>0</v>
          </cell>
          <cell r="EO53">
            <v>0</v>
          </cell>
          <cell r="EP53">
            <v>0</v>
          </cell>
          <cell r="EQ53">
            <v>0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0.16666666666666607</v>
          </cell>
          <cell r="EW53">
            <v>0.16666666666666607</v>
          </cell>
          <cell r="EX53">
            <v>0.16666666666666607</v>
          </cell>
          <cell r="EY53">
            <v>0.16666666666666607</v>
          </cell>
          <cell r="EZ53">
            <v>0.16666666666666607</v>
          </cell>
          <cell r="FA53">
            <v>0.16666666666666607</v>
          </cell>
          <cell r="FB53">
            <v>0.16666666666666607</v>
          </cell>
          <cell r="FC53">
            <v>0.16666666666666607</v>
          </cell>
          <cell r="FD53">
            <v>0.16666666666666607</v>
          </cell>
          <cell r="FE53">
            <v>0.16666666666666607</v>
          </cell>
          <cell r="FF53">
            <v>0.16666666666666607</v>
          </cell>
          <cell r="FG53">
            <v>0.16666666666666607</v>
          </cell>
          <cell r="FH53">
            <v>0.16666666666666607</v>
          </cell>
          <cell r="FI53">
            <v>0.16666666666666607</v>
          </cell>
          <cell r="FJ53">
            <v>2.333333333333325</v>
          </cell>
        </row>
        <row r="54">
          <cell r="ED54" t="str">
            <v>KPLMEX002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8.3333333333333037E-2</v>
          </cell>
          <cell r="EM54">
            <v>8.3333333333333037E-2</v>
          </cell>
          <cell r="EN54">
            <v>8.3333333333333037E-2</v>
          </cell>
          <cell r="EO54">
            <v>8.3333333333333037E-2</v>
          </cell>
          <cell r="EP54">
            <v>8.3333333333333037E-2</v>
          </cell>
          <cell r="EQ54">
            <v>8.3333333333333037E-2</v>
          </cell>
          <cell r="ER54">
            <v>8.3333333333333037E-2</v>
          </cell>
          <cell r="ES54">
            <v>8.3333333333333037E-2</v>
          </cell>
          <cell r="ET54">
            <v>8.3333333333333037E-2</v>
          </cell>
          <cell r="EU54">
            <v>8.3333333333333037E-2</v>
          </cell>
          <cell r="EV54">
            <v>8.3333333333333037E-2</v>
          </cell>
          <cell r="EW54">
            <v>8.3333333333333037E-2</v>
          </cell>
          <cell r="EX54">
            <v>1.416666666666667</v>
          </cell>
          <cell r="EY54">
            <v>1.416666666666667</v>
          </cell>
          <cell r="EZ54">
            <v>18.333333333333332</v>
          </cell>
          <cell r="FA54">
            <v>42.333333333333329</v>
          </cell>
          <cell r="FB54">
            <v>51.749999999999993</v>
          </cell>
          <cell r="FC54">
            <v>51.749999999999993</v>
          </cell>
          <cell r="FD54">
            <v>52.166666666666657</v>
          </cell>
          <cell r="FE54">
            <v>52.166666666666657</v>
          </cell>
          <cell r="FF54">
            <v>52.166666666666657</v>
          </cell>
          <cell r="FG54">
            <v>52.166666666666657</v>
          </cell>
          <cell r="FH54">
            <v>52.166666666666657</v>
          </cell>
          <cell r="FI54">
            <v>52.166666666666657</v>
          </cell>
          <cell r="FJ54">
            <v>480.99999999999989</v>
          </cell>
        </row>
        <row r="55">
          <cell r="ED55" t="str">
            <v>KPLMEX003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>
            <v>0</v>
          </cell>
          <cell r="EY55">
            <v>0</v>
          </cell>
          <cell r="EZ55">
            <v>0</v>
          </cell>
          <cell r="FA55">
            <v>0</v>
          </cell>
          <cell r="FB55">
            <v>0</v>
          </cell>
          <cell r="FC55">
            <v>0</v>
          </cell>
          <cell r="FD55">
            <v>0.49999999999999956</v>
          </cell>
          <cell r="FE55">
            <v>0.49999999999999956</v>
          </cell>
          <cell r="FF55">
            <v>0.49999999999999956</v>
          </cell>
          <cell r="FG55">
            <v>0.49999999999999956</v>
          </cell>
          <cell r="FH55">
            <v>0.49999999999999956</v>
          </cell>
          <cell r="FI55">
            <v>0.49999999999999956</v>
          </cell>
          <cell r="FJ55">
            <v>2.9999999999999973</v>
          </cell>
        </row>
        <row r="56">
          <cell r="ED56" t="str">
            <v>KPLMCP004</v>
          </cell>
          <cell r="EE56">
            <v>0</v>
          </cell>
          <cell r="EF56">
            <v>0</v>
          </cell>
          <cell r="EG56">
            <v>0</v>
          </cell>
          <cell r="EH56">
            <v>1.2500000000000009</v>
          </cell>
          <cell r="EI56">
            <v>1.2500000000000009</v>
          </cell>
          <cell r="EJ56">
            <v>1.2500000000000009</v>
          </cell>
          <cell r="EK56">
            <v>1.2500000000000009</v>
          </cell>
          <cell r="EL56">
            <v>1.2500000000000009</v>
          </cell>
          <cell r="EM56">
            <v>1.2500000000000009</v>
          </cell>
          <cell r="EN56">
            <v>2.0833333333333313</v>
          </cell>
          <cell r="EO56">
            <v>3.0833333333333317</v>
          </cell>
          <cell r="EP56">
            <v>3.0833333333333317</v>
          </cell>
          <cell r="EQ56">
            <v>3.0833333333333317</v>
          </cell>
          <cell r="ER56">
            <v>3.0833333333333317</v>
          </cell>
          <cell r="ES56">
            <v>4.4999999999999973</v>
          </cell>
          <cell r="ET56">
            <v>4.4999999999999973</v>
          </cell>
          <cell r="EU56">
            <v>7.9999999999999973</v>
          </cell>
          <cell r="EV56">
            <v>8.9999999999999964</v>
          </cell>
          <cell r="EW56">
            <v>10.349999999999998</v>
          </cell>
          <cell r="EX56">
            <v>10.349999999999998</v>
          </cell>
          <cell r="EY56">
            <v>10.349999999999998</v>
          </cell>
          <cell r="EZ56">
            <v>10.349999999999998</v>
          </cell>
          <cell r="FA56">
            <v>10.349999999999998</v>
          </cell>
          <cell r="FB56">
            <v>10.349999999999998</v>
          </cell>
          <cell r="FC56">
            <v>10.349999999999998</v>
          </cell>
          <cell r="FD56">
            <v>10.349999999999998</v>
          </cell>
          <cell r="FE56">
            <v>10.349999999999998</v>
          </cell>
          <cell r="FF56">
            <v>10.349999999999998</v>
          </cell>
          <cell r="FG56">
            <v>10.349999999999998</v>
          </cell>
          <cell r="FH56">
            <v>10.349999999999998</v>
          </cell>
          <cell r="FI56">
            <v>10.349999999999998</v>
          </cell>
          <cell r="FJ56">
            <v>182.46666666666658</v>
          </cell>
        </row>
        <row r="57">
          <cell r="ED57" t="str">
            <v>KPLMCP005</v>
          </cell>
          <cell r="EE57">
            <v>0</v>
          </cell>
          <cell r="EF57">
            <v>1.0000000000000004</v>
          </cell>
          <cell r="EG57">
            <v>3.1666666666666661</v>
          </cell>
          <cell r="EH57">
            <v>3.1666666666666661</v>
          </cell>
          <cell r="EI57">
            <v>3.1666666666666661</v>
          </cell>
          <cell r="EJ57">
            <v>3.1666666666666661</v>
          </cell>
          <cell r="EK57">
            <v>3.1666666666666661</v>
          </cell>
          <cell r="EL57">
            <v>3.1666666666666661</v>
          </cell>
          <cell r="EM57">
            <v>6.6666666666666661</v>
          </cell>
          <cell r="EN57">
            <v>8.8333333333333321</v>
          </cell>
          <cell r="EO57">
            <v>8.8333333333333321</v>
          </cell>
          <cell r="EP57">
            <v>8.8333333333333321</v>
          </cell>
          <cell r="EQ57">
            <v>8.8333333333333321</v>
          </cell>
          <cell r="ER57">
            <v>8.8333333333333321</v>
          </cell>
          <cell r="ES57">
            <v>8.8333333333333321</v>
          </cell>
          <cell r="ET57">
            <v>8.8333333333333321</v>
          </cell>
          <cell r="EU57">
            <v>9.0833333333333321</v>
          </cell>
          <cell r="EV57">
            <v>9.0833333333333321</v>
          </cell>
          <cell r="EW57">
            <v>9.0833333333333321</v>
          </cell>
          <cell r="EX57">
            <v>9.0833333333333321</v>
          </cell>
          <cell r="EY57">
            <v>9.0833333333333321</v>
          </cell>
          <cell r="EZ57">
            <v>9.0833333333333321</v>
          </cell>
          <cell r="FA57">
            <v>9.9166666666666643</v>
          </cell>
          <cell r="FB57">
            <v>9.9166666666666643</v>
          </cell>
          <cell r="FC57">
            <v>9.9166666666666643</v>
          </cell>
          <cell r="FD57">
            <v>9.9166666666666643</v>
          </cell>
          <cell r="FE57">
            <v>9.9166666666666643</v>
          </cell>
          <cell r="FF57">
            <v>9.9166666666666643</v>
          </cell>
          <cell r="FG57">
            <v>9.9166666666666643</v>
          </cell>
          <cell r="FH57">
            <v>9.9166666666666643</v>
          </cell>
          <cell r="FI57">
            <v>9.9166666666666643</v>
          </cell>
          <cell r="FJ57">
            <v>232.24999999999986</v>
          </cell>
        </row>
        <row r="64">
          <cell r="ED64" t="str">
            <v>KPTJEX023</v>
          </cell>
          <cell r="EE64">
            <v>23</v>
          </cell>
          <cell r="EF64">
            <v>47</v>
          </cell>
          <cell r="EG64">
            <v>71</v>
          </cell>
          <cell r="EH64">
            <v>95</v>
          </cell>
          <cell r="EI64">
            <v>119</v>
          </cell>
          <cell r="EJ64">
            <v>143</v>
          </cell>
          <cell r="EK64">
            <v>167</v>
          </cell>
          <cell r="EL64">
            <v>191</v>
          </cell>
          <cell r="EM64">
            <v>215</v>
          </cell>
          <cell r="EN64">
            <v>235.5</v>
          </cell>
          <cell r="EO64">
            <v>259.5</v>
          </cell>
          <cell r="EP64">
            <v>272</v>
          </cell>
          <cell r="EQ64">
            <v>295</v>
          </cell>
          <cell r="ER64">
            <v>312.5</v>
          </cell>
          <cell r="ES64">
            <v>333</v>
          </cell>
          <cell r="ET64">
            <v>354.5</v>
          </cell>
          <cell r="EU64">
            <v>378.5</v>
          </cell>
          <cell r="EV64">
            <v>402.5</v>
          </cell>
          <cell r="EW64">
            <v>420</v>
          </cell>
          <cell r="EX64">
            <v>444</v>
          </cell>
          <cell r="EY64">
            <v>468</v>
          </cell>
          <cell r="EZ64">
            <v>489</v>
          </cell>
          <cell r="FA64">
            <v>510</v>
          </cell>
          <cell r="FB64">
            <v>517</v>
          </cell>
          <cell r="FC64">
            <v>535</v>
          </cell>
          <cell r="FD64">
            <v>552</v>
          </cell>
          <cell r="FE64">
            <v>566</v>
          </cell>
          <cell r="FF64">
            <v>581</v>
          </cell>
          <cell r="FG64">
            <v>602.95000000000005</v>
          </cell>
          <cell r="FH64">
            <v>619.75</v>
          </cell>
          <cell r="FI64">
            <v>638.25</v>
          </cell>
          <cell r="FJ64">
            <v>10856.95</v>
          </cell>
        </row>
        <row r="65">
          <cell r="ED65" t="str">
            <v>KPTJEX003</v>
          </cell>
          <cell r="EE65">
            <v>24</v>
          </cell>
          <cell r="EF65">
            <v>48</v>
          </cell>
          <cell r="EG65">
            <v>72</v>
          </cell>
          <cell r="EH65">
            <v>96</v>
          </cell>
          <cell r="EI65">
            <v>120</v>
          </cell>
          <cell r="EJ65">
            <v>144</v>
          </cell>
          <cell r="EK65">
            <v>168</v>
          </cell>
          <cell r="EL65">
            <v>192</v>
          </cell>
          <cell r="EM65">
            <v>216</v>
          </cell>
          <cell r="EN65">
            <v>240</v>
          </cell>
          <cell r="EO65">
            <v>264</v>
          </cell>
          <cell r="EP65">
            <v>288</v>
          </cell>
          <cell r="EQ65">
            <v>312</v>
          </cell>
          <cell r="ER65">
            <v>336</v>
          </cell>
          <cell r="ES65">
            <v>360</v>
          </cell>
          <cell r="ET65">
            <v>384</v>
          </cell>
          <cell r="EU65">
            <v>408</v>
          </cell>
          <cell r="EV65">
            <v>432</v>
          </cell>
          <cell r="EW65">
            <v>456</v>
          </cell>
          <cell r="EX65">
            <v>480</v>
          </cell>
          <cell r="EY65">
            <v>504</v>
          </cell>
          <cell r="EZ65">
            <v>528</v>
          </cell>
          <cell r="FA65">
            <v>552</v>
          </cell>
          <cell r="FB65">
            <v>576</v>
          </cell>
          <cell r="FC65">
            <v>600</v>
          </cell>
          <cell r="FD65">
            <v>624</v>
          </cell>
          <cell r="FE65">
            <v>648</v>
          </cell>
          <cell r="FF65">
            <v>672</v>
          </cell>
          <cell r="FG65">
            <v>696</v>
          </cell>
          <cell r="FH65">
            <v>720</v>
          </cell>
          <cell r="FI65">
            <v>744</v>
          </cell>
          <cell r="FJ65">
            <v>11904</v>
          </cell>
        </row>
        <row r="66">
          <cell r="ED66" t="str">
            <v>KPTJDZ004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>
            <v>0</v>
          </cell>
          <cell r="EY66">
            <v>0</v>
          </cell>
          <cell r="EZ66">
            <v>0</v>
          </cell>
          <cell r="FA66">
            <v>0</v>
          </cell>
          <cell r="FB66">
            <v>0</v>
          </cell>
          <cell r="FC66">
            <v>0</v>
          </cell>
          <cell r="FD66">
            <v>0</v>
          </cell>
          <cell r="FE66">
            <v>0</v>
          </cell>
          <cell r="FF66">
            <v>0</v>
          </cell>
          <cell r="FG66">
            <v>0</v>
          </cell>
          <cell r="FH66">
            <v>0</v>
          </cell>
          <cell r="FI66">
            <v>0</v>
          </cell>
          <cell r="FJ66">
            <v>0</v>
          </cell>
        </row>
        <row r="67">
          <cell r="ED67" t="str">
            <v>KPTJDZ005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22.25</v>
          </cell>
          <cell r="EO67">
            <v>46.25</v>
          </cell>
          <cell r="EP67">
            <v>70.25</v>
          </cell>
          <cell r="EQ67">
            <v>94.25</v>
          </cell>
          <cell r="ER67">
            <v>118.25</v>
          </cell>
          <cell r="ES67">
            <v>142.25</v>
          </cell>
          <cell r="ET67">
            <v>166.25</v>
          </cell>
          <cell r="EU67">
            <v>190.25</v>
          </cell>
          <cell r="EV67">
            <v>214.25</v>
          </cell>
          <cell r="EW67">
            <v>220.25</v>
          </cell>
          <cell r="EX67">
            <v>242.25</v>
          </cell>
          <cell r="EY67">
            <v>266.25</v>
          </cell>
          <cell r="EZ67">
            <v>290.25</v>
          </cell>
          <cell r="FA67">
            <v>314.25</v>
          </cell>
          <cell r="FB67">
            <v>338.25</v>
          </cell>
          <cell r="FC67">
            <v>345.25</v>
          </cell>
          <cell r="FD67">
            <v>360.25</v>
          </cell>
          <cell r="FE67">
            <v>375.25</v>
          </cell>
          <cell r="FF67">
            <v>389.25</v>
          </cell>
          <cell r="FG67">
            <v>412.81666666666666</v>
          </cell>
          <cell r="FH67">
            <v>436.81666666666666</v>
          </cell>
          <cell r="FI67">
            <v>460.81666666666666</v>
          </cell>
          <cell r="FJ67">
            <v>5516.2</v>
          </cell>
        </row>
        <row r="68">
          <cell r="ED68" t="str">
            <v>KPTJCP006</v>
          </cell>
          <cell r="EE68">
            <v>0</v>
          </cell>
          <cell r="EF68">
            <v>0</v>
          </cell>
          <cell r="EG68">
            <v>0</v>
          </cell>
          <cell r="EH68">
            <v>0</v>
          </cell>
          <cell r="EI68">
            <v>0</v>
          </cell>
          <cell r="EJ68">
            <v>0</v>
          </cell>
          <cell r="EK68">
            <v>0</v>
          </cell>
          <cell r="EL68">
            <v>0</v>
          </cell>
          <cell r="EM68">
            <v>0</v>
          </cell>
          <cell r="EN68">
            <v>0</v>
          </cell>
          <cell r="EO68">
            <v>0</v>
          </cell>
          <cell r="EP68">
            <v>0</v>
          </cell>
          <cell r="EQ68">
            <v>0</v>
          </cell>
          <cell r="ER68">
            <v>0</v>
          </cell>
          <cell r="ES68">
            <v>0</v>
          </cell>
          <cell r="ET68">
            <v>0</v>
          </cell>
          <cell r="EU68">
            <v>0</v>
          </cell>
          <cell r="EV68">
            <v>0</v>
          </cell>
          <cell r="EW68">
            <v>0</v>
          </cell>
          <cell r="EX68">
            <v>0</v>
          </cell>
          <cell r="EY68">
            <v>0</v>
          </cell>
          <cell r="EZ68">
            <v>0</v>
          </cell>
          <cell r="FA68">
            <v>0</v>
          </cell>
          <cell r="FB68">
            <v>0</v>
          </cell>
          <cell r="FC68">
            <v>0</v>
          </cell>
          <cell r="FD68">
            <v>0</v>
          </cell>
          <cell r="FE68">
            <v>0</v>
          </cell>
          <cell r="FF68">
            <v>0</v>
          </cell>
          <cell r="FG68">
            <v>0</v>
          </cell>
          <cell r="FH68">
            <v>0</v>
          </cell>
          <cell r="FI68">
            <v>0</v>
          </cell>
          <cell r="FJ68">
            <v>0</v>
          </cell>
        </row>
        <row r="69">
          <cell r="ED69" t="str">
            <v>KPTJEX007</v>
          </cell>
          <cell r="EE69">
            <v>0</v>
          </cell>
          <cell r="EF69">
            <v>0</v>
          </cell>
          <cell r="EG69">
            <v>0</v>
          </cell>
          <cell r="EH69">
            <v>0</v>
          </cell>
          <cell r="EI69">
            <v>0</v>
          </cell>
          <cell r="EJ69">
            <v>0</v>
          </cell>
          <cell r="EK69">
            <v>0</v>
          </cell>
          <cell r="EL69">
            <v>0</v>
          </cell>
          <cell r="EM69">
            <v>0</v>
          </cell>
          <cell r="EN69">
            <v>0</v>
          </cell>
          <cell r="EO69">
            <v>0</v>
          </cell>
          <cell r="EP69">
            <v>0</v>
          </cell>
          <cell r="EQ69">
            <v>0</v>
          </cell>
          <cell r="ER69">
            <v>0</v>
          </cell>
          <cell r="ES69">
            <v>0</v>
          </cell>
          <cell r="ET69">
            <v>0</v>
          </cell>
          <cell r="EU69">
            <v>0</v>
          </cell>
          <cell r="EV69">
            <v>0</v>
          </cell>
          <cell r="EW69">
            <v>0</v>
          </cell>
          <cell r="EX69">
            <v>0</v>
          </cell>
          <cell r="EY69">
            <v>0</v>
          </cell>
          <cell r="EZ69">
            <v>0</v>
          </cell>
          <cell r="FA69">
            <v>0</v>
          </cell>
          <cell r="FB69">
            <v>0</v>
          </cell>
          <cell r="FC69">
            <v>0</v>
          </cell>
          <cell r="FD69">
            <v>0</v>
          </cell>
          <cell r="FE69">
            <v>0</v>
          </cell>
          <cell r="FF69">
            <v>0</v>
          </cell>
          <cell r="FG69">
            <v>0</v>
          </cell>
          <cell r="FH69">
            <v>0</v>
          </cell>
          <cell r="FI69">
            <v>0</v>
          </cell>
          <cell r="FJ69">
            <v>0</v>
          </cell>
        </row>
        <row r="70">
          <cell r="ED70" t="str">
            <v>KPTJDZ008</v>
          </cell>
          <cell r="EE70">
            <v>24</v>
          </cell>
          <cell r="EF70">
            <v>48</v>
          </cell>
          <cell r="EG70">
            <v>58.5</v>
          </cell>
          <cell r="EH70">
            <v>65</v>
          </cell>
          <cell r="EI70">
            <v>86</v>
          </cell>
          <cell r="EJ70">
            <v>110</v>
          </cell>
          <cell r="EK70">
            <v>122.25</v>
          </cell>
          <cell r="EL70">
            <v>132.58333333333334</v>
          </cell>
          <cell r="EM70">
            <v>137.5</v>
          </cell>
          <cell r="EN70">
            <v>144.41666666666666</v>
          </cell>
          <cell r="EO70">
            <v>150.16666666666666</v>
          </cell>
          <cell r="EP70">
            <v>155.41666666666666</v>
          </cell>
          <cell r="EQ70">
            <v>168.25</v>
          </cell>
          <cell r="ER70">
            <v>177.25</v>
          </cell>
          <cell r="ES70">
            <v>201.25</v>
          </cell>
          <cell r="ET70">
            <v>225.25</v>
          </cell>
          <cell r="EU70">
            <v>249.25</v>
          </cell>
          <cell r="EV70">
            <v>273.25</v>
          </cell>
          <cell r="EW70">
            <v>297.25</v>
          </cell>
          <cell r="EX70">
            <v>321.25</v>
          </cell>
          <cell r="EY70">
            <v>333.25</v>
          </cell>
          <cell r="EZ70">
            <v>337.58333333333331</v>
          </cell>
          <cell r="FA70">
            <v>345.08333333333331</v>
          </cell>
          <cell r="FB70">
            <v>349.18333333333334</v>
          </cell>
          <cell r="FC70">
            <v>364.01666666666665</v>
          </cell>
          <cell r="FD70">
            <v>370.01666666666665</v>
          </cell>
          <cell r="FE70">
            <v>374.43333333333334</v>
          </cell>
          <cell r="FF70">
            <v>379.56666666666666</v>
          </cell>
          <cell r="FG70">
            <v>403.56666666666666</v>
          </cell>
          <cell r="FH70">
            <v>427.56666666666666</v>
          </cell>
          <cell r="FI70">
            <v>451.56666666666666</v>
          </cell>
          <cell r="FJ70">
            <v>7282.6666666666661</v>
          </cell>
        </row>
        <row r="71">
          <cell r="ED71" t="str">
            <v>KPTJEX009</v>
          </cell>
          <cell r="EE71">
            <v>0</v>
          </cell>
          <cell r="EF71">
            <v>3.3333333334063298E-2</v>
          </cell>
          <cell r="EG71">
            <v>8.0333333333340633</v>
          </cell>
          <cell r="EH71">
            <v>13.200000000000692</v>
          </cell>
          <cell r="EI71">
            <v>20.200000000000692</v>
          </cell>
          <cell r="EJ71">
            <v>44.200000000000692</v>
          </cell>
          <cell r="EK71">
            <v>63.033333333334028</v>
          </cell>
          <cell r="EL71">
            <v>71.033333333334028</v>
          </cell>
          <cell r="EM71">
            <v>78.316666666667359</v>
          </cell>
          <cell r="EN71">
            <v>83.833333333334025</v>
          </cell>
          <cell r="EO71">
            <v>91.999999999999972</v>
          </cell>
          <cell r="EP71">
            <v>94.816666666668084</v>
          </cell>
          <cell r="EQ71">
            <v>100.11666666666736</v>
          </cell>
          <cell r="ER71">
            <v>106.61666666666736</v>
          </cell>
          <cell r="ES71">
            <v>112.85000000000069</v>
          </cell>
          <cell r="ET71">
            <v>117.60000000000069</v>
          </cell>
          <cell r="EU71">
            <v>121.83333333333476</v>
          </cell>
          <cell r="EV71">
            <v>129.63333333333404</v>
          </cell>
          <cell r="EW71">
            <v>132.13333333333404</v>
          </cell>
          <cell r="EX71">
            <v>132.13333333333404</v>
          </cell>
          <cell r="EY71">
            <v>138.63333333333404</v>
          </cell>
          <cell r="EZ71">
            <v>149.80000000000069</v>
          </cell>
          <cell r="FA71">
            <v>159.80000000000069</v>
          </cell>
          <cell r="FB71">
            <v>170.88333333333404</v>
          </cell>
          <cell r="FC71">
            <v>178.88333333333404</v>
          </cell>
          <cell r="FD71">
            <v>181.3666666666681</v>
          </cell>
          <cell r="FE71">
            <v>184.16666666666737</v>
          </cell>
          <cell r="FF71">
            <v>189.566666666667</v>
          </cell>
          <cell r="FG71">
            <v>213.566666666667</v>
          </cell>
          <cell r="FH71">
            <v>237.566666666667</v>
          </cell>
          <cell r="FI71">
            <v>261.566666666667</v>
          </cell>
          <cell r="FJ71">
            <v>3587.4166666666883</v>
          </cell>
        </row>
        <row r="72">
          <cell r="ED72" t="str">
            <v>KPTJEX010</v>
          </cell>
          <cell r="EE72">
            <v>24</v>
          </cell>
          <cell r="EF72">
            <v>48</v>
          </cell>
          <cell r="EG72">
            <v>72</v>
          </cell>
          <cell r="EH72">
            <v>96</v>
          </cell>
          <cell r="EI72">
            <v>120</v>
          </cell>
          <cell r="EJ72">
            <v>144</v>
          </cell>
          <cell r="EK72">
            <v>168</v>
          </cell>
          <cell r="EL72">
            <v>192</v>
          </cell>
          <cell r="EM72">
            <v>216</v>
          </cell>
          <cell r="EN72">
            <v>240</v>
          </cell>
          <cell r="EO72">
            <v>264</v>
          </cell>
          <cell r="EP72">
            <v>288</v>
          </cell>
          <cell r="EQ72">
            <v>312</v>
          </cell>
          <cell r="ER72">
            <v>336</v>
          </cell>
          <cell r="ES72">
            <v>360</v>
          </cell>
          <cell r="ET72">
            <v>384</v>
          </cell>
          <cell r="EU72">
            <v>408</v>
          </cell>
          <cell r="EV72">
            <v>432</v>
          </cell>
          <cell r="EW72">
            <v>456</v>
          </cell>
          <cell r="EX72">
            <v>480</v>
          </cell>
          <cell r="EY72">
            <v>504</v>
          </cell>
          <cell r="EZ72">
            <v>528</v>
          </cell>
          <cell r="FA72">
            <v>552</v>
          </cell>
          <cell r="FB72">
            <v>576</v>
          </cell>
          <cell r="FC72">
            <v>600</v>
          </cell>
          <cell r="FD72">
            <v>624</v>
          </cell>
          <cell r="FE72">
            <v>648</v>
          </cell>
          <cell r="FF72">
            <v>672</v>
          </cell>
          <cell r="FG72">
            <v>696</v>
          </cell>
          <cell r="FH72">
            <v>720</v>
          </cell>
          <cell r="FI72">
            <v>744</v>
          </cell>
          <cell r="FJ72">
            <v>11904</v>
          </cell>
        </row>
        <row r="73">
          <cell r="ED73" t="str">
            <v>KPTJDZ011</v>
          </cell>
          <cell r="EE73">
            <v>24</v>
          </cell>
          <cell r="EF73">
            <v>48</v>
          </cell>
          <cell r="EG73">
            <v>72</v>
          </cell>
          <cell r="EH73">
            <v>86.5</v>
          </cell>
          <cell r="EI73">
            <v>110</v>
          </cell>
          <cell r="EJ73">
            <v>134</v>
          </cell>
          <cell r="EK73">
            <v>147</v>
          </cell>
          <cell r="EL73">
            <v>154.74999999999983</v>
          </cell>
          <cell r="EM73">
            <v>159.55000000000001</v>
          </cell>
          <cell r="EN73">
            <v>175.8</v>
          </cell>
          <cell r="EO73">
            <v>190.3</v>
          </cell>
          <cell r="EP73">
            <v>204.63333333333335</v>
          </cell>
          <cell r="EQ73">
            <v>223.93333333333354</v>
          </cell>
          <cell r="ER73">
            <v>240.68333333333354</v>
          </cell>
          <cell r="ES73">
            <v>251.10000000000002</v>
          </cell>
          <cell r="ET73">
            <v>258.35000000000002</v>
          </cell>
          <cell r="EU73">
            <v>263.85000000000002</v>
          </cell>
          <cell r="EV73">
            <v>283.85000000000002</v>
          </cell>
          <cell r="EW73">
            <v>296.85000000000002</v>
          </cell>
          <cell r="EX73">
            <v>301.85000000000002</v>
          </cell>
          <cell r="EY73">
            <v>321.85000000000002</v>
          </cell>
          <cell r="EZ73">
            <v>326.76666666666671</v>
          </cell>
          <cell r="FA73">
            <v>343.90000000000003</v>
          </cell>
          <cell r="FB73">
            <v>348.8</v>
          </cell>
          <cell r="FC73">
            <v>352.8</v>
          </cell>
          <cell r="FD73">
            <v>368.8</v>
          </cell>
          <cell r="FE73">
            <v>372.4666666666667</v>
          </cell>
          <cell r="FF73">
            <v>389.4666666666667</v>
          </cell>
          <cell r="FG73">
            <v>413.4666666666667</v>
          </cell>
          <cell r="FH73">
            <v>437.4666666666667</v>
          </cell>
          <cell r="FI73">
            <v>461.4666666666667</v>
          </cell>
          <cell r="FJ73">
            <v>7764.2500000000018</v>
          </cell>
        </row>
        <row r="74">
          <cell r="ED74" t="str">
            <v>KPTJDZ012</v>
          </cell>
          <cell r="EE74">
            <v>24</v>
          </cell>
          <cell r="EF74">
            <v>48</v>
          </cell>
          <cell r="EG74">
            <v>72</v>
          </cell>
          <cell r="EH74">
            <v>96</v>
          </cell>
          <cell r="EI74">
            <v>115.5</v>
          </cell>
          <cell r="EJ74">
            <v>139.5</v>
          </cell>
          <cell r="EK74">
            <v>163.5</v>
          </cell>
          <cell r="EL74">
            <v>180.25</v>
          </cell>
          <cell r="EM74">
            <v>203.25</v>
          </cell>
          <cell r="EN74">
            <v>208.58333333333334</v>
          </cell>
          <cell r="EO74">
            <v>214.08333333333334</v>
          </cell>
          <cell r="EP74">
            <v>219.08333333333334</v>
          </cell>
          <cell r="EQ74">
            <v>224.08333333333334</v>
          </cell>
          <cell r="ER74">
            <v>233.51666666666668</v>
          </cell>
          <cell r="ES74">
            <v>241.51666666666668</v>
          </cell>
          <cell r="ET74">
            <v>247.01666666666668</v>
          </cell>
          <cell r="EU74">
            <v>262.01666666666665</v>
          </cell>
          <cell r="EV74">
            <v>272.41666666666629</v>
          </cell>
          <cell r="EW74">
            <v>280.01666666666665</v>
          </cell>
          <cell r="EX74">
            <v>301.01666666666665</v>
          </cell>
          <cell r="EY74">
            <v>325.01666666666665</v>
          </cell>
          <cell r="EZ74">
            <v>349.01666666666665</v>
          </cell>
          <cell r="FA74">
            <v>354.61666666666702</v>
          </cell>
          <cell r="FB74">
            <v>372.01666666666665</v>
          </cell>
          <cell r="FC74">
            <v>375.51666666666665</v>
          </cell>
          <cell r="FD74">
            <v>379.01666666666665</v>
          </cell>
          <cell r="FE74">
            <v>383.01666666666665</v>
          </cell>
          <cell r="FF74">
            <v>393.13333333333344</v>
          </cell>
          <cell r="FG74">
            <v>417.13333333333344</v>
          </cell>
          <cell r="FH74">
            <v>441.13333333333344</v>
          </cell>
          <cell r="FI74">
            <v>465.13333333333344</v>
          </cell>
          <cell r="FJ74">
            <v>8000.0999999999976</v>
          </cell>
        </row>
        <row r="75">
          <cell r="ED75" t="str">
            <v>KPTJDZ022</v>
          </cell>
          <cell r="EE75">
            <v>11</v>
          </cell>
          <cell r="EF75">
            <v>15.833333333333336</v>
          </cell>
          <cell r="EG75">
            <v>22.333333333333336</v>
          </cell>
          <cell r="EH75">
            <v>27.833333333333336</v>
          </cell>
          <cell r="EI75">
            <v>40.666666666666671</v>
          </cell>
          <cell r="EJ75">
            <v>64.666666666666671</v>
          </cell>
          <cell r="EK75">
            <v>78.666666666666671</v>
          </cell>
          <cell r="EL75">
            <v>90.666666666666671</v>
          </cell>
          <cell r="EM75">
            <v>103.66666666666667</v>
          </cell>
          <cell r="EN75">
            <v>108.16666666666667</v>
          </cell>
          <cell r="EO75">
            <v>118.36666666666666</v>
          </cell>
          <cell r="EP75">
            <v>129.38333333333335</v>
          </cell>
          <cell r="EQ75">
            <v>143.05000000000001</v>
          </cell>
          <cell r="ER75">
            <v>151.05000000000001</v>
          </cell>
          <cell r="ES75">
            <v>156.65</v>
          </cell>
          <cell r="ET75">
            <v>163.65</v>
          </cell>
          <cell r="EU75">
            <v>170.06666666666666</v>
          </cell>
          <cell r="EV75">
            <v>194.06666666666666</v>
          </cell>
          <cell r="EW75">
            <v>210.56666666666666</v>
          </cell>
          <cell r="EX75">
            <v>231.56666666666666</v>
          </cell>
          <cell r="EY75">
            <v>255.56666666666666</v>
          </cell>
          <cell r="EZ75">
            <v>269.56666666666666</v>
          </cell>
          <cell r="FA75">
            <v>282.89999999999998</v>
          </cell>
          <cell r="FB75">
            <v>303.39999999999998</v>
          </cell>
          <cell r="FC75">
            <v>322.89999999999998</v>
          </cell>
          <cell r="FD75">
            <v>326.89999999999998</v>
          </cell>
          <cell r="FE75">
            <v>344.9</v>
          </cell>
          <cell r="FF75">
            <v>361.9</v>
          </cell>
          <cell r="FG75">
            <v>385.9</v>
          </cell>
          <cell r="FH75">
            <v>409.9</v>
          </cell>
          <cell r="FI75">
            <v>433.9</v>
          </cell>
          <cell r="FJ75">
            <v>5929.6499999999987</v>
          </cell>
        </row>
        <row r="76">
          <cell r="ED76" t="str">
            <v>KPTJDZ015</v>
          </cell>
          <cell r="EE76">
            <v>0</v>
          </cell>
          <cell r="EF76">
            <v>0</v>
          </cell>
          <cell r="EG76">
            <v>0</v>
          </cell>
          <cell r="EH76">
            <v>0</v>
          </cell>
          <cell r="EI76">
            <v>0</v>
          </cell>
          <cell r="EJ76">
            <v>0</v>
          </cell>
          <cell r="EK76">
            <v>0</v>
          </cell>
          <cell r="EL76">
            <v>0</v>
          </cell>
          <cell r="EM76">
            <v>0</v>
          </cell>
          <cell r="EN76">
            <v>0</v>
          </cell>
          <cell r="EO76">
            <v>0</v>
          </cell>
          <cell r="EP76">
            <v>0</v>
          </cell>
          <cell r="EQ76">
            <v>0</v>
          </cell>
          <cell r="ER76">
            <v>0</v>
          </cell>
          <cell r="ES76">
            <v>0</v>
          </cell>
          <cell r="ET76">
            <v>0</v>
          </cell>
          <cell r="EU76">
            <v>0</v>
          </cell>
          <cell r="EV76">
            <v>0</v>
          </cell>
          <cell r="EW76">
            <v>0</v>
          </cell>
          <cell r="EX76">
            <v>0</v>
          </cell>
          <cell r="EY76">
            <v>0</v>
          </cell>
          <cell r="EZ76">
            <v>0</v>
          </cell>
          <cell r="FA76">
            <v>0</v>
          </cell>
          <cell r="FB76">
            <v>0</v>
          </cell>
          <cell r="FC76">
            <v>0</v>
          </cell>
          <cell r="FD76">
            <v>0</v>
          </cell>
          <cell r="FE76">
            <v>0</v>
          </cell>
          <cell r="FF76">
            <v>0</v>
          </cell>
          <cell r="FG76">
            <v>0</v>
          </cell>
          <cell r="FH76">
            <v>0</v>
          </cell>
          <cell r="FI76">
            <v>0</v>
          </cell>
          <cell r="FJ76">
            <v>0</v>
          </cell>
        </row>
        <row r="77">
          <cell r="ED77" t="str">
            <v>KPTJDZ016</v>
          </cell>
          <cell r="EE77">
            <v>0</v>
          </cell>
          <cell r="EF77">
            <v>0</v>
          </cell>
          <cell r="EG77">
            <v>0</v>
          </cell>
          <cell r="EH77">
            <v>0</v>
          </cell>
          <cell r="EI77">
            <v>0</v>
          </cell>
          <cell r="EJ77">
            <v>0</v>
          </cell>
          <cell r="EK77">
            <v>0</v>
          </cell>
          <cell r="EL77">
            <v>0</v>
          </cell>
          <cell r="EM77">
            <v>0</v>
          </cell>
          <cell r="EN77">
            <v>0</v>
          </cell>
          <cell r="EO77">
            <v>0</v>
          </cell>
          <cell r="EP77">
            <v>0</v>
          </cell>
          <cell r="EQ77">
            <v>0</v>
          </cell>
          <cell r="ER77">
            <v>0</v>
          </cell>
          <cell r="ES77">
            <v>0</v>
          </cell>
          <cell r="ET77">
            <v>0</v>
          </cell>
          <cell r="EU77">
            <v>0</v>
          </cell>
          <cell r="EV77">
            <v>0</v>
          </cell>
          <cell r="EW77">
            <v>0</v>
          </cell>
          <cell r="EX77">
            <v>0</v>
          </cell>
          <cell r="EY77">
            <v>0</v>
          </cell>
          <cell r="EZ77">
            <v>0</v>
          </cell>
          <cell r="FA77">
            <v>0</v>
          </cell>
          <cell r="FB77">
            <v>0</v>
          </cell>
          <cell r="FC77">
            <v>0</v>
          </cell>
          <cell r="FD77">
            <v>0</v>
          </cell>
          <cell r="FE77">
            <v>0</v>
          </cell>
          <cell r="FF77">
            <v>0</v>
          </cell>
          <cell r="FG77">
            <v>0</v>
          </cell>
          <cell r="FH77">
            <v>0</v>
          </cell>
          <cell r="FI77">
            <v>0</v>
          </cell>
          <cell r="FJ77">
            <v>0</v>
          </cell>
        </row>
        <row r="78">
          <cell r="ED78" t="str">
            <v>KPTJDZ017</v>
          </cell>
          <cell r="EE78">
            <v>6</v>
          </cell>
          <cell r="EF78">
            <v>10.5</v>
          </cell>
          <cell r="EG78">
            <v>17</v>
          </cell>
          <cell r="EH78">
            <v>24.599999999999909</v>
          </cell>
          <cell r="EI78">
            <v>45.5</v>
          </cell>
          <cell r="EJ78">
            <v>69.5</v>
          </cell>
          <cell r="EK78">
            <v>82</v>
          </cell>
          <cell r="EL78">
            <v>92</v>
          </cell>
          <cell r="EM78">
            <v>110.75</v>
          </cell>
          <cell r="EN78">
            <v>134.75</v>
          </cell>
          <cell r="EO78">
            <v>158.75</v>
          </cell>
          <cell r="EP78">
            <v>182.75</v>
          </cell>
          <cell r="EQ78">
            <v>197.25</v>
          </cell>
          <cell r="ER78">
            <v>221.25</v>
          </cell>
          <cell r="ES78">
            <v>245.25</v>
          </cell>
          <cell r="ET78">
            <v>265.75</v>
          </cell>
          <cell r="EU78">
            <v>289.75</v>
          </cell>
          <cell r="EV78">
            <v>312.75</v>
          </cell>
          <cell r="EW78">
            <v>316.66666666666669</v>
          </cell>
          <cell r="EX78">
            <v>320.66666666666669</v>
          </cell>
          <cell r="EY78">
            <v>328.08333333333343</v>
          </cell>
          <cell r="EZ78">
            <v>333.08333333333343</v>
          </cell>
          <cell r="FA78">
            <v>339.58333333333343</v>
          </cell>
          <cell r="FB78">
            <v>344.58333333333343</v>
          </cell>
          <cell r="FC78">
            <v>349.83333333333343</v>
          </cell>
          <cell r="FD78">
            <v>353.83333333333343</v>
          </cell>
          <cell r="FE78">
            <v>368.83333333333343</v>
          </cell>
          <cell r="FF78">
            <v>374.83333333333343</v>
          </cell>
          <cell r="FG78">
            <v>398.83333333333343</v>
          </cell>
          <cell r="FH78">
            <v>422.83333333333343</v>
          </cell>
          <cell r="FI78">
            <v>446.83333333333343</v>
          </cell>
          <cell r="FJ78">
            <v>7164.5999999999976</v>
          </cell>
        </row>
        <row r="79">
          <cell r="ED79" t="str">
            <v>KPTJEX018</v>
          </cell>
          <cell r="EE79">
            <v>24</v>
          </cell>
          <cell r="EF79">
            <v>48</v>
          </cell>
          <cell r="EG79">
            <v>72</v>
          </cell>
          <cell r="EH79">
            <v>96</v>
          </cell>
          <cell r="EI79">
            <v>120</v>
          </cell>
          <cell r="EJ79">
            <v>144</v>
          </cell>
          <cell r="EK79">
            <v>168</v>
          </cell>
          <cell r="EL79">
            <v>192</v>
          </cell>
          <cell r="EM79">
            <v>216</v>
          </cell>
          <cell r="EN79">
            <v>240</v>
          </cell>
          <cell r="EO79">
            <v>264</v>
          </cell>
          <cell r="EP79">
            <v>288</v>
          </cell>
          <cell r="EQ79">
            <v>312</v>
          </cell>
          <cell r="ER79">
            <v>336</v>
          </cell>
          <cell r="ES79">
            <v>360</v>
          </cell>
          <cell r="ET79">
            <v>384</v>
          </cell>
          <cell r="EU79">
            <v>408</v>
          </cell>
          <cell r="EV79">
            <v>432</v>
          </cell>
          <cell r="EW79">
            <v>456</v>
          </cell>
          <cell r="EX79">
            <v>480</v>
          </cell>
          <cell r="EY79">
            <v>504</v>
          </cell>
          <cell r="EZ79">
            <v>528</v>
          </cell>
          <cell r="FA79">
            <v>552</v>
          </cell>
          <cell r="FB79">
            <v>576</v>
          </cell>
          <cell r="FC79">
            <v>600</v>
          </cell>
          <cell r="FD79">
            <v>624</v>
          </cell>
          <cell r="FE79">
            <v>648</v>
          </cell>
          <cell r="FF79">
            <v>672</v>
          </cell>
          <cell r="FG79">
            <v>696</v>
          </cell>
          <cell r="FH79">
            <v>720</v>
          </cell>
          <cell r="FI79">
            <v>744</v>
          </cell>
          <cell r="FJ79">
            <v>11904</v>
          </cell>
        </row>
        <row r="80">
          <cell r="ED80" t="str">
            <v>KPTJCP019</v>
          </cell>
          <cell r="EE80">
            <v>0</v>
          </cell>
          <cell r="EF80">
            <v>0</v>
          </cell>
          <cell r="EG80">
            <v>0</v>
          </cell>
          <cell r="EH80">
            <v>0</v>
          </cell>
          <cell r="EI80">
            <v>0</v>
          </cell>
          <cell r="EJ80">
            <v>0</v>
          </cell>
          <cell r="EK80">
            <v>0</v>
          </cell>
          <cell r="EL80">
            <v>0</v>
          </cell>
          <cell r="EM80">
            <v>0</v>
          </cell>
          <cell r="EN80">
            <v>0</v>
          </cell>
          <cell r="EO80">
            <v>0</v>
          </cell>
          <cell r="EP80">
            <v>0</v>
          </cell>
          <cell r="EQ80">
            <v>0</v>
          </cell>
          <cell r="ER80">
            <v>0</v>
          </cell>
          <cell r="ES80">
            <v>0</v>
          </cell>
          <cell r="ET80">
            <v>0</v>
          </cell>
          <cell r="EU80">
            <v>0</v>
          </cell>
          <cell r="EV80">
            <v>0</v>
          </cell>
          <cell r="EW80">
            <v>0</v>
          </cell>
          <cell r="EX80">
            <v>0</v>
          </cell>
          <cell r="EY80">
            <v>0</v>
          </cell>
          <cell r="EZ80">
            <v>0</v>
          </cell>
          <cell r="FA80">
            <v>0</v>
          </cell>
          <cell r="FB80">
            <v>0</v>
          </cell>
          <cell r="FC80">
            <v>0</v>
          </cell>
          <cell r="FD80">
            <v>0</v>
          </cell>
          <cell r="FE80">
            <v>0</v>
          </cell>
          <cell r="FF80">
            <v>0</v>
          </cell>
          <cell r="FG80">
            <v>0</v>
          </cell>
          <cell r="FH80">
            <v>0</v>
          </cell>
          <cell r="FI80">
            <v>0</v>
          </cell>
          <cell r="FJ80">
            <v>0</v>
          </cell>
        </row>
        <row r="81">
          <cell r="ED81" t="str">
            <v>KPTJDZ020</v>
          </cell>
          <cell r="EE81">
            <v>4.6166666666666671</v>
          </cell>
          <cell r="EF81">
            <v>9.6166666666666671</v>
          </cell>
          <cell r="EG81">
            <v>16.066666666666666</v>
          </cell>
          <cell r="EH81">
            <v>29.483333333333334</v>
          </cell>
          <cell r="EI81">
            <v>53.483333333333334</v>
          </cell>
          <cell r="EJ81">
            <v>77.483333333333334</v>
          </cell>
          <cell r="EK81">
            <v>101.48333333333333</v>
          </cell>
          <cell r="EL81">
            <v>120.98333333333333</v>
          </cell>
          <cell r="EM81">
            <v>136.98333333333335</v>
          </cell>
          <cell r="EN81">
            <v>142.5333333333333</v>
          </cell>
          <cell r="EO81">
            <v>148.23333333333335</v>
          </cell>
          <cell r="EP81">
            <v>152.73333333333335</v>
          </cell>
          <cell r="EQ81">
            <v>157.73333333333335</v>
          </cell>
          <cell r="ER81">
            <v>172.73333333333335</v>
          </cell>
          <cell r="ES81">
            <v>175.73333333333335</v>
          </cell>
          <cell r="ET81">
            <v>179.73333333333335</v>
          </cell>
          <cell r="EU81">
            <v>196.73333333333335</v>
          </cell>
          <cell r="EV81">
            <v>208.73333333333335</v>
          </cell>
          <cell r="EW81">
            <v>232.73333333333335</v>
          </cell>
          <cell r="EX81">
            <v>256.73333333333335</v>
          </cell>
          <cell r="EY81">
            <v>280.73333333333335</v>
          </cell>
          <cell r="EZ81">
            <v>304.73333333333335</v>
          </cell>
          <cell r="FA81">
            <v>328.73333333333335</v>
          </cell>
          <cell r="FB81">
            <v>335.31666666666672</v>
          </cell>
          <cell r="FC81">
            <v>340.41666666666663</v>
          </cell>
          <cell r="FD81">
            <v>346.11666666666667</v>
          </cell>
          <cell r="FE81">
            <v>363.36666666666667</v>
          </cell>
          <cell r="FF81">
            <v>366.26666666666677</v>
          </cell>
          <cell r="FG81">
            <v>390.26666666666677</v>
          </cell>
          <cell r="FH81">
            <v>414.26666666666677</v>
          </cell>
          <cell r="FI81">
            <v>438.26666666666677</v>
          </cell>
          <cell r="FJ81">
            <v>6483.0500000000011</v>
          </cell>
        </row>
        <row r="82">
          <cell r="ED82" t="str">
            <v>KPTJDZ021</v>
          </cell>
          <cell r="EE82">
            <v>7</v>
          </cell>
          <cell r="EF82">
            <v>31</v>
          </cell>
          <cell r="EG82">
            <v>55</v>
          </cell>
          <cell r="EH82">
            <v>79</v>
          </cell>
          <cell r="EI82">
            <v>103</v>
          </cell>
          <cell r="EJ82">
            <v>127</v>
          </cell>
          <cell r="EK82">
            <v>145</v>
          </cell>
          <cell r="EL82">
            <v>159</v>
          </cell>
          <cell r="EM82">
            <v>171.5</v>
          </cell>
          <cell r="EN82">
            <v>179.91666666666663</v>
          </cell>
          <cell r="EO82">
            <v>186.66666666666663</v>
          </cell>
          <cell r="EP82">
            <v>197.66666666666663</v>
          </cell>
          <cell r="EQ82">
            <v>210.66666666666663</v>
          </cell>
          <cell r="ER82">
            <v>225.66666666666663</v>
          </cell>
          <cell r="ES82">
            <v>241.66666666666663</v>
          </cell>
          <cell r="ET82">
            <v>252.16666666666663</v>
          </cell>
          <cell r="EU82">
            <v>264.16666666666663</v>
          </cell>
          <cell r="EV82">
            <v>288.16666666666663</v>
          </cell>
          <cell r="EW82">
            <v>302.08333333333331</v>
          </cell>
          <cell r="EX82">
            <v>308.5</v>
          </cell>
          <cell r="EY82">
            <v>314.5</v>
          </cell>
          <cell r="EZ82">
            <v>318.25</v>
          </cell>
          <cell r="FA82">
            <v>325.25</v>
          </cell>
          <cell r="FB82">
            <v>329.25</v>
          </cell>
          <cell r="FC82">
            <v>332.35</v>
          </cell>
          <cell r="FD82">
            <v>346.85</v>
          </cell>
          <cell r="FE82">
            <v>350.43333333333334</v>
          </cell>
          <cell r="FF82">
            <v>359.83333333333331</v>
          </cell>
          <cell r="FG82">
            <v>383.83333333333331</v>
          </cell>
          <cell r="FH82">
            <v>407.83333333333331</v>
          </cell>
          <cell r="FI82">
            <v>431.83333333333331</v>
          </cell>
          <cell r="FJ82">
            <v>7435.0499999999984</v>
          </cell>
        </row>
        <row r="83">
          <cell r="ED83" t="str">
            <v>KPLMEX001</v>
          </cell>
          <cell r="EE83">
            <v>24</v>
          </cell>
          <cell r="EF83">
            <v>48</v>
          </cell>
          <cell r="EG83">
            <v>72</v>
          </cell>
          <cell r="EH83">
            <v>96</v>
          </cell>
          <cell r="EI83">
            <v>120</v>
          </cell>
          <cell r="EJ83">
            <v>144</v>
          </cell>
          <cell r="EK83">
            <v>168</v>
          </cell>
          <cell r="EL83">
            <v>192</v>
          </cell>
          <cell r="EM83">
            <v>216</v>
          </cell>
          <cell r="EN83">
            <v>231.5</v>
          </cell>
          <cell r="EO83">
            <v>237.5</v>
          </cell>
          <cell r="EP83">
            <v>243</v>
          </cell>
          <cell r="EQ83">
            <v>252.5</v>
          </cell>
          <cell r="ER83">
            <v>262</v>
          </cell>
          <cell r="ES83">
            <v>269</v>
          </cell>
          <cell r="ET83">
            <v>278</v>
          </cell>
          <cell r="EU83">
            <v>284</v>
          </cell>
          <cell r="EV83">
            <v>290.33333333333331</v>
          </cell>
          <cell r="EW83">
            <v>296.33333333333331</v>
          </cell>
          <cell r="EX83">
            <v>301.33333333333331</v>
          </cell>
          <cell r="EY83">
            <v>316.83333333333331</v>
          </cell>
          <cell r="EZ83">
            <v>321.33333333333331</v>
          </cell>
          <cell r="FA83">
            <v>326.33333333333331</v>
          </cell>
          <cell r="FB83">
            <v>333.83333333333331</v>
          </cell>
          <cell r="FC83">
            <v>348.33333333333331</v>
          </cell>
          <cell r="FD83">
            <v>352.83333333333331</v>
          </cell>
          <cell r="FE83">
            <v>358.83333333333331</v>
          </cell>
          <cell r="FF83">
            <v>364.33333333333331</v>
          </cell>
          <cell r="FG83">
            <v>388.33333333333331</v>
          </cell>
          <cell r="FH83">
            <v>412.33333333333331</v>
          </cell>
          <cell r="FI83">
            <v>436.33333333333331</v>
          </cell>
          <cell r="FJ83">
            <v>7985.1666666666642</v>
          </cell>
        </row>
        <row r="84">
          <cell r="ED84" t="str">
            <v>KPLMEX002</v>
          </cell>
          <cell r="EE84">
            <v>6</v>
          </cell>
          <cell r="EF84">
            <v>15.5</v>
          </cell>
          <cell r="EG84">
            <v>35.5</v>
          </cell>
          <cell r="EH84">
            <v>49.5</v>
          </cell>
          <cell r="EI84">
            <v>66.5</v>
          </cell>
          <cell r="EJ84">
            <v>90.5</v>
          </cell>
          <cell r="EK84">
            <v>106.5</v>
          </cell>
          <cell r="EL84">
            <v>113.41666666666667</v>
          </cell>
          <cell r="EM84">
            <v>118.41666666666667</v>
          </cell>
          <cell r="EN84">
            <v>126.41666666666667</v>
          </cell>
          <cell r="EO84">
            <v>132.91666666666669</v>
          </cell>
          <cell r="EP84">
            <v>138.41666666666669</v>
          </cell>
          <cell r="EQ84">
            <v>148.41666666666669</v>
          </cell>
          <cell r="ER84">
            <v>159.41666666666669</v>
          </cell>
          <cell r="ES84">
            <v>165.41666666666669</v>
          </cell>
          <cell r="ET84">
            <v>180.41666666666669</v>
          </cell>
          <cell r="EU84">
            <v>193.41666666666669</v>
          </cell>
          <cell r="EV84">
            <v>208.41666666666669</v>
          </cell>
          <cell r="EW84">
            <v>223.41666666666669</v>
          </cell>
          <cell r="EX84">
            <v>227.18333333333325</v>
          </cell>
          <cell r="EY84">
            <v>243.08333333333334</v>
          </cell>
          <cell r="EZ84">
            <v>244.16666666666669</v>
          </cell>
          <cell r="FA84">
            <v>244.16666666666669</v>
          </cell>
          <cell r="FB84">
            <v>248.45000000000007</v>
          </cell>
          <cell r="FC84">
            <v>253.75000000000003</v>
          </cell>
          <cell r="FD84">
            <v>258.33333333333337</v>
          </cell>
          <cell r="FE84">
            <v>264.33333333333337</v>
          </cell>
          <cell r="FF84">
            <v>270.33333333333337</v>
          </cell>
          <cell r="FG84">
            <v>294.33333333333337</v>
          </cell>
          <cell r="FH84">
            <v>318.33333333333337</v>
          </cell>
          <cell r="FI84">
            <v>342.33333333333337</v>
          </cell>
          <cell r="FJ84">
            <v>5487.2999999999993</v>
          </cell>
        </row>
        <row r="85">
          <cell r="ED85" t="str">
            <v>KPLMEX003</v>
          </cell>
          <cell r="EE85">
            <v>8.2000000000000455</v>
          </cell>
          <cell r="EF85">
            <v>23.200000000000045</v>
          </cell>
          <cell r="EG85">
            <v>32.200000000000045</v>
          </cell>
          <cell r="EH85">
            <v>41.200000000000045</v>
          </cell>
          <cell r="EI85">
            <v>65.200000000000045</v>
          </cell>
          <cell r="EJ85">
            <v>89.200000000000045</v>
          </cell>
          <cell r="EK85">
            <v>113.20000000000005</v>
          </cell>
          <cell r="EL85">
            <v>121.20000000000005</v>
          </cell>
          <cell r="EM85">
            <v>137.20000000000005</v>
          </cell>
          <cell r="EN85">
            <v>145.70000000000005</v>
          </cell>
          <cell r="EO85">
            <v>169.70000000000005</v>
          </cell>
          <cell r="EP85">
            <v>191.20000000000005</v>
          </cell>
          <cell r="EQ85">
            <v>212.20000000000005</v>
          </cell>
          <cell r="ER85">
            <v>234.20000000000005</v>
          </cell>
          <cell r="ES85">
            <v>258.20000000000005</v>
          </cell>
          <cell r="ET85">
            <v>282.20000000000005</v>
          </cell>
          <cell r="EU85">
            <v>306.20000000000005</v>
          </cell>
          <cell r="EV85">
            <v>330.20000000000005</v>
          </cell>
          <cell r="EW85">
            <v>354.20000000000005</v>
          </cell>
          <cell r="EX85">
            <v>378.20000000000005</v>
          </cell>
          <cell r="EY85">
            <v>390.70000000000005</v>
          </cell>
          <cell r="EZ85">
            <v>394.20000000000005</v>
          </cell>
          <cell r="FA85">
            <v>399.70000000000005</v>
          </cell>
          <cell r="FB85">
            <v>405.20000000000005</v>
          </cell>
          <cell r="FC85">
            <v>424.40000000000009</v>
          </cell>
          <cell r="FD85">
            <v>439.20000000000005</v>
          </cell>
          <cell r="FE85">
            <v>449.70000000000005</v>
          </cell>
          <cell r="FF85">
            <v>463.70000000000005</v>
          </cell>
          <cell r="FG85">
            <v>477.70000000000005</v>
          </cell>
          <cell r="FH85">
            <v>501.70000000000005</v>
          </cell>
          <cell r="FI85">
            <v>525.70000000000005</v>
          </cell>
          <cell r="FJ85">
            <v>8364.8999999999978</v>
          </cell>
        </row>
        <row r="86">
          <cell r="ED86" t="str">
            <v>KPLMCP004</v>
          </cell>
          <cell r="EE86">
            <v>24</v>
          </cell>
          <cell r="EF86">
            <v>45</v>
          </cell>
          <cell r="EG86">
            <v>59</v>
          </cell>
          <cell r="EH86">
            <v>77.75</v>
          </cell>
          <cell r="EI86">
            <v>101.75</v>
          </cell>
          <cell r="EJ86">
            <v>125.75</v>
          </cell>
          <cell r="EK86">
            <v>149.75</v>
          </cell>
          <cell r="EL86">
            <v>170.75</v>
          </cell>
          <cell r="EM86">
            <v>191.75</v>
          </cell>
          <cell r="EN86">
            <v>204.91666666666666</v>
          </cell>
          <cell r="EO86">
            <v>216.91666666666666</v>
          </cell>
          <cell r="EP86">
            <v>227.91666666666666</v>
          </cell>
          <cell r="EQ86">
            <v>251.91666666666666</v>
          </cell>
          <cell r="ER86">
            <v>269.91666666666663</v>
          </cell>
          <cell r="ES86">
            <v>287.49999999999994</v>
          </cell>
          <cell r="ET86">
            <v>307.49999999999994</v>
          </cell>
          <cell r="EU86">
            <v>315.99999999999994</v>
          </cell>
          <cell r="EV86">
            <v>335.99999999999994</v>
          </cell>
          <cell r="EW86">
            <v>348.64999999999992</v>
          </cell>
          <cell r="EX86">
            <v>363.14999999999992</v>
          </cell>
          <cell r="EY86">
            <v>384.64999999999992</v>
          </cell>
          <cell r="EZ86">
            <v>394.64999999999992</v>
          </cell>
          <cell r="FA86">
            <v>418.64999999999992</v>
          </cell>
          <cell r="FB86">
            <v>434.64999999999992</v>
          </cell>
          <cell r="FC86">
            <v>451.64999999999992</v>
          </cell>
          <cell r="FD86">
            <v>468.64999999999992</v>
          </cell>
          <cell r="FE86">
            <v>481.64999999999992</v>
          </cell>
          <cell r="FF86">
            <v>499.64999999999992</v>
          </cell>
          <cell r="FG86">
            <v>523.64999999999986</v>
          </cell>
          <cell r="FH86">
            <v>547.64999999999986</v>
          </cell>
          <cell r="FI86">
            <v>571.64999999999986</v>
          </cell>
          <cell r="FJ86">
            <v>9253.033333333331</v>
          </cell>
        </row>
        <row r="87">
          <cell r="ED87" t="str">
            <v>KPLMCP005</v>
          </cell>
          <cell r="EE87">
            <v>16.799999999999955</v>
          </cell>
          <cell r="EF87">
            <v>29.5</v>
          </cell>
          <cell r="EG87">
            <v>49.833333333333336</v>
          </cell>
          <cell r="EH87">
            <v>64.333333333333343</v>
          </cell>
          <cell r="EI87">
            <v>88.333333333333343</v>
          </cell>
          <cell r="EJ87">
            <v>112.33333333333334</v>
          </cell>
          <cell r="EK87">
            <v>136.33333333333334</v>
          </cell>
          <cell r="EL87">
            <v>149.03333333333339</v>
          </cell>
          <cell r="EM87">
            <v>167.33333333333334</v>
          </cell>
          <cell r="EN87">
            <v>176.86666666666673</v>
          </cell>
          <cell r="EO87">
            <v>188.06666666666666</v>
          </cell>
          <cell r="EP87">
            <v>199.36666666666673</v>
          </cell>
          <cell r="EQ87">
            <v>223.36666666666673</v>
          </cell>
          <cell r="ER87">
            <v>241.96666666666664</v>
          </cell>
          <cell r="ES87">
            <v>254.06666666666666</v>
          </cell>
          <cell r="ET87">
            <v>266.56666666666666</v>
          </cell>
          <cell r="EU87">
            <v>274.01666666666671</v>
          </cell>
          <cell r="EV87">
            <v>291.81666666666666</v>
          </cell>
          <cell r="EW87">
            <v>303.91666666666669</v>
          </cell>
          <cell r="EX87">
            <v>317.11666666666673</v>
          </cell>
          <cell r="EY87">
            <v>334.91666666666669</v>
          </cell>
          <cell r="EZ87">
            <v>343.01666666666671</v>
          </cell>
          <cell r="FA87">
            <v>358.88333333333333</v>
          </cell>
          <cell r="FB87">
            <v>377.98333333333335</v>
          </cell>
          <cell r="FC87">
            <v>389.18333333333339</v>
          </cell>
          <cell r="FD87">
            <v>401.48333333333335</v>
          </cell>
          <cell r="FE87">
            <v>412.88333333333333</v>
          </cell>
          <cell r="FF87">
            <v>430.98333333333335</v>
          </cell>
          <cell r="FG87">
            <v>454.98333333333335</v>
          </cell>
          <cell r="FH87">
            <v>478.98333333333335</v>
          </cell>
          <cell r="FI87">
            <v>502.98333333333335</v>
          </cell>
          <cell r="FJ87">
            <v>8037.2500000000018</v>
          </cell>
        </row>
        <row r="94">
          <cell r="ED94" t="str">
            <v>KPTJEX023</v>
          </cell>
          <cell r="EE94">
            <v>24</v>
          </cell>
          <cell r="EF94">
            <v>48</v>
          </cell>
          <cell r="EG94">
            <v>72</v>
          </cell>
          <cell r="EH94">
            <v>96</v>
          </cell>
          <cell r="EI94">
            <v>120</v>
          </cell>
          <cell r="EJ94">
            <v>144</v>
          </cell>
          <cell r="EK94">
            <v>168</v>
          </cell>
          <cell r="EL94">
            <v>192</v>
          </cell>
          <cell r="EM94">
            <v>216</v>
          </cell>
          <cell r="EN94">
            <v>240</v>
          </cell>
          <cell r="EO94">
            <v>264</v>
          </cell>
          <cell r="EP94">
            <v>288</v>
          </cell>
          <cell r="EQ94">
            <v>312</v>
          </cell>
          <cell r="ER94">
            <v>336</v>
          </cell>
          <cell r="ES94">
            <v>360</v>
          </cell>
          <cell r="ET94">
            <v>384</v>
          </cell>
          <cell r="EU94">
            <v>408</v>
          </cell>
          <cell r="EV94">
            <v>432</v>
          </cell>
          <cell r="EW94">
            <v>456</v>
          </cell>
          <cell r="EX94">
            <v>480</v>
          </cell>
          <cell r="EY94">
            <v>504</v>
          </cell>
          <cell r="EZ94">
            <v>528</v>
          </cell>
          <cell r="FA94">
            <v>552</v>
          </cell>
          <cell r="FB94">
            <v>576</v>
          </cell>
          <cell r="FC94">
            <v>600</v>
          </cell>
          <cell r="FD94">
            <v>624</v>
          </cell>
          <cell r="FE94">
            <v>648</v>
          </cell>
          <cell r="FF94">
            <v>672</v>
          </cell>
          <cell r="FG94">
            <v>696</v>
          </cell>
          <cell r="FH94">
            <v>720</v>
          </cell>
          <cell r="FI94">
            <v>744</v>
          </cell>
          <cell r="FJ94">
            <v>11904</v>
          </cell>
        </row>
        <row r="95">
          <cell r="ED95" t="str">
            <v>KPTJEX003</v>
          </cell>
          <cell r="EE95">
            <v>24</v>
          </cell>
          <cell r="EF95">
            <v>48</v>
          </cell>
          <cell r="EG95">
            <v>72</v>
          </cell>
          <cell r="EH95">
            <v>96</v>
          </cell>
          <cell r="EI95">
            <v>120</v>
          </cell>
          <cell r="EJ95">
            <v>144</v>
          </cell>
          <cell r="EK95">
            <v>168</v>
          </cell>
          <cell r="EL95">
            <v>192</v>
          </cell>
          <cell r="EM95">
            <v>216</v>
          </cell>
          <cell r="EN95">
            <v>240</v>
          </cell>
          <cell r="EO95">
            <v>264</v>
          </cell>
          <cell r="EP95">
            <v>288</v>
          </cell>
          <cell r="EQ95">
            <v>312</v>
          </cell>
          <cell r="ER95">
            <v>336</v>
          </cell>
          <cell r="ES95">
            <v>360</v>
          </cell>
          <cell r="ET95">
            <v>384</v>
          </cell>
          <cell r="EU95">
            <v>408</v>
          </cell>
          <cell r="EV95">
            <v>432</v>
          </cell>
          <cell r="EW95">
            <v>456</v>
          </cell>
          <cell r="EX95">
            <v>480</v>
          </cell>
          <cell r="EY95">
            <v>504</v>
          </cell>
          <cell r="EZ95">
            <v>528</v>
          </cell>
          <cell r="FA95">
            <v>552</v>
          </cell>
          <cell r="FB95">
            <v>576</v>
          </cell>
          <cell r="FC95">
            <v>600</v>
          </cell>
          <cell r="FD95">
            <v>624</v>
          </cell>
          <cell r="FE95">
            <v>648</v>
          </cell>
          <cell r="FF95">
            <v>672</v>
          </cell>
          <cell r="FG95">
            <v>696</v>
          </cell>
          <cell r="FH95">
            <v>720</v>
          </cell>
          <cell r="FI95">
            <v>744</v>
          </cell>
          <cell r="FJ95">
            <v>11904</v>
          </cell>
        </row>
        <row r="96">
          <cell r="ED96" t="str">
            <v>KPTJDZ004</v>
          </cell>
          <cell r="EE96">
            <v>0</v>
          </cell>
          <cell r="EF96">
            <v>0</v>
          </cell>
          <cell r="EG96">
            <v>0</v>
          </cell>
          <cell r="EH96">
            <v>0</v>
          </cell>
          <cell r="EI96">
            <v>0</v>
          </cell>
          <cell r="EJ96">
            <v>0</v>
          </cell>
          <cell r="EK96">
            <v>0</v>
          </cell>
          <cell r="EL96">
            <v>0</v>
          </cell>
          <cell r="EM96">
            <v>0</v>
          </cell>
          <cell r="EN96">
            <v>0</v>
          </cell>
          <cell r="EO96">
            <v>0</v>
          </cell>
          <cell r="EP96">
            <v>0</v>
          </cell>
          <cell r="EQ96">
            <v>0</v>
          </cell>
          <cell r="ER96">
            <v>0</v>
          </cell>
          <cell r="ES96">
            <v>0</v>
          </cell>
          <cell r="ET96">
            <v>0</v>
          </cell>
          <cell r="EU96">
            <v>0</v>
          </cell>
          <cell r="EV96">
            <v>0</v>
          </cell>
          <cell r="EW96">
            <v>0</v>
          </cell>
          <cell r="EX96">
            <v>0</v>
          </cell>
          <cell r="EY96">
            <v>0</v>
          </cell>
          <cell r="EZ96">
            <v>0</v>
          </cell>
          <cell r="FA96">
            <v>0</v>
          </cell>
          <cell r="FB96">
            <v>0</v>
          </cell>
          <cell r="FC96">
            <v>0</v>
          </cell>
          <cell r="FD96">
            <v>0</v>
          </cell>
          <cell r="FE96">
            <v>0</v>
          </cell>
          <cell r="FF96">
            <v>0</v>
          </cell>
          <cell r="FG96">
            <v>0</v>
          </cell>
          <cell r="FH96">
            <v>0</v>
          </cell>
          <cell r="FI96">
            <v>0</v>
          </cell>
          <cell r="FJ96">
            <v>0</v>
          </cell>
        </row>
        <row r="97">
          <cell r="ED97" t="str">
            <v>KPTJDZ005</v>
          </cell>
          <cell r="EE97">
            <v>24</v>
          </cell>
          <cell r="EF97">
            <v>48</v>
          </cell>
          <cell r="EG97">
            <v>72</v>
          </cell>
          <cell r="EH97">
            <v>96</v>
          </cell>
          <cell r="EI97">
            <v>120</v>
          </cell>
          <cell r="EJ97">
            <v>144</v>
          </cell>
          <cell r="EK97">
            <v>168</v>
          </cell>
          <cell r="EL97">
            <v>192</v>
          </cell>
          <cell r="EM97">
            <v>216</v>
          </cell>
          <cell r="EN97">
            <v>240</v>
          </cell>
          <cell r="EO97">
            <v>264</v>
          </cell>
          <cell r="EP97">
            <v>288</v>
          </cell>
          <cell r="EQ97">
            <v>312</v>
          </cell>
          <cell r="ER97">
            <v>336</v>
          </cell>
          <cell r="ES97">
            <v>360</v>
          </cell>
          <cell r="ET97">
            <v>384</v>
          </cell>
          <cell r="EU97">
            <v>408</v>
          </cell>
          <cell r="EV97">
            <v>432</v>
          </cell>
          <cell r="EW97">
            <v>456</v>
          </cell>
          <cell r="EX97">
            <v>480</v>
          </cell>
          <cell r="EY97">
            <v>504</v>
          </cell>
          <cell r="EZ97">
            <v>528</v>
          </cell>
          <cell r="FA97">
            <v>552</v>
          </cell>
          <cell r="FB97">
            <v>576</v>
          </cell>
          <cell r="FC97">
            <v>600</v>
          </cell>
          <cell r="FD97">
            <v>624</v>
          </cell>
          <cell r="FE97">
            <v>648</v>
          </cell>
          <cell r="FF97">
            <v>672</v>
          </cell>
          <cell r="FG97">
            <v>696</v>
          </cell>
          <cell r="FH97">
            <v>720</v>
          </cell>
          <cell r="FI97">
            <v>744</v>
          </cell>
          <cell r="FJ97">
            <v>11904</v>
          </cell>
        </row>
        <row r="98">
          <cell r="ED98" t="str">
            <v>KPTJCP006</v>
          </cell>
          <cell r="EE98">
            <v>0</v>
          </cell>
          <cell r="EF98">
            <v>0</v>
          </cell>
          <cell r="EG98">
            <v>0</v>
          </cell>
          <cell r="EH98">
            <v>0</v>
          </cell>
          <cell r="EI98">
            <v>0</v>
          </cell>
          <cell r="EJ98">
            <v>0</v>
          </cell>
          <cell r="EK98">
            <v>0</v>
          </cell>
          <cell r="EL98">
            <v>0</v>
          </cell>
          <cell r="EM98">
            <v>0</v>
          </cell>
          <cell r="EN98">
            <v>0</v>
          </cell>
          <cell r="EO98">
            <v>0</v>
          </cell>
          <cell r="EP98">
            <v>0</v>
          </cell>
          <cell r="EQ98">
            <v>0</v>
          </cell>
          <cell r="ER98">
            <v>0</v>
          </cell>
          <cell r="ES98">
            <v>0</v>
          </cell>
          <cell r="ET98">
            <v>0</v>
          </cell>
          <cell r="EU98">
            <v>0</v>
          </cell>
          <cell r="EV98">
            <v>0</v>
          </cell>
          <cell r="EW98">
            <v>0</v>
          </cell>
          <cell r="EX98">
            <v>0</v>
          </cell>
          <cell r="EY98">
            <v>0</v>
          </cell>
          <cell r="EZ98">
            <v>0</v>
          </cell>
          <cell r="FA98">
            <v>0</v>
          </cell>
          <cell r="FB98">
            <v>0</v>
          </cell>
          <cell r="FC98">
            <v>0</v>
          </cell>
          <cell r="FD98">
            <v>0</v>
          </cell>
          <cell r="FE98">
            <v>0</v>
          </cell>
          <cell r="FF98">
            <v>0</v>
          </cell>
          <cell r="FG98">
            <v>0</v>
          </cell>
          <cell r="FH98">
            <v>0</v>
          </cell>
          <cell r="FI98">
            <v>0</v>
          </cell>
          <cell r="FJ98">
            <v>0</v>
          </cell>
        </row>
        <row r="99">
          <cell r="ED99" t="str">
            <v>KPTJEX007</v>
          </cell>
          <cell r="EE99">
            <v>0</v>
          </cell>
          <cell r="EF99">
            <v>0</v>
          </cell>
          <cell r="EG99">
            <v>0</v>
          </cell>
          <cell r="EH99">
            <v>0</v>
          </cell>
          <cell r="EI99">
            <v>0</v>
          </cell>
          <cell r="EJ99">
            <v>0</v>
          </cell>
          <cell r="EK99">
            <v>0</v>
          </cell>
          <cell r="EL99">
            <v>0</v>
          </cell>
          <cell r="EM99">
            <v>0</v>
          </cell>
          <cell r="EN99">
            <v>0</v>
          </cell>
          <cell r="EO99">
            <v>0</v>
          </cell>
          <cell r="EP99">
            <v>0</v>
          </cell>
          <cell r="EQ99">
            <v>0</v>
          </cell>
          <cell r="ER99">
            <v>0</v>
          </cell>
          <cell r="ES99">
            <v>0</v>
          </cell>
          <cell r="ET99">
            <v>0</v>
          </cell>
          <cell r="EU99">
            <v>0</v>
          </cell>
          <cell r="EV99">
            <v>0</v>
          </cell>
          <cell r="EW99">
            <v>0</v>
          </cell>
          <cell r="EX99">
            <v>0</v>
          </cell>
          <cell r="EY99">
            <v>0</v>
          </cell>
          <cell r="EZ99">
            <v>0</v>
          </cell>
          <cell r="FA99">
            <v>0</v>
          </cell>
          <cell r="FB99">
            <v>0</v>
          </cell>
          <cell r="FC99">
            <v>0</v>
          </cell>
          <cell r="FD99">
            <v>0</v>
          </cell>
          <cell r="FE99">
            <v>0</v>
          </cell>
          <cell r="FF99">
            <v>0</v>
          </cell>
          <cell r="FG99">
            <v>0</v>
          </cell>
          <cell r="FH99">
            <v>0</v>
          </cell>
          <cell r="FI99">
            <v>0</v>
          </cell>
          <cell r="FJ99">
            <v>0</v>
          </cell>
        </row>
        <row r="100">
          <cell r="ED100" t="str">
            <v>KPTJDZ008</v>
          </cell>
          <cell r="EE100">
            <v>24</v>
          </cell>
          <cell r="EF100">
            <v>48</v>
          </cell>
          <cell r="EG100">
            <v>72</v>
          </cell>
          <cell r="EH100">
            <v>96</v>
          </cell>
          <cell r="EI100">
            <v>120</v>
          </cell>
          <cell r="EJ100">
            <v>144</v>
          </cell>
          <cell r="EK100">
            <v>168</v>
          </cell>
          <cell r="EL100">
            <v>192</v>
          </cell>
          <cell r="EM100">
            <v>216</v>
          </cell>
          <cell r="EN100">
            <v>240</v>
          </cell>
          <cell r="EO100">
            <v>264</v>
          </cell>
          <cell r="EP100">
            <v>288</v>
          </cell>
          <cell r="EQ100">
            <v>312</v>
          </cell>
          <cell r="ER100">
            <v>336</v>
          </cell>
          <cell r="ES100">
            <v>360</v>
          </cell>
          <cell r="ET100">
            <v>384</v>
          </cell>
          <cell r="EU100">
            <v>408</v>
          </cell>
          <cell r="EV100">
            <v>432</v>
          </cell>
          <cell r="EW100">
            <v>456</v>
          </cell>
          <cell r="EX100">
            <v>480</v>
          </cell>
          <cell r="EY100">
            <v>504</v>
          </cell>
          <cell r="EZ100">
            <v>528</v>
          </cell>
          <cell r="FA100">
            <v>552</v>
          </cell>
          <cell r="FB100">
            <v>576</v>
          </cell>
          <cell r="FC100">
            <v>600</v>
          </cell>
          <cell r="FD100">
            <v>624</v>
          </cell>
          <cell r="FE100">
            <v>648</v>
          </cell>
          <cell r="FF100">
            <v>672</v>
          </cell>
          <cell r="FG100">
            <v>696</v>
          </cell>
          <cell r="FH100">
            <v>720</v>
          </cell>
          <cell r="FI100">
            <v>744</v>
          </cell>
          <cell r="FJ100">
            <v>11904</v>
          </cell>
        </row>
        <row r="101">
          <cell r="ED101" t="str">
            <v>KPTJEX009</v>
          </cell>
          <cell r="EE101">
            <v>24</v>
          </cell>
          <cell r="EF101">
            <v>48</v>
          </cell>
          <cell r="EG101">
            <v>72</v>
          </cell>
          <cell r="EH101">
            <v>96</v>
          </cell>
          <cell r="EI101">
            <v>120</v>
          </cell>
          <cell r="EJ101">
            <v>144</v>
          </cell>
          <cell r="EK101">
            <v>168</v>
          </cell>
          <cell r="EL101">
            <v>192</v>
          </cell>
          <cell r="EM101">
            <v>216</v>
          </cell>
          <cell r="EN101">
            <v>240</v>
          </cell>
          <cell r="EO101">
            <v>264</v>
          </cell>
          <cell r="EP101">
            <v>288</v>
          </cell>
          <cell r="EQ101">
            <v>312</v>
          </cell>
          <cell r="ER101">
            <v>336</v>
          </cell>
          <cell r="ES101">
            <v>360</v>
          </cell>
          <cell r="ET101">
            <v>384</v>
          </cell>
          <cell r="EU101">
            <v>408</v>
          </cell>
          <cell r="EV101">
            <v>432</v>
          </cell>
          <cell r="EW101">
            <v>456</v>
          </cell>
          <cell r="EX101">
            <v>480</v>
          </cell>
          <cell r="EY101">
            <v>504</v>
          </cell>
          <cell r="EZ101">
            <v>528</v>
          </cell>
          <cell r="FA101">
            <v>552</v>
          </cell>
          <cell r="FB101">
            <v>576</v>
          </cell>
          <cell r="FC101">
            <v>600</v>
          </cell>
          <cell r="FD101">
            <v>624</v>
          </cell>
          <cell r="FE101">
            <v>648</v>
          </cell>
          <cell r="FF101">
            <v>672</v>
          </cell>
          <cell r="FG101">
            <v>696</v>
          </cell>
          <cell r="FH101">
            <v>720</v>
          </cell>
          <cell r="FI101">
            <v>744</v>
          </cell>
          <cell r="FJ101">
            <v>11904</v>
          </cell>
        </row>
        <row r="102">
          <cell r="ED102" t="str">
            <v>KPTJEX010</v>
          </cell>
          <cell r="EE102">
            <v>24</v>
          </cell>
          <cell r="EF102">
            <v>48</v>
          </cell>
          <cell r="EG102">
            <v>72</v>
          </cell>
          <cell r="EH102">
            <v>96</v>
          </cell>
          <cell r="EI102">
            <v>120</v>
          </cell>
          <cell r="EJ102">
            <v>144</v>
          </cell>
          <cell r="EK102">
            <v>168</v>
          </cell>
          <cell r="EL102">
            <v>192</v>
          </cell>
          <cell r="EM102">
            <v>216</v>
          </cell>
          <cell r="EN102">
            <v>240</v>
          </cell>
          <cell r="EO102">
            <v>264</v>
          </cell>
          <cell r="EP102">
            <v>288</v>
          </cell>
          <cell r="EQ102">
            <v>312</v>
          </cell>
          <cell r="ER102">
            <v>336</v>
          </cell>
          <cell r="ES102">
            <v>360</v>
          </cell>
          <cell r="ET102">
            <v>384</v>
          </cell>
          <cell r="EU102">
            <v>408</v>
          </cell>
          <cell r="EV102">
            <v>432</v>
          </cell>
          <cell r="EW102">
            <v>456</v>
          </cell>
          <cell r="EX102">
            <v>480</v>
          </cell>
          <cell r="EY102">
            <v>504</v>
          </cell>
          <cell r="EZ102">
            <v>528</v>
          </cell>
          <cell r="FA102">
            <v>552</v>
          </cell>
          <cell r="FB102">
            <v>576</v>
          </cell>
          <cell r="FC102">
            <v>600</v>
          </cell>
          <cell r="FD102">
            <v>624</v>
          </cell>
          <cell r="FE102">
            <v>648</v>
          </cell>
          <cell r="FF102">
            <v>672</v>
          </cell>
          <cell r="FG102">
            <v>696</v>
          </cell>
          <cell r="FH102">
            <v>720</v>
          </cell>
          <cell r="FI102">
            <v>744</v>
          </cell>
          <cell r="FJ102">
            <v>11904</v>
          </cell>
        </row>
        <row r="103">
          <cell r="ED103" t="str">
            <v>KPTJDZ011</v>
          </cell>
          <cell r="EE103">
            <v>24</v>
          </cell>
          <cell r="EF103">
            <v>48</v>
          </cell>
          <cell r="EG103">
            <v>72</v>
          </cell>
          <cell r="EH103">
            <v>96</v>
          </cell>
          <cell r="EI103">
            <v>120</v>
          </cell>
          <cell r="EJ103">
            <v>144</v>
          </cell>
          <cell r="EK103">
            <v>168</v>
          </cell>
          <cell r="EL103">
            <v>192</v>
          </cell>
          <cell r="EM103">
            <v>216</v>
          </cell>
          <cell r="EN103">
            <v>240</v>
          </cell>
          <cell r="EO103">
            <v>264</v>
          </cell>
          <cell r="EP103">
            <v>288</v>
          </cell>
          <cell r="EQ103">
            <v>312</v>
          </cell>
          <cell r="ER103">
            <v>336</v>
          </cell>
          <cell r="ES103">
            <v>360</v>
          </cell>
          <cell r="ET103">
            <v>384</v>
          </cell>
          <cell r="EU103">
            <v>408</v>
          </cell>
          <cell r="EV103">
            <v>432</v>
          </cell>
          <cell r="EW103">
            <v>456</v>
          </cell>
          <cell r="EX103">
            <v>480</v>
          </cell>
          <cell r="EY103">
            <v>504</v>
          </cell>
          <cell r="EZ103">
            <v>528</v>
          </cell>
          <cell r="FA103">
            <v>552</v>
          </cell>
          <cell r="FB103">
            <v>576</v>
          </cell>
          <cell r="FC103">
            <v>600</v>
          </cell>
          <cell r="FD103">
            <v>624</v>
          </cell>
          <cell r="FE103">
            <v>648</v>
          </cell>
          <cell r="FF103">
            <v>672</v>
          </cell>
          <cell r="FG103">
            <v>696</v>
          </cell>
          <cell r="FH103">
            <v>720</v>
          </cell>
          <cell r="FI103">
            <v>744</v>
          </cell>
          <cell r="FJ103">
            <v>11904</v>
          </cell>
        </row>
        <row r="104">
          <cell r="ED104" t="str">
            <v>KPTJDZ012</v>
          </cell>
          <cell r="EE104">
            <v>24</v>
          </cell>
          <cell r="EF104">
            <v>48</v>
          </cell>
          <cell r="EG104">
            <v>72</v>
          </cell>
          <cell r="EH104">
            <v>96</v>
          </cell>
          <cell r="EI104">
            <v>120</v>
          </cell>
          <cell r="EJ104">
            <v>144</v>
          </cell>
          <cell r="EK104">
            <v>168</v>
          </cell>
          <cell r="EL104">
            <v>192</v>
          </cell>
          <cell r="EM104">
            <v>216</v>
          </cell>
          <cell r="EN104">
            <v>240</v>
          </cell>
          <cell r="EO104">
            <v>264</v>
          </cell>
          <cell r="EP104">
            <v>288</v>
          </cell>
          <cell r="EQ104">
            <v>312</v>
          </cell>
          <cell r="ER104">
            <v>336</v>
          </cell>
          <cell r="ES104">
            <v>360</v>
          </cell>
          <cell r="ET104">
            <v>384</v>
          </cell>
          <cell r="EU104">
            <v>408</v>
          </cell>
          <cell r="EV104">
            <v>432</v>
          </cell>
          <cell r="EW104">
            <v>456</v>
          </cell>
          <cell r="EX104">
            <v>480</v>
          </cell>
          <cell r="EY104">
            <v>504</v>
          </cell>
          <cell r="EZ104">
            <v>528</v>
          </cell>
          <cell r="FA104">
            <v>552</v>
          </cell>
          <cell r="FB104">
            <v>576</v>
          </cell>
          <cell r="FC104">
            <v>600</v>
          </cell>
          <cell r="FD104">
            <v>624</v>
          </cell>
          <cell r="FE104">
            <v>648</v>
          </cell>
          <cell r="FF104">
            <v>672</v>
          </cell>
          <cell r="FG104">
            <v>696</v>
          </cell>
          <cell r="FH104">
            <v>720</v>
          </cell>
          <cell r="FI104">
            <v>744</v>
          </cell>
          <cell r="FJ104">
            <v>11904</v>
          </cell>
        </row>
        <row r="105">
          <cell r="ED105" t="str">
            <v>KPTJDZ022</v>
          </cell>
          <cell r="EE105">
            <v>24</v>
          </cell>
          <cell r="EF105">
            <v>48</v>
          </cell>
          <cell r="EG105">
            <v>72</v>
          </cell>
          <cell r="EH105">
            <v>96</v>
          </cell>
          <cell r="EI105">
            <v>120</v>
          </cell>
          <cell r="EJ105">
            <v>144</v>
          </cell>
          <cell r="EK105">
            <v>168</v>
          </cell>
          <cell r="EL105">
            <v>192</v>
          </cell>
          <cell r="EM105">
            <v>216</v>
          </cell>
          <cell r="EN105">
            <v>240</v>
          </cell>
          <cell r="EO105">
            <v>264</v>
          </cell>
          <cell r="EP105">
            <v>288</v>
          </cell>
          <cell r="EQ105">
            <v>312</v>
          </cell>
          <cell r="ER105">
            <v>336</v>
          </cell>
          <cell r="ES105">
            <v>360</v>
          </cell>
          <cell r="ET105">
            <v>384</v>
          </cell>
          <cell r="EU105">
            <v>408</v>
          </cell>
          <cell r="EV105">
            <v>432</v>
          </cell>
          <cell r="EW105">
            <v>456</v>
          </cell>
          <cell r="EX105">
            <v>480</v>
          </cell>
          <cell r="EY105">
            <v>504</v>
          </cell>
          <cell r="EZ105">
            <v>528</v>
          </cell>
          <cell r="FA105">
            <v>552</v>
          </cell>
          <cell r="FB105">
            <v>576</v>
          </cell>
          <cell r="FC105">
            <v>600</v>
          </cell>
          <cell r="FD105">
            <v>624</v>
          </cell>
          <cell r="FE105">
            <v>648</v>
          </cell>
          <cell r="FF105">
            <v>672</v>
          </cell>
          <cell r="FG105">
            <v>696</v>
          </cell>
          <cell r="FH105">
            <v>720</v>
          </cell>
          <cell r="FI105">
            <v>744</v>
          </cell>
          <cell r="FJ105">
            <v>11904</v>
          </cell>
        </row>
        <row r="106">
          <cell r="ED106" t="str">
            <v>KPTJDZ015</v>
          </cell>
          <cell r="EE106">
            <v>0</v>
          </cell>
          <cell r="EF106">
            <v>0</v>
          </cell>
          <cell r="EG106">
            <v>0</v>
          </cell>
          <cell r="EH106">
            <v>0</v>
          </cell>
          <cell r="EI106">
            <v>0</v>
          </cell>
          <cell r="EJ106">
            <v>0</v>
          </cell>
          <cell r="EK106">
            <v>0</v>
          </cell>
          <cell r="EL106">
            <v>0</v>
          </cell>
          <cell r="EM106">
            <v>0</v>
          </cell>
          <cell r="EN106">
            <v>0</v>
          </cell>
          <cell r="EO106">
            <v>0</v>
          </cell>
          <cell r="EP106">
            <v>0</v>
          </cell>
          <cell r="EQ106">
            <v>0</v>
          </cell>
          <cell r="ER106">
            <v>0</v>
          </cell>
          <cell r="ES106">
            <v>0</v>
          </cell>
          <cell r="ET106">
            <v>0</v>
          </cell>
          <cell r="EU106">
            <v>0</v>
          </cell>
          <cell r="EV106">
            <v>0</v>
          </cell>
          <cell r="EW106">
            <v>0</v>
          </cell>
          <cell r="EX106">
            <v>0</v>
          </cell>
          <cell r="EY106">
            <v>0</v>
          </cell>
          <cell r="EZ106">
            <v>0</v>
          </cell>
          <cell r="FA106">
            <v>0</v>
          </cell>
          <cell r="FB106">
            <v>0</v>
          </cell>
          <cell r="FC106">
            <v>0</v>
          </cell>
          <cell r="FD106">
            <v>0</v>
          </cell>
          <cell r="FE106">
            <v>0</v>
          </cell>
          <cell r="FF106">
            <v>0</v>
          </cell>
          <cell r="FG106">
            <v>0</v>
          </cell>
          <cell r="FH106">
            <v>0</v>
          </cell>
          <cell r="FI106">
            <v>0</v>
          </cell>
          <cell r="FJ106">
            <v>0</v>
          </cell>
        </row>
        <row r="107">
          <cell r="ED107" t="str">
            <v>KPTJDZ016</v>
          </cell>
          <cell r="EE107">
            <v>0</v>
          </cell>
          <cell r="EF107">
            <v>0</v>
          </cell>
          <cell r="EG107">
            <v>0</v>
          </cell>
          <cell r="EH107">
            <v>0</v>
          </cell>
          <cell r="EI107">
            <v>0</v>
          </cell>
          <cell r="EJ107">
            <v>0</v>
          </cell>
          <cell r="EK107">
            <v>0</v>
          </cell>
          <cell r="EL107">
            <v>0</v>
          </cell>
          <cell r="EM107">
            <v>0</v>
          </cell>
          <cell r="EN107">
            <v>0</v>
          </cell>
          <cell r="EO107">
            <v>0</v>
          </cell>
          <cell r="EP107">
            <v>0</v>
          </cell>
          <cell r="EQ107">
            <v>0</v>
          </cell>
          <cell r="ER107">
            <v>0</v>
          </cell>
          <cell r="ES107">
            <v>0</v>
          </cell>
          <cell r="ET107">
            <v>0</v>
          </cell>
          <cell r="EU107">
            <v>0</v>
          </cell>
          <cell r="EV107">
            <v>0</v>
          </cell>
          <cell r="EW107">
            <v>0</v>
          </cell>
          <cell r="EX107">
            <v>0</v>
          </cell>
          <cell r="EY107">
            <v>0</v>
          </cell>
          <cell r="EZ107">
            <v>0</v>
          </cell>
          <cell r="FA107">
            <v>0</v>
          </cell>
          <cell r="FB107">
            <v>0</v>
          </cell>
          <cell r="FC107">
            <v>0</v>
          </cell>
          <cell r="FD107">
            <v>0</v>
          </cell>
          <cell r="FE107">
            <v>0</v>
          </cell>
          <cell r="FF107">
            <v>0</v>
          </cell>
          <cell r="FG107">
            <v>0</v>
          </cell>
          <cell r="FH107">
            <v>0</v>
          </cell>
          <cell r="FI107">
            <v>0</v>
          </cell>
          <cell r="FJ107">
            <v>0</v>
          </cell>
        </row>
        <row r="108">
          <cell r="ED108" t="str">
            <v>KPTJDZ017</v>
          </cell>
          <cell r="EE108">
            <v>24</v>
          </cell>
          <cell r="EF108">
            <v>48</v>
          </cell>
          <cell r="EG108">
            <v>72</v>
          </cell>
          <cell r="EH108">
            <v>96</v>
          </cell>
          <cell r="EI108">
            <v>120</v>
          </cell>
          <cell r="EJ108">
            <v>144</v>
          </cell>
          <cell r="EK108">
            <v>168</v>
          </cell>
          <cell r="EL108">
            <v>192</v>
          </cell>
          <cell r="EM108">
            <v>216</v>
          </cell>
          <cell r="EN108">
            <v>240</v>
          </cell>
          <cell r="EO108">
            <v>264</v>
          </cell>
          <cell r="EP108">
            <v>288</v>
          </cell>
          <cell r="EQ108">
            <v>312</v>
          </cell>
          <cell r="ER108">
            <v>336</v>
          </cell>
          <cell r="ES108">
            <v>360</v>
          </cell>
          <cell r="ET108">
            <v>384</v>
          </cell>
          <cell r="EU108">
            <v>408</v>
          </cell>
          <cell r="EV108">
            <v>432</v>
          </cell>
          <cell r="EW108">
            <v>456</v>
          </cell>
          <cell r="EX108">
            <v>480</v>
          </cell>
          <cell r="EY108">
            <v>504</v>
          </cell>
          <cell r="EZ108">
            <v>528</v>
          </cell>
          <cell r="FA108">
            <v>552</v>
          </cell>
          <cell r="FB108">
            <v>576</v>
          </cell>
          <cell r="FC108">
            <v>600</v>
          </cell>
          <cell r="FD108">
            <v>624</v>
          </cell>
          <cell r="FE108">
            <v>648</v>
          </cell>
          <cell r="FF108">
            <v>672</v>
          </cell>
          <cell r="FG108">
            <v>696</v>
          </cell>
          <cell r="FH108">
            <v>720</v>
          </cell>
          <cell r="FI108">
            <v>744</v>
          </cell>
          <cell r="FJ108">
            <v>11904</v>
          </cell>
        </row>
        <row r="109">
          <cell r="ED109" t="str">
            <v>KPTJEX018</v>
          </cell>
          <cell r="EE109">
            <v>24</v>
          </cell>
          <cell r="EF109">
            <v>48</v>
          </cell>
          <cell r="EG109">
            <v>72</v>
          </cell>
          <cell r="EH109">
            <v>96</v>
          </cell>
          <cell r="EI109">
            <v>120</v>
          </cell>
          <cell r="EJ109">
            <v>144</v>
          </cell>
          <cell r="EK109">
            <v>168</v>
          </cell>
          <cell r="EL109">
            <v>192</v>
          </cell>
          <cell r="EM109">
            <v>216</v>
          </cell>
          <cell r="EN109">
            <v>240</v>
          </cell>
          <cell r="EO109">
            <v>264</v>
          </cell>
          <cell r="EP109">
            <v>288</v>
          </cell>
          <cell r="EQ109">
            <v>312</v>
          </cell>
          <cell r="ER109">
            <v>336</v>
          </cell>
          <cell r="ES109">
            <v>360</v>
          </cell>
          <cell r="ET109">
            <v>384</v>
          </cell>
          <cell r="EU109">
            <v>408</v>
          </cell>
          <cell r="EV109">
            <v>432</v>
          </cell>
          <cell r="EW109">
            <v>456</v>
          </cell>
          <cell r="EX109">
            <v>480</v>
          </cell>
          <cell r="EY109">
            <v>504</v>
          </cell>
          <cell r="EZ109">
            <v>528</v>
          </cell>
          <cell r="FA109">
            <v>552</v>
          </cell>
          <cell r="FB109">
            <v>576</v>
          </cell>
          <cell r="FC109">
            <v>600</v>
          </cell>
          <cell r="FD109">
            <v>624</v>
          </cell>
          <cell r="FE109">
            <v>648</v>
          </cell>
          <cell r="FF109">
            <v>672</v>
          </cell>
          <cell r="FG109">
            <v>696</v>
          </cell>
          <cell r="FH109">
            <v>720</v>
          </cell>
          <cell r="FI109">
            <v>744</v>
          </cell>
          <cell r="FJ109">
            <v>11904</v>
          </cell>
        </row>
        <row r="110">
          <cell r="ED110" t="str">
            <v>KPTJCP019</v>
          </cell>
          <cell r="EE110">
            <v>0</v>
          </cell>
          <cell r="EF110">
            <v>0</v>
          </cell>
          <cell r="EG110">
            <v>0</v>
          </cell>
          <cell r="EH110">
            <v>0</v>
          </cell>
          <cell r="EI110">
            <v>0</v>
          </cell>
          <cell r="EJ110">
            <v>0</v>
          </cell>
          <cell r="EK110">
            <v>0</v>
          </cell>
          <cell r="EL110">
            <v>0</v>
          </cell>
          <cell r="EM110">
            <v>0</v>
          </cell>
          <cell r="EN110">
            <v>0</v>
          </cell>
          <cell r="EO110">
            <v>0</v>
          </cell>
          <cell r="EP110">
            <v>0</v>
          </cell>
          <cell r="EQ110">
            <v>0</v>
          </cell>
          <cell r="ER110">
            <v>0</v>
          </cell>
          <cell r="ES110">
            <v>0</v>
          </cell>
          <cell r="ET110">
            <v>0</v>
          </cell>
          <cell r="EU110">
            <v>0</v>
          </cell>
          <cell r="EV110">
            <v>0</v>
          </cell>
          <cell r="EW110">
            <v>0</v>
          </cell>
          <cell r="EX110">
            <v>0</v>
          </cell>
          <cell r="EY110">
            <v>0</v>
          </cell>
          <cell r="EZ110">
            <v>0</v>
          </cell>
          <cell r="FA110">
            <v>0</v>
          </cell>
          <cell r="FB110">
            <v>0</v>
          </cell>
          <cell r="FC110">
            <v>0</v>
          </cell>
          <cell r="FD110">
            <v>0</v>
          </cell>
          <cell r="FE110">
            <v>0</v>
          </cell>
          <cell r="FF110">
            <v>0</v>
          </cell>
          <cell r="FG110">
            <v>0</v>
          </cell>
          <cell r="FH110">
            <v>0</v>
          </cell>
          <cell r="FI110">
            <v>0</v>
          </cell>
          <cell r="FJ110">
            <v>0</v>
          </cell>
        </row>
        <row r="111">
          <cell r="ED111" t="str">
            <v>KPTJDZ020</v>
          </cell>
          <cell r="EE111">
            <v>24</v>
          </cell>
          <cell r="EF111">
            <v>48</v>
          </cell>
          <cell r="EG111">
            <v>72</v>
          </cell>
          <cell r="EH111">
            <v>96</v>
          </cell>
          <cell r="EI111">
            <v>120</v>
          </cell>
          <cell r="EJ111">
            <v>144</v>
          </cell>
          <cell r="EK111">
            <v>168</v>
          </cell>
          <cell r="EL111">
            <v>192</v>
          </cell>
          <cell r="EM111">
            <v>216</v>
          </cell>
          <cell r="EN111">
            <v>240</v>
          </cell>
          <cell r="EO111">
            <v>264</v>
          </cell>
          <cell r="EP111">
            <v>288</v>
          </cell>
          <cell r="EQ111">
            <v>312</v>
          </cell>
          <cell r="ER111">
            <v>336</v>
          </cell>
          <cell r="ES111">
            <v>360</v>
          </cell>
          <cell r="ET111">
            <v>384</v>
          </cell>
          <cell r="EU111">
            <v>408</v>
          </cell>
          <cell r="EV111">
            <v>432</v>
          </cell>
          <cell r="EW111">
            <v>456</v>
          </cell>
          <cell r="EX111">
            <v>480</v>
          </cell>
          <cell r="EY111">
            <v>504</v>
          </cell>
          <cell r="EZ111">
            <v>528</v>
          </cell>
          <cell r="FA111">
            <v>552</v>
          </cell>
          <cell r="FB111">
            <v>576</v>
          </cell>
          <cell r="FC111">
            <v>600</v>
          </cell>
          <cell r="FD111">
            <v>624</v>
          </cell>
          <cell r="FE111">
            <v>648</v>
          </cell>
          <cell r="FF111">
            <v>672</v>
          </cell>
          <cell r="FG111">
            <v>696</v>
          </cell>
          <cell r="FH111">
            <v>720</v>
          </cell>
          <cell r="FI111">
            <v>744</v>
          </cell>
          <cell r="FJ111">
            <v>11904</v>
          </cell>
        </row>
        <row r="112">
          <cell r="ED112" t="str">
            <v>KPTJDZ021</v>
          </cell>
          <cell r="EE112">
            <v>24</v>
          </cell>
          <cell r="EF112">
            <v>48</v>
          </cell>
          <cell r="EG112">
            <v>72</v>
          </cell>
          <cell r="EH112">
            <v>96</v>
          </cell>
          <cell r="EI112">
            <v>120</v>
          </cell>
          <cell r="EJ112">
            <v>144</v>
          </cell>
          <cell r="EK112">
            <v>168</v>
          </cell>
          <cell r="EL112">
            <v>192</v>
          </cell>
          <cell r="EM112">
            <v>216</v>
          </cell>
          <cell r="EN112">
            <v>240</v>
          </cell>
          <cell r="EO112">
            <v>264</v>
          </cell>
          <cell r="EP112">
            <v>288</v>
          </cell>
          <cell r="EQ112">
            <v>312</v>
          </cell>
          <cell r="ER112">
            <v>336</v>
          </cell>
          <cell r="ES112">
            <v>360</v>
          </cell>
          <cell r="ET112">
            <v>384</v>
          </cell>
          <cell r="EU112">
            <v>408</v>
          </cell>
          <cell r="EV112">
            <v>432</v>
          </cell>
          <cell r="EW112">
            <v>456</v>
          </cell>
          <cell r="EX112">
            <v>480</v>
          </cell>
          <cell r="EY112">
            <v>504</v>
          </cell>
          <cell r="EZ112">
            <v>528</v>
          </cell>
          <cell r="FA112">
            <v>552</v>
          </cell>
          <cell r="FB112">
            <v>576</v>
          </cell>
          <cell r="FC112">
            <v>600</v>
          </cell>
          <cell r="FD112">
            <v>624</v>
          </cell>
          <cell r="FE112">
            <v>648</v>
          </cell>
          <cell r="FF112">
            <v>672</v>
          </cell>
          <cell r="FG112">
            <v>696</v>
          </cell>
          <cell r="FH112">
            <v>720</v>
          </cell>
          <cell r="FI112">
            <v>744</v>
          </cell>
          <cell r="FJ112">
            <v>11904</v>
          </cell>
        </row>
        <row r="113">
          <cell r="ED113" t="str">
            <v>KPLMEX001</v>
          </cell>
          <cell r="EE113">
            <v>24</v>
          </cell>
          <cell r="EF113">
            <v>48</v>
          </cell>
          <cell r="EG113">
            <v>72</v>
          </cell>
          <cell r="EH113">
            <v>96</v>
          </cell>
          <cell r="EI113">
            <v>120</v>
          </cell>
          <cell r="EJ113">
            <v>144</v>
          </cell>
          <cell r="EK113">
            <v>168</v>
          </cell>
          <cell r="EL113">
            <v>192</v>
          </cell>
          <cell r="EM113">
            <v>216</v>
          </cell>
          <cell r="EN113">
            <v>240</v>
          </cell>
          <cell r="EO113">
            <v>264</v>
          </cell>
          <cell r="EP113">
            <v>288</v>
          </cell>
          <cell r="EQ113">
            <v>312</v>
          </cell>
          <cell r="ER113">
            <v>336</v>
          </cell>
          <cell r="ES113">
            <v>360</v>
          </cell>
          <cell r="ET113">
            <v>384</v>
          </cell>
          <cell r="EU113">
            <v>408</v>
          </cell>
          <cell r="EV113">
            <v>432</v>
          </cell>
          <cell r="EW113">
            <v>456</v>
          </cell>
          <cell r="EX113">
            <v>480</v>
          </cell>
          <cell r="EY113">
            <v>504</v>
          </cell>
          <cell r="EZ113">
            <v>528</v>
          </cell>
          <cell r="FA113">
            <v>552</v>
          </cell>
          <cell r="FB113">
            <v>576</v>
          </cell>
          <cell r="FC113">
            <v>600</v>
          </cell>
          <cell r="FD113">
            <v>624</v>
          </cell>
          <cell r="FE113">
            <v>648</v>
          </cell>
          <cell r="FF113">
            <v>672</v>
          </cell>
          <cell r="FG113">
            <v>696</v>
          </cell>
          <cell r="FH113">
            <v>720</v>
          </cell>
          <cell r="FI113">
            <v>744</v>
          </cell>
          <cell r="FJ113">
            <v>11904</v>
          </cell>
        </row>
        <row r="114">
          <cell r="ED114" t="str">
            <v>KPLMEX002</v>
          </cell>
          <cell r="EE114">
            <v>24</v>
          </cell>
          <cell r="EF114">
            <v>48</v>
          </cell>
          <cell r="EG114">
            <v>72</v>
          </cell>
          <cell r="EH114">
            <v>96</v>
          </cell>
          <cell r="EI114">
            <v>120</v>
          </cell>
          <cell r="EJ114">
            <v>144</v>
          </cell>
          <cell r="EK114">
            <v>168</v>
          </cell>
          <cell r="EL114">
            <v>192</v>
          </cell>
          <cell r="EM114">
            <v>216</v>
          </cell>
          <cell r="EN114">
            <v>240</v>
          </cell>
          <cell r="EO114">
            <v>264</v>
          </cell>
          <cell r="EP114">
            <v>288</v>
          </cell>
          <cell r="EQ114">
            <v>312</v>
          </cell>
          <cell r="ER114">
            <v>336</v>
          </cell>
          <cell r="ES114">
            <v>360</v>
          </cell>
          <cell r="ET114">
            <v>384</v>
          </cell>
          <cell r="EU114">
            <v>408</v>
          </cell>
          <cell r="EV114">
            <v>432</v>
          </cell>
          <cell r="EW114">
            <v>456</v>
          </cell>
          <cell r="EX114">
            <v>480</v>
          </cell>
          <cell r="EY114">
            <v>504</v>
          </cell>
          <cell r="EZ114">
            <v>528</v>
          </cell>
          <cell r="FA114">
            <v>552</v>
          </cell>
          <cell r="FB114">
            <v>576</v>
          </cell>
          <cell r="FC114">
            <v>600</v>
          </cell>
          <cell r="FD114">
            <v>624</v>
          </cell>
          <cell r="FE114">
            <v>648</v>
          </cell>
          <cell r="FF114">
            <v>672</v>
          </cell>
          <cell r="FG114">
            <v>696</v>
          </cell>
          <cell r="FH114">
            <v>720</v>
          </cell>
          <cell r="FI114">
            <v>744</v>
          </cell>
          <cell r="FJ114">
            <v>11904</v>
          </cell>
        </row>
        <row r="115">
          <cell r="ED115" t="str">
            <v>KPLMEX003</v>
          </cell>
          <cell r="EE115">
            <v>24</v>
          </cell>
          <cell r="EF115">
            <v>48</v>
          </cell>
          <cell r="EG115">
            <v>72</v>
          </cell>
          <cell r="EH115">
            <v>96</v>
          </cell>
          <cell r="EI115">
            <v>120</v>
          </cell>
          <cell r="EJ115">
            <v>144</v>
          </cell>
          <cell r="EK115">
            <v>168</v>
          </cell>
          <cell r="EL115">
            <v>192</v>
          </cell>
          <cell r="EM115">
            <v>216</v>
          </cell>
          <cell r="EN115">
            <v>240</v>
          </cell>
          <cell r="EO115">
            <v>264</v>
          </cell>
          <cell r="EP115">
            <v>288</v>
          </cell>
          <cell r="EQ115">
            <v>312</v>
          </cell>
          <cell r="ER115">
            <v>336</v>
          </cell>
          <cell r="ES115">
            <v>360</v>
          </cell>
          <cell r="ET115">
            <v>384</v>
          </cell>
          <cell r="EU115">
            <v>408</v>
          </cell>
          <cell r="EV115">
            <v>432</v>
          </cell>
          <cell r="EW115">
            <v>456</v>
          </cell>
          <cell r="EX115">
            <v>480</v>
          </cell>
          <cell r="EY115">
            <v>504</v>
          </cell>
          <cell r="EZ115">
            <v>528</v>
          </cell>
          <cell r="FA115">
            <v>552</v>
          </cell>
          <cell r="FB115">
            <v>576</v>
          </cell>
          <cell r="FC115">
            <v>600</v>
          </cell>
          <cell r="FD115">
            <v>624</v>
          </cell>
          <cell r="FE115">
            <v>648</v>
          </cell>
          <cell r="FF115">
            <v>672</v>
          </cell>
          <cell r="FG115">
            <v>696</v>
          </cell>
          <cell r="FH115">
            <v>720</v>
          </cell>
          <cell r="FI115">
            <v>744</v>
          </cell>
          <cell r="FJ115">
            <v>11904</v>
          </cell>
        </row>
        <row r="116">
          <cell r="ED116" t="str">
            <v>KPLMCP004</v>
          </cell>
          <cell r="EE116">
            <v>24</v>
          </cell>
          <cell r="EF116">
            <v>48</v>
          </cell>
          <cell r="EG116">
            <v>72</v>
          </cell>
          <cell r="EH116">
            <v>96</v>
          </cell>
          <cell r="EI116">
            <v>120</v>
          </cell>
          <cell r="EJ116">
            <v>144</v>
          </cell>
          <cell r="EK116">
            <v>168</v>
          </cell>
          <cell r="EL116">
            <v>192</v>
          </cell>
          <cell r="EM116">
            <v>216</v>
          </cell>
          <cell r="EN116">
            <v>240</v>
          </cell>
          <cell r="EO116">
            <v>264</v>
          </cell>
          <cell r="EP116">
            <v>288</v>
          </cell>
          <cell r="EQ116">
            <v>312</v>
          </cell>
          <cell r="ER116">
            <v>336</v>
          </cell>
          <cell r="ES116">
            <v>360</v>
          </cell>
          <cell r="ET116">
            <v>384</v>
          </cell>
          <cell r="EU116">
            <v>408</v>
          </cell>
          <cell r="EV116">
            <v>432</v>
          </cell>
          <cell r="EW116">
            <v>456</v>
          </cell>
          <cell r="EX116">
            <v>480</v>
          </cell>
          <cell r="EY116">
            <v>504</v>
          </cell>
          <cell r="EZ116">
            <v>528</v>
          </cell>
          <cell r="FA116">
            <v>552</v>
          </cell>
          <cell r="FB116">
            <v>576</v>
          </cell>
          <cell r="FC116">
            <v>600</v>
          </cell>
          <cell r="FD116">
            <v>624</v>
          </cell>
          <cell r="FE116">
            <v>648</v>
          </cell>
          <cell r="FF116">
            <v>672</v>
          </cell>
          <cell r="FG116">
            <v>696</v>
          </cell>
          <cell r="FH116">
            <v>720</v>
          </cell>
          <cell r="FI116">
            <v>744</v>
          </cell>
          <cell r="FJ116">
            <v>11904</v>
          </cell>
        </row>
        <row r="117">
          <cell r="ED117" t="str">
            <v>KPLMCP005</v>
          </cell>
          <cell r="EE117">
            <v>24</v>
          </cell>
          <cell r="EF117">
            <v>48</v>
          </cell>
          <cell r="EG117">
            <v>72</v>
          </cell>
          <cell r="EH117">
            <v>96</v>
          </cell>
          <cell r="EI117">
            <v>120</v>
          </cell>
          <cell r="EJ117">
            <v>144</v>
          </cell>
          <cell r="EK117">
            <v>168</v>
          </cell>
          <cell r="EL117">
            <v>192</v>
          </cell>
          <cell r="EM117">
            <v>216</v>
          </cell>
          <cell r="EN117">
            <v>240</v>
          </cell>
          <cell r="EO117">
            <v>264</v>
          </cell>
          <cell r="EP117">
            <v>288</v>
          </cell>
          <cell r="EQ117">
            <v>312</v>
          </cell>
          <cell r="ER117">
            <v>336</v>
          </cell>
          <cell r="ES117">
            <v>360</v>
          </cell>
          <cell r="ET117">
            <v>384</v>
          </cell>
          <cell r="EU117">
            <v>408</v>
          </cell>
          <cell r="EV117">
            <v>432</v>
          </cell>
          <cell r="EW117">
            <v>456</v>
          </cell>
          <cell r="EX117">
            <v>480</v>
          </cell>
          <cell r="EY117">
            <v>504</v>
          </cell>
          <cell r="EZ117">
            <v>528</v>
          </cell>
          <cell r="FA117">
            <v>552</v>
          </cell>
          <cell r="FB117">
            <v>576</v>
          </cell>
          <cell r="FC117">
            <v>600</v>
          </cell>
          <cell r="FD117">
            <v>624</v>
          </cell>
          <cell r="FE117">
            <v>648</v>
          </cell>
          <cell r="FF117">
            <v>672</v>
          </cell>
          <cell r="FG117">
            <v>696</v>
          </cell>
          <cell r="FH117">
            <v>720</v>
          </cell>
          <cell r="FI117">
            <v>744</v>
          </cell>
          <cell r="FJ117">
            <v>11904</v>
          </cell>
        </row>
      </sheetData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"/>
      <sheetName val="Plan"/>
      <sheetName val="Project"/>
      <sheetName val="ManPower"/>
      <sheetName val="Detail Exp."/>
      <sheetName val="Detail DB"/>
      <sheetName val="Cap Exp."/>
      <sheetName val="Cap DB"/>
      <sheetName val="Production Volumn"/>
      <sheetName val="SubTotal by Plan"/>
      <sheetName val="SubTotal by Project"/>
      <sheetName val="Summary Exp."/>
      <sheetName val="Present Operating"/>
      <sheetName val="Present Admin"/>
      <sheetName val="Present Cap Exp."/>
      <sheetName val="tabel_2007_Total_plan 93jt"/>
      <sheetName val="tabel_2006_Total_R1"/>
      <sheetName val="OB_85"/>
      <sheetName val="Elec"/>
      <sheetName val="ACUM"/>
      <sheetName val="TJ"/>
      <sheetName val="LM"/>
      <sheetName val="Daftar"/>
    </sheetNames>
    <sheetDataSet>
      <sheetData sheetId="0" refreshError="1"/>
      <sheetData sheetId="1" refreshError="1"/>
      <sheetData sheetId="2" refreshError="1">
        <row r="3">
          <cell r="A3" t="str">
            <v>0000</v>
          </cell>
        </row>
        <row r="4">
          <cell r="A4" t="str">
            <v>0203</v>
          </cell>
        </row>
        <row r="5">
          <cell r="A5" t="str">
            <v>0240</v>
          </cell>
        </row>
        <row r="6">
          <cell r="A6" t="str">
            <v>0242</v>
          </cell>
        </row>
        <row r="7">
          <cell r="A7" t="str">
            <v>0243</v>
          </cell>
        </row>
        <row r="8">
          <cell r="A8" t="str">
            <v>0244</v>
          </cell>
        </row>
        <row r="9">
          <cell r="A9" t="str">
            <v>0245</v>
          </cell>
        </row>
        <row r="10">
          <cell r="A10" t="str">
            <v>0246</v>
          </cell>
        </row>
        <row r="11">
          <cell r="A11" t="str">
            <v>0247</v>
          </cell>
        </row>
        <row r="12">
          <cell r="A12" t="str">
            <v>0248</v>
          </cell>
        </row>
        <row r="13">
          <cell r="A13" t="str">
            <v>0249</v>
          </cell>
        </row>
        <row r="14">
          <cell r="A14" t="str">
            <v>0254</v>
          </cell>
        </row>
        <row r="15">
          <cell r="A15" t="str">
            <v>0269</v>
          </cell>
        </row>
        <row r="16">
          <cell r="A16" t="str">
            <v>0270</v>
          </cell>
        </row>
        <row r="17">
          <cell r="A17" t="str">
            <v>0271</v>
          </cell>
        </row>
        <row r="18">
          <cell r="A18" t="str">
            <v>0322</v>
          </cell>
        </row>
        <row r="19">
          <cell r="A19" t="str">
            <v>0801</v>
          </cell>
        </row>
        <row r="20">
          <cell r="A20" t="str">
            <v>0803</v>
          </cell>
        </row>
        <row r="21">
          <cell r="A21" t="str">
            <v>0804</v>
          </cell>
        </row>
        <row r="22">
          <cell r="A22" t="str">
            <v>0805</v>
          </cell>
        </row>
        <row r="23">
          <cell r="A23" t="str">
            <v>0806</v>
          </cell>
        </row>
        <row r="24">
          <cell r="A24" t="str">
            <v>0810</v>
          </cell>
        </row>
        <row r="25">
          <cell r="A25" t="str">
            <v>0811</v>
          </cell>
        </row>
        <row r="26">
          <cell r="A26" t="str">
            <v>0812</v>
          </cell>
        </row>
        <row r="27">
          <cell r="A27" t="str">
            <v>0813</v>
          </cell>
        </row>
        <row r="28">
          <cell r="A28" t="str">
            <v>0818</v>
          </cell>
        </row>
        <row r="29">
          <cell r="A29" t="str">
            <v>0820</v>
          </cell>
        </row>
        <row r="30">
          <cell r="A30" t="str">
            <v>0823</v>
          </cell>
        </row>
        <row r="31">
          <cell r="A31" t="str">
            <v>0824</v>
          </cell>
        </row>
        <row r="32">
          <cell r="A32" t="str">
            <v>0825</v>
          </cell>
        </row>
        <row r="33">
          <cell r="A33" t="str">
            <v>0828</v>
          </cell>
        </row>
        <row r="34">
          <cell r="A34" t="str">
            <v>0829</v>
          </cell>
        </row>
        <row r="35">
          <cell r="A35" t="str">
            <v>0830</v>
          </cell>
        </row>
        <row r="36">
          <cell r="A36" t="str">
            <v>0831</v>
          </cell>
        </row>
        <row r="37">
          <cell r="A37" t="str">
            <v>0832</v>
          </cell>
        </row>
        <row r="38">
          <cell r="A38" t="str">
            <v>1201</v>
          </cell>
        </row>
        <row r="39">
          <cell r="A39" t="str">
            <v>1202</v>
          </cell>
        </row>
        <row r="40">
          <cell r="A40" t="str">
            <v>1209</v>
          </cell>
        </row>
        <row r="41">
          <cell r="A41" t="str">
            <v>BH02</v>
          </cell>
        </row>
        <row r="42">
          <cell r="A42" t="str">
            <v>BH03</v>
          </cell>
        </row>
        <row r="43">
          <cell r="A43" t="str">
            <v>BH04</v>
          </cell>
        </row>
        <row r="44">
          <cell r="A44" t="str">
            <v>BU02</v>
          </cell>
        </row>
        <row r="45">
          <cell r="A45" t="str">
            <v>BW02</v>
          </cell>
        </row>
        <row r="46">
          <cell r="A46" t="str">
            <v>CF01</v>
          </cell>
        </row>
        <row r="47">
          <cell r="A47" t="str">
            <v>CN02</v>
          </cell>
        </row>
        <row r="48">
          <cell r="A48" t="str">
            <v>CN04</v>
          </cell>
        </row>
        <row r="49">
          <cell r="A49" t="str">
            <v>CR01</v>
          </cell>
        </row>
        <row r="50">
          <cell r="A50" t="str">
            <v>CR02</v>
          </cell>
        </row>
        <row r="51">
          <cell r="A51" t="str">
            <v>CU01</v>
          </cell>
        </row>
        <row r="52">
          <cell r="A52" t="str">
            <v>CU02</v>
          </cell>
        </row>
        <row r="53">
          <cell r="A53" t="str">
            <v>FL01</v>
          </cell>
        </row>
        <row r="54">
          <cell r="A54" t="str">
            <v>GD01</v>
          </cell>
        </row>
        <row r="55">
          <cell r="A55" t="str">
            <v>KB01</v>
          </cell>
        </row>
        <row r="56">
          <cell r="A56" t="str">
            <v>OL01</v>
          </cell>
        </row>
        <row r="57">
          <cell r="A57" t="str">
            <v>SC01</v>
          </cell>
        </row>
        <row r="58">
          <cell r="A58" t="str">
            <v>SC03</v>
          </cell>
        </row>
        <row r="59">
          <cell r="A59" t="str">
            <v>SC04</v>
          </cell>
        </row>
        <row r="60">
          <cell r="A60" t="str">
            <v>SC07</v>
          </cell>
        </row>
        <row r="61">
          <cell r="A61" t="str">
            <v>SC08</v>
          </cell>
        </row>
        <row r="62">
          <cell r="A62" t="str">
            <v>SC09</v>
          </cell>
        </row>
        <row r="63">
          <cell r="A63" t="str">
            <v>SC10</v>
          </cell>
        </row>
        <row r="64">
          <cell r="A64" t="str">
            <v>SC11</v>
          </cell>
        </row>
        <row r="65">
          <cell r="A65" t="str">
            <v>SH01</v>
          </cell>
        </row>
        <row r="66">
          <cell r="A66" t="str">
            <v>SH02</v>
          </cell>
        </row>
        <row r="67">
          <cell r="A67" t="str">
            <v>SH03</v>
          </cell>
        </row>
        <row r="68">
          <cell r="A68" t="str">
            <v>SH04</v>
          </cell>
        </row>
        <row r="69">
          <cell r="A69" t="str">
            <v>SH06</v>
          </cell>
        </row>
        <row r="70">
          <cell r="A70" t="str">
            <v>SH07</v>
          </cell>
        </row>
        <row r="71">
          <cell r="A71" t="str">
            <v>SP01</v>
          </cell>
        </row>
        <row r="72">
          <cell r="A72" t="str">
            <v>TC01</v>
          </cell>
        </row>
        <row r="73">
          <cell r="A73" t="str">
            <v>TR01</v>
          </cell>
        </row>
        <row r="74">
          <cell r="A74" t="str">
            <v>TR02</v>
          </cell>
        </row>
        <row r="75">
          <cell r="A75" t="str">
            <v>TR03</v>
          </cell>
        </row>
        <row r="76">
          <cell r="A76" t="str">
            <v>TR04</v>
          </cell>
        </row>
        <row r="77">
          <cell r="A77" t="str">
            <v>TR05</v>
          </cell>
        </row>
        <row r="78">
          <cell r="A78" t="str">
            <v>TR06</v>
          </cell>
        </row>
        <row r="79">
          <cell r="A79" t="str">
            <v>TR07</v>
          </cell>
        </row>
        <row r="80">
          <cell r="A80" t="str">
            <v>TR08</v>
          </cell>
        </row>
        <row r="81">
          <cell r="A81" t="str">
            <v>TR09</v>
          </cell>
        </row>
        <row r="82">
          <cell r="A82" t="str">
            <v>TR10</v>
          </cell>
        </row>
        <row r="83">
          <cell r="A83" t="str">
            <v>TR11</v>
          </cell>
        </row>
        <row r="84">
          <cell r="A84" t="str">
            <v>TR12</v>
          </cell>
        </row>
        <row r="85">
          <cell r="A85" t="str">
            <v>TR13</v>
          </cell>
        </row>
        <row r="86">
          <cell r="A86" t="str">
            <v>TR14</v>
          </cell>
        </row>
        <row r="87">
          <cell r="A87" t="str">
            <v>TR15</v>
          </cell>
        </row>
        <row r="88">
          <cell r="A88" t="str">
            <v>TR16</v>
          </cell>
        </row>
        <row r="89">
          <cell r="A89" t="str">
            <v>TR17</v>
          </cell>
        </row>
        <row r="90">
          <cell r="A90" t="str">
            <v>TR18</v>
          </cell>
        </row>
        <row r="91">
          <cell r="A91" t="str">
            <v>TR19</v>
          </cell>
        </row>
        <row r="92">
          <cell r="A92" t="str">
            <v>TR20</v>
          </cell>
        </row>
        <row r="93">
          <cell r="A93" t="str">
            <v>WD02</v>
          </cell>
        </row>
        <row r="94">
          <cell r="A94" t="str">
            <v>WD03</v>
          </cell>
        </row>
        <row r="95">
          <cell r="A95" t="str">
            <v>WD04</v>
          </cell>
        </row>
        <row r="96">
          <cell r="A96" t="str">
            <v>WD08</v>
          </cell>
        </row>
        <row r="97">
          <cell r="A97" t="str">
            <v>WD09</v>
          </cell>
        </row>
        <row r="98">
          <cell r="A98" t="str">
            <v>WD10</v>
          </cell>
        </row>
        <row r="99">
          <cell r="A99" t="str">
            <v>WD11</v>
          </cell>
        </row>
        <row r="100">
          <cell r="A100" t="str">
            <v>WL01</v>
          </cell>
        </row>
        <row r="101">
          <cell r="A101" t="str">
            <v>WT02</v>
          </cell>
        </row>
        <row r="102">
          <cell r="A102" t="str">
            <v>WT03</v>
          </cell>
        </row>
        <row r="103">
          <cell r="A103" t="str">
            <v>WT05</v>
          </cell>
        </row>
        <row r="104">
          <cell r="A104">
            <v>0</v>
          </cell>
        </row>
        <row r="105">
          <cell r="A105">
            <v>0</v>
          </cell>
        </row>
        <row r="106">
          <cell r="A106">
            <v>0</v>
          </cell>
        </row>
        <row r="107">
          <cell r="A107">
            <v>0</v>
          </cell>
        </row>
        <row r="108">
          <cell r="A108">
            <v>0</v>
          </cell>
        </row>
        <row r="109">
          <cell r="A109">
            <v>0</v>
          </cell>
        </row>
        <row r="110">
          <cell r="A110">
            <v>0</v>
          </cell>
        </row>
        <row r="111">
          <cell r="A111">
            <v>0</v>
          </cell>
        </row>
        <row r="112">
          <cell r="A112">
            <v>0</v>
          </cell>
        </row>
        <row r="113">
          <cell r="A113">
            <v>0</v>
          </cell>
        </row>
        <row r="114">
          <cell r="A114">
            <v>0</v>
          </cell>
        </row>
        <row r="115">
          <cell r="A115">
            <v>0</v>
          </cell>
        </row>
        <row r="116">
          <cell r="A116">
            <v>0</v>
          </cell>
        </row>
        <row r="117">
          <cell r="A117">
            <v>0</v>
          </cell>
        </row>
        <row r="118">
          <cell r="A118">
            <v>0</v>
          </cell>
        </row>
        <row r="119">
          <cell r="A119">
            <v>0</v>
          </cell>
        </row>
        <row r="120">
          <cell r="A120">
            <v>0</v>
          </cell>
        </row>
        <row r="121">
          <cell r="A121">
            <v>0</v>
          </cell>
        </row>
        <row r="122">
          <cell r="A122">
            <v>0</v>
          </cell>
        </row>
        <row r="123">
          <cell r="A123">
            <v>0</v>
          </cell>
        </row>
        <row r="124">
          <cell r="A124">
            <v>0</v>
          </cell>
        </row>
        <row r="125">
          <cell r="A125">
            <v>0</v>
          </cell>
        </row>
        <row r="126">
          <cell r="A126">
            <v>0</v>
          </cell>
        </row>
        <row r="127">
          <cell r="A127">
            <v>0</v>
          </cell>
        </row>
        <row r="128">
          <cell r="A128">
            <v>0</v>
          </cell>
        </row>
        <row r="129">
          <cell r="A129">
            <v>0</v>
          </cell>
        </row>
        <row r="130">
          <cell r="A130">
            <v>0</v>
          </cell>
        </row>
        <row r="131">
          <cell r="A131">
            <v>0</v>
          </cell>
        </row>
        <row r="132">
          <cell r="A132">
            <v>0</v>
          </cell>
        </row>
        <row r="133">
          <cell r="A133">
            <v>0</v>
          </cell>
        </row>
        <row r="134">
          <cell r="A134">
            <v>0</v>
          </cell>
        </row>
        <row r="135">
          <cell r="A135">
            <v>0</v>
          </cell>
        </row>
        <row r="136">
          <cell r="A136">
            <v>0</v>
          </cell>
        </row>
        <row r="137">
          <cell r="A137">
            <v>0</v>
          </cell>
        </row>
        <row r="138">
          <cell r="A138">
            <v>0</v>
          </cell>
        </row>
        <row r="139">
          <cell r="A139">
            <v>0</v>
          </cell>
        </row>
        <row r="140">
          <cell r="A140">
            <v>0</v>
          </cell>
        </row>
        <row r="141">
          <cell r="A141">
            <v>0</v>
          </cell>
        </row>
        <row r="142">
          <cell r="A142">
            <v>0</v>
          </cell>
        </row>
        <row r="143">
          <cell r="A143">
            <v>0</v>
          </cell>
        </row>
        <row r="144">
          <cell r="A144">
            <v>0</v>
          </cell>
        </row>
        <row r="145">
          <cell r="A145">
            <v>0</v>
          </cell>
        </row>
        <row r="146">
          <cell r="A146">
            <v>0</v>
          </cell>
        </row>
        <row r="147">
          <cell r="A147">
            <v>0</v>
          </cell>
        </row>
        <row r="148">
          <cell r="A148">
            <v>0</v>
          </cell>
        </row>
        <row r="149">
          <cell r="A149">
            <v>0</v>
          </cell>
        </row>
        <row r="150">
          <cell r="A150">
            <v>0</v>
          </cell>
        </row>
        <row r="151">
          <cell r="A151">
            <v>0</v>
          </cell>
        </row>
        <row r="152">
          <cell r="A152">
            <v>0</v>
          </cell>
        </row>
        <row r="153">
          <cell r="A153">
            <v>0</v>
          </cell>
        </row>
        <row r="154">
          <cell r="A154">
            <v>0</v>
          </cell>
        </row>
        <row r="155">
          <cell r="A155">
            <v>0</v>
          </cell>
        </row>
        <row r="156">
          <cell r="A156">
            <v>0</v>
          </cell>
        </row>
        <row r="157">
          <cell r="A157">
            <v>0</v>
          </cell>
        </row>
        <row r="158">
          <cell r="A158">
            <v>0</v>
          </cell>
        </row>
        <row r="159">
          <cell r="A159">
            <v>0</v>
          </cell>
        </row>
        <row r="160">
          <cell r="A160">
            <v>0</v>
          </cell>
        </row>
        <row r="161">
          <cell r="A161" t="str">
            <v>SH04</v>
          </cell>
        </row>
        <row r="162">
          <cell r="A162" t="str">
            <v>SH06</v>
          </cell>
        </row>
        <row r="163">
          <cell r="A163" t="str">
            <v>SH07</v>
          </cell>
        </row>
        <row r="164">
          <cell r="A164" t="str">
            <v>SP01</v>
          </cell>
        </row>
        <row r="165">
          <cell r="A165" t="str">
            <v>TC01</v>
          </cell>
        </row>
        <row r="166">
          <cell r="A166" t="str">
            <v>TR01</v>
          </cell>
        </row>
        <row r="167">
          <cell r="A167" t="str">
            <v>TR02</v>
          </cell>
        </row>
        <row r="168">
          <cell r="A168" t="str">
            <v>TR03</v>
          </cell>
        </row>
        <row r="169">
          <cell r="A169" t="str">
            <v>TR04</v>
          </cell>
        </row>
        <row r="170">
          <cell r="A170" t="str">
            <v>TR05</v>
          </cell>
        </row>
        <row r="171">
          <cell r="A171" t="str">
            <v>TR06</v>
          </cell>
        </row>
        <row r="172">
          <cell r="A172" t="str">
            <v>TR07</v>
          </cell>
        </row>
        <row r="173">
          <cell r="A173" t="str">
            <v>TR08</v>
          </cell>
        </row>
        <row r="174">
          <cell r="A174" t="str">
            <v>TR09</v>
          </cell>
        </row>
        <row r="175">
          <cell r="A175" t="str">
            <v>TR10</v>
          </cell>
        </row>
        <row r="176">
          <cell r="A176" t="str">
            <v>TR11</v>
          </cell>
        </row>
        <row r="177">
          <cell r="A177" t="str">
            <v>TR12</v>
          </cell>
        </row>
        <row r="178">
          <cell r="A178" t="str">
            <v>TR13</v>
          </cell>
        </row>
        <row r="179">
          <cell r="A179" t="str">
            <v>TR14</v>
          </cell>
        </row>
        <row r="180">
          <cell r="A180" t="str">
            <v>TR15</v>
          </cell>
        </row>
        <row r="181">
          <cell r="A181" t="str">
            <v>TR16</v>
          </cell>
        </row>
        <row r="182">
          <cell r="A182" t="str">
            <v>TR17</v>
          </cell>
        </row>
        <row r="183">
          <cell r="A183" t="str">
            <v>TR18</v>
          </cell>
        </row>
        <row r="184">
          <cell r="A184" t="str">
            <v>TR19</v>
          </cell>
        </row>
        <row r="185">
          <cell r="A185" t="str">
            <v>TR20</v>
          </cell>
        </row>
        <row r="186">
          <cell r="A186" t="str">
            <v>WD02</v>
          </cell>
        </row>
        <row r="187">
          <cell r="A187" t="str">
            <v>WD03</v>
          </cell>
        </row>
        <row r="188">
          <cell r="A188" t="str">
            <v>WD04</v>
          </cell>
        </row>
        <row r="189">
          <cell r="A189" t="str">
            <v>WD08</v>
          </cell>
        </row>
        <row r="190">
          <cell r="A190" t="str">
            <v>WD09</v>
          </cell>
        </row>
        <row r="191">
          <cell r="A191" t="str">
            <v>WD10</v>
          </cell>
        </row>
        <row r="192">
          <cell r="A192" t="str">
            <v>WD11</v>
          </cell>
        </row>
        <row r="193">
          <cell r="A193" t="str">
            <v>WL01</v>
          </cell>
        </row>
        <row r="194">
          <cell r="A194" t="str">
            <v>WT02</v>
          </cell>
        </row>
        <row r="195">
          <cell r="A195" t="str">
            <v>WT03</v>
          </cell>
        </row>
        <row r="196">
          <cell r="A196" t="str">
            <v>WT05</v>
          </cell>
        </row>
        <row r="197">
          <cell r="A197">
            <v>0</v>
          </cell>
        </row>
        <row r="198">
          <cell r="A198">
            <v>0</v>
          </cell>
        </row>
        <row r="199">
          <cell r="A199">
            <v>0</v>
          </cell>
        </row>
        <row r="200">
          <cell r="A200">
            <v>0</v>
          </cell>
        </row>
        <row r="201">
          <cell r="A201">
            <v>0</v>
          </cell>
        </row>
        <row r="202">
          <cell r="A202">
            <v>0</v>
          </cell>
        </row>
        <row r="203">
          <cell r="A203">
            <v>0</v>
          </cell>
        </row>
        <row r="204">
          <cell r="A204">
            <v>0</v>
          </cell>
        </row>
        <row r="205">
          <cell r="A205">
            <v>0</v>
          </cell>
        </row>
        <row r="206">
          <cell r="A206">
            <v>0</v>
          </cell>
        </row>
        <row r="207">
          <cell r="A207">
            <v>0</v>
          </cell>
        </row>
        <row r="208">
          <cell r="A208">
            <v>0</v>
          </cell>
        </row>
        <row r="209">
          <cell r="A209">
            <v>0</v>
          </cell>
        </row>
        <row r="210">
          <cell r="A210">
            <v>0</v>
          </cell>
        </row>
        <row r="211">
          <cell r="A211">
            <v>0</v>
          </cell>
        </row>
        <row r="212">
          <cell r="A212">
            <v>0</v>
          </cell>
        </row>
        <row r="213">
          <cell r="A213">
            <v>0</v>
          </cell>
        </row>
        <row r="214">
          <cell r="A214">
            <v>0</v>
          </cell>
        </row>
        <row r="215">
          <cell r="A215">
            <v>0</v>
          </cell>
        </row>
        <row r="216">
          <cell r="A216">
            <v>0</v>
          </cell>
        </row>
        <row r="217">
          <cell r="A217">
            <v>0</v>
          </cell>
        </row>
        <row r="218">
          <cell r="A218">
            <v>0</v>
          </cell>
        </row>
        <row r="219">
          <cell r="A219">
            <v>0</v>
          </cell>
        </row>
        <row r="220">
          <cell r="A220">
            <v>0</v>
          </cell>
        </row>
        <row r="221">
          <cell r="A221">
            <v>0</v>
          </cell>
        </row>
        <row r="222">
          <cell r="A222">
            <v>0</v>
          </cell>
        </row>
        <row r="223">
          <cell r="A223">
            <v>0</v>
          </cell>
        </row>
        <row r="224">
          <cell r="A224">
            <v>0</v>
          </cell>
        </row>
        <row r="225">
          <cell r="A225">
            <v>0</v>
          </cell>
        </row>
        <row r="226">
          <cell r="A226">
            <v>0</v>
          </cell>
        </row>
        <row r="227">
          <cell r="A227">
            <v>0</v>
          </cell>
        </row>
        <row r="228">
          <cell r="A228">
            <v>0</v>
          </cell>
        </row>
        <row r="229">
          <cell r="A229">
            <v>0</v>
          </cell>
        </row>
        <row r="230">
          <cell r="A230">
            <v>0</v>
          </cell>
        </row>
        <row r="231">
          <cell r="A231">
            <v>0</v>
          </cell>
        </row>
        <row r="232">
          <cell r="A232">
            <v>0</v>
          </cell>
        </row>
        <row r="233">
          <cell r="A233">
            <v>0</v>
          </cell>
        </row>
        <row r="234">
          <cell r="A234">
            <v>0</v>
          </cell>
        </row>
        <row r="235">
          <cell r="A235">
            <v>0</v>
          </cell>
        </row>
        <row r="236">
          <cell r="A236">
            <v>0</v>
          </cell>
        </row>
        <row r="237">
          <cell r="A237">
            <v>0</v>
          </cell>
        </row>
        <row r="238">
          <cell r="A238">
            <v>0</v>
          </cell>
        </row>
        <row r="239">
          <cell r="A239">
            <v>0</v>
          </cell>
        </row>
        <row r="240">
          <cell r="A240">
            <v>0</v>
          </cell>
        </row>
        <row r="241">
          <cell r="A241">
            <v>0</v>
          </cell>
        </row>
        <row r="242">
          <cell r="A242">
            <v>0</v>
          </cell>
        </row>
        <row r="243">
          <cell r="A243">
            <v>0</v>
          </cell>
        </row>
        <row r="244">
          <cell r="A244">
            <v>0</v>
          </cell>
        </row>
        <row r="245">
          <cell r="A245">
            <v>0</v>
          </cell>
        </row>
        <row r="246">
          <cell r="A246">
            <v>0</v>
          </cell>
        </row>
        <row r="247">
          <cell r="A247">
            <v>0</v>
          </cell>
        </row>
        <row r="248">
          <cell r="A248">
            <v>0</v>
          </cell>
        </row>
        <row r="249">
          <cell r="A249">
            <v>0</v>
          </cell>
        </row>
        <row r="250">
          <cell r="A250">
            <v>0</v>
          </cell>
        </row>
        <row r="251">
          <cell r="A251">
            <v>0</v>
          </cell>
        </row>
        <row r="252">
          <cell r="A252">
            <v>0</v>
          </cell>
        </row>
        <row r="253">
          <cell r="A253">
            <v>0</v>
          </cell>
        </row>
        <row r="254">
          <cell r="A254">
            <v>0</v>
          </cell>
        </row>
        <row r="255">
          <cell r="A255">
            <v>0</v>
          </cell>
        </row>
        <row r="256">
          <cell r="A256">
            <v>0</v>
          </cell>
        </row>
        <row r="257">
          <cell r="A257">
            <v>0</v>
          </cell>
        </row>
        <row r="258">
          <cell r="A258">
            <v>0</v>
          </cell>
        </row>
        <row r="259">
          <cell r="A259">
            <v>0</v>
          </cell>
        </row>
        <row r="260">
          <cell r="A260">
            <v>0</v>
          </cell>
        </row>
        <row r="261">
          <cell r="A261">
            <v>0</v>
          </cell>
        </row>
        <row r="262">
          <cell r="A262">
            <v>0</v>
          </cell>
        </row>
        <row r="263">
          <cell r="A263">
            <v>0</v>
          </cell>
        </row>
        <row r="264">
          <cell r="A264">
            <v>0</v>
          </cell>
        </row>
        <row r="265">
          <cell r="A265">
            <v>0</v>
          </cell>
        </row>
        <row r="266">
          <cell r="A266">
            <v>0</v>
          </cell>
        </row>
        <row r="267">
          <cell r="A267">
            <v>0</v>
          </cell>
        </row>
        <row r="268">
          <cell r="A268">
            <v>0</v>
          </cell>
        </row>
        <row r="269">
          <cell r="A269">
            <v>0</v>
          </cell>
        </row>
        <row r="270">
          <cell r="A270">
            <v>0</v>
          </cell>
        </row>
        <row r="271">
          <cell r="A271">
            <v>0</v>
          </cell>
        </row>
        <row r="272">
          <cell r="A272">
            <v>0</v>
          </cell>
        </row>
        <row r="273">
          <cell r="A273">
            <v>0</v>
          </cell>
        </row>
        <row r="274">
          <cell r="A274">
            <v>0</v>
          </cell>
        </row>
        <row r="275">
          <cell r="A275">
            <v>0</v>
          </cell>
        </row>
        <row r="276">
          <cell r="A276">
            <v>0</v>
          </cell>
        </row>
        <row r="277">
          <cell r="A277">
            <v>0</v>
          </cell>
        </row>
        <row r="278">
          <cell r="A278">
            <v>0</v>
          </cell>
        </row>
        <row r="279">
          <cell r="A279">
            <v>0</v>
          </cell>
        </row>
        <row r="280">
          <cell r="A280">
            <v>0</v>
          </cell>
        </row>
        <row r="281">
          <cell r="A281">
            <v>0</v>
          </cell>
        </row>
        <row r="282">
          <cell r="A282">
            <v>0</v>
          </cell>
        </row>
        <row r="283">
          <cell r="A283">
            <v>0</v>
          </cell>
        </row>
        <row r="284">
          <cell r="A284">
            <v>0</v>
          </cell>
        </row>
        <row r="285">
          <cell r="A285">
            <v>0</v>
          </cell>
        </row>
        <row r="286">
          <cell r="A286">
            <v>0</v>
          </cell>
        </row>
        <row r="287">
          <cell r="A287">
            <v>0</v>
          </cell>
        </row>
        <row r="288">
          <cell r="A288">
            <v>0</v>
          </cell>
        </row>
        <row r="289">
          <cell r="A289">
            <v>0</v>
          </cell>
        </row>
        <row r="290">
          <cell r="A290">
            <v>0</v>
          </cell>
        </row>
        <row r="291">
          <cell r="A291">
            <v>0</v>
          </cell>
        </row>
        <row r="292">
          <cell r="A292">
            <v>0</v>
          </cell>
        </row>
        <row r="293">
          <cell r="A293">
            <v>0</v>
          </cell>
        </row>
        <row r="294">
          <cell r="A294">
            <v>0</v>
          </cell>
        </row>
        <row r="295">
          <cell r="A295">
            <v>0</v>
          </cell>
        </row>
        <row r="296">
          <cell r="A296">
            <v>0</v>
          </cell>
        </row>
        <row r="297">
          <cell r="A297">
            <v>0</v>
          </cell>
        </row>
        <row r="298">
          <cell r="A298">
            <v>0</v>
          </cell>
        </row>
        <row r="299">
          <cell r="A299">
            <v>0</v>
          </cell>
        </row>
        <row r="300">
          <cell r="A300">
            <v>0</v>
          </cell>
        </row>
        <row r="301">
          <cell r="A301">
            <v>0</v>
          </cell>
        </row>
        <row r="302">
          <cell r="A302">
            <v>0</v>
          </cell>
        </row>
        <row r="303">
          <cell r="A303">
            <v>0</v>
          </cell>
        </row>
        <row r="304">
          <cell r="A304">
            <v>0</v>
          </cell>
        </row>
        <row r="305">
          <cell r="A305">
            <v>0</v>
          </cell>
        </row>
        <row r="306">
          <cell r="A306">
            <v>0</v>
          </cell>
        </row>
        <row r="307">
          <cell r="A307">
            <v>0</v>
          </cell>
        </row>
        <row r="308">
          <cell r="A308">
            <v>0</v>
          </cell>
        </row>
        <row r="309">
          <cell r="A309">
            <v>0</v>
          </cell>
        </row>
        <row r="310">
          <cell r="A310">
            <v>0</v>
          </cell>
        </row>
        <row r="311">
          <cell r="A311">
            <v>0</v>
          </cell>
        </row>
        <row r="312">
          <cell r="A312">
            <v>0</v>
          </cell>
        </row>
        <row r="313">
          <cell r="A313">
            <v>0</v>
          </cell>
        </row>
        <row r="314">
          <cell r="A314">
            <v>0</v>
          </cell>
        </row>
        <row r="315">
          <cell r="A315">
            <v>0</v>
          </cell>
        </row>
        <row r="316">
          <cell r="A316">
            <v>0</v>
          </cell>
        </row>
        <row r="317">
          <cell r="A317">
            <v>0</v>
          </cell>
        </row>
        <row r="318">
          <cell r="A318">
            <v>0</v>
          </cell>
        </row>
        <row r="319">
          <cell r="A319">
            <v>0</v>
          </cell>
        </row>
        <row r="320">
          <cell r="A320">
            <v>0</v>
          </cell>
        </row>
        <row r="321">
          <cell r="A321">
            <v>0</v>
          </cell>
        </row>
        <row r="322">
          <cell r="A322">
            <v>0</v>
          </cell>
        </row>
        <row r="323">
          <cell r="A323">
            <v>0</v>
          </cell>
        </row>
        <row r="324">
          <cell r="A324">
            <v>0</v>
          </cell>
        </row>
        <row r="325">
          <cell r="A325">
            <v>0</v>
          </cell>
        </row>
        <row r="326">
          <cell r="A326">
            <v>0</v>
          </cell>
        </row>
        <row r="327">
          <cell r="A327">
            <v>0</v>
          </cell>
        </row>
        <row r="328">
          <cell r="A328">
            <v>0</v>
          </cell>
        </row>
        <row r="329">
          <cell r="A329">
            <v>0</v>
          </cell>
        </row>
        <row r="330">
          <cell r="A330">
            <v>0</v>
          </cell>
        </row>
        <row r="331">
          <cell r="A331">
            <v>0</v>
          </cell>
        </row>
        <row r="332">
          <cell r="A332">
            <v>0</v>
          </cell>
        </row>
        <row r="333">
          <cell r="A333">
            <v>0</v>
          </cell>
        </row>
        <row r="334">
          <cell r="A334">
            <v>0</v>
          </cell>
        </row>
        <row r="335">
          <cell r="A335">
            <v>0</v>
          </cell>
        </row>
        <row r="336">
          <cell r="A336">
            <v>0</v>
          </cell>
        </row>
        <row r="337">
          <cell r="A337">
            <v>0</v>
          </cell>
        </row>
        <row r="338">
          <cell r="A338">
            <v>0</v>
          </cell>
        </row>
        <row r="339">
          <cell r="A339">
            <v>0</v>
          </cell>
        </row>
        <row r="340">
          <cell r="A340">
            <v>0</v>
          </cell>
        </row>
        <row r="341">
          <cell r="A341">
            <v>0</v>
          </cell>
        </row>
        <row r="342">
          <cell r="A342">
            <v>0</v>
          </cell>
        </row>
        <row r="343">
          <cell r="A343">
            <v>0</v>
          </cell>
        </row>
        <row r="344">
          <cell r="A344">
            <v>0</v>
          </cell>
        </row>
        <row r="345">
          <cell r="A345">
            <v>0</v>
          </cell>
        </row>
        <row r="346">
          <cell r="A346">
            <v>0</v>
          </cell>
        </row>
        <row r="347">
          <cell r="A347">
            <v>0</v>
          </cell>
        </row>
        <row r="348">
          <cell r="A348">
            <v>0</v>
          </cell>
        </row>
        <row r="349">
          <cell r="A349">
            <v>0</v>
          </cell>
        </row>
        <row r="350">
          <cell r="A350">
            <v>0</v>
          </cell>
        </row>
        <row r="351">
          <cell r="A351">
            <v>0</v>
          </cell>
        </row>
        <row r="352">
          <cell r="A352">
            <v>0</v>
          </cell>
        </row>
        <row r="353">
          <cell r="A353">
            <v>0</v>
          </cell>
        </row>
        <row r="354">
          <cell r="A354">
            <v>0</v>
          </cell>
        </row>
        <row r="355">
          <cell r="A355">
            <v>0</v>
          </cell>
        </row>
        <row r="356">
          <cell r="A356">
            <v>0</v>
          </cell>
        </row>
        <row r="357">
          <cell r="A357">
            <v>0</v>
          </cell>
        </row>
        <row r="358">
          <cell r="A358">
            <v>0</v>
          </cell>
        </row>
        <row r="359">
          <cell r="A359">
            <v>0</v>
          </cell>
        </row>
        <row r="360">
          <cell r="A360">
            <v>0</v>
          </cell>
        </row>
        <row r="361">
          <cell r="A361">
            <v>0</v>
          </cell>
        </row>
        <row r="362">
          <cell r="A362">
            <v>0</v>
          </cell>
        </row>
        <row r="363">
          <cell r="A363">
            <v>0</v>
          </cell>
        </row>
        <row r="364">
          <cell r="A364">
            <v>0</v>
          </cell>
        </row>
        <row r="365">
          <cell r="A365">
            <v>0</v>
          </cell>
        </row>
        <row r="366">
          <cell r="A366">
            <v>0</v>
          </cell>
        </row>
        <row r="367">
          <cell r="A367">
            <v>0</v>
          </cell>
        </row>
        <row r="368">
          <cell r="A368">
            <v>0</v>
          </cell>
        </row>
        <row r="369">
          <cell r="A369">
            <v>0</v>
          </cell>
        </row>
        <row r="370">
          <cell r="A370">
            <v>0</v>
          </cell>
        </row>
        <row r="371">
          <cell r="A371">
            <v>0</v>
          </cell>
        </row>
        <row r="372">
          <cell r="A372">
            <v>0</v>
          </cell>
        </row>
        <row r="373">
          <cell r="A373">
            <v>0</v>
          </cell>
        </row>
        <row r="374">
          <cell r="A374">
            <v>0</v>
          </cell>
        </row>
        <row r="375">
          <cell r="A375">
            <v>0</v>
          </cell>
        </row>
        <row r="376">
          <cell r="A376">
            <v>0</v>
          </cell>
        </row>
        <row r="377">
          <cell r="A377">
            <v>0</v>
          </cell>
        </row>
        <row r="378">
          <cell r="A378">
            <v>0</v>
          </cell>
        </row>
        <row r="379">
          <cell r="A379">
            <v>0</v>
          </cell>
        </row>
        <row r="380">
          <cell r="A380">
            <v>0</v>
          </cell>
        </row>
        <row r="381">
          <cell r="A381">
            <v>0</v>
          </cell>
        </row>
        <row r="382">
          <cell r="A382">
            <v>0</v>
          </cell>
        </row>
        <row r="383">
          <cell r="A383">
            <v>0</v>
          </cell>
        </row>
        <row r="384">
          <cell r="A384">
            <v>0</v>
          </cell>
        </row>
        <row r="385">
          <cell r="A385">
            <v>0</v>
          </cell>
        </row>
        <row r="386">
          <cell r="A386">
            <v>0</v>
          </cell>
        </row>
        <row r="387">
          <cell r="A387">
            <v>0</v>
          </cell>
        </row>
        <row r="388">
          <cell r="A388">
            <v>0</v>
          </cell>
        </row>
        <row r="389">
          <cell r="A389">
            <v>0</v>
          </cell>
        </row>
        <row r="390">
          <cell r="A390">
            <v>0</v>
          </cell>
        </row>
        <row r="391">
          <cell r="A391">
            <v>0</v>
          </cell>
        </row>
        <row r="392">
          <cell r="A392">
            <v>0</v>
          </cell>
        </row>
        <row r="393">
          <cell r="A393">
            <v>0</v>
          </cell>
        </row>
        <row r="394">
          <cell r="A394">
            <v>0</v>
          </cell>
        </row>
        <row r="395">
          <cell r="A395">
            <v>0</v>
          </cell>
        </row>
        <row r="396">
          <cell r="A396">
            <v>0</v>
          </cell>
        </row>
        <row r="397">
          <cell r="A397">
            <v>0</v>
          </cell>
        </row>
        <row r="398">
          <cell r="A398">
            <v>0</v>
          </cell>
        </row>
        <row r="399">
          <cell r="A399">
            <v>0</v>
          </cell>
        </row>
        <row r="400">
          <cell r="A400">
            <v>0</v>
          </cell>
        </row>
        <row r="401">
          <cell r="A401">
            <v>0</v>
          </cell>
        </row>
        <row r="402">
          <cell r="A402">
            <v>0</v>
          </cell>
        </row>
        <row r="403">
          <cell r="A403">
            <v>0</v>
          </cell>
        </row>
        <row r="404">
          <cell r="A404">
            <v>0</v>
          </cell>
        </row>
        <row r="405">
          <cell r="A405">
            <v>0</v>
          </cell>
        </row>
        <row r="406">
          <cell r="A406">
            <v>0</v>
          </cell>
        </row>
        <row r="407">
          <cell r="A407">
            <v>0</v>
          </cell>
        </row>
        <row r="408">
          <cell r="A408">
            <v>0</v>
          </cell>
        </row>
        <row r="409">
          <cell r="A409">
            <v>0</v>
          </cell>
        </row>
        <row r="410">
          <cell r="A410">
            <v>0</v>
          </cell>
        </row>
        <row r="411">
          <cell r="A411">
            <v>0</v>
          </cell>
        </row>
        <row r="412">
          <cell r="A412">
            <v>0</v>
          </cell>
        </row>
        <row r="413">
          <cell r="A413">
            <v>0</v>
          </cell>
        </row>
        <row r="414">
          <cell r="A414">
            <v>0</v>
          </cell>
        </row>
        <row r="415">
          <cell r="A415">
            <v>0</v>
          </cell>
        </row>
        <row r="416">
          <cell r="A416">
            <v>0</v>
          </cell>
        </row>
        <row r="417">
          <cell r="A417">
            <v>0</v>
          </cell>
        </row>
        <row r="418">
          <cell r="A418">
            <v>0</v>
          </cell>
        </row>
        <row r="419">
          <cell r="A419">
            <v>0</v>
          </cell>
        </row>
        <row r="420">
          <cell r="A420">
            <v>0</v>
          </cell>
        </row>
        <row r="421">
          <cell r="A421">
            <v>0</v>
          </cell>
        </row>
        <row r="422">
          <cell r="A422">
            <v>0</v>
          </cell>
        </row>
        <row r="423">
          <cell r="A423">
            <v>0</v>
          </cell>
        </row>
        <row r="424">
          <cell r="A424">
            <v>0</v>
          </cell>
        </row>
        <row r="425">
          <cell r="A425">
            <v>0</v>
          </cell>
        </row>
        <row r="426">
          <cell r="A426">
            <v>0</v>
          </cell>
        </row>
        <row r="427">
          <cell r="A427">
            <v>0</v>
          </cell>
        </row>
        <row r="428">
          <cell r="A428">
            <v>0</v>
          </cell>
        </row>
        <row r="429">
          <cell r="A429">
            <v>0</v>
          </cell>
        </row>
        <row r="430">
          <cell r="A430">
            <v>0</v>
          </cell>
        </row>
        <row r="431">
          <cell r="A431">
            <v>0</v>
          </cell>
        </row>
        <row r="432">
          <cell r="A432">
            <v>0</v>
          </cell>
        </row>
        <row r="433">
          <cell r="A433">
            <v>0</v>
          </cell>
        </row>
        <row r="434">
          <cell r="A434">
            <v>0</v>
          </cell>
        </row>
        <row r="435">
          <cell r="A435">
            <v>0</v>
          </cell>
        </row>
        <row r="436">
          <cell r="A436">
            <v>0</v>
          </cell>
        </row>
        <row r="437">
          <cell r="A437">
            <v>0</v>
          </cell>
        </row>
        <row r="438">
          <cell r="A438">
            <v>0</v>
          </cell>
        </row>
        <row r="439">
          <cell r="A439">
            <v>0</v>
          </cell>
        </row>
        <row r="440">
          <cell r="A440">
            <v>0</v>
          </cell>
        </row>
        <row r="441">
          <cell r="A441">
            <v>0</v>
          </cell>
        </row>
        <row r="442">
          <cell r="A442">
            <v>0</v>
          </cell>
        </row>
        <row r="443">
          <cell r="A443">
            <v>0</v>
          </cell>
        </row>
        <row r="444">
          <cell r="A444">
            <v>0</v>
          </cell>
        </row>
        <row r="445">
          <cell r="A445">
            <v>0</v>
          </cell>
        </row>
        <row r="446">
          <cell r="A446">
            <v>0</v>
          </cell>
        </row>
        <row r="447">
          <cell r="A447">
            <v>0</v>
          </cell>
        </row>
        <row r="448">
          <cell r="A448">
            <v>0</v>
          </cell>
        </row>
        <row r="449">
          <cell r="A449">
            <v>0</v>
          </cell>
        </row>
        <row r="450">
          <cell r="A450">
            <v>0</v>
          </cell>
        </row>
        <row r="451">
          <cell r="A451">
            <v>0</v>
          </cell>
        </row>
        <row r="452">
          <cell r="A452">
            <v>0</v>
          </cell>
        </row>
        <row r="453">
          <cell r="A453">
            <v>0</v>
          </cell>
        </row>
        <row r="454">
          <cell r="A454">
            <v>0</v>
          </cell>
        </row>
        <row r="455">
          <cell r="A455">
            <v>0</v>
          </cell>
        </row>
        <row r="456">
          <cell r="A456">
            <v>0</v>
          </cell>
        </row>
        <row r="457">
          <cell r="A457">
            <v>0</v>
          </cell>
        </row>
        <row r="458">
          <cell r="A458">
            <v>0</v>
          </cell>
        </row>
        <row r="459">
          <cell r="A459">
            <v>0</v>
          </cell>
        </row>
        <row r="460">
          <cell r="A460">
            <v>0</v>
          </cell>
        </row>
        <row r="461">
          <cell r="A461">
            <v>0</v>
          </cell>
        </row>
        <row r="462">
          <cell r="A462">
            <v>0</v>
          </cell>
        </row>
        <row r="463">
          <cell r="A463">
            <v>0</v>
          </cell>
        </row>
        <row r="464">
          <cell r="A464">
            <v>0</v>
          </cell>
        </row>
        <row r="465">
          <cell r="A465">
            <v>0</v>
          </cell>
        </row>
        <row r="466">
          <cell r="A466">
            <v>0</v>
          </cell>
        </row>
        <row r="467">
          <cell r="A467">
            <v>0</v>
          </cell>
        </row>
        <row r="468">
          <cell r="A468">
            <v>0</v>
          </cell>
        </row>
        <row r="469">
          <cell r="A469">
            <v>0</v>
          </cell>
        </row>
        <row r="470">
          <cell r="A470">
            <v>0</v>
          </cell>
        </row>
        <row r="471">
          <cell r="A471">
            <v>0</v>
          </cell>
        </row>
        <row r="472">
          <cell r="A472">
            <v>0</v>
          </cell>
        </row>
        <row r="473">
          <cell r="A473">
            <v>0</v>
          </cell>
        </row>
        <row r="474">
          <cell r="A474">
            <v>0</v>
          </cell>
        </row>
        <row r="475">
          <cell r="A475">
            <v>0</v>
          </cell>
        </row>
        <row r="476">
          <cell r="A476">
            <v>0</v>
          </cell>
        </row>
        <row r="477">
          <cell r="A477">
            <v>0</v>
          </cell>
        </row>
        <row r="478">
          <cell r="A478">
            <v>0</v>
          </cell>
        </row>
        <row r="479">
          <cell r="A479">
            <v>0</v>
          </cell>
        </row>
        <row r="480">
          <cell r="A480">
            <v>0</v>
          </cell>
        </row>
        <row r="481">
          <cell r="A481">
            <v>0</v>
          </cell>
        </row>
        <row r="482">
          <cell r="A482">
            <v>0</v>
          </cell>
        </row>
        <row r="483">
          <cell r="A483">
            <v>0</v>
          </cell>
        </row>
        <row r="484">
          <cell r="A484">
            <v>0</v>
          </cell>
        </row>
        <row r="485">
          <cell r="A485">
            <v>0</v>
          </cell>
        </row>
        <row r="486">
          <cell r="A486">
            <v>0</v>
          </cell>
        </row>
        <row r="487">
          <cell r="A487">
            <v>0</v>
          </cell>
        </row>
        <row r="488">
          <cell r="A488">
            <v>0</v>
          </cell>
        </row>
        <row r="489">
          <cell r="A489">
            <v>0</v>
          </cell>
        </row>
        <row r="490">
          <cell r="A490">
            <v>0</v>
          </cell>
        </row>
        <row r="491">
          <cell r="A491">
            <v>0</v>
          </cell>
        </row>
        <row r="492">
          <cell r="A492">
            <v>0</v>
          </cell>
        </row>
        <row r="493">
          <cell r="A493">
            <v>0</v>
          </cell>
        </row>
        <row r="494">
          <cell r="A494">
            <v>0</v>
          </cell>
        </row>
        <row r="495">
          <cell r="A495">
            <v>0</v>
          </cell>
        </row>
        <row r="496">
          <cell r="A496">
            <v>0</v>
          </cell>
        </row>
        <row r="497">
          <cell r="A497">
            <v>0</v>
          </cell>
        </row>
        <row r="498">
          <cell r="A498">
            <v>0</v>
          </cell>
        </row>
        <row r="499">
          <cell r="A499">
            <v>0</v>
          </cell>
        </row>
        <row r="500">
          <cell r="A500">
            <v>0</v>
          </cell>
        </row>
        <row r="501">
          <cell r="A501">
            <v>0</v>
          </cell>
        </row>
        <row r="502">
          <cell r="A502">
            <v>0</v>
          </cell>
        </row>
        <row r="503">
          <cell r="A503">
            <v>0</v>
          </cell>
        </row>
        <row r="504">
          <cell r="A504">
            <v>0</v>
          </cell>
        </row>
        <row r="505">
          <cell r="A505">
            <v>0</v>
          </cell>
        </row>
        <row r="506">
          <cell r="A506">
            <v>0</v>
          </cell>
        </row>
        <row r="507">
          <cell r="A507">
            <v>0</v>
          </cell>
        </row>
        <row r="508">
          <cell r="A508">
            <v>0</v>
          </cell>
        </row>
        <row r="509">
          <cell r="A509">
            <v>0</v>
          </cell>
        </row>
        <row r="510">
          <cell r="A510">
            <v>0</v>
          </cell>
        </row>
        <row r="511">
          <cell r="A511">
            <v>0</v>
          </cell>
        </row>
        <row r="512">
          <cell r="A512">
            <v>0</v>
          </cell>
        </row>
        <row r="513">
          <cell r="A513">
            <v>0</v>
          </cell>
        </row>
        <row r="514">
          <cell r="A514">
            <v>0</v>
          </cell>
        </row>
        <row r="515">
          <cell r="A515">
            <v>0</v>
          </cell>
        </row>
        <row r="516">
          <cell r="A516">
            <v>0</v>
          </cell>
        </row>
        <row r="517">
          <cell r="A517">
            <v>0</v>
          </cell>
        </row>
        <row r="518">
          <cell r="A518">
            <v>0</v>
          </cell>
        </row>
        <row r="519">
          <cell r="A519">
            <v>0</v>
          </cell>
        </row>
        <row r="520">
          <cell r="A520">
            <v>0</v>
          </cell>
        </row>
        <row r="521">
          <cell r="A521">
            <v>0</v>
          </cell>
        </row>
        <row r="522">
          <cell r="A522">
            <v>0</v>
          </cell>
        </row>
        <row r="523">
          <cell r="A523">
            <v>0</v>
          </cell>
        </row>
        <row r="524">
          <cell r="A524">
            <v>0</v>
          </cell>
        </row>
        <row r="525">
          <cell r="A525">
            <v>0</v>
          </cell>
        </row>
        <row r="526">
          <cell r="A526">
            <v>0</v>
          </cell>
        </row>
        <row r="527">
          <cell r="A527">
            <v>0</v>
          </cell>
        </row>
        <row r="528">
          <cell r="A528">
            <v>0</v>
          </cell>
        </row>
        <row r="529">
          <cell r="A529">
            <v>0</v>
          </cell>
        </row>
        <row r="530">
          <cell r="A530">
            <v>0</v>
          </cell>
        </row>
        <row r="531">
          <cell r="A531">
            <v>0</v>
          </cell>
        </row>
        <row r="532">
          <cell r="A532">
            <v>0</v>
          </cell>
        </row>
        <row r="533">
          <cell r="A533">
            <v>0</v>
          </cell>
        </row>
        <row r="534">
          <cell r="A534">
            <v>0</v>
          </cell>
        </row>
        <row r="535">
          <cell r="A535">
            <v>0</v>
          </cell>
        </row>
        <row r="536">
          <cell r="A536">
            <v>0</v>
          </cell>
        </row>
        <row r="537">
          <cell r="A537">
            <v>0</v>
          </cell>
        </row>
        <row r="538">
          <cell r="A538">
            <v>0</v>
          </cell>
        </row>
        <row r="539">
          <cell r="A539">
            <v>0</v>
          </cell>
        </row>
        <row r="540">
          <cell r="A540">
            <v>0</v>
          </cell>
        </row>
        <row r="541">
          <cell r="A541">
            <v>0</v>
          </cell>
        </row>
        <row r="542">
          <cell r="A542">
            <v>0</v>
          </cell>
        </row>
        <row r="543">
          <cell r="A543">
            <v>0</v>
          </cell>
        </row>
        <row r="544">
          <cell r="A544">
            <v>0</v>
          </cell>
        </row>
        <row r="545">
          <cell r="A545">
            <v>0</v>
          </cell>
        </row>
        <row r="546">
          <cell r="A546">
            <v>0</v>
          </cell>
        </row>
        <row r="547">
          <cell r="A547">
            <v>0</v>
          </cell>
        </row>
        <row r="548">
          <cell r="A548">
            <v>0</v>
          </cell>
        </row>
        <row r="549">
          <cell r="A549">
            <v>0</v>
          </cell>
        </row>
        <row r="550">
          <cell r="A550">
            <v>0</v>
          </cell>
        </row>
        <row r="551">
          <cell r="A551">
            <v>0</v>
          </cell>
        </row>
        <row r="552">
          <cell r="A552">
            <v>0</v>
          </cell>
        </row>
        <row r="553">
          <cell r="A553">
            <v>0</v>
          </cell>
        </row>
        <row r="554">
          <cell r="A554">
            <v>0</v>
          </cell>
        </row>
        <row r="555">
          <cell r="A555">
            <v>0</v>
          </cell>
        </row>
        <row r="556">
          <cell r="A556">
            <v>0</v>
          </cell>
        </row>
        <row r="557">
          <cell r="A557">
            <v>0</v>
          </cell>
        </row>
        <row r="558">
          <cell r="A558">
            <v>0</v>
          </cell>
        </row>
        <row r="559">
          <cell r="A559">
            <v>0</v>
          </cell>
        </row>
        <row r="560">
          <cell r="A560">
            <v>0</v>
          </cell>
        </row>
        <row r="561">
          <cell r="A561">
            <v>0</v>
          </cell>
        </row>
        <row r="562">
          <cell r="A562">
            <v>0</v>
          </cell>
        </row>
        <row r="563">
          <cell r="A563">
            <v>0</v>
          </cell>
        </row>
        <row r="564">
          <cell r="A564">
            <v>0</v>
          </cell>
        </row>
        <row r="565">
          <cell r="A565">
            <v>0</v>
          </cell>
        </row>
        <row r="566">
          <cell r="A566">
            <v>0</v>
          </cell>
        </row>
        <row r="567">
          <cell r="A567">
            <v>0</v>
          </cell>
        </row>
        <row r="568">
          <cell r="A568">
            <v>0</v>
          </cell>
        </row>
        <row r="569">
          <cell r="A569">
            <v>0</v>
          </cell>
        </row>
        <row r="570">
          <cell r="A570">
            <v>0</v>
          </cell>
        </row>
        <row r="571">
          <cell r="A571">
            <v>0</v>
          </cell>
        </row>
        <row r="572">
          <cell r="A572">
            <v>0</v>
          </cell>
        </row>
        <row r="573">
          <cell r="A573">
            <v>0</v>
          </cell>
        </row>
        <row r="574">
          <cell r="A574">
            <v>0</v>
          </cell>
        </row>
        <row r="575">
          <cell r="A575">
            <v>0</v>
          </cell>
        </row>
        <row r="576">
          <cell r="A576">
            <v>0</v>
          </cell>
        </row>
        <row r="577">
          <cell r="A577">
            <v>0</v>
          </cell>
        </row>
        <row r="578">
          <cell r="A578">
            <v>0</v>
          </cell>
        </row>
        <row r="579">
          <cell r="A579">
            <v>0</v>
          </cell>
        </row>
        <row r="580">
          <cell r="A580">
            <v>0</v>
          </cell>
        </row>
        <row r="581">
          <cell r="A581">
            <v>0</v>
          </cell>
        </row>
        <row r="582">
          <cell r="A582">
            <v>0</v>
          </cell>
        </row>
        <row r="583">
          <cell r="A583">
            <v>0</v>
          </cell>
        </row>
        <row r="584">
          <cell r="A584">
            <v>0</v>
          </cell>
        </row>
        <row r="585">
          <cell r="A585">
            <v>0</v>
          </cell>
        </row>
        <row r="586">
          <cell r="A586">
            <v>0</v>
          </cell>
        </row>
        <row r="587">
          <cell r="A587">
            <v>0</v>
          </cell>
        </row>
        <row r="588">
          <cell r="A588">
            <v>0</v>
          </cell>
        </row>
        <row r="589">
          <cell r="A589">
            <v>0</v>
          </cell>
        </row>
        <row r="590">
          <cell r="A590">
            <v>0</v>
          </cell>
        </row>
        <row r="591">
          <cell r="A591">
            <v>0</v>
          </cell>
        </row>
        <row r="592">
          <cell r="A592">
            <v>0</v>
          </cell>
        </row>
        <row r="593">
          <cell r="A593">
            <v>0</v>
          </cell>
        </row>
        <row r="594">
          <cell r="A594">
            <v>0</v>
          </cell>
        </row>
        <row r="595">
          <cell r="A595">
            <v>0</v>
          </cell>
        </row>
        <row r="596">
          <cell r="A596">
            <v>0</v>
          </cell>
        </row>
        <row r="597">
          <cell r="A597">
            <v>0</v>
          </cell>
        </row>
        <row r="598">
          <cell r="A598">
            <v>0</v>
          </cell>
        </row>
        <row r="599">
          <cell r="A599">
            <v>0</v>
          </cell>
        </row>
        <row r="600">
          <cell r="A600">
            <v>0</v>
          </cell>
        </row>
        <row r="601">
          <cell r="A601">
            <v>0</v>
          </cell>
        </row>
        <row r="602">
          <cell r="A602">
            <v>0</v>
          </cell>
        </row>
        <row r="603">
          <cell r="A603">
            <v>0</v>
          </cell>
        </row>
        <row r="604">
          <cell r="A604">
            <v>0</v>
          </cell>
        </row>
        <row r="605">
          <cell r="A605">
            <v>0</v>
          </cell>
        </row>
        <row r="606">
          <cell r="A606">
            <v>0</v>
          </cell>
        </row>
        <row r="607">
          <cell r="A607">
            <v>0</v>
          </cell>
        </row>
        <row r="608">
          <cell r="A608">
            <v>0</v>
          </cell>
        </row>
        <row r="609">
          <cell r="A609">
            <v>0</v>
          </cell>
        </row>
        <row r="610">
          <cell r="A610">
            <v>0</v>
          </cell>
        </row>
        <row r="611">
          <cell r="A611">
            <v>0</v>
          </cell>
        </row>
        <row r="612">
          <cell r="A612">
            <v>0</v>
          </cell>
        </row>
        <row r="613">
          <cell r="A613">
            <v>0</v>
          </cell>
        </row>
        <row r="614">
          <cell r="A614">
            <v>0</v>
          </cell>
        </row>
        <row r="615">
          <cell r="A615">
            <v>0</v>
          </cell>
        </row>
        <row r="616">
          <cell r="A616">
            <v>0</v>
          </cell>
        </row>
        <row r="617">
          <cell r="A617">
            <v>0</v>
          </cell>
        </row>
        <row r="618">
          <cell r="A618">
            <v>0</v>
          </cell>
        </row>
        <row r="619">
          <cell r="A619">
            <v>0</v>
          </cell>
        </row>
        <row r="620">
          <cell r="A620">
            <v>0</v>
          </cell>
        </row>
        <row r="621">
          <cell r="A621">
            <v>0</v>
          </cell>
        </row>
        <row r="622">
          <cell r="A622">
            <v>0</v>
          </cell>
        </row>
        <row r="623">
          <cell r="A623">
            <v>0</v>
          </cell>
        </row>
        <row r="624">
          <cell r="A624">
            <v>0</v>
          </cell>
        </row>
        <row r="625">
          <cell r="A625">
            <v>0</v>
          </cell>
        </row>
        <row r="626">
          <cell r="A626">
            <v>0</v>
          </cell>
        </row>
        <row r="627">
          <cell r="A627">
            <v>0</v>
          </cell>
        </row>
        <row r="628">
          <cell r="A628">
            <v>0</v>
          </cell>
        </row>
        <row r="629">
          <cell r="A629">
            <v>0</v>
          </cell>
        </row>
        <row r="630">
          <cell r="A630">
            <v>0</v>
          </cell>
        </row>
        <row r="631">
          <cell r="A631">
            <v>0</v>
          </cell>
        </row>
        <row r="632">
          <cell r="A632">
            <v>0</v>
          </cell>
        </row>
        <row r="633">
          <cell r="A633">
            <v>0</v>
          </cell>
        </row>
        <row r="634">
          <cell r="A634">
            <v>0</v>
          </cell>
        </row>
        <row r="635">
          <cell r="A635">
            <v>0</v>
          </cell>
        </row>
        <row r="636">
          <cell r="A636">
            <v>0</v>
          </cell>
        </row>
        <row r="637">
          <cell r="A637">
            <v>0</v>
          </cell>
        </row>
        <row r="638">
          <cell r="A638">
            <v>0</v>
          </cell>
        </row>
        <row r="639">
          <cell r="A639">
            <v>0</v>
          </cell>
        </row>
        <row r="640">
          <cell r="A640">
            <v>0</v>
          </cell>
        </row>
        <row r="641">
          <cell r="A641">
            <v>0</v>
          </cell>
        </row>
        <row r="642">
          <cell r="A642">
            <v>0</v>
          </cell>
        </row>
        <row r="643">
          <cell r="A643">
            <v>0</v>
          </cell>
        </row>
        <row r="644">
          <cell r="A644">
            <v>0</v>
          </cell>
        </row>
        <row r="645">
          <cell r="A645">
            <v>0</v>
          </cell>
        </row>
        <row r="646">
          <cell r="A646">
            <v>0</v>
          </cell>
        </row>
        <row r="647">
          <cell r="A647">
            <v>0</v>
          </cell>
        </row>
        <row r="648">
          <cell r="A648">
            <v>0</v>
          </cell>
        </row>
        <row r="649">
          <cell r="A649">
            <v>0</v>
          </cell>
        </row>
        <row r="650">
          <cell r="A650">
            <v>0</v>
          </cell>
        </row>
        <row r="651">
          <cell r="A651">
            <v>0</v>
          </cell>
        </row>
        <row r="652">
          <cell r="A652">
            <v>0</v>
          </cell>
        </row>
        <row r="653">
          <cell r="A653">
            <v>0</v>
          </cell>
        </row>
        <row r="654">
          <cell r="A654">
            <v>0</v>
          </cell>
        </row>
        <row r="655">
          <cell r="A655">
            <v>0</v>
          </cell>
        </row>
        <row r="656">
          <cell r="A656">
            <v>0</v>
          </cell>
        </row>
        <row r="657">
          <cell r="A657">
            <v>0</v>
          </cell>
        </row>
        <row r="658">
          <cell r="A658">
            <v>0</v>
          </cell>
        </row>
        <row r="659">
          <cell r="A659">
            <v>0</v>
          </cell>
        </row>
        <row r="660">
          <cell r="A660">
            <v>0</v>
          </cell>
        </row>
        <row r="661">
          <cell r="A661">
            <v>0</v>
          </cell>
        </row>
        <row r="662">
          <cell r="A662">
            <v>0</v>
          </cell>
        </row>
        <row r="663">
          <cell r="A663">
            <v>0</v>
          </cell>
        </row>
        <row r="664">
          <cell r="A664">
            <v>0</v>
          </cell>
        </row>
        <row r="665">
          <cell r="A665">
            <v>0</v>
          </cell>
        </row>
        <row r="666">
          <cell r="A666">
            <v>0</v>
          </cell>
        </row>
        <row r="667">
          <cell r="A667">
            <v>0</v>
          </cell>
        </row>
        <row r="668">
          <cell r="A668">
            <v>0</v>
          </cell>
        </row>
        <row r="669">
          <cell r="A669">
            <v>0</v>
          </cell>
        </row>
        <row r="670">
          <cell r="A670">
            <v>0</v>
          </cell>
        </row>
        <row r="671">
          <cell r="A671">
            <v>0</v>
          </cell>
        </row>
        <row r="672">
          <cell r="A672">
            <v>0</v>
          </cell>
        </row>
        <row r="673">
          <cell r="A673">
            <v>0</v>
          </cell>
        </row>
        <row r="674">
          <cell r="A674">
            <v>0</v>
          </cell>
        </row>
        <row r="675">
          <cell r="A675">
            <v>0</v>
          </cell>
        </row>
        <row r="676">
          <cell r="A676">
            <v>0</v>
          </cell>
        </row>
        <row r="677">
          <cell r="A677">
            <v>0</v>
          </cell>
        </row>
        <row r="678">
          <cell r="A678">
            <v>0</v>
          </cell>
        </row>
        <row r="679">
          <cell r="A679">
            <v>0</v>
          </cell>
        </row>
        <row r="680">
          <cell r="A680">
            <v>0</v>
          </cell>
        </row>
        <row r="681">
          <cell r="A681">
            <v>0</v>
          </cell>
        </row>
        <row r="682">
          <cell r="A682">
            <v>0</v>
          </cell>
        </row>
        <row r="683">
          <cell r="A683">
            <v>0</v>
          </cell>
        </row>
        <row r="684">
          <cell r="A684">
            <v>0</v>
          </cell>
        </row>
        <row r="685">
          <cell r="A685">
            <v>0</v>
          </cell>
        </row>
        <row r="686">
          <cell r="A686">
            <v>0</v>
          </cell>
        </row>
        <row r="687">
          <cell r="A687">
            <v>0</v>
          </cell>
        </row>
        <row r="688">
          <cell r="A688">
            <v>0</v>
          </cell>
        </row>
        <row r="689">
          <cell r="A689">
            <v>0</v>
          </cell>
        </row>
        <row r="690">
          <cell r="A690">
            <v>0</v>
          </cell>
        </row>
        <row r="691">
          <cell r="A691">
            <v>0</v>
          </cell>
        </row>
        <row r="692">
          <cell r="A692">
            <v>0</v>
          </cell>
        </row>
        <row r="693">
          <cell r="A693">
            <v>0</v>
          </cell>
        </row>
        <row r="694">
          <cell r="A694">
            <v>0</v>
          </cell>
        </row>
        <row r="695">
          <cell r="A695">
            <v>0</v>
          </cell>
        </row>
        <row r="696">
          <cell r="A696">
            <v>0</v>
          </cell>
        </row>
        <row r="697">
          <cell r="A697">
            <v>0</v>
          </cell>
        </row>
        <row r="698">
          <cell r="A698">
            <v>0</v>
          </cell>
        </row>
        <row r="699">
          <cell r="A699">
            <v>0</v>
          </cell>
        </row>
        <row r="700">
          <cell r="A700">
            <v>0</v>
          </cell>
        </row>
        <row r="701">
          <cell r="A701">
            <v>0</v>
          </cell>
        </row>
        <row r="702">
          <cell r="A702">
            <v>0</v>
          </cell>
        </row>
        <row r="703">
          <cell r="A703">
            <v>0</v>
          </cell>
        </row>
        <row r="704">
          <cell r="A704">
            <v>0</v>
          </cell>
        </row>
        <row r="705">
          <cell r="A705">
            <v>0</v>
          </cell>
        </row>
        <row r="706">
          <cell r="A706">
            <v>0</v>
          </cell>
        </row>
        <row r="707">
          <cell r="A707">
            <v>0</v>
          </cell>
        </row>
        <row r="708">
          <cell r="A708">
            <v>0</v>
          </cell>
        </row>
        <row r="709">
          <cell r="A709">
            <v>0</v>
          </cell>
        </row>
        <row r="710">
          <cell r="A710">
            <v>0</v>
          </cell>
        </row>
        <row r="711">
          <cell r="A711">
            <v>0</v>
          </cell>
        </row>
        <row r="712">
          <cell r="A712">
            <v>0</v>
          </cell>
        </row>
        <row r="713">
          <cell r="A713">
            <v>0</v>
          </cell>
        </row>
        <row r="714">
          <cell r="A714">
            <v>0</v>
          </cell>
        </row>
        <row r="715">
          <cell r="A715">
            <v>0</v>
          </cell>
        </row>
        <row r="716">
          <cell r="A716">
            <v>0</v>
          </cell>
        </row>
        <row r="717">
          <cell r="A717">
            <v>0</v>
          </cell>
        </row>
        <row r="718">
          <cell r="A718">
            <v>0</v>
          </cell>
        </row>
        <row r="719">
          <cell r="A719">
            <v>0</v>
          </cell>
        </row>
        <row r="720">
          <cell r="A720">
            <v>0</v>
          </cell>
        </row>
        <row r="721">
          <cell r="A721">
            <v>0</v>
          </cell>
        </row>
        <row r="722">
          <cell r="A722">
            <v>0</v>
          </cell>
        </row>
        <row r="723">
          <cell r="A723">
            <v>0</v>
          </cell>
        </row>
        <row r="724">
          <cell r="A724">
            <v>0</v>
          </cell>
        </row>
        <row r="725">
          <cell r="A725">
            <v>0</v>
          </cell>
        </row>
        <row r="726">
          <cell r="A726">
            <v>0</v>
          </cell>
        </row>
        <row r="727">
          <cell r="A727">
            <v>0</v>
          </cell>
        </row>
        <row r="728">
          <cell r="A728">
            <v>0</v>
          </cell>
        </row>
        <row r="729">
          <cell r="A729">
            <v>0</v>
          </cell>
        </row>
        <row r="730">
          <cell r="A730">
            <v>0</v>
          </cell>
        </row>
        <row r="731">
          <cell r="A731">
            <v>0</v>
          </cell>
        </row>
        <row r="732">
          <cell r="A732">
            <v>0</v>
          </cell>
        </row>
        <row r="733">
          <cell r="A733">
            <v>0</v>
          </cell>
        </row>
        <row r="734">
          <cell r="A734">
            <v>0</v>
          </cell>
        </row>
        <row r="735">
          <cell r="A735">
            <v>0</v>
          </cell>
        </row>
        <row r="736">
          <cell r="A736">
            <v>0</v>
          </cell>
        </row>
        <row r="737">
          <cell r="A737">
            <v>0</v>
          </cell>
        </row>
        <row r="738">
          <cell r="A738">
            <v>0</v>
          </cell>
        </row>
        <row r="739">
          <cell r="A739">
            <v>0</v>
          </cell>
        </row>
        <row r="740">
          <cell r="A740">
            <v>0</v>
          </cell>
        </row>
        <row r="741">
          <cell r="A741">
            <v>0</v>
          </cell>
        </row>
        <row r="742">
          <cell r="A742">
            <v>0</v>
          </cell>
        </row>
        <row r="743">
          <cell r="A743">
            <v>0</v>
          </cell>
        </row>
        <row r="744">
          <cell r="A744">
            <v>0</v>
          </cell>
        </row>
        <row r="745">
          <cell r="A745">
            <v>0</v>
          </cell>
        </row>
        <row r="746">
          <cell r="A746">
            <v>0</v>
          </cell>
        </row>
        <row r="747">
          <cell r="A747">
            <v>0</v>
          </cell>
        </row>
        <row r="748">
          <cell r="A748">
            <v>0</v>
          </cell>
        </row>
        <row r="749">
          <cell r="A749">
            <v>0</v>
          </cell>
        </row>
        <row r="750">
          <cell r="A750">
            <v>0</v>
          </cell>
        </row>
        <row r="751">
          <cell r="A751">
            <v>0</v>
          </cell>
        </row>
        <row r="752">
          <cell r="A752">
            <v>0</v>
          </cell>
        </row>
        <row r="753">
          <cell r="A753">
            <v>0</v>
          </cell>
        </row>
        <row r="754">
          <cell r="A754">
            <v>0</v>
          </cell>
        </row>
        <row r="755">
          <cell r="A755">
            <v>0</v>
          </cell>
        </row>
        <row r="756">
          <cell r="A756">
            <v>0</v>
          </cell>
        </row>
        <row r="757">
          <cell r="A757">
            <v>0</v>
          </cell>
        </row>
        <row r="758">
          <cell r="A758">
            <v>0</v>
          </cell>
        </row>
        <row r="759">
          <cell r="A759">
            <v>0</v>
          </cell>
        </row>
        <row r="760">
          <cell r="A760">
            <v>0</v>
          </cell>
        </row>
        <row r="761">
          <cell r="A761">
            <v>0</v>
          </cell>
        </row>
        <row r="762">
          <cell r="A762">
            <v>0</v>
          </cell>
        </row>
        <row r="763">
          <cell r="A763">
            <v>0</v>
          </cell>
        </row>
        <row r="764">
          <cell r="A764">
            <v>0</v>
          </cell>
        </row>
        <row r="765">
          <cell r="A765">
            <v>0</v>
          </cell>
        </row>
        <row r="766">
          <cell r="A766">
            <v>0</v>
          </cell>
        </row>
        <row r="767">
          <cell r="A767">
            <v>0</v>
          </cell>
        </row>
        <row r="768">
          <cell r="A768">
            <v>0</v>
          </cell>
        </row>
        <row r="769">
          <cell r="A769">
            <v>0</v>
          </cell>
        </row>
        <row r="770">
          <cell r="A770">
            <v>0</v>
          </cell>
        </row>
        <row r="771">
          <cell r="A771">
            <v>0</v>
          </cell>
        </row>
        <row r="772">
          <cell r="A772">
            <v>0</v>
          </cell>
        </row>
        <row r="773">
          <cell r="A773">
            <v>0</v>
          </cell>
        </row>
        <row r="774">
          <cell r="A774">
            <v>0</v>
          </cell>
        </row>
        <row r="775">
          <cell r="A775">
            <v>0</v>
          </cell>
        </row>
        <row r="776">
          <cell r="A776">
            <v>0</v>
          </cell>
        </row>
        <row r="777">
          <cell r="A777">
            <v>0</v>
          </cell>
        </row>
        <row r="778">
          <cell r="A778">
            <v>0</v>
          </cell>
        </row>
        <row r="779">
          <cell r="A779">
            <v>0</v>
          </cell>
        </row>
        <row r="780">
          <cell r="A780">
            <v>0</v>
          </cell>
        </row>
        <row r="781">
          <cell r="A781">
            <v>0</v>
          </cell>
        </row>
        <row r="782">
          <cell r="A782">
            <v>0</v>
          </cell>
        </row>
        <row r="783">
          <cell r="A783">
            <v>0</v>
          </cell>
        </row>
        <row r="784">
          <cell r="A784">
            <v>0</v>
          </cell>
        </row>
        <row r="785">
          <cell r="A785">
            <v>0</v>
          </cell>
        </row>
        <row r="786">
          <cell r="A786">
            <v>0</v>
          </cell>
        </row>
        <row r="787">
          <cell r="A787">
            <v>0</v>
          </cell>
        </row>
        <row r="788">
          <cell r="A788">
            <v>0</v>
          </cell>
        </row>
        <row r="789">
          <cell r="A789">
            <v>0</v>
          </cell>
        </row>
        <row r="790">
          <cell r="A790">
            <v>0</v>
          </cell>
        </row>
        <row r="791">
          <cell r="A791">
            <v>0</v>
          </cell>
        </row>
        <row r="792">
          <cell r="A792">
            <v>0</v>
          </cell>
        </row>
        <row r="793">
          <cell r="A793">
            <v>0</v>
          </cell>
        </row>
        <row r="794">
          <cell r="A794">
            <v>0</v>
          </cell>
        </row>
        <row r="795">
          <cell r="A795">
            <v>0</v>
          </cell>
        </row>
        <row r="796">
          <cell r="A796">
            <v>0</v>
          </cell>
        </row>
        <row r="797">
          <cell r="A797">
            <v>0</v>
          </cell>
        </row>
        <row r="798">
          <cell r="A798">
            <v>0</v>
          </cell>
        </row>
        <row r="799">
          <cell r="A799">
            <v>0</v>
          </cell>
        </row>
        <row r="800">
          <cell r="A800">
            <v>0</v>
          </cell>
        </row>
        <row r="801">
          <cell r="A801">
            <v>0</v>
          </cell>
        </row>
        <row r="802">
          <cell r="A802">
            <v>0</v>
          </cell>
        </row>
        <row r="803">
          <cell r="A803">
            <v>0</v>
          </cell>
        </row>
        <row r="804">
          <cell r="A804">
            <v>0</v>
          </cell>
        </row>
        <row r="805">
          <cell r="A805">
            <v>0</v>
          </cell>
        </row>
        <row r="806">
          <cell r="A806">
            <v>0</v>
          </cell>
        </row>
        <row r="807">
          <cell r="A807">
            <v>0</v>
          </cell>
        </row>
        <row r="808">
          <cell r="A808">
            <v>0</v>
          </cell>
        </row>
        <row r="809">
          <cell r="A809">
            <v>0</v>
          </cell>
        </row>
        <row r="810">
          <cell r="A810">
            <v>0</v>
          </cell>
        </row>
        <row r="811">
          <cell r="A811">
            <v>0</v>
          </cell>
        </row>
        <row r="812">
          <cell r="A812">
            <v>0</v>
          </cell>
        </row>
        <row r="813">
          <cell r="A813">
            <v>0</v>
          </cell>
        </row>
        <row r="814">
          <cell r="A814">
            <v>0</v>
          </cell>
        </row>
        <row r="815">
          <cell r="A815">
            <v>0</v>
          </cell>
        </row>
        <row r="816">
          <cell r="A816">
            <v>0</v>
          </cell>
        </row>
        <row r="817">
          <cell r="A817">
            <v>0</v>
          </cell>
        </row>
        <row r="818">
          <cell r="A818">
            <v>0</v>
          </cell>
        </row>
        <row r="819">
          <cell r="A819">
            <v>0</v>
          </cell>
        </row>
        <row r="820">
          <cell r="A820">
            <v>0</v>
          </cell>
        </row>
        <row r="821">
          <cell r="A821">
            <v>0</v>
          </cell>
        </row>
        <row r="822">
          <cell r="A822">
            <v>0</v>
          </cell>
        </row>
        <row r="823">
          <cell r="A823">
            <v>0</v>
          </cell>
        </row>
        <row r="824">
          <cell r="A824">
            <v>0</v>
          </cell>
        </row>
        <row r="825">
          <cell r="A825">
            <v>0</v>
          </cell>
        </row>
        <row r="826">
          <cell r="A826">
            <v>0</v>
          </cell>
        </row>
        <row r="827">
          <cell r="A827">
            <v>0</v>
          </cell>
        </row>
        <row r="828">
          <cell r="A828">
            <v>0</v>
          </cell>
        </row>
        <row r="829">
          <cell r="A829">
            <v>0</v>
          </cell>
        </row>
        <row r="830">
          <cell r="A830">
            <v>0</v>
          </cell>
        </row>
        <row r="831">
          <cell r="A831">
            <v>0</v>
          </cell>
        </row>
        <row r="832">
          <cell r="A832">
            <v>0</v>
          </cell>
        </row>
        <row r="833">
          <cell r="A833">
            <v>0</v>
          </cell>
        </row>
        <row r="834">
          <cell r="A834">
            <v>0</v>
          </cell>
        </row>
        <row r="835">
          <cell r="A835">
            <v>0</v>
          </cell>
        </row>
        <row r="836">
          <cell r="A836">
            <v>0</v>
          </cell>
        </row>
        <row r="837">
          <cell r="A837">
            <v>0</v>
          </cell>
        </row>
        <row r="838">
          <cell r="A838">
            <v>0</v>
          </cell>
        </row>
        <row r="839">
          <cell r="A839">
            <v>0</v>
          </cell>
        </row>
        <row r="840">
          <cell r="A840">
            <v>0</v>
          </cell>
        </row>
        <row r="841">
          <cell r="A841">
            <v>0</v>
          </cell>
        </row>
        <row r="842">
          <cell r="A842">
            <v>0</v>
          </cell>
        </row>
        <row r="843">
          <cell r="A843">
            <v>0</v>
          </cell>
        </row>
        <row r="844">
          <cell r="A844">
            <v>0</v>
          </cell>
        </row>
        <row r="845">
          <cell r="A845">
            <v>0</v>
          </cell>
        </row>
        <row r="846">
          <cell r="A846">
            <v>0</v>
          </cell>
        </row>
        <row r="847">
          <cell r="A847">
            <v>0</v>
          </cell>
        </row>
        <row r="848">
          <cell r="A848">
            <v>0</v>
          </cell>
        </row>
        <row r="849">
          <cell r="A849">
            <v>0</v>
          </cell>
        </row>
        <row r="850">
          <cell r="A850">
            <v>0</v>
          </cell>
        </row>
        <row r="851">
          <cell r="A851">
            <v>0</v>
          </cell>
        </row>
        <row r="852">
          <cell r="A852">
            <v>0</v>
          </cell>
        </row>
        <row r="853">
          <cell r="A853">
            <v>0</v>
          </cell>
        </row>
        <row r="854">
          <cell r="A854">
            <v>0</v>
          </cell>
        </row>
        <row r="855">
          <cell r="A855">
            <v>0</v>
          </cell>
        </row>
        <row r="856">
          <cell r="A856">
            <v>0</v>
          </cell>
        </row>
        <row r="857">
          <cell r="A857">
            <v>0</v>
          </cell>
        </row>
        <row r="858">
          <cell r="A858">
            <v>0</v>
          </cell>
        </row>
        <row r="859">
          <cell r="A859">
            <v>0</v>
          </cell>
        </row>
        <row r="860">
          <cell r="A860">
            <v>0</v>
          </cell>
        </row>
        <row r="861">
          <cell r="A861">
            <v>0</v>
          </cell>
        </row>
        <row r="862">
          <cell r="A862">
            <v>0</v>
          </cell>
        </row>
        <row r="863">
          <cell r="A863">
            <v>0</v>
          </cell>
        </row>
        <row r="864">
          <cell r="A864">
            <v>0</v>
          </cell>
        </row>
        <row r="865">
          <cell r="A865">
            <v>0</v>
          </cell>
        </row>
        <row r="866">
          <cell r="A866">
            <v>0</v>
          </cell>
        </row>
        <row r="867">
          <cell r="A867">
            <v>0</v>
          </cell>
        </row>
        <row r="868">
          <cell r="A868">
            <v>0</v>
          </cell>
        </row>
        <row r="869">
          <cell r="A869">
            <v>0</v>
          </cell>
        </row>
        <row r="870">
          <cell r="A870">
            <v>0</v>
          </cell>
        </row>
        <row r="871">
          <cell r="A871">
            <v>0</v>
          </cell>
        </row>
        <row r="872">
          <cell r="A872">
            <v>0</v>
          </cell>
        </row>
        <row r="873">
          <cell r="A873">
            <v>0</v>
          </cell>
        </row>
        <row r="874">
          <cell r="A874">
            <v>0</v>
          </cell>
        </row>
        <row r="875">
          <cell r="A875">
            <v>0</v>
          </cell>
        </row>
        <row r="876">
          <cell r="A876">
            <v>0</v>
          </cell>
        </row>
        <row r="877">
          <cell r="A877">
            <v>0</v>
          </cell>
        </row>
        <row r="878">
          <cell r="A878">
            <v>0</v>
          </cell>
        </row>
        <row r="879">
          <cell r="A879">
            <v>0</v>
          </cell>
        </row>
        <row r="880">
          <cell r="A880">
            <v>0</v>
          </cell>
        </row>
        <row r="881">
          <cell r="A881">
            <v>0</v>
          </cell>
        </row>
        <row r="882">
          <cell r="A882">
            <v>0</v>
          </cell>
        </row>
        <row r="883">
          <cell r="A883">
            <v>0</v>
          </cell>
        </row>
        <row r="884">
          <cell r="A884">
            <v>0</v>
          </cell>
        </row>
        <row r="885">
          <cell r="A885">
            <v>0</v>
          </cell>
        </row>
        <row r="886">
          <cell r="A886">
            <v>0</v>
          </cell>
        </row>
        <row r="887">
          <cell r="A887">
            <v>0</v>
          </cell>
        </row>
        <row r="888">
          <cell r="A888">
            <v>0</v>
          </cell>
        </row>
        <row r="889">
          <cell r="A889">
            <v>0</v>
          </cell>
        </row>
        <row r="890">
          <cell r="A890">
            <v>0</v>
          </cell>
        </row>
        <row r="891">
          <cell r="A891">
            <v>0</v>
          </cell>
        </row>
        <row r="892">
          <cell r="A892">
            <v>0</v>
          </cell>
        </row>
        <row r="893">
          <cell r="A893">
            <v>0</v>
          </cell>
        </row>
        <row r="894">
          <cell r="A894">
            <v>0</v>
          </cell>
        </row>
        <row r="895">
          <cell r="A895">
            <v>0</v>
          </cell>
        </row>
        <row r="896">
          <cell r="A896">
            <v>0</v>
          </cell>
        </row>
        <row r="897">
          <cell r="A897">
            <v>0</v>
          </cell>
        </row>
        <row r="898">
          <cell r="A898">
            <v>0</v>
          </cell>
        </row>
        <row r="899">
          <cell r="A899">
            <v>0</v>
          </cell>
        </row>
        <row r="900">
          <cell r="A900">
            <v>0</v>
          </cell>
        </row>
        <row r="901">
          <cell r="A901">
            <v>0</v>
          </cell>
        </row>
        <row r="902">
          <cell r="A902">
            <v>0</v>
          </cell>
        </row>
        <row r="903">
          <cell r="A903">
            <v>0</v>
          </cell>
        </row>
        <row r="904">
          <cell r="A904">
            <v>0</v>
          </cell>
        </row>
        <row r="905">
          <cell r="A905">
            <v>0</v>
          </cell>
        </row>
        <row r="906">
          <cell r="A906">
            <v>0</v>
          </cell>
        </row>
        <row r="907">
          <cell r="A907">
            <v>0</v>
          </cell>
        </row>
        <row r="908">
          <cell r="A908">
            <v>0</v>
          </cell>
        </row>
        <row r="909">
          <cell r="A909">
            <v>0</v>
          </cell>
        </row>
        <row r="910">
          <cell r="A910">
            <v>0</v>
          </cell>
        </row>
        <row r="911">
          <cell r="A911">
            <v>0</v>
          </cell>
        </row>
        <row r="912">
          <cell r="A912">
            <v>0</v>
          </cell>
        </row>
        <row r="913">
          <cell r="A913">
            <v>0</v>
          </cell>
        </row>
        <row r="914">
          <cell r="A914">
            <v>0</v>
          </cell>
        </row>
        <row r="915">
          <cell r="A915">
            <v>0</v>
          </cell>
        </row>
        <row r="916">
          <cell r="A916">
            <v>0</v>
          </cell>
        </row>
        <row r="917">
          <cell r="A917">
            <v>0</v>
          </cell>
        </row>
        <row r="918">
          <cell r="A918">
            <v>0</v>
          </cell>
        </row>
        <row r="919">
          <cell r="A919">
            <v>0</v>
          </cell>
        </row>
        <row r="920">
          <cell r="A920">
            <v>0</v>
          </cell>
        </row>
        <row r="921">
          <cell r="A921">
            <v>0</v>
          </cell>
        </row>
        <row r="922">
          <cell r="A922">
            <v>0</v>
          </cell>
        </row>
        <row r="923">
          <cell r="A923">
            <v>0</v>
          </cell>
        </row>
        <row r="924">
          <cell r="A924">
            <v>0</v>
          </cell>
        </row>
        <row r="925">
          <cell r="A925">
            <v>0</v>
          </cell>
        </row>
        <row r="926">
          <cell r="A926">
            <v>0</v>
          </cell>
        </row>
        <row r="927">
          <cell r="A927">
            <v>0</v>
          </cell>
        </row>
        <row r="928">
          <cell r="A928">
            <v>0</v>
          </cell>
        </row>
        <row r="929">
          <cell r="A929">
            <v>0</v>
          </cell>
        </row>
        <row r="930">
          <cell r="A930">
            <v>0</v>
          </cell>
        </row>
        <row r="931">
          <cell r="A931">
            <v>0</v>
          </cell>
        </row>
        <row r="932">
          <cell r="A932">
            <v>0</v>
          </cell>
        </row>
        <row r="933">
          <cell r="A933">
            <v>0</v>
          </cell>
        </row>
        <row r="934">
          <cell r="A934">
            <v>0</v>
          </cell>
        </row>
        <row r="935">
          <cell r="A935">
            <v>0</v>
          </cell>
        </row>
        <row r="936">
          <cell r="A936">
            <v>0</v>
          </cell>
        </row>
        <row r="937">
          <cell r="A937">
            <v>0</v>
          </cell>
        </row>
        <row r="938">
          <cell r="A938">
            <v>0</v>
          </cell>
        </row>
        <row r="939">
          <cell r="A939">
            <v>0</v>
          </cell>
        </row>
        <row r="940">
          <cell r="A940">
            <v>0</v>
          </cell>
        </row>
        <row r="941">
          <cell r="A941">
            <v>0</v>
          </cell>
        </row>
        <row r="942">
          <cell r="A942">
            <v>0</v>
          </cell>
        </row>
        <row r="943">
          <cell r="A943">
            <v>0</v>
          </cell>
        </row>
        <row r="944">
          <cell r="A944">
            <v>0</v>
          </cell>
        </row>
        <row r="945">
          <cell r="A945">
            <v>0</v>
          </cell>
        </row>
        <row r="946">
          <cell r="A946">
            <v>0</v>
          </cell>
        </row>
        <row r="947">
          <cell r="A947">
            <v>0</v>
          </cell>
        </row>
        <row r="948">
          <cell r="A948">
            <v>0</v>
          </cell>
        </row>
        <row r="949">
          <cell r="A949">
            <v>0</v>
          </cell>
        </row>
        <row r="950">
          <cell r="A950">
            <v>0</v>
          </cell>
        </row>
        <row r="951">
          <cell r="A951">
            <v>0</v>
          </cell>
        </row>
        <row r="952">
          <cell r="A952">
            <v>0</v>
          </cell>
        </row>
        <row r="953">
          <cell r="A953">
            <v>0</v>
          </cell>
        </row>
        <row r="954">
          <cell r="A954">
            <v>0</v>
          </cell>
        </row>
        <row r="955">
          <cell r="A955">
            <v>0</v>
          </cell>
        </row>
        <row r="956">
          <cell r="A956">
            <v>0</v>
          </cell>
        </row>
        <row r="957">
          <cell r="A957">
            <v>0</v>
          </cell>
        </row>
        <row r="958">
          <cell r="A958">
            <v>0</v>
          </cell>
        </row>
        <row r="959">
          <cell r="A959">
            <v>0</v>
          </cell>
        </row>
        <row r="960">
          <cell r="A960">
            <v>0</v>
          </cell>
        </row>
        <row r="961">
          <cell r="A961">
            <v>0</v>
          </cell>
        </row>
        <row r="962">
          <cell r="A962">
            <v>0</v>
          </cell>
        </row>
        <row r="963">
          <cell r="A963">
            <v>0</v>
          </cell>
        </row>
        <row r="964">
          <cell r="A964">
            <v>0</v>
          </cell>
        </row>
        <row r="965">
          <cell r="A965">
            <v>0</v>
          </cell>
        </row>
        <row r="966">
          <cell r="A966">
            <v>0</v>
          </cell>
        </row>
        <row r="967">
          <cell r="A967">
            <v>0</v>
          </cell>
        </row>
        <row r="968">
          <cell r="A968">
            <v>0</v>
          </cell>
        </row>
        <row r="969">
          <cell r="A969">
            <v>0</v>
          </cell>
        </row>
        <row r="970">
          <cell r="A970">
            <v>0</v>
          </cell>
        </row>
        <row r="971">
          <cell r="A971">
            <v>0</v>
          </cell>
        </row>
        <row r="972">
          <cell r="A972">
            <v>0</v>
          </cell>
        </row>
        <row r="973">
          <cell r="A973">
            <v>0</v>
          </cell>
        </row>
        <row r="974">
          <cell r="A974">
            <v>0</v>
          </cell>
        </row>
        <row r="975">
          <cell r="A975">
            <v>0</v>
          </cell>
        </row>
        <row r="976">
          <cell r="A976">
            <v>0</v>
          </cell>
        </row>
        <row r="977">
          <cell r="A977">
            <v>0</v>
          </cell>
        </row>
        <row r="978">
          <cell r="A978">
            <v>0</v>
          </cell>
        </row>
        <row r="979">
          <cell r="A979">
            <v>0</v>
          </cell>
        </row>
        <row r="980">
          <cell r="A980">
            <v>0</v>
          </cell>
        </row>
        <row r="981">
          <cell r="A981">
            <v>0</v>
          </cell>
        </row>
        <row r="982">
          <cell r="A982">
            <v>0</v>
          </cell>
        </row>
        <row r="983">
          <cell r="A983">
            <v>0</v>
          </cell>
        </row>
        <row r="984">
          <cell r="A984">
            <v>0</v>
          </cell>
        </row>
        <row r="985">
          <cell r="A985">
            <v>0</v>
          </cell>
        </row>
        <row r="986">
          <cell r="A986">
            <v>0</v>
          </cell>
        </row>
        <row r="987">
          <cell r="A987">
            <v>0</v>
          </cell>
        </row>
        <row r="988">
          <cell r="A988">
            <v>0</v>
          </cell>
        </row>
        <row r="989">
          <cell r="A989">
            <v>0</v>
          </cell>
        </row>
        <row r="990">
          <cell r="A990">
            <v>0</v>
          </cell>
        </row>
        <row r="991">
          <cell r="A991">
            <v>0</v>
          </cell>
        </row>
        <row r="992">
          <cell r="A992">
            <v>0</v>
          </cell>
        </row>
        <row r="993">
          <cell r="A993">
            <v>0</v>
          </cell>
        </row>
        <row r="994">
          <cell r="A994">
            <v>0</v>
          </cell>
        </row>
        <row r="995">
          <cell r="A995">
            <v>0</v>
          </cell>
        </row>
        <row r="996">
          <cell r="A996">
            <v>0</v>
          </cell>
        </row>
        <row r="997">
          <cell r="A997">
            <v>0</v>
          </cell>
        </row>
        <row r="998">
          <cell r="A998">
            <v>0</v>
          </cell>
        </row>
        <row r="999">
          <cell r="A999">
            <v>0</v>
          </cell>
        </row>
        <row r="1000">
          <cell r="A1000">
            <v>0</v>
          </cell>
        </row>
        <row r="1001">
          <cell r="A1001">
            <v>0</v>
          </cell>
        </row>
        <row r="1002">
          <cell r="A1002">
            <v>0</v>
          </cell>
        </row>
        <row r="1003">
          <cell r="A1003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"/>
      <sheetName val="Project"/>
      <sheetName val="tabel_2006_Total_R1"/>
      <sheetName val="tabel_2007_Total_plan 93jt"/>
      <sheetName val="2007_Total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"/>
      <sheetName val="Plan"/>
      <sheetName val="Project"/>
      <sheetName val="ManPower"/>
      <sheetName val="Detail Exp."/>
      <sheetName val="Detail DB"/>
      <sheetName val="Cap Exp."/>
      <sheetName val="Cap DB"/>
      <sheetName val="Production Volumn"/>
      <sheetName val="SubTotal by Plan"/>
      <sheetName val="SubTotal by Project"/>
      <sheetName val="Summary Exp."/>
      <sheetName val="Present Operating"/>
      <sheetName val="Present Admin"/>
      <sheetName val="Present Cap Exp."/>
      <sheetName val="Detail Exp_"/>
      <sheetName val="tabel_2007_Total_plan 93jt"/>
      <sheetName val="tabel_2006_Total_R1"/>
      <sheetName val="OB_89"/>
      <sheetName val="EDS110507"/>
      <sheetName val="Hourly"/>
      <sheetName val="INPUT 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Z3" t="str">
            <v>USD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  <sheetName val="summary"/>
      <sheetName val="Run"/>
      <sheetName val="HOURLY"/>
      <sheetName val="Data_AC"/>
      <sheetName val="Project"/>
      <sheetName val="Plan"/>
      <sheetName val="Detail Exp."/>
      <sheetName val="ACUM"/>
      <sheetName val="TJ"/>
      <sheetName val="LM"/>
      <sheetName val="244 Black coal"/>
      <sheetName val="bantuan"/>
      <sheetName val="Database"/>
      <sheetName val="Assumptions"/>
      <sheetName val="412src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  <sheetName val="summary"/>
      <sheetName val="Run"/>
      <sheetName val="A_SQL2IMPS_"/>
      <sheetName val="Hourly"/>
      <sheetName val="Project"/>
      <sheetName val="Plan"/>
      <sheetName val="Hourly Monitoring master"/>
      <sheetName val="Truck"/>
      <sheetName val="ASPAL (14)"/>
      <sheetName val="OPT_G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_PSY"/>
      <sheetName val="sum_MSY"/>
      <sheetName val="1212_sum_quality"/>
      <sheetName val="LIST"/>
      <sheetName val="Project"/>
      <sheetName val="Plan"/>
      <sheetName val="Outcash"/>
    </sheetNames>
    <sheetDataSet>
      <sheetData sheetId="0">
        <row r="2">
          <cell r="A2">
            <v>41274.291666666664</v>
          </cell>
        </row>
      </sheetData>
      <sheetData sheetId="1">
        <row r="7">
          <cell r="DL7" t="str">
            <v>IMM WEST LOTS</v>
          </cell>
          <cell r="DM7">
            <v>4.18</v>
          </cell>
        </row>
        <row r="8">
          <cell r="DL8" t="str">
            <v>IMM EAST HITS</v>
          </cell>
          <cell r="DM8">
            <v>3.98</v>
          </cell>
        </row>
        <row r="9">
          <cell r="DL9" t="str">
            <v>IMM EAST MedTS</v>
          </cell>
          <cell r="DM9">
            <v>3.98</v>
          </cell>
        </row>
        <row r="10">
          <cell r="DL10" t="str">
            <v>JBG</v>
          </cell>
          <cell r="DM10">
            <v>4.18</v>
          </cell>
        </row>
        <row r="11">
          <cell r="DL11" t="str">
            <v>TCM HCV LOTS</v>
          </cell>
          <cell r="DM11">
            <v>4.3600000000000003</v>
          </cell>
        </row>
        <row r="12">
          <cell r="DL12" t="str">
            <v>TCM HCV HITS</v>
          </cell>
          <cell r="DM12">
            <v>4.58</v>
          </cell>
        </row>
        <row r="13">
          <cell r="DL13" t="str">
            <v>TCM LCV LOTS</v>
          </cell>
          <cell r="DM13">
            <v>4.43</v>
          </cell>
        </row>
        <row r="14">
          <cell r="DL14" t="str">
            <v>TDM HCV</v>
          </cell>
          <cell r="DM14">
            <v>4.47</v>
          </cell>
        </row>
        <row r="15">
          <cell r="DL15" t="str">
            <v>TDM HCV LOTS</v>
          </cell>
          <cell r="DM15">
            <v>4.47</v>
          </cell>
        </row>
        <row r="16">
          <cell r="DL16" t="str">
            <v>EMB</v>
          </cell>
          <cell r="DM16">
            <v>4.18</v>
          </cell>
        </row>
        <row r="17">
          <cell r="DL17" t="str">
            <v>TCM LCV MTS</v>
          </cell>
          <cell r="DM17">
            <v>4.43</v>
          </cell>
        </row>
        <row r="18">
          <cell r="DL18" t="str">
            <v>IMM WEST HITS</v>
          </cell>
          <cell r="DM18">
            <v>4.18</v>
          </cell>
        </row>
        <row r="19">
          <cell r="DL19" t="str">
            <v>IMM WASH</v>
          </cell>
          <cell r="DM19">
            <v>4.18</v>
          </cell>
        </row>
        <row r="20">
          <cell r="DL20" t="str">
            <v>IMM MHITS</v>
          </cell>
          <cell r="DM20">
            <v>4.18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witchboard"/>
      <sheetName val="Setup"/>
      <sheetName val="Exchange Rate"/>
      <sheetName val="Company"/>
      <sheetName val="Business Unit"/>
      <sheetName val="Cost Center"/>
      <sheetName val="Plan"/>
      <sheetName val="Account"/>
      <sheetName val="Sub Account"/>
      <sheetName val="Project"/>
      <sheetName val="Salary"/>
      <sheetName val="Bonus"/>
      <sheetName val="Life insurance premium"/>
      <sheetName val="Workmen compensation fund"/>
      <sheetName val="Social security fund"/>
      <sheetName val="Provident fund"/>
      <sheetName val="Other welfare"/>
      <sheetName val="In-house Training"/>
      <sheetName val="Bank Charge"/>
      <sheetName val="Depreciation"/>
      <sheetName val="Production Volumn"/>
      <sheetName val="Production"/>
      <sheetName val="Macro"/>
      <sheetName val="#REF"/>
      <sheetName val="tabel_2007_Total_plan 93jt"/>
      <sheetName val="Macro.xls"/>
      <sheetName val="OB_89"/>
      <sheetName val="sum_MSY"/>
      <sheetName val="Exchange"/>
      <sheetName val="LIST"/>
      <sheetName val="NOMOR REKENING"/>
    </sheetNames>
    <definedNames>
      <definedName name="Exchange_Code" refersTo="='Exchange Rate'!$B$2:$B$6"/>
    </definedNames>
    <sheetDataSet>
      <sheetData sheetId="0" refreshError="1"/>
      <sheetData sheetId="1" refreshError="1"/>
      <sheetData sheetId="2" refreshError="1">
        <row r="2">
          <cell r="B2" t="str">
            <v>Protection Level</v>
          </cell>
        </row>
      </sheetData>
      <sheetData sheetId="3" refreshError="1">
        <row r="2">
          <cell r="B2" t="str">
            <v>Baht</v>
          </cell>
        </row>
        <row r="3">
          <cell r="B3" t="str">
            <v>RP</v>
          </cell>
        </row>
        <row r="4">
          <cell r="B4" t="str">
            <v>SGD</v>
          </cell>
        </row>
        <row r="5">
          <cell r="B5" t="str">
            <v>USD</v>
          </cell>
        </row>
        <row r="6">
          <cell r="B6" t="str">
            <v>VND</v>
          </cell>
        </row>
      </sheetData>
      <sheetData sheetId="4" refreshError="1">
        <row r="2">
          <cell r="B2" t="str">
            <v>Description</v>
          </cell>
        </row>
        <row r="3">
          <cell r="B3" t="str">
            <v>Banpu Public Company  Limted</v>
          </cell>
        </row>
        <row r="4">
          <cell r="B4" t="str">
            <v>Banpu Minerals Company  Limted</v>
          </cell>
        </row>
        <row r="5">
          <cell r="B5" t="str">
            <v>Promsin Company Limited</v>
          </cell>
        </row>
        <row r="6">
          <cell r="B6" t="str">
            <v>Banpu International Limted</v>
          </cell>
        </row>
      </sheetData>
      <sheetData sheetId="5" refreshError="1">
        <row r="2">
          <cell r="B2" t="str">
            <v>Description</v>
          </cell>
        </row>
        <row r="3">
          <cell r="B3" t="str">
            <v>Corporate</v>
          </cell>
        </row>
        <row r="4">
          <cell r="B4" t="str">
            <v>Coal Thailand Business</v>
          </cell>
        </row>
        <row r="5">
          <cell r="B5" t="str">
            <v>Minerals Business</v>
          </cell>
        </row>
        <row r="6">
          <cell r="B6" t="str">
            <v>Engineering Service Business</v>
          </cell>
        </row>
      </sheetData>
      <sheetData sheetId="6" refreshError="1">
        <row r="2">
          <cell r="B2" t="str">
            <v>Description</v>
          </cell>
        </row>
        <row r="3">
          <cell r="B3" t="str">
            <v>Administration</v>
          </cell>
        </row>
        <row r="4">
          <cell r="B4" t="str">
            <v>Office of CEO</v>
          </cell>
        </row>
        <row r="5">
          <cell r="B5" t="str">
            <v>Government Relations</v>
          </cell>
        </row>
        <row r="6">
          <cell r="B6" t="str">
            <v>Corporate Communications</v>
          </cell>
        </row>
      </sheetData>
      <sheetData sheetId="7" refreshError="1">
        <row r="2">
          <cell r="B2" t="str">
            <v>Description</v>
          </cell>
        </row>
        <row r="3">
          <cell r="B3" t="str">
            <v>Routine</v>
          </cell>
        </row>
        <row r="4">
          <cell r="B4" t="str">
            <v>Increase domestic coal sales valume in cement industy</v>
          </cell>
        </row>
        <row r="5">
          <cell r="B5" t="str">
            <v>Sell Coal to EGAT</v>
          </cell>
        </row>
        <row r="6">
          <cell r="B6" t="str">
            <v>Routine-Sales-Coal Thailand</v>
          </cell>
        </row>
      </sheetData>
      <sheetData sheetId="8" refreshError="1">
        <row r="2">
          <cell r="B2" t="str">
            <v>Description</v>
          </cell>
        </row>
        <row r="3">
          <cell r="B3" t="str">
            <v>Land</v>
          </cell>
        </row>
        <row r="4">
          <cell r="B4" t="str">
            <v>Land Improvement</v>
          </cell>
        </row>
        <row r="5">
          <cell r="B5" t="str">
            <v>Building</v>
          </cell>
        </row>
        <row r="6">
          <cell r="B6" t="str">
            <v>Structures</v>
          </cell>
        </row>
      </sheetData>
      <sheetData sheetId="9" refreshError="1">
        <row r="2">
          <cell r="B2" t="str">
            <v>Description</v>
          </cell>
        </row>
        <row r="3">
          <cell r="B3" t="str">
            <v>SETTING POND</v>
          </cell>
        </row>
        <row r="4">
          <cell r="B4" t="str">
            <v>CONTROLL WATER TANK</v>
          </cell>
        </row>
        <row r="5">
          <cell r="B5" t="str">
            <v>DOCUMENT ROOM</v>
          </cell>
        </row>
        <row r="6">
          <cell r="B6" t="str">
            <v>SPREADER &amp; TRIPPER CAR IN PROGRESS</v>
          </cell>
        </row>
      </sheetData>
      <sheetData sheetId="10" refreshError="1">
        <row r="2">
          <cell r="B2" t="str">
            <v>Description</v>
          </cell>
        </row>
        <row r="3">
          <cell r="B3" t="str">
            <v>Unspecified</v>
          </cell>
        </row>
        <row r="4">
          <cell r="B4" t="str">
            <v>LP-2 Project</v>
          </cell>
        </row>
        <row r="5">
          <cell r="B5" t="str">
            <v>Lampang 3 Project</v>
          </cell>
        </row>
        <row r="6">
          <cell r="B6" t="str">
            <v>LP-2 Project (Coordination)</v>
          </cell>
        </row>
      </sheetData>
      <sheetData sheetId="11" refreshError="1">
        <row r="2">
          <cell r="B2" t="str">
            <v>BU.</v>
          </cell>
        </row>
        <row r="3">
          <cell r="B3" t="str">
            <v>08</v>
          </cell>
        </row>
        <row r="4">
          <cell r="B4" t="str">
            <v>08</v>
          </cell>
        </row>
        <row r="5">
          <cell r="B5" t="str">
            <v>08</v>
          </cell>
        </row>
      </sheetData>
      <sheetData sheetId="12" refreshError="1">
        <row r="2">
          <cell r="B2" t="str">
            <v>BU.</v>
          </cell>
        </row>
        <row r="3">
          <cell r="B3" t="str">
            <v>08</v>
          </cell>
        </row>
        <row r="4">
          <cell r="B4" t="str">
            <v>08</v>
          </cell>
        </row>
        <row r="5">
          <cell r="B5" t="str">
            <v>08</v>
          </cell>
        </row>
      </sheetData>
      <sheetData sheetId="13" refreshError="1">
        <row r="2">
          <cell r="B2" t="str">
            <v>BU.</v>
          </cell>
        </row>
        <row r="3">
          <cell r="B3" t="str">
            <v>08</v>
          </cell>
        </row>
      </sheetData>
      <sheetData sheetId="14" refreshError="1">
        <row r="2">
          <cell r="B2" t="str">
            <v>BU.</v>
          </cell>
        </row>
        <row r="3">
          <cell r="B3" t="str">
            <v>08</v>
          </cell>
        </row>
      </sheetData>
      <sheetData sheetId="15" refreshError="1">
        <row r="2">
          <cell r="B2" t="str">
            <v>BU.</v>
          </cell>
        </row>
        <row r="3">
          <cell r="B3" t="str">
            <v>08</v>
          </cell>
        </row>
        <row r="4">
          <cell r="B4" t="str">
            <v>08</v>
          </cell>
        </row>
      </sheetData>
      <sheetData sheetId="16" refreshError="1">
        <row r="2">
          <cell r="B2" t="str">
            <v>BU.</v>
          </cell>
        </row>
        <row r="3">
          <cell r="B3" t="str">
            <v>01</v>
          </cell>
        </row>
        <row r="4">
          <cell r="B4" t="str">
            <v>01</v>
          </cell>
        </row>
        <row r="5">
          <cell r="B5" t="str">
            <v>01</v>
          </cell>
        </row>
        <row r="6">
          <cell r="B6" t="str">
            <v>01</v>
          </cell>
        </row>
      </sheetData>
      <sheetData sheetId="17" refreshError="1">
        <row r="2">
          <cell r="B2" t="str">
            <v>BU.</v>
          </cell>
        </row>
      </sheetData>
      <sheetData sheetId="18" refreshError="1">
        <row r="2">
          <cell r="B2" t="str">
            <v>BU.</v>
          </cell>
        </row>
      </sheetData>
      <sheetData sheetId="19" refreshError="1">
        <row r="2">
          <cell r="B2" t="str">
            <v>BU.</v>
          </cell>
        </row>
      </sheetData>
      <sheetData sheetId="20" refreshError="1">
        <row r="2">
          <cell r="B2" t="str">
            <v>BU.</v>
          </cell>
        </row>
        <row r="3">
          <cell r="B3" t="str">
            <v>08</v>
          </cell>
        </row>
        <row r="4">
          <cell r="B4" t="str">
            <v>08</v>
          </cell>
        </row>
        <row r="5">
          <cell r="B5" t="str">
            <v>08</v>
          </cell>
        </row>
        <row r="6">
          <cell r="B6" t="str">
            <v>08</v>
          </cell>
        </row>
      </sheetData>
      <sheetData sheetId="21" refreshError="1">
        <row r="2">
          <cell r="B2" t="str">
            <v>Description</v>
          </cell>
        </row>
        <row r="4">
          <cell r="B4" t="str">
            <v>IMM-Mine Stock Yard</v>
          </cell>
        </row>
      </sheetData>
      <sheetData sheetId="22" refreshError="1">
        <row r="2">
          <cell r="B2" t="str">
            <v>Description</v>
          </cell>
        </row>
        <row r="4">
          <cell r="B4" t="e">
            <v>#N/A</v>
          </cell>
        </row>
        <row r="5">
          <cell r="B5" t="e">
            <v>#N/A</v>
          </cell>
        </row>
        <row r="6">
          <cell r="B6" t="e">
            <v>#N/A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tuan"/>
      <sheetName val="D435"/>
      <sheetName val="M420"/>
      <sheetName val="M470"/>
      <sheetName val="PMR76HA3"/>
      <sheetName val="Sheet1"/>
      <sheetName val="ooc"/>
      <sheetName val="PRODUKSI"/>
      <sheetName val="List"/>
      <sheetName val="BOMAG"/>
      <sheetName val="SHE"/>
      <sheetName val="W_H"/>
      <sheetName val="Sum"/>
      <sheetName val="Plant_Week"/>
      <sheetName val="Rental"/>
      <sheetName val="Run"/>
      <sheetName val="MASTER"/>
      <sheetName val="Open Pits"/>
      <sheetName val="Summary"/>
      <sheetName val="OPT_GL"/>
      <sheetName val="Budget"/>
      <sheetName val="STD RATES"/>
      <sheetName val="dat"/>
      <sheetName val="Entry Data"/>
      <sheetName val="sum_MSY"/>
      <sheetName val="#REF!"/>
      <sheetName val="Input Coal"/>
      <sheetName val="ACUM"/>
      <sheetName val="TJ"/>
      <sheetName val="LM"/>
      <sheetName val="Data loader"/>
      <sheetName val="BY_EXA"/>
      <sheetName val="Data_Acc"/>
      <sheetName val="LOAD"/>
      <sheetName val="DATA_Exavator"/>
      <sheetName val="Data_AC"/>
      <sheetName val="DATA_PLAN"/>
      <sheetName val="PA"/>
      <sheetName val="Big"/>
      <sheetName val="Coal_Mining"/>
      <sheetName val="Cover"/>
      <sheetName val="KPI"/>
      <sheetName val="Htr"/>
      <sheetName val="KPC Coal"/>
      <sheetName val="KPC"/>
      <sheetName val="KPC_Total"/>
      <sheetName val="MS"/>
      <sheetName val="Productivity"/>
      <sheetName val="Overall"/>
      <sheetName val="crushnsp"/>
      <sheetName val="pittonsp"/>
      <sheetName val="1"/>
      <sheetName val="EXA"/>
      <sheetName val="CONTROL"/>
      <sheetName val="DATA"/>
      <sheetName val="Rain"/>
      <sheetName val="Data hauler"/>
      <sheetName val="Daily Forecasting"/>
      <sheetName val="ALL"/>
      <sheetName val="ACTUAL"/>
      <sheetName val="24"/>
      <sheetName val="Permanent info"/>
      <sheetName val="GeneralInfo"/>
      <sheetName val="Tabel stock"/>
      <sheetName val="_OB PLAN"/>
      <sheetName val="Roadmaintainance"/>
      <sheetName val="HM "/>
      <sheetName val="database"/>
      <sheetName val="Plant"/>
      <sheetName val="Project"/>
      <sheetName val="PLAN"/>
      <sheetName val="Truck"/>
      <sheetName val="dBase"/>
      <sheetName val="dBonus"/>
      <sheetName val="Op_GL"/>
      <sheetName val="fmc"/>
      <sheetName val="Non-staff Tender Rates"/>
      <sheetName val="EX2500FIX"/>
      <sheetName val="Movement_Bench15 (ob)"/>
      <sheetName val="Movement_Bench15 (ore)"/>
      <sheetName val="Pama"/>
      <sheetName val="Petrosea"/>
      <sheetName val="Master DPR"/>
      <sheetName val="Contract"/>
      <sheetName val="Tabel FPI"/>
      <sheetName val="LP-01 2012"/>
      <sheetName val="OFFICE"/>
      <sheetName val="MacPro"/>
      <sheetName val="Unit"/>
      <sheetName val="G&amp;L"/>
      <sheetName val="Bonus"/>
      <sheetName val="input loading point"/>
      <sheetName val="Range"/>
      <sheetName val="Dates"/>
      <sheetName val="Master Fault"/>
      <sheetName val="Source"/>
      <sheetName val="C"/>
      <sheetName val="RESUME"/>
      <sheetName val="Table Array"/>
      <sheetName val="Monthly Entry"/>
      <sheetName val="Bank data"/>
      <sheetName val="Data Entry"/>
      <sheetName val="Sheet2"/>
      <sheetName val="bg hsbc"/>
      <sheetName val="BUMA"/>
      <sheetName val="DTDummy"/>
      <sheetName val="COST"/>
      <sheetName val="HOURLY"/>
      <sheetName val="DRILLBLAST"/>
      <sheetName val="ACT HAUL"/>
      <sheetName val="ACT OB"/>
      <sheetName val="ACT COAL"/>
      <sheetName val="COAL CRUSH PLAN"/>
      <sheetName val=" COAL MINE PLAN"/>
      <sheetName val="_COAL MINE PLAN"/>
      <sheetName val="ACT DIRTY COAL"/>
      <sheetName val=" OB PLAN"/>
      <sheetName val="Ktd"/>
      <sheetName val="Rain &amp; Slippery Method"/>
      <sheetName val="Rain _ Slippery Method"/>
      <sheetName val="notes"/>
      <sheetName val="Assumptions"/>
      <sheetName val="BB TO STOCK KTD "/>
      <sheetName val="MATRIK"/>
      <sheetName val="ARIA IBS vs Actual"/>
      <sheetName val="air_spt_sel_modif"/>
      <sheetName val="air_spt_teng_modif"/>
      <sheetName val="Safety 2"/>
      <sheetName val="INVENTORY"/>
      <sheetName val="WASTE"/>
      <sheetName val="D_PLAN"/>
      <sheetName val="D_Report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7"/>
      <sheetName val="Y2_PLANS_"/>
      <sheetName val="KODE"/>
      <sheetName val="Wages"/>
      <sheetName val="HARGA MATERIAL"/>
      <sheetName val="Plant Rate"/>
      <sheetName val="TABLE"/>
      <sheetName val="Konversi Jarak"/>
      <sheetName val="EXPL-ADDS"/>
      <sheetName val="Quarterly P&amp;L"/>
      <sheetName val="Menu"/>
      <sheetName val="HM"/>
      <sheetName val="CHART 1"/>
    </sheetNames>
    <sheetDataSet>
      <sheetData sheetId="0" refreshError="1">
        <row r="2">
          <cell r="B2" t="str">
            <v>adji triyono</v>
          </cell>
          <cell r="C2">
            <v>6193116</v>
          </cell>
        </row>
        <row r="3">
          <cell r="B3" t="str">
            <v>al khaeruddin</v>
          </cell>
          <cell r="C3" t="str">
            <v>1k94012</v>
          </cell>
        </row>
        <row r="4">
          <cell r="B4" t="str">
            <v>aljufri</v>
          </cell>
          <cell r="C4">
            <v>7192004</v>
          </cell>
        </row>
        <row r="5">
          <cell r="B5" t="str">
            <v>andi busra</v>
          </cell>
          <cell r="C5" t="str">
            <v>1m01086</v>
          </cell>
        </row>
        <row r="6">
          <cell r="B6" t="str">
            <v>apollo s</v>
          </cell>
          <cell r="C6" t="str">
            <v>1m98180</v>
          </cell>
        </row>
        <row r="7">
          <cell r="B7" t="str">
            <v>hanura</v>
          </cell>
          <cell r="C7">
            <v>6193146</v>
          </cell>
        </row>
        <row r="8">
          <cell r="B8" t="str">
            <v>hasbullah</v>
          </cell>
          <cell r="C8">
            <v>6194306</v>
          </cell>
        </row>
        <row r="9">
          <cell r="B9" t="str">
            <v>hendro m</v>
          </cell>
          <cell r="C9">
            <v>6195100</v>
          </cell>
        </row>
        <row r="10">
          <cell r="B10" t="str">
            <v>kuntari</v>
          </cell>
          <cell r="C10" t="str">
            <v>1k96036</v>
          </cell>
        </row>
        <row r="11">
          <cell r="B11" t="str">
            <v>m. tholib</v>
          </cell>
          <cell r="C11" t="str">
            <v>1k96071</v>
          </cell>
        </row>
        <row r="12">
          <cell r="B12" t="str">
            <v>mariyanto</v>
          </cell>
          <cell r="C12">
            <v>6195113</v>
          </cell>
        </row>
        <row r="13">
          <cell r="B13" t="str">
            <v>moh. syaiful ali</v>
          </cell>
          <cell r="C13" t="str">
            <v>1s01027</v>
          </cell>
        </row>
        <row r="14">
          <cell r="B14" t="str">
            <v>purnomo</v>
          </cell>
          <cell r="C14" t="str">
            <v>1m01110</v>
          </cell>
        </row>
        <row r="15">
          <cell r="B15" t="str">
            <v>robert z</v>
          </cell>
          <cell r="C15" t="str">
            <v>1k96061</v>
          </cell>
        </row>
        <row r="16">
          <cell r="B16" t="str">
            <v>rozali idris</v>
          </cell>
          <cell r="C16">
            <v>7191012</v>
          </cell>
        </row>
        <row r="17">
          <cell r="B17" t="str">
            <v>rustam effendi</v>
          </cell>
          <cell r="C17" t="str">
            <v>1m01079</v>
          </cell>
        </row>
        <row r="18">
          <cell r="B18" t="str">
            <v>sahrul c</v>
          </cell>
          <cell r="C18" t="str">
            <v>1m01020</v>
          </cell>
        </row>
        <row r="19">
          <cell r="B19" t="str">
            <v>slamet</v>
          </cell>
          <cell r="C19" t="str">
            <v>1k96054</v>
          </cell>
        </row>
        <row r="20">
          <cell r="B20" t="str">
            <v>slamet h</v>
          </cell>
          <cell r="C20">
            <v>6194272</v>
          </cell>
        </row>
        <row r="21">
          <cell r="B21" t="str">
            <v>sudarto</v>
          </cell>
          <cell r="C21">
            <v>6191121</v>
          </cell>
        </row>
        <row r="22">
          <cell r="B22" t="str">
            <v>sukin</v>
          </cell>
          <cell r="C22">
            <v>6188023</v>
          </cell>
        </row>
        <row r="23">
          <cell r="B23" t="str">
            <v>sungkono</v>
          </cell>
          <cell r="C23" t="str">
            <v>1k93034</v>
          </cell>
        </row>
        <row r="24">
          <cell r="B24" t="str">
            <v>supriadi syawar</v>
          </cell>
          <cell r="C24" t="str">
            <v>1k96051</v>
          </cell>
        </row>
        <row r="25">
          <cell r="B25" t="str">
            <v>suryadi</v>
          </cell>
          <cell r="C25">
            <v>6193152</v>
          </cell>
        </row>
        <row r="26">
          <cell r="B26" t="str">
            <v>syahwan</v>
          </cell>
          <cell r="C26" t="str">
            <v>1k93077</v>
          </cell>
        </row>
        <row r="27">
          <cell r="B27" t="str">
            <v>syamsuryadi</v>
          </cell>
          <cell r="C27" t="str">
            <v>1m98027</v>
          </cell>
        </row>
        <row r="28">
          <cell r="B28" t="str">
            <v>syarifuddin</v>
          </cell>
          <cell r="C28" t="str">
            <v>1k96037</v>
          </cell>
        </row>
        <row r="29">
          <cell r="B29" t="str">
            <v>syuhefdi</v>
          </cell>
          <cell r="C29">
            <v>6194271</v>
          </cell>
        </row>
        <row r="30">
          <cell r="B30" t="str">
            <v>taufik</v>
          </cell>
          <cell r="C30" t="str">
            <v>1k96063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_GL"/>
      <sheetName val="C_N"/>
      <sheetName val="QTY"/>
      <sheetName val="TUJUAN"/>
      <sheetName val="EGI"/>
      <sheetName val="Big"/>
      <sheetName val="Coal_Mining"/>
      <sheetName val="Cover"/>
      <sheetName val="Htr"/>
      <sheetName val="KPC Coal"/>
      <sheetName val="KPC"/>
      <sheetName val="KPC_Total"/>
      <sheetName val="MS"/>
      <sheetName val="Depth_41"/>
      <sheetName val="Run"/>
      <sheetName val="summary"/>
      <sheetName val="COST"/>
      <sheetName val="bantuan"/>
      <sheetName val="NEW_PELIKAN_"/>
      <sheetName val="sum_MSY"/>
      <sheetName val="LIST"/>
      <sheetName val="Project"/>
      <sheetName val="Data Base"/>
      <sheetName val="HOURLY"/>
      <sheetName val="MTD OB Forecasting"/>
    </sheetNames>
    <sheetDataSet>
      <sheetData sheetId="0" refreshError="1">
        <row r="4">
          <cell r="B4" t="str">
            <v>EX1001</v>
          </cell>
          <cell r="D4" t="str">
            <v>EX1001S1</v>
          </cell>
          <cell r="E4" t="str">
            <v>EX1001S2</v>
          </cell>
          <cell r="F4" t="str">
            <v>EX1001S3</v>
          </cell>
          <cell r="G4" t="str">
            <v>EX1001S6</v>
          </cell>
          <cell r="H4" t="str">
            <v>EX1001S7</v>
          </cell>
          <cell r="I4">
            <v>0</v>
          </cell>
          <cell r="J4">
            <v>0</v>
          </cell>
          <cell r="K4">
            <v>0</v>
          </cell>
          <cell r="L4" t="str">
            <v>Darwin Sitompul</v>
          </cell>
          <cell r="M4" t="str">
            <v>Asinurochim</v>
          </cell>
          <cell r="O4">
            <v>0</v>
          </cell>
          <cell r="P4">
            <v>0</v>
          </cell>
          <cell r="Q4">
            <v>0</v>
          </cell>
          <cell r="R4" t="str">
            <v>Supiani Majid</v>
          </cell>
          <cell r="S4" t="str">
            <v>Saepudin</v>
          </cell>
        </row>
        <row r="5">
          <cell r="B5" t="str">
            <v>EX1002</v>
          </cell>
          <cell r="D5" t="str">
            <v>EX1002S1</v>
          </cell>
          <cell r="E5" t="str">
            <v>EX1002S2</v>
          </cell>
          <cell r="F5" t="str">
            <v>EX1002S3</v>
          </cell>
          <cell r="G5" t="str">
            <v>EX1002S6</v>
          </cell>
          <cell r="H5" t="str">
            <v>EX1002S7</v>
          </cell>
          <cell r="I5">
            <v>0</v>
          </cell>
          <cell r="J5">
            <v>0</v>
          </cell>
          <cell r="K5">
            <v>0</v>
          </cell>
          <cell r="L5" t="str">
            <v>Mustakim</v>
          </cell>
          <cell r="M5">
            <v>0</v>
          </cell>
          <cell r="O5">
            <v>0</v>
          </cell>
          <cell r="P5">
            <v>0</v>
          </cell>
          <cell r="Q5">
            <v>0</v>
          </cell>
          <cell r="R5" t="str">
            <v>Supiani Majid</v>
          </cell>
          <cell r="S5">
            <v>0</v>
          </cell>
        </row>
        <row r="6">
          <cell r="B6" t="str">
            <v>EX1004</v>
          </cell>
          <cell r="D6" t="str">
            <v>EX1004S1</v>
          </cell>
          <cell r="E6" t="str">
            <v>EX1004S2</v>
          </cell>
          <cell r="F6" t="str">
            <v>EX1004S3</v>
          </cell>
          <cell r="G6" t="str">
            <v>EX1004S6</v>
          </cell>
          <cell r="H6" t="str">
            <v>EX1004S7</v>
          </cell>
          <cell r="I6">
            <v>0</v>
          </cell>
          <cell r="J6">
            <v>0</v>
          </cell>
          <cell r="K6">
            <v>0</v>
          </cell>
          <cell r="L6" t="str">
            <v>Juartono</v>
          </cell>
          <cell r="M6">
            <v>0</v>
          </cell>
          <cell r="O6">
            <v>0</v>
          </cell>
          <cell r="P6">
            <v>0</v>
          </cell>
          <cell r="Q6">
            <v>0</v>
          </cell>
          <cell r="R6" t="str">
            <v>Widianto</v>
          </cell>
          <cell r="S6">
            <v>0</v>
          </cell>
        </row>
        <row r="7">
          <cell r="B7" t="str">
            <v>EX1006</v>
          </cell>
          <cell r="D7" t="str">
            <v>EX1006S1</v>
          </cell>
          <cell r="E7" t="str">
            <v>EX1006S2</v>
          </cell>
          <cell r="F7" t="str">
            <v>EX1006S3</v>
          </cell>
          <cell r="G7" t="str">
            <v>EX1006S6</v>
          </cell>
          <cell r="H7" t="str">
            <v>EX1006S7</v>
          </cell>
          <cell r="I7">
            <v>0</v>
          </cell>
          <cell r="J7">
            <v>0</v>
          </cell>
          <cell r="K7">
            <v>0</v>
          </cell>
          <cell r="L7" t="str">
            <v>Rudi Sarwedi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 t="str">
            <v>Hendra</v>
          </cell>
          <cell r="S7">
            <v>0</v>
          </cell>
        </row>
        <row r="8">
          <cell r="B8" t="str">
            <v>EX1008</v>
          </cell>
          <cell r="D8" t="str">
            <v>EX1008S1</v>
          </cell>
          <cell r="E8" t="str">
            <v>EX1008S2</v>
          </cell>
          <cell r="F8" t="str">
            <v>EX1008S3</v>
          </cell>
          <cell r="G8" t="str">
            <v>EX1008S6</v>
          </cell>
          <cell r="H8" t="str">
            <v>EX1008S7</v>
          </cell>
          <cell r="I8">
            <v>0</v>
          </cell>
          <cell r="J8">
            <v>0</v>
          </cell>
          <cell r="K8">
            <v>0</v>
          </cell>
          <cell r="L8" t="str">
            <v>Zulkifli</v>
          </cell>
          <cell r="M8">
            <v>0</v>
          </cell>
          <cell r="O8">
            <v>0</v>
          </cell>
          <cell r="P8">
            <v>0</v>
          </cell>
          <cell r="Q8">
            <v>0</v>
          </cell>
          <cell r="R8" t="str">
            <v>Adji Triyono</v>
          </cell>
          <cell r="S8">
            <v>0</v>
          </cell>
        </row>
        <row r="9">
          <cell r="B9" t="str">
            <v>EX1013</v>
          </cell>
          <cell r="D9" t="str">
            <v>EX1013S1</v>
          </cell>
          <cell r="E9" t="str">
            <v>EX1013S2</v>
          </cell>
          <cell r="F9" t="str">
            <v>EX1013S3</v>
          </cell>
          <cell r="G9" t="str">
            <v>EX1013S6</v>
          </cell>
          <cell r="H9" t="str">
            <v>EX1013S7</v>
          </cell>
          <cell r="I9">
            <v>0</v>
          </cell>
          <cell r="J9">
            <v>0</v>
          </cell>
          <cell r="K9">
            <v>0</v>
          </cell>
          <cell r="L9" t="str">
            <v>Dede Rusdiana</v>
          </cell>
          <cell r="M9">
            <v>0</v>
          </cell>
          <cell r="O9">
            <v>0</v>
          </cell>
          <cell r="P9">
            <v>0</v>
          </cell>
          <cell r="Q9">
            <v>0</v>
          </cell>
          <cell r="R9" t="str">
            <v>Adam Surya</v>
          </cell>
          <cell r="S9">
            <v>0</v>
          </cell>
        </row>
        <row r="10">
          <cell r="B10" t="str">
            <v>EX1014</v>
          </cell>
          <cell r="D10" t="str">
            <v>EX1014S1</v>
          </cell>
          <cell r="E10" t="str">
            <v>EX1014S2</v>
          </cell>
          <cell r="F10" t="str">
            <v>EX1014S3</v>
          </cell>
          <cell r="G10" t="str">
            <v>EX1014S6</v>
          </cell>
          <cell r="H10" t="str">
            <v>EX1014S7</v>
          </cell>
          <cell r="I10">
            <v>0</v>
          </cell>
          <cell r="J10">
            <v>0</v>
          </cell>
          <cell r="K10">
            <v>0</v>
          </cell>
          <cell r="L10" t="str">
            <v>Hendro Waskito</v>
          </cell>
          <cell r="M10">
            <v>0</v>
          </cell>
          <cell r="O10">
            <v>0</v>
          </cell>
          <cell r="P10">
            <v>0</v>
          </cell>
          <cell r="Q10">
            <v>0</v>
          </cell>
          <cell r="R10" t="str">
            <v>Widianto</v>
          </cell>
          <cell r="S10">
            <v>0</v>
          </cell>
        </row>
        <row r="11">
          <cell r="B11" t="str">
            <v>EX429</v>
          </cell>
          <cell r="D11" t="str">
            <v>EX429S1</v>
          </cell>
          <cell r="E11" t="str">
            <v>EX429S2</v>
          </cell>
          <cell r="F11" t="str">
            <v>EX429S3</v>
          </cell>
          <cell r="G11" t="str">
            <v>EX429S6</v>
          </cell>
          <cell r="H11" t="str">
            <v>EX429S7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</row>
        <row r="12">
          <cell r="B12" t="str">
            <v>EX430</v>
          </cell>
          <cell r="D12" t="str">
            <v>EX430S1</v>
          </cell>
          <cell r="E12" t="str">
            <v>EX430S2</v>
          </cell>
          <cell r="F12" t="str">
            <v>EX430S3</v>
          </cell>
          <cell r="G12" t="str">
            <v>EX430S6</v>
          </cell>
          <cell r="H12" t="str">
            <v>EX430S7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</row>
        <row r="13">
          <cell r="B13" t="str">
            <v>EX577</v>
          </cell>
          <cell r="D13" t="str">
            <v>EX577S1</v>
          </cell>
          <cell r="E13" t="str">
            <v>EX577S2</v>
          </cell>
          <cell r="F13" t="str">
            <v>EX577S3</v>
          </cell>
          <cell r="G13" t="str">
            <v>EX577S6</v>
          </cell>
          <cell r="H13" t="str">
            <v>EX577S7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 t="str">
            <v>Hendra</v>
          </cell>
          <cell r="S13">
            <v>0</v>
          </cell>
        </row>
        <row r="14">
          <cell r="B14" t="str">
            <v>EX578</v>
          </cell>
          <cell r="D14" t="str">
            <v>EX578S1</v>
          </cell>
          <cell r="E14" t="str">
            <v>EX578S2</v>
          </cell>
          <cell r="F14" t="str">
            <v>EX578S3</v>
          </cell>
          <cell r="G14" t="str">
            <v>EX578S6</v>
          </cell>
          <cell r="H14" t="str">
            <v>EX578S7</v>
          </cell>
          <cell r="I14">
            <v>0</v>
          </cell>
          <cell r="J14">
            <v>0</v>
          </cell>
          <cell r="K14">
            <v>0</v>
          </cell>
          <cell r="L14" t="str">
            <v>Yoga Karna Peryoga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 t="str">
            <v>Hendra</v>
          </cell>
          <cell r="S14">
            <v>0</v>
          </cell>
        </row>
        <row r="15">
          <cell r="B15" t="str">
            <v>EX708</v>
          </cell>
          <cell r="D15" t="str">
            <v>EX708S1</v>
          </cell>
          <cell r="E15" t="str">
            <v>EX708S2</v>
          </cell>
          <cell r="F15" t="str">
            <v>EX708S3</v>
          </cell>
          <cell r="G15" t="str">
            <v>EX708S6</v>
          </cell>
          <cell r="H15" t="str">
            <v>EX708S7</v>
          </cell>
          <cell r="I15">
            <v>0</v>
          </cell>
          <cell r="J15">
            <v>0</v>
          </cell>
          <cell r="K15">
            <v>0</v>
          </cell>
          <cell r="L15" t="str">
            <v>Gumono</v>
          </cell>
          <cell r="M15" t="str">
            <v>Jonson Panjaitan</v>
          </cell>
          <cell r="O15">
            <v>0</v>
          </cell>
          <cell r="P15">
            <v>0</v>
          </cell>
          <cell r="Q15">
            <v>0</v>
          </cell>
          <cell r="R15" t="str">
            <v>Widianto</v>
          </cell>
          <cell r="S15" t="str">
            <v>Saepudin</v>
          </cell>
        </row>
        <row r="16">
          <cell r="B16" t="str">
            <v>EX709</v>
          </cell>
          <cell r="D16" t="str">
            <v>EX709S1</v>
          </cell>
          <cell r="E16" t="str">
            <v>EX709S2</v>
          </cell>
          <cell r="F16" t="str">
            <v>EX709S3</v>
          </cell>
          <cell r="G16" t="str">
            <v>EX709S6</v>
          </cell>
          <cell r="H16" t="str">
            <v>EX709S7</v>
          </cell>
          <cell r="I16">
            <v>0</v>
          </cell>
          <cell r="J16">
            <v>0</v>
          </cell>
          <cell r="K16">
            <v>0</v>
          </cell>
          <cell r="L16" t="str">
            <v>Jumen Saragih</v>
          </cell>
          <cell r="M16" t="str">
            <v>Suryani</v>
          </cell>
          <cell r="O16">
            <v>0</v>
          </cell>
          <cell r="P16">
            <v>0</v>
          </cell>
          <cell r="Q16">
            <v>0</v>
          </cell>
          <cell r="R16" t="str">
            <v>Widianto</v>
          </cell>
          <cell r="S16" t="str">
            <v>Saepudin</v>
          </cell>
        </row>
        <row r="17">
          <cell r="B17" t="str">
            <v>EX710</v>
          </cell>
          <cell r="D17" t="str">
            <v>EX710S1</v>
          </cell>
          <cell r="E17" t="str">
            <v>EX710S2</v>
          </cell>
          <cell r="F17" t="str">
            <v>EX710S3</v>
          </cell>
          <cell r="G17" t="str">
            <v>EX710S6</v>
          </cell>
          <cell r="H17" t="str">
            <v>EX710S7</v>
          </cell>
          <cell r="I17">
            <v>0</v>
          </cell>
          <cell r="J17">
            <v>0</v>
          </cell>
          <cell r="K17">
            <v>0</v>
          </cell>
          <cell r="L17" t="str">
            <v>Edi manik</v>
          </cell>
          <cell r="M17" t="str">
            <v>Sukoco</v>
          </cell>
          <cell r="O17">
            <v>0</v>
          </cell>
          <cell r="P17">
            <v>0</v>
          </cell>
          <cell r="Q17">
            <v>0</v>
          </cell>
          <cell r="R17" t="str">
            <v>Widianto</v>
          </cell>
          <cell r="S17" t="str">
            <v>Subagiyo</v>
          </cell>
        </row>
        <row r="18">
          <cell r="B18" t="str">
            <v>EX711</v>
          </cell>
          <cell r="D18" t="str">
            <v>EX711S1</v>
          </cell>
          <cell r="E18" t="str">
            <v>EX711S2</v>
          </cell>
          <cell r="F18" t="str">
            <v>EX711S3</v>
          </cell>
          <cell r="G18" t="str">
            <v>EX711S6</v>
          </cell>
          <cell r="H18" t="str">
            <v>EX711S7</v>
          </cell>
          <cell r="I18">
            <v>0</v>
          </cell>
          <cell r="J18">
            <v>0</v>
          </cell>
          <cell r="K18">
            <v>0</v>
          </cell>
          <cell r="L18" t="str">
            <v>Dedi Rapsody</v>
          </cell>
          <cell r="M18" t="str">
            <v>Andi Risman</v>
          </cell>
          <cell r="O18">
            <v>0</v>
          </cell>
          <cell r="P18">
            <v>0</v>
          </cell>
          <cell r="Q18">
            <v>0</v>
          </cell>
          <cell r="R18" t="str">
            <v>Widianto</v>
          </cell>
          <cell r="S18" t="str">
            <v>Subagiyo</v>
          </cell>
        </row>
        <row r="19">
          <cell r="B19" t="str">
            <v>KPLMEX002</v>
          </cell>
          <cell r="D19" t="str">
            <v>KPLMEX002S1</v>
          </cell>
          <cell r="E19" t="str">
            <v>KPLMEX002S2</v>
          </cell>
          <cell r="F19" t="str">
            <v>KPLMEX002S3</v>
          </cell>
          <cell r="G19" t="str">
            <v>KPLMEX002S6</v>
          </cell>
          <cell r="H19" t="str">
            <v>KPLMEX002S7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</row>
        <row r="20">
          <cell r="B20" t="str">
            <v>SH304</v>
          </cell>
          <cell r="D20" t="str">
            <v>SH304S1</v>
          </cell>
          <cell r="E20" t="str">
            <v>SH304S2</v>
          </cell>
          <cell r="F20" t="str">
            <v>SH304S3</v>
          </cell>
          <cell r="G20" t="str">
            <v>SH304S6</v>
          </cell>
          <cell r="H20" t="str">
            <v>SH304S7</v>
          </cell>
          <cell r="I20">
            <v>0</v>
          </cell>
          <cell r="J20">
            <v>0</v>
          </cell>
          <cell r="K20">
            <v>0</v>
          </cell>
          <cell r="L20" t="str">
            <v>Bambang Trianto</v>
          </cell>
          <cell r="M20" t="str">
            <v>Edi Purwanto</v>
          </cell>
          <cell r="O20">
            <v>0</v>
          </cell>
          <cell r="P20">
            <v>0</v>
          </cell>
          <cell r="Q20">
            <v>0</v>
          </cell>
          <cell r="R20" t="str">
            <v>Widianto</v>
          </cell>
          <cell r="S20" t="str">
            <v>Subagiyo</v>
          </cell>
        </row>
        <row r="21">
          <cell r="B21" t="str">
            <v>SH305</v>
          </cell>
          <cell r="D21" t="str">
            <v>SH305S1</v>
          </cell>
          <cell r="E21" t="str">
            <v>SH305S2</v>
          </cell>
          <cell r="F21" t="str">
            <v>SH305S3</v>
          </cell>
          <cell r="G21" t="str">
            <v>SH305S6</v>
          </cell>
          <cell r="H21" t="str">
            <v>SH305S7</v>
          </cell>
          <cell r="I21">
            <v>0</v>
          </cell>
          <cell r="J21">
            <v>0</v>
          </cell>
          <cell r="K21">
            <v>0</v>
          </cell>
          <cell r="L21" t="str">
            <v>Dwi Hariyanto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 t="str">
            <v>Supiani Majid</v>
          </cell>
          <cell r="S21">
            <v>0</v>
          </cell>
        </row>
        <row r="22">
          <cell r="B22" t="str">
            <v>SH306</v>
          </cell>
          <cell r="D22" t="str">
            <v>SH306S1</v>
          </cell>
          <cell r="E22" t="str">
            <v>SH306S2</v>
          </cell>
          <cell r="F22" t="str">
            <v>SH306S3</v>
          </cell>
          <cell r="G22" t="str">
            <v>SH306S6</v>
          </cell>
          <cell r="H22" t="str">
            <v>SH306S7</v>
          </cell>
          <cell r="I22">
            <v>0</v>
          </cell>
          <cell r="J22">
            <v>0</v>
          </cell>
          <cell r="K22">
            <v>0</v>
          </cell>
          <cell r="L22" t="str">
            <v>Hero Marten</v>
          </cell>
          <cell r="M22">
            <v>0</v>
          </cell>
          <cell r="O22">
            <v>0</v>
          </cell>
          <cell r="P22">
            <v>0</v>
          </cell>
          <cell r="Q22">
            <v>0</v>
          </cell>
          <cell r="R22" t="str">
            <v>Supiani Majid</v>
          </cell>
          <cell r="S22">
            <v>0</v>
          </cell>
        </row>
        <row r="23">
          <cell r="B23" t="str">
            <v>WL508</v>
          </cell>
          <cell r="D23" t="str">
            <v>WL508S1</v>
          </cell>
          <cell r="E23" t="str">
            <v>WL508S2</v>
          </cell>
          <cell r="F23" t="str">
            <v>WL508S3</v>
          </cell>
          <cell r="G23" t="str">
            <v>WL508S6</v>
          </cell>
          <cell r="H23" t="str">
            <v>WL508S7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</row>
        <row r="24">
          <cell r="B24" t="str">
            <v>KPLMEX003</v>
          </cell>
          <cell r="D24" t="str">
            <v>KPLMEX003S1</v>
          </cell>
          <cell r="E24" t="str">
            <v>KPLMEX003S2</v>
          </cell>
          <cell r="F24" t="str">
            <v>KPLMEX003S3</v>
          </cell>
          <cell r="G24" t="str">
            <v>KPLMEX003S6</v>
          </cell>
          <cell r="H24" t="str">
            <v>KPLMEX003S7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</row>
        <row r="25">
          <cell r="B25" t="str">
            <v>KPTJEX023</v>
          </cell>
          <cell r="D25" t="str">
            <v>KPTJEX023S1</v>
          </cell>
          <cell r="E25" t="str">
            <v>KPTJEX023S2</v>
          </cell>
          <cell r="F25" t="str">
            <v>KPTJEX023S3</v>
          </cell>
          <cell r="G25" t="str">
            <v>KPTJEX023S6</v>
          </cell>
          <cell r="H25" t="str">
            <v>KPTJEX023S7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</row>
        <row r="26">
          <cell r="B26" t="str">
            <v>EX579</v>
          </cell>
          <cell r="D26" t="str">
            <v>EX579S1</v>
          </cell>
          <cell r="E26" t="str">
            <v>EX579S2</v>
          </cell>
          <cell r="F26" t="str">
            <v>EX579S3</v>
          </cell>
          <cell r="G26" t="str">
            <v>EX579S6</v>
          </cell>
          <cell r="H26" t="str">
            <v>EX579S7</v>
          </cell>
          <cell r="I26">
            <v>0</v>
          </cell>
          <cell r="J26">
            <v>0</v>
          </cell>
          <cell r="K26">
            <v>0</v>
          </cell>
          <cell r="L26" t="str">
            <v>Abdul Karim</v>
          </cell>
          <cell r="M26">
            <v>0</v>
          </cell>
          <cell r="O26">
            <v>0</v>
          </cell>
          <cell r="P26">
            <v>0</v>
          </cell>
          <cell r="Q26">
            <v>0</v>
          </cell>
          <cell r="R26" t="str">
            <v>Hendra</v>
          </cell>
          <cell r="S26">
            <v>0</v>
          </cell>
        </row>
        <row r="27">
          <cell r="B27" t="str">
            <v>EX729</v>
          </cell>
          <cell r="D27" t="str">
            <v>EX729S1</v>
          </cell>
          <cell r="E27" t="str">
            <v>EX729S2</v>
          </cell>
          <cell r="F27" t="str">
            <v>EX729S3</v>
          </cell>
          <cell r="G27" t="str">
            <v>EX729S6</v>
          </cell>
          <cell r="H27" t="str">
            <v>EX729S7</v>
          </cell>
          <cell r="I27">
            <v>0</v>
          </cell>
          <cell r="J27">
            <v>0</v>
          </cell>
          <cell r="K27">
            <v>0</v>
          </cell>
          <cell r="L27" t="str">
            <v>Dionkius</v>
          </cell>
          <cell r="M27" t="str">
            <v>Daud Manglalan</v>
          </cell>
          <cell r="O27">
            <v>0</v>
          </cell>
          <cell r="P27">
            <v>0</v>
          </cell>
          <cell r="Q27">
            <v>0</v>
          </cell>
          <cell r="R27" t="str">
            <v>Supiani Majid</v>
          </cell>
          <cell r="S27" t="str">
            <v>Ridho Sila Pertama</v>
          </cell>
        </row>
        <row r="28">
          <cell r="B28" t="str">
            <v>EX1701</v>
          </cell>
          <cell r="D28" t="str">
            <v>EX1701S1</v>
          </cell>
          <cell r="E28" t="str">
            <v>EX1701S2</v>
          </cell>
          <cell r="F28" t="str">
            <v>EX1701S3</v>
          </cell>
          <cell r="G28" t="str">
            <v>EX1701S6</v>
          </cell>
          <cell r="H28" t="str">
            <v>EX1701S7</v>
          </cell>
          <cell r="I28">
            <v>0</v>
          </cell>
          <cell r="J28">
            <v>0</v>
          </cell>
          <cell r="K28">
            <v>0</v>
          </cell>
          <cell r="L28" t="str">
            <v>Endang Suparman</v>
          </cell>
          <cell r="M28">
            <v>0</v>
          </cell>
          <cell r="O28">
            <v>0</v>
          </cell>
          <cell r="P28">
            <v>0</v>
          </cell>
          <cell r="Q28">
            <v>0</v>
          </cell>
          <cell r="R28" t="str">
            <v>Adji Triyono</v>
          </cell>
          <cell r="S28">
            <v>0</v>
          </cell>
        </row>
        <row r="29">
          <cell r="B29" t="str">
            <v>EX718</v>
          </cell>
          <cell r="D29" t="str">
            <v>EX718S1</v>
          </cell>
          <cell r="E29" t="str">
            <v>EX718S2</v>
          </cell>
          <cell r="F29" t="str">
            <v>EX718S3</v>
          </cell>
          <cell r="G29" t="str">
            <v>EX718S6</v>
          </cell>
          <cell r="H29" t="str">
            <v>EX718S7</v>
          </cell>
          <cell r="I29">
            <v>0</v>
          </cell>
          <cell r="J29">
            <v>0</v>
          </cell>
          <cell r="K29">
            <v>0</v>
          </cell>
          <cell r="L29" t="str">
            <v>Sugeng Murwanto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 t="str">
            <v>Widianto</v>
          </cell>
          <cell r="S29">
            <v>0</v>
          </cell>
        </row>
        <row r="30">
          <cell r="B30" t="str">
            <v>KPTJEX026</v>
          </cell>
          <cell r="D30" t="str">
            <v>KPTJEX026S1</v>
          </cell>
          <cell r="E30" t="str">
            <v>KPTJEX026S2</v>
          </cell>
          <cell r="F30" t="str">
            <v>KPTJEX026S3</v>
          </cell>
          <cell r="G30" t="str">
            <v>KPTJEX026S6</v>
          </cell>
          <cell r="H30" t="str">
            <v>KPTJEX026S7</v>
          </cell>
          <cell r="I30">
            <v>0</v>
          </cell>
          <cell r="J30">
            <v>0</v>
          </cell>
          <cell r="K30">
            <v>0</v>
          </cell>
          <cell r="L30" t="str">
            <v>Kusman</v>
          </cell>
          <cell r="M30">
            <v>0</v>
          </cell>
          <cell r="O30">
            <v>0</v>
          </cell>
          <cell r="P30">
            <v>0</v>
          </cell>
          <cell r="Q30">
            <v>0</v>
          </cell>
          <cell r="R30" t="str">
            <v>Hendra</v>
          </cell>
          <cell r="S30">
            <v>0</v>
          </cell>
        </row>
        <row r="31">
          <cell r="B31" t="str">
            <v>WL_KPC</v>
          </cell>
          <cell r="D31" t="str">
            <v>WL_KPCS1</v>
          </cell>
          <cell r="E31" t="str">
            <v>WL_KPCS2</v>
          </cell>
          <cell r="F31" t="str">
            <v>WL_KPCS3</v>
          </cell>
          <cell r="G31" t="str">
            <v>WL_KPCS6</v>
          </cell>
          <cell r="H31" t="str">
            <v>WL_KPCS7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"/>
      <sheetName val="Plan"/>
      <sheetName val="Project"/>
      <sheetName val="ManPower"/>
      <sheetName val="Detail Exp."/>
      <sheetName val="Detail DB"/>
      <sheetName val="Cap Exp."/>
      <sheetName val="Cap DB"/>
      <sheetName val="Production Volumn"/>
      <sheetName val="SubTotal by Plan"/>
      <sheetName val="SubTotal by Project"/>
      <sheetName val="Summary Exp."/>
      <sheetName val="Present Operating"/>
      <sheetName val="Present Admin"/>
      <sheetName val="Present Cap Exp."/>
      <sheetName val="tabel_2006_Total_R1"/>
      <sheetName val="tabel_2007_Total_plan 93jt"/>
      <sheetName val="OB_85"/>
      <sheetName val="OB_89"/>
      <sheetName val="2007_Total"/>
    </sheetNames>
    <sheetDataSet>
      <sheetData sheetId="0"/>
      <sheetData sheetId="1" refreshError="1">
        <row r="3">
          <cell r="A3" t="str">
            <v>000</v>
          </cell>
        </row>
        <row r="4">
          <cell r="A4" t="str">
            <v>M02</v>
          </cell>
        </row>
        <row r="5">
          <cell r="A5" t="str">
            <v>M03</v>
          </cell>
        </row>
        <row r="6">
          <cell r="A6" t="str">
            <v>M04</v>
          </cell>
        </row>
        <row r="7">
          <cell r="A7" t="str">
            <v>M05</v>
          </cell>
        </row>
        <row r="8">
          <cell r="A8" t="str">
            <v>M06</v>
          </cell>
        </row>
        <row r="9">
          <cell r="A9" t="str">
            <v>M07</v>
          </cell>
        </row>
        <row r="10">
          <cell r="A10" t="str">
            <v>M08</v>
          </cell>
        </row>
        <row r="11">
          <cell r="A11" t="str">
            <v>M09</v>
          </cell>
        </row>
        <row r="12">
          <cell r="A12" t="str">
            <v>M10</v>
          </cell>
        </row>
        <row r="13">
          <cell r="A13" t="str">
            <v>M11</v>
          </cell>
        </row>
        <row r="14">
          <cell r="A14" t="str">
            <v>M12</v>
          </cell>
        </row>
        <row r="15">
          <cell r="A15" t="str">
            <v>M13</v>
          </cell>
        </row>
        <row r="16">
          <cell r="A16" t="str">
            <v>M14</v>
          </cell>
        </row>
        <row r="17">
          <cell r="A17" t="str">
            <v>M23</v>
          </cell>
        </row>
        <row r="18">
          <cell r="A18" t="str">
            <v>M24</v>
          </cell>
        </row>
        <row r="19">
          <cell r="A19" t="str">
            <v>M25</v>
          </cell>
        </row>
        <row r="20">
          <cell r="A20" t="str">
            <v>M26</v>
          </cell>
        </row>
        <row r="21">
          <cell r="A21" t="str">
            <v>M27</v>
          </cell>
        </row>
        <row r="22">
          <cell r="A22" t="str">
            <v>M56</v>
          </cell>
        </row>
        <row r="23">
          <cell r="A23" t="str">
            <v>M57</v>
          </cell>
        </row>
        <row r="24">
          <cell r="A24" t="str">
            <v>M58</v>
          </cell>
        </row>
        <row r="25">
          <cell r="A25" t="str">
            <v>M59</v>
          </cell>
        </row>
        <row r="26">
          <cell r="A26" t="str">
            <v>M60</v>
          </cell>
        </row>
        <row r="27">
          <cell r="A27" t="str">
            <v>M61</v>
          </cell>
        </row>
        <row r="28">
          <cell r="A28" t="str">
            <v>M62</v>
          </cell>
        </row>
        <row r="29">
          <cell r="A29" t="str">
            <v>M63</v>
          </cell>
        </row>
        <row r="30">
          <cell r="A30" t="str">
            <v>M64</v>
          </cell>
        </row>
        <row r="31">
          <cell r="A31" t="str">
            <v>M65</v>
          </cell>
        </row>
        <row r="32">
          <cell r="A32" t="str">
            <v>M66</v>
          </cell>
        </row>
        <row r="33">
          <cell r="A33" t="str">
            <v>M67</v>
          </cell>
        </row>
        <row r="34">
          <cell r="A34" t="str">
            <v>M68</v>
          </cell>
        </row>
        <row r="35">
          <cell r="A35" t="str">
            <v>M69</v>
          </cell>
        </row>
        <row r="36">
          <cell r="A36" t="str">
            <v>M70</v>
          </cell>
        </row>
        <row r="37">
          <cell r="A37" t="str">
            <v>M72</v>
          </cell>
        </row>
        <row r="38">
          <cell r="A38" t="str">
            <v>M73</v>
          </cell>
        </row>
        <row r="39">
          <cell r="A39" t="str">
            <v>M74</v>
          </cell>
        </row>
        <row r="40">
          <cell r="A40" t="str">
            <v>M75</v>
          </cell>
        </row>
        <row r="41">
          <cell r="A41" t="str">
            <v>M76</v>
          </cell>
        </row>
        <row r="42">
          <cell r="A42" t="str">
            <v>M77</v>
          </cell>
        </row>
        <row r="43">
          <cell r="A43" t="str">
            <v>M78</v>
          </cell>
        </row>
        <row r="44">
          <cell r="A44" t="str">
            <v>M79</v>
          </cell>
        </row>
        <row r="45">
          <cell r="A45" t="str">
            <v>M80</v>
          </cell>
        </row>
        <row r="46">
          <cell r="A46" t="str">
            <v>M95</v>
          </cell>
        </row>
        <row r="47">
          <cell r="A47" t="str">
            <v>M96</v>
          </cell>
        </row>
        <row r="48">
          <cell r="A48" t="str">
            <v>M97</v>
          </cell>
        </row>
        <row r="49">
          <cell r="A49" t="str">
            <v>M98</v>
          </cell>
        </row>
        <row r="50">
          <cell r="A50" t="str">
            <v>M99</v>
          </cell>
        </row>
        <row r="51">
          <cell r="A51" t="str">
            <v>N01</v>
          </cell>
        </row>
        <row r="52">
          <cell r="A52" t="str">
            <v>N02</v>
          </cell>
        </row>
        <row r="53">
          <cell r="A53" t="str">
            <v>N03</v>
          </cell>
        </row>
        <row r="54">
          <cell r="A54" t="str">
            <v>N04</v>
          </cell>
        </row>
        <row r="55">
          <cell r="A55" t="str">
            <v>N05</v>
          </cell>
        </row>
        <row r="56">
          <cell r="A56" t="str">
            <v>N11</v>
          </cell>
        </row>
        <row r="57">
          <cell r="A57" t="str">
            <v>N12</v>
          </cell>
        </row>
        <row r="58">
          <cell r="A58" t="str">
            <v>N13</v>
          </cell>
        </row>
        <row r="59">
          <cell r="A59" t="str">
            <v>N14</v>
          </cell>
        </row>
        <row r="60">
          <cell r="A60" t="str">
            <v>N17</v>
          </cell>
        </row>
        <row r="61">
          <cell r="A61" t="str">
            <v>N18</v>
          </cell>
        </row>
        <row r="62">
          <cell r="A62" t="str">
            <v>N19</v>
          </cell>
        </row>
        <row r="63">
          <cell r="A63" t="str">
            <v>N20</v>
          </cell>
        </row>
        <row r="64">
          <cell r="A64" t="str">
            <v>N21</v>
          </cell>
        </row>
        <row r="65">
          <cell r="A65" t="str">
            <v>N22</v>
          </cell>
        </row>
        <row r="66">
          <cell r="A66" t="str">
            <v>N41</v>
          </cell>
        </row>
        <row r="67">
          <cell r="A67" t="str">
            <v>N50</v>
          </cell>
        </row>
        <row r="68">
          <cell r="A68" t="str">
            <v>N51</v>
          </cell>
        </row>
        <row r="69">
          <cell r="A69" t="str">
            <v>N52</v>
          </cell>
        </row>
        <row r="70">
          <cell r="A70" t="str">
            <v>N53</v>
          </cell>
        </row>
        <row r="71">
          <cell r="A71" t="str">
            <v>N54</v>
          </cell>
        </row>
        <row r="72">
          <cell r="A72" t="str">
            <v>N89</v>
          </cell>
        </row>
        <row r="73">
          <cell r="A73" t="str">
            <v>N90</v>
          </cell>
        </row>
        <row r="74">
          <cell r="A74" t="str">
            <v>N91</v>
          </cell>
        </row>
        <row r="75">
          <cell r="A75" t="str">
            <v>N92</v>
          </cell>
        </row>
        <row r="76">
          <cell r="A76" t="str">
            <v>N93</v>
          </cell>
        </row>
        <row r="77">
          <cell r="A77" t="str">
            <v>N94</v>
          </cell>
        </row>
        <row r="78">
          <cell r="A78" t="str">
            <v>N95</v>
          </cell>
        </row>
        <row r="79">
          <cell r="A79" t="str">
            <v>P02</v>
          </cell>
        </row>
        <row r="80">
          <cell r="A80" t="str">
            <v>P03</v>
          </cell>
        </row>
        <row r="81">
          <cell r="A81" t="str">
            <v>P04</v>
          </cell>
        </row>
        <row r="82">
          <cell r="A82" t="str">
            <v>P05</v>
          </cell>
        </row>
        <row r="83">
          <cell r="A83" t="str">
            <v>P06</v>
          </cell>
        </row>
        <row r="84">
          <cell r="A84" t="str">
            <v>P07</v>
          </cell>
        </row>
        <row r="85">
          <cell r="A85" t="str">
            <v>P08</v>
          </cell>
        </row>
        <row r="86">
          <cell r="A86" t="str">
            <v>P09</v>
          </cell>
        </row>
        <row r="87">
          <cell r="A87" t="str">
            <v>P10</v>
          </cell>
        </row>
        <row r="88">
          <cell r="A88" t="str">
            <v>P11</v>
          </cell>
        </row>
        <row r="89">
          <cell r="A89" t="str">
            <v>P12</v>
          </cell>
        </row>
        <row r="90">
          <cell r="A90" t="str">
            <v>P13</v>
          </cell>
        </row>
        <row r="91">
          <cell r="A91" t="str">
            <v>P14</v>
          </cell>
        </row>
        <row r="92">
          <cell r="A92" t="str">
            <v>P15</v>
          </cell>
        </row>
        <row r="93">
          <cell r="A93" t="str">
            <v>P16</v>
          </cell>
        </row>
        <row r="94">
          <cell r="A94" t="str">
            <v>P17</v>
          </cell>
        </row>
        <row r="95">
          <cell r="A95" t="str">
            <v>P18</v>
          </cell>
        </row>
        <row r="96">
          <cell r="A96" t="str">
            <v>P19</v>
          </cell>
        </row>
        <row r="97">
          <cell r="A97" t="str">
            <v>P23</v>
          </cell>
        </row>
        <row r="98">
          <cell r="A98" t="str">
            <v>P26</v>
          </cell>
        </row>
        <row r="99">
          <cell r="A99" t="str">
            <v>P27</v>
          </cell>
        </row>
        <row r="100">
          <cell r="A100" t="str">
            <v>P28</v>
          </cell>
        </row>
        <row r="101">
          <cell r="A101" t="str">
            <v>P55</v>
          </cell>
        </row>
        <row r="102">
          <cell r="A102" t="str">
            <v>P56</v>
          </cell>
        </row>
        <row r="103">
          <cell r="A103" t="str">
            <v>P57</v>
          </cell>
        </row>
        <row r="104">
          <cell r="A104" t="str">
            <v>P58</v>
          </cell>
        </row>
        <row r="105">
          <cell r="A105" t="str">
            <v>P59</v>
          </cell>
        </row>
        <row r="106">
          <cell r="A106" t="str">
            <v>P60</v>
          </cell>
        </row>
        <row r="107">
          <cell r="A107" t="str">
            <v>P61</v>
          </cell>
        </row>
        <row r="108">
          <cell r="A108" t="str">
            <v>P62</v>
          </cell>
        </row>
        <row r="109">
          <cell r="A109" t="str">
            <v>P63</v>
          </cell>
        </row>
        <row r="110">
          <cell r="A110" t="str">
            <v>P64</v>
          </cell>
        </row>
        <row r="111">
          <cell r="A111" t="str">
            <v>P65</v>
          </cell>
        </row>
        <row r="112">
          <cell r="A112" t="str">
            <v>P66</v>
          </cell>
        </row>
        <row r="113">
          <cell r="A113" t="str">
            <v>P67</v>
          </cell>
        </row>
        <row r="114">
          <cell r="A114" t="str">
            <v>P68</v>
          </cell>
        </row>
        <row r="115">
          <cell r="A115" t="str">
            <v>P69</v>
          </cell>
        </row>
        <row r="116">
          <cell r="A116" t="str">
            <v>P70</v>
          </cell>
        </row>
        <row r="117">
          <cell r="A117" t="str">
            <v>P71</v>
          </cell>
        </row>
        <row r="118">
          <cell r="A118" t="str">
            <v>P72</v>
          </cell>
        </row>
        <row r="119">
          <cell r="A119" t="str">
            <v>P73</v>
          </cell>
        </row>
        <row r="120">
          <cell r="A120" t="str">
            <v>P74</v>
          </cell>
        </row>
        <row r="121">
          <cell r="A121" t="str">
            <v>P75</v>
          </cell>
        </row>
        <row r="122">
          <cell r="A122" t="str">
            <v>P76</v>
          </cell>
        </row>
        <row r="123">
          <cell r="A123" t="str">
            <v>P77</v>
          </cell>
        </row>
        <row r="124">
          <cell r="A124" t="str">
            <v>P78</v>
          </cell>
        </row>
        <row r="125">
          <cell r="A125" t="str">
            <v>P79</v>
          </cell>
        </row>
        <row r="126">
          <cell r="A126" t="str">
            <v>P80</v>
          </cell>
        </row>
        <row r="127">
          <cell r="A127" t="str">
            <v>P81</v>
          </cell>
        </row>
        <row r="128">
          <cell r="A128" t="str">
            <v>P82</v>
          </cell>
        </row>
        <row r="129">
          <cell r="A129" t="str">
            <v>R02</v>
          </cell>
        </row>
        <row r="130">
          <cell r="A130" t="str">
            <v>R11</v>
          </cell>
        </row>
        <row r="131">
          <cell r="A131" t="str">
            <v>R12</v>
          </cell>
        </row>
        <row r="132">
          <cell r="A132" t="str">
            <v>R13</v>
          </cell>
        </row>
        <row r="133">
          <cell r="A133" t="str">
            <v>R14</v>
          </cell>
        </row>
        <row r="134">
          <cell r="A134" t="str">
            <v>R15</v>
          </cell>
        </row>
        <row r="135">
          <cell r="A135" t="str">
            <v>R16</v>
          </cell>
        </row>
        <row r="136">
          <cell r="A136" t="str">
            <v>R17</v>
          </cell>
        </row>
        <row r="137">
          <cell r="A137" t="str">
            <v>R31</v>
          </cell>
        </row>
        <row r="138">
          <cell r="A138" t="str">
            <v>R32</v>
          </cell>
        </row>
        <row r="139">
          <cell r="A139" t="str">
            <v>R33</v>
          </cell>
        </row>
        <row r="140">
          <cell r="A140" t="str">
            <v>R37</v>
          </cell>
        </row>
        <row r="141">
          <cell r="A141" t="str">
            <v>S02</v>
          </cell>
        </row>
        <row r="142">
          <cell r="A142" t="str">
            <v>S03</v>
          </cell>
        </row>
        <row r="143">
          <cell r="A143" t="str">
            <v>S04</v>
          </cell>
        </row>
        <row r="144">
          <cell r="A144" t="str">
            <v>S05</v>
          </cell>
        </row>
        <row r="145">
          <cell r="A145" t="str">
            <v>S06</v>
          </cell>
        </row>
        <row r="146">
          <cell r="A146" t="str">
            <v>S07</v>
          </cell>
        </row>
        <row r="147">
          <cell r="A147" t="str">
            <v>S08</v>
          </cell>
        </row>
        <row r="148">
          <cell r="A148" t="str">
            <v>S14</v>
          </cell>
        </row>
        <row r="149">
          <cell r="A149" t="str">
            <v>S15</v>
          </cell>
        </row>
        <row r="150">
          <cell r="A150" t="str">
            <v>S16</v>
          </cell>
        </row>
        <row r="151">
          <cell r="A151" t="str">
            <v>S24</v>
          </cell>
        </row>
        <row r="152">
          <cell r="A152" t="str">
            <v>S25</v>
          </cell>
        </row>
        <row r="153">
          <cell r="A153" t="str">
            <v>S28</v>
          </cell>
        </row>
        <row r="154">
          <cell r="A154" t="str">
            <v>S83</v>
          </cell>
        </row>
        <row r="155">
          <cell r="A155" t="str">
            <v>S84</v>
          </cell>
        </row>
        <row r="156">
          <cell r="A156" t="str">
            <v>S85</v>
          </cell>
        </row>
        <row r="157">
          <cell r="A157" t="str">
            <v>S86</v>
          </cell>
        </row>
        <row r="158">
          <cell r="A158" t="str">
            <v>S87</v>
          </cell>
        </row>
        <row r="159">
          <cell r="A159" t="str">
            <v>S88</v>
          </cell>
        </row>
        <row r="160">
          <cell r="A160" t="str">
            <v>T02</v>
          </cell>
        </row>
        <row r="161">
          <cell r="A161" t="str">
            <v>T04</v>
          </cell>
        </row>
        <row r="162">
          <cell r="A162" t="str">
            <v>T05</v>
          </cell>
        </row>
        <row r="163">
          <cell r="A163" t="str">
            <v>T06</v>
          </cell>
        </row>
        <row r="164">
          <cell r="A164" t="str">
            <v>T07</v>
          </cell>
        </row>
        <row r="165">
          <cell r="A165" t="str">
            <v>T14</v>
          </cell>
        </row>
        <row r="166">
          <cell r="A166" t="str">
            <v>T15</v>
          </cell>
        </row>
        <row r="167">
          <cell r="A167" t="str">
            <v>T16</v>
          </cell>
        </row>
        <row r="168">
          <cell r="A168" t="str">
            <v>T17</v>
          </cell>
        </row>
        <row r="169">
          <cell r="A169" t="str">
            <v>T18</v>
          </cell>
        </row>
        <row r="170">
          <cell r="A170" t="str">
            <v>T19</v>
          </cell>
        </row>
        <row r="171">
          <cell r="A171" t="str">
            <v>T21</v>
          </cell>
        </row>
        <row r="172">
          <cell r="A172" t="str">
            <v>T22</v>
          </cell>
        </row>
        <row r="173">
          <cell r="A173" t="str">
            <v>T23</v>
          </cell>
        </row>
        <row r="174">
          <cell r="A174" t="str">
            <v>T24</v>
          </cell>
        </row>
        <row r="175">
          <cell r="A175" t="str">
            <v>T25</v>
          </cell>
        </row>
        <row r="176">
          <cell r="A176" t="str">
            <v>T26</v>
          </cell>
        </row>
        <row r="177">
          <cell r="A177" t="str">
            <v>T27</v>
          </cell>
        </row>
        <row r="178">
          <cell r="A178" t="str">
            <v>T28</v>
          </cell>
        </row>
        <row r="179">
          <cell r="A179" t="str">
            <v>T29</v>
          </cell>
        </row>
        <row r="180">
          <cell r="A180" t="str">
            <v>T30</v>
          </cell>
        </row>
        <row r="181">
          <cell r="A181" t="str">
            <v>T31</v>
          </cell>
        </row>
        <row r="182">
          <cell r="A182" t="str">
            <v>T32</v>
          </cell>
        </row>
        <row r="183">
          <cell r="A183" t="str">
            <v>T33</v>
          </cell>
        </row>
        <row r="184">
          <cell r="A184" t="str">
            <v>T34</v>
          </cell>
        </row>
        <row r="185">
          <cell r="A185" t="str">
            <v>T35</v>
          </cell>
        </row>
        <row r="186">
          <cell r="A186" t="str">
            <v>T36</v>
          </cell>
        </row>
        <row r="187">
          <cell r="A187" t="str">
            <v>T37</v>
          </cell>
        </row>
      </sheetData>
      <sheetData sheetId="2" refreshError="1">
        <row r="3">
          <cell r="A3" t="str">
            <v>0000</v>
          </cell>
        </row>
        <row r="4">
          <cell r="A4" t="str">
            <v>0103</v>
          </cell>
        </row>
        <row r="5">
          <cell r="A5" t="str">
            <v>0104</v>
          </cell>
        </row>
        <row r="6">
          <cell r="A6" t="str">
            <v>0108</v>
          </cell>
        </row>
        <row r="7">
          <cell r="A7" t="str">
            <v>0110</v>
          </cell>
        </row>
        <row r="8">
          <cell r="A8" t="str">
            <v>0203</v>
          </cell>
        </row>
        <row r="9">
          <cell r="A9" t="str">
            <v>0208</v>
          </cell>
        </row>
        <row r="10">
          <cell r="A10">
            <v>0</v>
          </cell>
        </row>
        <row r="11">
          <cell r="A11" t="str">
            <v>0241</v>
          </cell>
        </row>
        <row r="12">
          <cell r="A12" t="str">
            <v>0253</v>
          </cell>
        </row>
        <row r="13">
          <cell r="A13" t="str">
            <v>0254</v>
          </cell>
        </row>
        <row r="14">
          <cell r="A14" t="str">
            <v>0255</v>
          </cell>
        </row>
        <row r="15">
          <cell r="A15" t="str">
            <v>0256</v>
          </cell>
        </row>
        <row r="16">
          <cell r="A16" t="str">
            <v>0257</v>
          </cell>
        </row>
        <row r="17">
          <cell r="A17" t="str">
            <v>0258</v>
          </cell>
        </row>
        <row r="18">
          <cell r="A18" t="str">
            <v>0317</v>
          </cell>
        </row>
        <row r="19">
          <cell r="A19" t="str">
            <v>0330</v>
          </cell>
        </row>
        <row r="20">
          <cell r="A20" t="str">
            <v>0818</v>
          </cell>
        </row>
        <row r="21">
          <cell r="A21" t="str">
            <v>0819</v>
          </cell>
        </row>
        <row r="22">
          <cell r="A22" t="str">
            <v>0820</v>
          </cell>
        </row>
        <row r="23">
          <cell r="A23" t="str">
            <v>0821</v>
          </cell>
        </row>
        <row r="24">
          <cell r="A24" t="str">
            <v>0822</v>
          </cell>
        </row>
        <row r="25">
          <cell r="A25" t="str">
            <v>0823</v>
          </cell>
        </row>
        <row r="26">
          <cell r="A26" t="str">
            <v>0824</v>
          </cell>
        </row>
        <row r="27">
          <cell r="A27" t="str">
            <v>0825</v>
          </cell>
        </row>
        <row r="28">
          <cell r="A28" t="str">
            <v>0826</v>
          </cell>
        </row>
        <row r="29">
          <cell r="A29" t="str">
            <v>0827</v>
          </cell>
        </row>
        <row r="30">
          <cell r="A30" t="str">
            <v>0912</v>
          </cell>
        </row>
        <row r="31">
          <cell r="A31" t="str">
            <v>1201</v>
          </cell>
        </row>
        <row r="32">
          <cell r="A32" t="str">
            <v>1202</v>
          </cell>
        </row>
        <row r="33">
          <cell r="A33" t="str">
            <v>AD01</v>
          </cell>
        </row>
        <row r="34">
          <cell r="A34" t="str">
            <v>BC01</v>
          </cell>
        </row>
        <row r="35">
          <cell r="A35" t="str">
            <v>BC02</v>
          </cell>
        </row>
        <row r="36">
          <cell r="A36" t="str">
            <v>BC03</v>
          </cell>
        </row>
        <row r="37">
          <cell r="A37" t="str">
            <v>BD01</v>
          </cell>
        </row>
        <row r="38">
          <cell r="A38" t="str">
            <v>BD02</v>
          </cell>
        </row>
        <row r="39">
          <cell r="A39" t="str">
            <v>BH02</v>
          </cell>
        </row>
        <row r="40">
          <cell r="A40" t="str">
            <v>BH03</v>
          </cell>
        </row>
        <row r="41">
          <cell r="A41" t="str">
            <v>BH04</v>
          </cell>
        </row>
        <row r="42">
          <cell r="A42" t="str">
            <v>BU01</v>
          </cell>
        </row>
        <row r="43">
          <cell r="A43" t="str">
            <v>BU02</v>
          </cell>
        </row>
        <row r="44">
          <cell r="A44" t="str">
            <v>BW01</v>
          </cell>
        </row>
        <row r="45">
          <cell r="A45" t="str">
            <v>BW02</v>
          </cell>
        </row>
        <row r="46">
          <cell r="A46" t="str">
            <v>CF01</v>
          </cell>
        </row>
        <row r="47">
          <cell r="A47" t="str">
            <v>CF02</v>
          </cell>
        </row>
        <row r="48">
          <cell r="A48" t="str">
            <v>CF03</v>
          </cell>
        </row>
        <row r="49">
          <cell r="A49" t="str">
            <v>CF04</v>
          </cell>
        </row>
        <row r="50">
          <cell r="A50" t="str">
            <v>CF05</v>
          </cell>
        </row>
        <row r="51">
          <cell r="A51" t="str">
            <v>CF06</v>
          </cell>
        </row>
        <row r="52">
          <cell r="A52" t="str">
            <v>CF07</v>
          </cell>
        </row>
        <row r="53">
          <cell r="A53" t="str">
            <v>CN01</v>
          </cell>
        </row>
        <row r="54">
          <cell r="A54" t="str">
            <v>CN02</v>
          </cell>
        </row>
        <row r="55">
          <cell r="A55" t="str">
            <v>CN03</v>
          </cell>
        </row>
        <row r="56">
          <cell r="A56" t="str">
            <v>CS20</v>
          </cell>
        </row>
        <row r="57">
          <cell r="A57" t="str">
            <v>CS21</v>
          </cell>
        </row>
        <row r="58">
          <cell r="A58" t="str">
            <v>CS30</v>
          </cell>
        </row>
        <row r="59">
          <cell r="A59" t="str">
            <v>CT01</v>
          </cell>
        </row>
        <row r="60">
          <cell r="A60" t="str">
            <v>CU01</v>
          </cell>
        </row>
        <row r="61">
          <cell r="A61" t="str">
            <v>CU02</v>
          </cell>
        </row>
        <row r="62">
          <cell r="A62" t="str">
            <v>CU04</v>
          </cell>
        </row>
        <row r="63">
          <cell r="A63" t="str">
            <v>CU05</v>
          </cell>
        </row>
        <row r="64">
          <cell r="A64" t="str">
            <v>E301</v>
          </cell>
        </row>
        <row r="65">
          <cell r="A65" t="str">
            <v>E303</v>
          </cell>
        </row>
        <row r="66">
          <cell r="A66" t="str">
            <v>FT01</v>
          </cell>
        </row>
        <row r="67">
          <cell r="A67" t="str">
            <v>FT02</v>
          </cell>
        </row>
        <row r="68">
          <cell r="A68" t="str">
            <v>GD01</v>
          </cell>
        </row>
        <row r="69">
          <cell r="A69" t="str">
            <v>GD02</v>
          </cell>
        </row>
        <row r="70">
          <cell r="A70" t="str">
            <v>GD03</v>
          </cell>
        </row>
        <row r="71">
          <cell r="A71" t="str">
            <v>GN01</v>
          </cell>
        </row>
        <row r="72">
          <cell r="A72" t="str">
            <v>GN06</v>
          </cell>
        </row>
        <row r="73">
          <cell r="A73" t="str">
            <v>HC01</v>
          </cell>
        </row>
        <row r="74">
          <cell r="A74" t="str">
            <v>HC02</v>
          </cell>
        </row>
        <row r="75">
          <cell r="A75" t="str">
            <v>IT01</v>
          </cell>
        </row>
        <row r="76">
          <cell r="A76" t="str">
            <v>MD01</v>
          </cell>
        </row>
        <row r="77">
          <cell r="A77" t="str">
            <v>MG01</v>
          </cell>
        </row>
        <row r="78">
          <cell r="A78" t="str">
            <v>MG03</v>
          </cell>
        </row>
        <row r="79">
          <cell r="A79" t="str">
            <v>MG05</v>
          </cell>
        </row>
        <row r="80">
          <cell r="A80" t="str">
            <v>MG07</v>
          </cell>
        </row>
        <row r="81">
          <cell r="A81" t="str">
            <v>MG08</v>
          </cell>
        </row>
        <row r="82">
          <cell r="A82" t="str">
            <v>MG09</v>
          </cell>
        </row>
        <row r="83">
          <cell r="A83" t="str">
            <v>MM01</v>
          </cell>
        </row>
        <row r="84">
          <cell r="A84" t="str">
            <v>MM02</v>
          </cell>
        </row>
        <row r="85">
          <cell r="A85" t="str">
            <v>MM03</v>
          </cell>
        </row>
        <row r="86">
          <cell r="A86" t="str">
            <v>MP01</v>
          </cell>
        </row>
        <row r="87">
          <cell r="A87" t="str">
            <v>MP05</v>
          </cell>
        </row>
        <row r="88">
          <cell r="A88" t="str">
            <v>MR01</v>
          </cell>
        </row>
        <row r="89">
          <cell r="A89" t="str">
            <v>MS01</v>
          </cell>
        </row>
        <row r="90">
          <cell r="A90" t="str">
            <v>MU02</v>
          </cell>
        </row>
        <row r="91">
          <cell r="A91" t="str">
            <v>MU03</v>
          </cell>
        </row>
        <row r="92">
          <cell r="A92" t="str">
            <v>MU04</v>
          </cell>
        </row>
        <row r="93">
          <cell r="A93" t="str">
            <v>MU05</v>
          </cell>
        </row>
        <row r="94">
          <cell r="A94" t="str">
            <v>OL01</v>
          </cell>
        </row>
        <row r="95">
          <cell r="A95" t="str">
            <v>OL03</v>
          </cell>
        </row>
        <row r="96">
          <cell r="A96" t="str">
            <v>PL01</v>
          </cell>
        </row>
        <row r="97">
          <cell r="A97" t="str">
            <v>PL02</v>
          </cell>
        </row>
        <row r="98">
          <cell r="A98" t="str">
            <v>SC03</v>
          </cell>
        </row>
        <row r="99">
          <cell r="A99" t="str">
            <v>SC08</v>
          </cell>
        </row>
        <row r="100">
          <cell r="A100" t="str">
            <v>SC11</v>
          </cell>
        </row>
        <row r="101">
          <cell r="A101" t="str">
            <v>SC13</v>
          </cell>
        </row>
        <row r="102">
          <cell r="A102" t="str">
            <v>SH01</v>
          </cell>
        </row>
        <row r="103">
          <cell r="A103" t="str">
            <v>SH02</v>
          </cell>
        </row>
        <row r="104">
          <cell r="A104" t="str">
            <v>SH03</v>
          </cell>
        </row>
        <row r="105">
          <cell r="A105" t="str">
            <v>SH04</v>
          </cell>
        </row>
        <row r="106">
          <cell r="A106" t="str">
            <v>SH05</v>
          </cell>
        </row>
        <row r="107">
          <cell r="A107" t="str">
            <v>SH06</v>
          </cell>
        </row>
        <row r="108">
          <cell r="A108" t="str">
            <v>SH07</v>
          </cell>
        </row>
        <row r="109">
          <cell r="A109" t="str">
            <v>ST01</v>
          </cell>
        </row>
        <row r="110">
          <cell r="A110" t="str">
            <v>TL01</v>
          </cell>
        </row>
        <row r="111">
          <cell r="A111" t="str">
            <v>TO01</v>
          </cell>
        </row>
        <row r="112">
          <cell r="A112" t="str">
            <v>TO02</v>
          </cell>
        </row>
        <row r="113">
          <cell r="A113" t="str">
            <v>TR01</v>
          </cell>
        </row>
        <row r="114">
          <cell r="A114" t="str">
            <v>TR02</v>
          </cell>
        </row>
        <row r="115">
          <cell r="A115" t="str">
            <v>TR03</v>
          </cell>
        </row>
        <row r="116">
          <cell r="A116" t="str">
            <v>TR04</v>
          </cell>
        </row>
        <row r="117">
          <cell r="A117" t="str">
            <v>TR05</v>
          </cell>
        </row>
        <row r="118">
          <cell r="A118" t="str">
            <v>TR06</v>
          </cell>
        </row>
        <row r="119">
          <cell r="A119" t="str">
            <v>TR07</v>
          </cell>
        </row>
        <row r="120">
          <cell r="A120" t="str">
            <v>TR08</v>
          </cell>
        </row>
        <row r="121">
          <cell r="A121" t="str">
            <v>TR09</v>
          </cell>
        </row>
        <row r="122">
          <cell r="A122" t="str">
            <v>TR10</v>
          </cell>
        </row>
        <row r="123">
          <cell r="A123" t="str">
            <v>TR11</v>
          </cell>
        </row>
        <row r="124">
          <cell r="A124" t="str">
            <v>TR12</v>
          </cell>
        </row>
        <row r="125">
          <cell r="A125" t="str">
            <v>TR13</v>
          </cell>
        </row>
        <row r="126">
          <cell r="A126" t="str">
            <v>TR14</v>
          </cell>
        </row>
        <row r="127">
          <cell r="A127" t="str">
            <v>TR15</v>
          </cell>
        </row>
        <row r="128">
          <cell r="A128" t="str">
            <v>TR16</v>
          </cell>
        </row>
        <row r="129">
          <cell r="A129" t="str">
            <v>TR17</v>
          </cell>
        </row>
        <row r="130">
          <cell r="A130" t="str">
            <v>TR18</v>
          </cell>
        </row>
        <row r="131">
          <cell r="A131" t="str">
            <v>TR19</v>
          </cell>
        </row>
        <row r="132">
          <cell r="A132" t="str">
            <v>TR20</v>
          </cell>
        </row>
        <row r="133">
          <cell r="A133" t="str">
            <v>TR21</v>
          </cell>
        </row>
        <row r="134">
          <cell r="A134" t="str">
            <v>TT01</v>
          </cell>
        </row>
        <row r="135">
          <cell r="A135" t="str">
            <v>WD01</v>
          </cell>
        </row>
        <row r="136">
          <cell r="A136" t="str">
            <v>WD02</v>
          </cell>
        </row>
        <row r="137">
          <cell r="A137" t="str">
            <v>WD03</v>
          </cell>
        </row>
        <row r="138">
          <cell r="A138" t="str">
            <v>WD03</v>
          </cell>
        </row>
        <row r="139">
          <cell r="A139" t="str">
            <v>WD04</v>
          </cell>
        </row>
        <row r="140">
          <cell r="A140" t="str">
            <v>WD04</v>
          </cell>
        </row>
        <row r="141">
          <cell r="A141" t="str">
            <v>WD05</v>
          </cell>
        </row>
        <row r="142">
          <cell r="A142" t="str">
            <v>WD06</v>
          </cell>
        </row>
        <row r="143">
          <cell r="A143" t="str">
            <v>WD07</v>
          </cell>
        </row>
        <row r="144">
          <cell r="A144" t="str">
            <v>WD08</v>
          </cell>
        </row>
        <row r="145">
          <cell r="A145" t="str">
            <v>WD08</v>
          </cell>
        </row>
        <row r="146">
          <cell r="A146" t="str">
            <v>WD09</v>
          </cell>
        </row>
        <row r="147">
          <cell r="A147" t="str">
            <v>WD09</v>
          </cell>
        </row>
        <row r="148">
          <cell r="A148" t="str">
            <v>WD10</v>
          </cell>
        </row>
        <row r="149">
          <cell r="A149" t="str">
            <v>WD10</v>
          </cell>
        </row>
        <row r="150">
          <cell r="A150" t="str">
            <v>WD11</v>
          </cell>
        </row>
        <row r="151">
          <cell r="A151" t="str">
            <v>WD11</v>
          </cell>
        </row>
        <row r="152">
          <cell r="A152" t="str">
            <v>WD12</v>
          </cell>
        </row>
        <row r="153">
          <cell r="A153" t="str">
            <v>WL01</v>
          </cell>
        </row>
        <row r="154">
          <cell r="A154" t="str">
            <v>WL01</v>
          </cell>
        </row>
        <row r="155">
          <cell r="A155" t="str">
            <v>WM02</v>
          </cell>
        </row>
        <row r="156">
          <cell r="A156" t="str">
            <v>WM05</v>
          </cell>
        </row>
        <row r="157">
          <cell r="A157" t="str">
            <v>WT01</v>
          </cell>
        </row>
        <row r="158">
          <cell r="A158" t="str">
            <v>WT02</v>
          </cell>
        </row>
        <row r="159">
          <cell r="A159" t="str">
            <v>WT02</v>
          </cell>
        </row>
        <row r="160">
          <cell r="A160" t="str">
            <v>WT03</v>
          </cell>
        </row>
        <row r="161">
          <cell r="A161" t="str">
            <v>WT04</v>
          </cell>
        </row>
        <row r="162">
          <cell r="A162" t="str">
            <v>WT04</v>
          </cell>
        </row>
        <row r="163">
          <cell r="A163" t="str">
            <v>WT06</v>
          </cell>
        </row>
        <row r="164">
          <cell r="A164" t="str">
            <v>WT08</v>
          </cell>
        </row>
        <row r="165">
          <cell r="A165">
            <v>0</v>
          </cell>
        </row>
        <row r="166">
          <cell r="A166">
            <v>0</v>
          </cell>
        </row>
        <row r="167">
          <cell r="A167">
            <v>0</v>
          </cell>
        </row>
        <row r="168">
          <cell r="A168">
            <v>0</v>
          </cell>
        </row>
        <row r="169">
          <cell r="A169">
            <v>0</v>
          </cell>
        </row>
        <row r="170">
          <cell r="A170">
            <v>0</v>
          </cell>
        </row>
        <row r="171">
          <cell r="A171">
            <v>0</v>
          </cell>
        </row>
        <row r="172">
          <cell r="A172">
            <v>0</v>
          </cell>
        </row>
        <row r="173">
          <cell r="A173">
            <v>0</v>
          </cell>
        </row>
        <row r="174">
          <cell r="A174">
            <v>0</v>
          </cell>
        </row>
        <row r="175">
          <cell r="A175">
            <v>0</v>
          </cell>
        </row>
        <row r="176">
          <cell r="A176">
            <v>0</v>
          </cell>
        </row>
        <row r="177">
          <cell r="A177">
            <v>0</v>
          </cell>
        </row>
        <row r="178">
          <cell r="A178">
            <v>0</v>
          </cell>
        </row>
        <row r="179">
          <cell r="A179">
            <v>0</v>
          </cell>
        </row>
        <row r="180">
          <cell r="A180">
            <v>0</v>
          </cell>
        </row>
        <row r="181">
          <cell r="A181">
            <v>0</v>
          </cell>
        </row>
        <row r="182">
          <cell r="A182">
            <v>0</v>
          </cell>
        </row>
        <row r="183">
          <cell r="A183">
            <v>0</v>
          </cell>
        </row>
        <row r="184">
          <cell r="A184">
            <v>0</v>
          </cell>
        </row>
        <row r="185">
          <cell r="A185">
            <v>0</v>
          </cell>
        </row>
        <row r="186">
          <cell r="A186">
            <v>0</v>
          </cell>
        </row>
        <row r="187">
          <cell r="A187">
            <v>0</v>
          </cell>
        </row>
        <row r="188">
          <cell r="A188">
            <v>0</v>
          </cell>
        </row>
        <row r="189">
          <cell r="A189">
            <v>0</v>
          </cell>
        </row>
        <row r="190">
          <cell r="A190">
            <v>0</v>
          </cell>
        </row>
        <row r="191">
          <cell r="A191">
            <v>0</v>
          </cell>
        </row>
        <row r="192">
          <cell r="A192">
            <v>0</v>
          </cell>
        </row>
        <row r="193">
          <cell r="A193">
            <v>0</v>
          </cell>
        </row>
        <row r="194">
          <cell r="A194">
            <v>0</v>
          </cell>
        </row>
        <row r="195">
          <cell r="A195">
            <v>0</v>
          </cell>
        </row>
        <row r="196">
          <cell r="A196">
            <v>0</v>
          </cell>
        </row>
        <row r="197">
          <cell r="A197">
            <v>0</v>
          </cell>
        </row>
        <row r="198">
          <cell r="A198">
            <v>0</v>
          </cell>
        </row>
        <row r="199">
          <cell r="A199">
            <v>0</v>
          </cell>
        </row>
        <row r="200">
          <cell r="A200">
            <v>0</v>
          </cell>
        </row>
        <row r="201">
          <cell r="A201">
            <v>0</v>
          </cell>
        </row>
        <row r="202">
          <cell r="A202">
            <v>0</v>
          </cell>
        </row>
        <row r="203">
          <cell r="A203">
            <v>0</v>
          </cell>
        </row>
        <row r="204">
          <cell r="A204">
            <v>0</v>
          </cell>
        </row>
        <row r="205">
          <cell r="A205">
            <v>0</v>
          </cell>
        </row>
        <row r="206">
          <cell r="A206">
            <v>0</v>
          </cell>
        </row>
        <row r="207">
          <cell r="A207">
            <v>0</v>
          </cell>
        </row>
        <row r="208">
          <cell r="A208">
            <v>0</v>
          </cell>
        </row>
        <row r="209">
          <cell r="A209">
            <v>0</v>
          </cell>
        </row>
        <row r="210">
          <cell r="A210">
            <v>0</v>
          </cell>
        </row>
        <row r="211">
          <cell r="A211">
            <v>0</v>
          </cell>
        </row>
        <row r="212">
          <cell r="A212">
            <v>0</v>
          </cell>
        </row>
        <row r="213">
          <cell r="A213">
            <v>0</v>
          </cell>
        </row>
        <row r="214">
          <cell r="A214">
            <v>0</v>
          </cell>
        </row>
        <row r="215">
          <cell r="A215">
            <v>0</v>
          </cell>
        </row>
        <row r="216">
          <cell r="A216">
            <v>0</v>
          </cell>
        </row>
        <row r="217">
          <cell r="A217">
            <v>0</v>
          </cell>
        </row>
        <row r="218">
          <cell r="A218">
            <v>0</v>
          </cell>
        </row>
        <row r="219">
          <cell r="A219">
            <v>0</v>
          </cell>
        </row>
        <row r="220">
          <cell r="A220">
            <v>0</v>
          </cell>
        </row>
        <row r="221">
          <cell r="A221">
            <v>0</v>
          </cell>
        </row>
        <row r="222">
          <cell r="A222">
            <v>0</v>
          </cell>
        </row>
        <row r="223">
          <cell r="A223">
            <v>0</v>
          </cell>
        </row>
        <row r="224">
          <cell r="A224">
            <v>0</v>
          </cell>
        </row>
        <row r="225">
          <cell r="A225">
            <v>0</v>
          </cell>
        </row>
        <row r="226">
          <cell r="A226">
            <v>0</v>
          </cell>
        </row>
        <row r="227">
          <cell r="A227">
            <v>0</v>
          </cell>
        </row>
        <row r="228">
          <cell r="A228">
            <v>0</v>
          </cell>
        </row>
        <row r="229">
          <cell r="A229">
            <v>0</v>
          </cell>
        </row>
        <row r="230">
          <cell r="A230">
            <v>0</v>
          </cell>
        </row>
        <row r="231">
          <cell r="A231">
            <v>0</v>
          </cell>
        </row>
        <row r="232">
          <cell r="A232">
            <v>0</v>
          </cell>
        </row>
        <row r="233">
          <cell r="A233">
            <v>0</v>
          </cell>
        </row>
        <row r="234">
          <cell r="A234">
            <v>0</v>
          </cell>
        </row>
        <row r="235">
          <cell r="A235">
            <v>0</v>
          </cell>
        </row>
        <row r="236">
          <cell r="A236">
            <v>0</v>
          </cell>
        </row>
        <row r="237">
          <cell r="A237">
            <v>0</v>
          </cell>
        </row>
        <row r="238">
          <cell r="A238">
            <v>0</v>
          </cell>
        </row>
        <row r="239">
          <cell r="A239">
            <v>0</v>
          </cell>
        </row>
        <row r="240">
          <cell r="A240">
            <v>0</v>
          </cell>
        </row>
        <row r="241">
          <cell r="A241">
            <v>0</v>
          </cell>
        </row>
        <row r="242">
          <cell r="A242">
            <v>0</v>
          </cell>
        </row>
        <row r="243">
          <cell r="A243">
            <v>0</v>
          </cell>
        </row>
        <row r="244">
          <cell r="A244">
            <v>0</v>
          </cell>
        </row>
        <row r="245">
          <cell r="A245">
            <v>0</v>
          </cell>
        </row>
        <row r="246">
          <cell r="A246">
            <v>0</v>
          </cell>
        </row>
        <row r="247">
          <cell r="A247">
            <v>0</v>
          </cell>
        </row>
        <row r="248">
          <cell r="A248">
            <v>0</v>
          </cell>
        </row>
        <row r="249">
          <cell r="A249">
            <v>0</v>
          </cell>
        </row>
        <row r="250">
          <cell r="A250">
            <v>0</v>
          </cell>
        </row>
        <row r="251">
          <cell r="A251">
            <v>0</v>
          </cell>
        </row>
        <row r="252">
          <cell r="A252">
            <v>0</v>
          </cell>
        </row>
        <row r="253">
          <cell r="A253">
            <v>0</v>
          </cell>
        </row>
        <row r="254">
          <cell r="A254">
            <v>0</v>
          </cell>
        </row>
        <row r="255">
          <cell r="A255">
            <v>0</v>
          </cell>
        </row>
        <row r="256">
          <cell r="A256">
            <v>0</v>
          </cell>
        </row>
        <row r="257">
          <cell r="A257">
            <v>0</v>
          </cell>
        </row>
        <row r="258">
          <cell r="A258">
            <v>0</v>
          </cell>
        </row>
        <row r="259">
          <cell r="A259">
            <v>0</v>
          </cell>
        </row>
        <row r="260">
          <cell r="A260">
            <v>0</v>
          </cell>
        </row>
        <row r="261">
          <cell r="A261">
            <v>0</v>
          </cell>
        </row>
        <row r="262">
          <cell r="A262">
            <v>0</v>
          </cell>
        </row>
        <row r="263">
          <cell r="A263">
            <v>0</v>
          </cell>
        </row>
        <row r="264">
          <cell r="A264">
            <v>0</v>
          </cell>
        </row>
        <row r="265">
          <cell r="A265">
            <v>0</v>
          </cell>
        </row>
        <row r="266">
          <cell r="A266">
            <v>0</v>
          </cell>
        </row>
        <row r="267">
          <cell r="A267">
            <v>0</v>
          </cell>
        </row>
        <row r="268">
          <cell r="A268">
            <v>0</v>
          </cell>
        </row>
        <row r="269">
          <cell r="A269">
            <v>0</v>
          </cell>
        </row>
        <row r="270">
          <cell r="A270">
            <v>0</v>
          </cell>
        </row>
        <row r="271">
          <cell r="A271">
            <v>0</v>
          </cell>
        </row>
        <row r="272">
          <cell r="A272">
            <v>0</v>
          </cell>
        </row>
        <row r="273">
          <cell r="A273">
            <v>0</v>
          </cell>
        </row>
        <row r="274">
          <cell r="A274">
            <v>0</v>
          </cell>
        </row>
        <row r="275">
          <cell r="A275">
            <v>0</v>
          </cell>
        </row>
        <row r="276">
          <cell r="A276">
            <v>0</v>
          </cell>
        </row>
        <row r="277">
          <cell r="A277">
            <v>0</v>
          </cell>
        </row>
        <row r="278">
          <cell r="A278">
            <v>0</v>
          </cell>
        </row>
        <row r="279">
          <cell r="A279">
            <v>0</v>
          </cell>
        </row>
        <row r="280">
          <cell r="A280">
            <v>0</v>
          </cell>
        </row>
        <row r="281">
          <cell r="A281">
            <v>0</v>
          </cell>
        </row>
        <row r="282">
          <cell r="A282">
            <v>0</v>
          </cell>
        </row>
        <row r="283">
          <cell r="A283">
            <v>0</v>
          </cell>
        </row>
        <row r="284">
          <cell r="A284">
            <v>0</v>
          </cell>
        </row>
        <row r="285">
          <cell r="A285">
            <v>0</v>
          </cell>
        </row>
        <row r="286">
          <cell r="A286">
            <v>0</v>
          </cell>
        </row>
        <row r="287">
          <cell r="A287">
            <v>0</v>
          </cell>
        </row>
        <row r="288">
          <cell r="A288">
            <v>0</v>
          </cell>
        </row>
        <row r="289">
          <cell r="A289">
            <v>0</v>
          </cell>
        </row>
        <row r="290">
          <cell r="A290">
            <v>0</v>
          </cell>
        </row>
        <row r="291">
          <cell r="A291">
            <v>0</v>
          </cell>
        </row>
        <row r="292">
          <cell r="A292">
            <v>0</v>
          </cell>
        </row>
        <row r="293">
          <cell r="A293">
            <v>0</v>
          </cell>
        </row>
        <row r="294">
          <cell r="A294">
            <v>0</v>
          </cell>
        </row>
        <row r="295">
          <cell r="A295">
            <v>0</v>
          </cell>
        </row>
        <row r="296">
          <cell r="A296">
            <v>0</v>
          </cell>
        </row>
        <row r="297">
          <cell r="A297">
            <v>0</v>
          </cell>
        </row>
        <row r="298">
          <cell r="A298">
            <v>0</v>
          </cell>
        </row>
        <row r="299">
          <cell r="A299">
            <v>0</v>
          </cell>
        </row>
        <row r="300">
          <cell r="A300">
            <v>0</v>
          </cell>
        </row>
        <row r="301">
          <cell r="A301">
            <v>0</v>
          </cell>
        </row>
        <row r="302">
          <cell r="A302">
            <v>0</v>
          </cell>
        </row>
        <row r="303">
          <cell r="A303">
            <v>0</v>
          </cell>
        </row>
        <row r="304">
          <cell r="A304">
            <v>0</v>
          </cell>
        </row>
        <row r="305">
          <cell r="A305">
            <v>0</v>
          </cell>
        </row>
        <row r="306">
          <cell r="A306">
            <v>0</v>
          </cell>
        </row>
        <row r="307">
          <cell r="A307">
            <v>0</v>
          </cell>
        </row>
        <row r="308">
          <cell r="A308">
            <v>0</v>
          </cell>
        </row>
        <row r="309">
          <cell r="A309">
            <v>0</v>
          </cell>
        </row>
        <row r="310">
          <cell r="A310">
            <v>0</v>
          </cell>
        </row>
        <row r="311">
          <cell r="A311">
            <v>0</v>
          </cell>
        </row>
        <row r="312">
          <cell r="A312">
            <v>0</v>
          </cell>
        </row>
        <row r="313">
          <cell r="A313">
            <v>0</v>
          </cell>
        </row>
        <row r="314">
          <cell r="A314">
            <v>0</v>
          </cell>
        </row>
        <row r="315">
          <cell r="A315">
            <v>0</v>
          </cell>
        </row>
        <row r="316">
          <cell r="A316">
            <v>0</v>
          </cell>
        </row>
        <row r="317">
          <cell r="A317">
            <v>0</v>
          </cell>
        </row>
        <row r="318">
          <cell r="A318">
            <v>0</v>
          </cell>
        </row>
        <row r="319">
          <cell r="A319">
            <v>0</v>
          </cell>
        </row>
        <row r="320">
          <cell r="A320">
            <v>0</v>
          </cell>
        </row>
        <row r="321">
          <cell r="A321">
            <v>0</v>
          </cell>
        </row>
        <row r="322">
          <cell r="A322">
            <v>0</v>
          </cell>
        </row>
        <row r="323">
          <cell r="A323">
            <v>0</v>
          </cell>
        </row>
        <row r="324">
          <cell r="A324">
            <v>0</v>
          </cell>
        </row>
        <row r="325">
          <cell r="A325">
            <v>0</v>
          </cell>
        </row>
        <row r="326">
          <cell r="A326">
            <v>0</v>
          </cell>
        </row>
        <row r="327">
          <cell r="A327">
            <v>0</v>
          </cell>
        </row>
        <row r="328">
          <cell r="A328">
            <v>0</v>
          </cell>
        </row>
        <row r="329">
          <cell r="A329">
            <v>0</v>
          </cell>
        </row>
        <row r="330">
          <cell r="A330">
            <v>0</v>
          </cell>
        </row>
        <row r="331">
          <cell r="A331">
            <v>0</v>
          </cell>
        </row>
        <row r="332">
          <cell r="A332">
            <v>0</v>
          </cell>
        </row>
        <row r="333">
          <cell r="A333">
            <v>0</v>
          </cell>
        </row>
        <row r="334">
          <cell r="A334">
            <v>0</v>
          </cell>
        </row>
        <row r="335">
          <cell r="A335">
            <v>0</v>
          </cell>
        </row>
        <row r="336">
          <cell r="A336">
            <v>0</v>
          </cell>
        </row>
        <row r="337">
          <cell r="A337">
            <v>0</v>
          </cell>
        </row>
        <row r="338">
          <cell r="A338">
            <v>0</v>
          </cell>
        </row>
        <row r="339">
          <cell r="A339">
            <v>0</v>
          </cell>
        </row>
        <row r="340">
          <cell r="A340">
            <v>0</v>
          </cell>
        </row>
        <row r="341">
          <cell r="A341">
            <v>0</v>
          </cell>
        </row>
        <row r="342">
          <cell r="A342">
            <v>0</v>
          </cell>
        </row>
        <row r="343">
          <cell r="A343">
            <v>0</v>
          </cell>
        </row>
        <row r="344">
          <cell r="A344">
            <v>0</v>
          </cell>
        </row>
        <row r="345">
          <cell r="A345">
            <v>0</v>
          </cell>
        </row>
        <row r="346">
          <cell r="A346">
            <v>0</v>
          </cell>
        </row>
        <row r="347">
          <cell r="A347">
            <v>0</v>
          </cell>
        </row>
        <row r="348">
          <cell r="A348">
            <v>0</v>
          </cell>
        </row>
        <row r="349">
          <cell r="A349">
            <v>0</v>
          </cell>
        </row>
        <row r="350">
          <cell r="A350">
            <v>0</v>
          </cell>
        </row>
        <row r="351">
          <cell r="A351">
            <v>0</v>
          </cell>
        </row>
        <row r="352">
          <cell r="A352">
            <v>0</v>
          </cell>
        </row>
        <row r="353">
          <cell r="A353">
            <v>0</v>
          </cell>
        </row>
        <row r="354">
          <cell r="A354">
            <v>0</v>
          </cell>
        </row>
        <row r="355">
          <cell r="A355">
            <v>0</v>
          </cell>
        </row>
        <row r="356">
          <cell r="A356">
            <v>0</v>
          </cell>
        </row>
        <row r="357">
          <cell r="A357">
            <v>0</v>
          </cell>
        </row>
        <row r="358">
          <cell r="A358">
            <v>0</v>
          </cell>
        </row>
        <row r="359">
          <cell r="A359">
            <v>0</v>
          </cell>
        </row>
        <row r="360">
          <cell r="A360">
            <v>0</v>
          </cell>
        </row>
        <row r="361">
          <cell r="A361">
            <v>0</v>
          </cell>
        </row>
        <row r="362">
          <cell r="A362">
            <v>0</v>
          </cell>
        </row>
        <row r="363">
          <cell r="A363">
            <v>0</v>
          </cell>
        </row>
        <row r="364">
          <cell r="A364">
            <v>0</v>
          </cell>
        </row>
        <row r="365">
          <cell r="A365">
            <v>0</v>
          </cell>
        </row>
        <row r="366">
          <cell r="A366">
            <v>0</v>
          </cell>
        </row>
        <row r="367">
          <cell r="A367">
            <v>0</v>
          </cell>
        </row>
        <row r="368">
          <cell r="A368">
            <v>0</v>
          </cell>
        </row>
        <row r="369">
          <cell r="A369">
            <v>0</v>
          </cell>
        </row>
        <row r="370">
          <cell r="A370">
            <v>0</v>
          </cell>
        </row>
        <row r="371">
          <cell r="A371">
            <v>0</v>
          </cell>
        </row>
        <row r="372">
          <cell r="A372">
            <v>0</v>
          </cell>
        </row>
        <row r="373">
          <cell r="A373">
            <v>0</v>
          </cell>
        </row>
        <row r="374">
          <cell r="A374">
            <v>0</v>
          </cell>
        </row>
        <row r="375">
          <cell r="A375">
            <v>0</v>
          </cell>
        </row>
        <row r="376">
          <cell r="A376">
            <v>0</v>
          </cell>
        </row>
        <row r="377">
          <cell r="A377">
            <v>0</v>
          </cell>
        </row>
        <row r="378">
          <cell r="A378">
            <v>0</v>
          </cell>
        </row>
        <row r="379">
          <cell r="A379">
            <v>0</v>
          </cell>
        </row>
        <row r="380">
          <cell r="A380">
            <v>0</v>
          </cell>
        </row>
        <row r="381">
          <cell r="A381">
            <v>0</v>
          </cell>
        </row>
        <row r="382">
          <cell r="A382">
            <v>0</v>
          </cell>
        </row>
        <row r="383">
          <cell r="A383">
            <v>0</v>
          </cell>
        </row>
        <row r="384">
          <cell r="A384">
            <v>0</v>
          </cell>
        </row>
        <row r="385">
          <cell r="A385">
            <v>0</v>
          </cell>
        </row>
        <row r="386">
          <cell r="A386">
            <v>0</v>
          </cell>
        </row>
        <row r="387">
          <cell r="A387">
            <v>0</v>
          </cell>
        </row>
        <row r="388">
          <cell r="A388">
            <v>0</v>
          </cell>
        </row>
        <row r="389">
          <cell r="A389">
            <v>0</v>
          </cell>
        </row>
        <row r="390">
          <cell r="A390">
            <v>0</v>
          </cell>
        </row>
        <row r="391">
          <cell r="A391">
            <v>0</v>
          </cell>
        </row>
        <row r="392">
          <cell r="A392">
            <v>0</v>
          </cell>
        </row>
        <row r="393">
          <cell r="A393">
            <v>0</v>
          </cell>
        </row>
        <row r="394">
          <cell r="A394">
            <v>0</v>
          </cell>
        </row>
        <row r="395">
          <cell r="A395">
            <v>0</v>
          </cell>
        </row>
        <row r="396">
          <cell r="A396">
            <v>0</v>
          </cell>
        </row>
        <row r="397">
          <cell r="A397">
            <v>0</v>
          </cell>
        </row>
        <row r="398">
          <cell r="A398">
            <v>0</v>
          </cell>
        </row>
        <row r="399">
          <cell r="A399">
            <v>0</v>
          </cell>
        </row>
        <row r="400">
          <cell r="A400">
            <v>0</v>
          </cell>
        </row>
        <row r="401">
          <cell r="A401">
            <v>0</v>
          </cell>
        </row>
        <row r="402">
          <cell r="A402">
            <v>0</v>
          </cell>
        </row>
        <row r="403">
          <cell r="A403">
            <v>0</v>
          </cell>
        </row>
        <row r="404">
          <cell r="A404">
            <v>0</v>
          </cell>
        </row>
        <row r="405">
          <cell r="A405">
            <v>0</v>
          </cell>
        </row>
        <row r="406">
          <cell r="A406">
            <v>0</v>
          </cell>
        </row>
        <row r="407">
          <cell r="A407">
            <v>0</v>
          </cell>
        </row>
        <row r="408">
          <cell r="A408">
            <v>0</v>
          </cell>
        </row>
        <row r="409">
          <cell r="A409">
            <v>0</v>
          </cell>
        </row>
        <row r="410">
          <cell r="A410">
            <v>0</v>
          </cell>
        </row>
        <row r="411">
          <cell r="A411">
            <v>0</v>
          </cell>
        </row>
        <row r="412">
          <cell r="A412">
            <v>0</v>
          </cell>
        </row>
        <row r="413">
          <cell r="A413">
            <v>0</v>
          </cell>
        </row>
        <row r="414">
          <cell r="A414">
            <v>0</v>
          </cell>
        </row>
        <row r="415">
          <cell r="A415">
            <v>0</v>
          </cell>
        </row>
        <row r="416">
          <cell r="A416">
            <v>0</v>
          </cell>
        </row>
        <row r="417">
          <cell r="A417">
            <v>0</v>
          </cell>
        </row>
        <row r="418">
          <cell r="A418">
            <v>0</v>
          </cell>
        </row>
        <row r="419">
          <cell r="A419">
            <v>0</v>
          </cell>
        </row>
        <row r="420">
          <cell r="A420">
            <v>0</v>
          </cell>
        </row>
        <row r="421">
          <cell r="A421">
            <v>0</v>
          </cell>
        </row>
        <row r="422">
          <cell r="A422">
            <v>0</v>
          </cell>
        </row>
        <row r="423">
          <cell r="A423">
            <v>0</v>
          </cell>
        </row>
        <row r="424">
          <cell r="A424">
            <v>0</v>
          </cell>
        </row>
        <row r="425">
          <cell r="A425">
            <v>0</v>
          </cell>
        </row>
        <row r="426">
          <cell r="A426">
            <v>0</v>
          </cell>
        </row>
        <row r="427">
          <cell r="A427">
            <v>0</v>
          </cell>
        </row>
        <row r="428">
          <cell r="A428">
            <v>0</v>
          </cell>
        </row>
        <row r="429">
          <cell r="A429">
            <v>0</v>
          </cell>
        </row>
        <row r="430">
          <cell r="A430">
            <v>0</v>
          </cell>
        </row>
        <row r="431">
          <cell r="A431">
            <v>0</v>
          </cell>
        </row>
        <row r="432">
          <cell r="A432">
            <v>0</v>
          </cell>
        </row>
        <row r="433">
          <cell r="A433">
            <v>0</v>
          </cell>
        </row>
        <row r="434">
          <cell r="A434">
            <v>0</v>
          </cell>
        </row>
        <row r="435">
          <cell r="A435">
            <v>0</v>
          </cell>
        </row>
        <row r="436">
          <cell r="A436">
            <v>0</v>
          </cell>
        </row>
        <row r="437">
          <cell r="A437">
            <v>0</v>
          </cell>
        </row>
        <row r="438">
          <cell r="A438">
            <v>0</v>
          </cell>
        </row>
        <row r="439">
          <cell r="A439">
            <v>0</v>
          </cell>
        </row>
        <row r="440">
          <cell r="A440">
            <v>0</v>
          </cell>
        </row>
        <row r="441">
          <cell r="A441">
            <v>0</v>
          </cell>
        </row>
        <row r="442">
          <cell r="A442">
            <v>0</v>
          </cell>
        </row>
        <row r="443">
          <cell r="A443">
            <v>0</v>
          </cell>
        </row>
        <row r="444">
          <cell r="A444">
            <v>0</v>
          </cell>
        </row>
        <row r="445">
          <cell r="A445">
            <v>0</v>
          </cell>
        </row>
        <row r="446">
          <cell r="A446">
            <v>0</v>
          </cell>
        </row>
        <row r="447">
          <cell r="A447">
            <v>0</v>
          </cell>
        </row>
        <row r="448">
          <cell r="A448">
            <v>0</v>
          </cell>
        </row>
        <row r="449">
          <cell r="A449">
            <v>0</v>
          </cell>
        </row>
        <row r="450">
          <cell r="A450">
            <v>0</v>
          </cell>
        </row>
        <row r="451">
          <cell r="A451">
            <v>0</v>
          </cell>
        </row>
        <row r="452">
          <cell r="A452">
            <v>0</v>
          </cell>
        </row>
        <row r="453">
          <cell r="A453">
            <v>0</v>
          </cell>
        </row>
        <row r="454">
          <cell r="A454">
            <v>0</v>
          </cell>
        </row>
        <row r="455">
          <cell r="A455">
            <v>0</v>
          </cell>
        </row>
        <row r="456">
          <cell r="A456">
            <v>0</v>
          </cell>
        </row>
        <row r="457">
          <cell r="A457">
            <v>0</v>
          </cell>
        </row>
        <row r="458">
          <cell r="A458">
            <v>0</v>
          </cell>
        </row>
        <row r="459">
          <cell r="A459">
            <v>0</v>
          </cell>
        </row>
        <row r="460">
          <cell r="A460">
            <v>0</v>
          </cell>
        </row>
        <row r="461">
          <cell r="A461">
            <v>0</v>
          </cell>
        </row>
        <row r="462">
          <cell r="A462">
            <v>0</v>
          </cell>
        </row>
        <row r="463">
          <cell r="A463">
            <v>0</v>
          </cell>
        </row>
        <row r="464">
          <cell r="A464">
            <v>0</v>
          </cell>
        </row>
        <row r="465">
          <cell r="A465">
            <v>0</v>
          </cell>
        </row>
        <row r="466">
          <cell r="A466">
            <v>0</v>
          </cell>
        </row>
        <row r="467">
          <cell r="A467">
            <v>0</v>
          </cell>
        </row>
        <row r="468">
          <cell r="A468">
            <v>0</v>
          </cell>
        </row>
        <row r="469">
          <cell r="A469">
            <v>0</v>
          </cell>
        </row>
        <row r="470">
          <cell r="A470">
            <v>0</v>
          </cell>
        </row>
        <row r="471">
          <cell r="A471">
            <v>0</v>
          </cell>
        </row>
        <row r="472">
          <cell r="A472">
            <v>0</v>
          </cell>
        </row>
        <row r="473">
          <cell r="A473">
            <v>0</v>
          </cell>
        </row>
        <row r="474">
          <cell r="A474">
            <v>0</v>
          </cell>
        </row>
        <row r="475">
          <cell r="A475">
            <v>0</v>
          </cell>
        </row>
        <row r="476">
          <cell r="A476">
            <v>0</v>
          </cell>
        </row>
        <row r="477">
          <cell r="A477">
            <v>0</v>
          </cell>
        </row>
        <row r="478">
          <cell r="A478">
            <v>0</v>
          </cell>
        </row>
        <row r="479">
          <cell r="A479">
            <v>0</v>
          </cell>
        </row>
        <row r="480">
          <cell r="A480">
            <v>0</v>
          </cell>
        </row>
        <row r="481">
          <cell r="A481">
            <v>0</v>
          </cell>
        </row>
        <row r="482">
          <cell r="A482">
            <v>0</v>
          </cell>
        </row>
        <row r="483">
          <cell r="A483">
            <v>0</v>
          </cell>
        </row>
        <row r="484">
          <cell r="A484">
            <v>0</v>
          </cell>
        </row>
        <row r="485">
          <cell r="A485">
            <v>0</v>
          </cell>
        </row>
        <row r="486">
          <cell r="A486">
            <v>0</v>
          </cell>
        </row>
        <row r="487">
          <cell r="A487">
            <v>0</v>
          </cell>
        </row>
        <row r="488">
          <cell r="A488">
            <v>0</v>
          </cell>
        </row>
        <row r="489">
          <cell r="A489">
            <v>0</v>
          </cell>
        </row>
        <row r="490">
          <cell r="A490">
            <v>0</v>
          </cell>
        </row>
        <row r="491">
          <cell r="A491">
            <v>0</v>
          </cell>
        </row>
        <row r="492">
          <cell r="A492">
            <v>0</v>
          </cell>
        </row>
        <row r="493">
          <cell r="A493">
            <v>0</v>
          </cell>
        </row>
        <row r="494">
          <cell r="A494">
            <v>0</v>
          </cell>
        </row>
        <row r="495">
          <cell r="A495">
            <v>0</v>
          </cell>
        </row>
        <row r="496">
          <cell r="A496">
            <v>0</v>
          </cell>
        </row>
        <row r="497">
          <cell r="A497">
            <v>0</v>
          </cell>
        </row>
        <row r="498">
          <cell r="A498">
            <v>0</v>
          </cell>
        </row>
        <row r="499">
          <cell r="A499">
            <v>0</v>
          </cell>
        </row>
        <row r="500">
          <cell r="A500">
            <v>0</v>
          </cell>
        </row>
        <row r="501">
          <cell r="A501">
            <v>0</v>
          </cell>
        </row>
        <row r="502">
          <cell r="A502">
            <v>0</v>
          </cell>
        </row>
        <row r="503">
          <cell r="A503">
            <v>0</v>
          </cell>
        </row>
        <row r="504">
          <cell r="A504">
            <v>0</v>
          </cell>
        </row>
        <row r="505">
          <cell r="A505">
            <v>0</v>
          </cell>
        </row>
        <row r="506">
          <cell r="A506">
            <v>0</v>
          </cell>
        </row>
        <row r="507">
          <cell r="A507">
            <v>0</v>
          </cell>
        </row>
        <row r="508">
          <cell r="A508">
            <v>0</v>
          </cell>
        </row>
        <row r="509">
          <cell r="A509">
            <v>0</v>
          </cell>
        </row>
        <row r="510">
          <cell r="A510">
            <v>0</v>
          </cell>
        </row>
        <row r="511">
          <cell r="A511">
            <v>0</v>
          </cell>
        </row>
        <row r="512">
          <cell r="A512">
            <v>0</v>
          </cell>
        </row>
        <row r="513">
          <cell r="A513">
            <v>0</v>
          </cell>
        </row>
        <row r="514">
          <cell r="A514">
            <v>0</v>
          </cell>
        </row>
        <row r="515">
          <cell r="A515">
            <v>0</v>
          </cell>
        </row>
        <row r="516">
          <cell r="A516">
            <v>0</v>
          </cell>
        </row>
        <row r="517">
          <cell r="A517">
            <v>0</v>
          </cell>
        </row>
        <row r="518">
          <cell r="A518">
            <v>0</v>
          </cell>
        </row>
        <row r="519">
          <cell r="A519">
            <v>0</v>
          </cell>
        </row>
        <row r="520">
          <cell r="A520">
            <v>0</v>
          </cell>
        </row>
        <row r="521">
          <cell r="A521">
            <v>0</v>
          </cell>
        </row>
        <row r="522">
          <cell r="A522">
            <v>0</v>
          </cell>
        </row>
        <row r="523">
          <cell r="A523">
            <v>0</v>
          </cell>
        </row>
        <row r="524">
          <cell r="A524">
            <v>0</v>
          </cell>
        </row>
        <row r="525">
          <cell r="A525">
            <v>0</v>
          </cell>
        </row>
        <row r="526">
          <cell r="A526">
            <v>0</v>
          </cell>
        </row>
        <row r="527">
          <cell r="A527">
            <v>0</v>
          </cell>
        </row>
        <row r="528">
          <cell r="A528">
            <v>0</v>
          </cell>
        </row>
        <row r="529">
          <cell r="A529">
            <v>0</v>
          </cell>
        </row>
        <row r="530">
          <cell r="A530">
            <v>0</v>
          </cell>
        </row>
        <row r="531">
          <cell r="A531">
            <v>0</v>
          </cell>
        </row>
        <row r="532">
          <cell r="A532">
            <v>0</v>
          </cell>
        </row>
        <row r="533">
          <cell r="A533">
            <v>0</v>
          </cell>
        </row>
        <row r="534">
          <cell r="A534">
            <v>0</v>
          </cell>
        </row>
        <row r="535">
          <cell r="A535">
            <v>0</v>
          </cell>
        </row>
        <row r="536">
          <cell r="A536">
            <v>0</v>
          </cell>
        </row>
        <row r="537">
          <cell r="A537">
            <v>0</v>
          </cell>
        </row>
        <row r="538">
          <cell r="A538">
            <v>0</v>
          </cell>
        </row>
        <row r="539">
          <cell r="A539">
            <v>0</v>
          </cell>
        </row>
        <row r="540">
          <cell r="A540">
            <v>0</v>
          </cell>
        </row>
        <row r="541">
          <cell r="A541">
            <v>0</v>
          </cell>
        </row>
        <row r="542">
          <cell r="A542">
            <v>0</v>
          </cell>
        </row>
        <row r="543">
          <cell r="A543">
            <v>0</v>
          </cell>
        </row>
        <row r="544">
          <cell r="A544">
            <v>0</v>
          </cell>
        </row>
        <row r="545">
          <cell r="A545">
            <v>0</v>
          </cell>
        </row>
        <row r="546">
          <cell r="A546">
            <v>0</v>
          </cell>
        </row>
        <row r="547">
          <cell r="A547">
            <v>0</v>
          </cell>
        </row>
        <row r="548">
          <cell r="A548">
            <v>0</v>
          </cell>
        </row>
        <row r="549">
          <cell r="A549">
            <v>0</v>
          </cell>
        </row>
        <row r="550">
          <cell r="A550">
            <v>0</v>
          </cell>
        </row>
        <row r="551">
          <cell r="A551">
            <v>0</v>
          </cell>
        </row>
        <row r="552">
          <cell r="A552">
            <v>0</v>
          </cell>
        </row>
        <row r="553">
          <cell r="A553">
            <v>0</v>
          </cell>
        </row>
        <row r="554">
          <cell r="A554">
            <v>0</v>
          </cell>
        </row>
        <row r="555">
          <cell r="A555">
            <v>0</v>
          </cell>
        </row>
        <row r="556">
          <cell r="A556">
            <v>0</v>
          </cell>
        </row>
        <row r="557">
          <cell r="A557">
            <v>0</v>
          </cell>
        </row>
        <row r="558">
          <cell r="A558">
            <v>0</v>
          </cell>
        </row>
        <row r="559">
          <cell r="A559">
            <v>0</v>
          </cell>
        </row>
        <row r="560">
          <cell r="A560">
            <v>0</v>
          </cell>
        </row>
        <row r="561">
          <cell r="A561">
            <v>0</v>
          </cell>
        </row>
        <row r="562">
          <cell r="A562">
            <v>0</v>
          </cell>
        </row>
        <row r="563">
          <cell r="A563">
            <v>0</v>
          </cell>
        </row>
        <row r="564">
          <cell r="A564">
            <v>0</v>
          </cell>
        </row>
        <row r="565">
          <cell r="A565">
            <v>0</v>
          </cell>
        </row>
        <row r="566">
          <cell r="A566">
            <v>0</v>
          </cell>
        </row>
        <row r="567">
          <cell r="A567">
            <v>0</v>
          </cell>
        </row>
        <row r="568">
          <cell r="A568">
            <v>0</v>
          </cell>
        </row>
        <row r="569">
          <cell r="A569">
            <v>0</v>
          </cell>
        </row>
        <row r="570">
          <cell r="A570">
            <v>0</v>
          </cell>
        </row>
        <row r="571">
          <cell r="A571">
            <v>0</v>
          </cell>
        </row>
        <row r="572">
          <cell r="A572">
            <v>0</v>
          </cell>
        </row>
        <row r="573">
          <cell r="A573">
            <v>0</v>
          </cell>
        </row>
        <row r="574">
          <cell r="A574">
            <v>0</v>
          </cell>
        </row>
        <row r="575">
          <cell r="A575">
            <v>0</v>
          </cell>
        </row>
        <row r="576">
          <cell r="A576">
            <v>0</v>
          </cell>
        </row>
        <row r="577">
          <cell r="A577">
            <v>0</v>
          </cell>
        </row>
        <row r="578">
          <cell r="A578">
            <v>0</v>
          </cell>
        </row>
        <row r="579">
          <cell r="A579">
            <v>0</v>
          </cell>
        </row>
        <row r="580">
          <cell r="A580">
            <v>0</v>
          </cell>
        </row>
        <row r="581">
          <cell r="A581">
            <v>0</v>
          </cell>
        </row>
        <row r="582">
          <cell r="A582">
            <v>0</v>
          </cell>
        </row>
        <row r="583">
          <cell r="A583">
            <v>0</v>
          </cell>
        </row>
        <row r="584">
          <cell r="A584">
            <v>0</v>
          </cell>
        </row>
        <row r="585">
          <cell r="A585">
            <v>0</v>
          </cell>
        </row>
        <row r="586">
          <cell r="A586">
            <v>0</v>
          </cell>
        </row>
        <row r="587">
          <cell r="A587">
            <v>0</v>
          </cell>
        </row>
        <row r="588">
          <cell r="A588">
            <v>0</v>
          </cell>
        </row>
        <row r="589">
          <cell r="A589">
            <v>0</v>
          </cell>
        </row>
        <row r="590">
          <cell r="A590">
            <v>0</v>
          </cell>
        </row>
        <row r="591">
          <cell r="A591">
            <v>0</v>
          </cell>
        </row>
        <row r="592">
          <cell r="A592">
            <v>0</v>
          </cell>
        </row>
        <row r="593">
          <cell r="A593">
            <v>0</v>
          </cell>
        </row>
        <row r="594">
          <cell r="A594">
            <v>0</v>
          </cell>
        </row>
        <row r="595">
          <cell r="A595">
            <v>0</v>
          </cell>
        </row>
        <row r="596">
          <cell r="A596">
            <v>0</v>
          </cell>
        </row>
        <row r="597">
          <cell r="A597">
            <v>0</v>
          </cell>
        </row>
        <row r="598">
          <cell r="A598">
            <v>0</v>
          </cell>
        </row>
        <row r="599">
          <cell r="A599">
            <v>0</v>
          </cell>
        </row>
        <row r="600">
          <cell r="A600">
            <v>0</v>
          </cell>
        </row>
        <row r="601">
          <cell r="A601">
            <v>0</v>
          </cell>
        </row>
        <row r="602">
          <cell r="A602">
            <v>0</v>
          </cell>
        </row>
        <row r="603">
          <cell r="A603">
            <v>0</v>
          </cell>
        </row>
        <row r="604">
          <cell r="A604">
            <v>0</v>
          </cell>
        </row>
        <row r="605">
          <cell r="A605">
            <v>0</v>
          </cell>
        </row>
        <row r="606">
          <cell r="A606">
            <v>0</v>
          </cell>
        </row>
        <row r="607">
          <cell r="A607">
            <v>0</v>
          </cell>
        </row>
        <row r="608">
          <cell r="A608">
            <v>0</v>
          </cell>
        </row>
        <row r="609">
          <cell r="A609">
            <v>0</v>
          </cell>
        </row>
        <row r="610">
          <cell r="A610">
            <v>0</v>
          </cell>
        </row>
        <row r="611">
          <cell r="A611">
            <v>0</v>
          </cell>
        </row>
        <row r="612">
          <cell r="A612">
            <v>0</v>
          </cell>
        </row>
        <row r="613">
          <cell r="A613">
            <v>0</v>
          </cell>
        </row>
        <row r="614">
          <cell r="A614">
            <v>0</v>
          </cell>
        </row>
        <row r="615">
          <cell r="A615">
            <v>0</v>
          </cell>
        </row>
        <row r="616">
          <cell r="A616">
            <v>0</v>
          </cell>
        </row>
        <row r="617">
          <cell r="A617">
            <v>0</v>
          </cell>
        </row>
        <row r="618">
          <cell r="A618">
            <v>0</v>
          </cell>
        </row>
        <row r="619">
          <cell r="A619">
            <v>0</v>
          </cell>
        </row>
        <row r="620">
          <cell r="A620">
            <v>0</v>
          </cell>
        </row>
        <row r="621">
          <cell r="A621">
            <v>0</v>
          </cell>
        </row>
        <row r="622">
          <cell r="A622">
            <v>0</v>
          </cell>
        </row>
        <row r="623">
          <cell r="A623">
            <v>0</v>
          </cell>
        </row>
        <row r="624">
          <cell r="A624">
            <v>0</v>
          </cell>
        </row>
        <row r="625">
          <cell r="A625">
            <v>0</v>
          </cell>
        </row>
        <row r="626">
          <cell r="A626">
            <v>0</v>
          </cell>
        </row>
        <row r="627">
          <cell r="A627">
            <v>0</v>
          </cell>
        </row>
        <row r="628">
          <cell r="A628">
            <v>0</v>
          </cell>
        </row>
        <row r="629">
          <cell r="A629">
            <v>0</v>
          </cell>
        </row>
        <row r="630">
          <cell r="A630">
            <v>0</v>
          </cell>
        </row>
        <row r="631">
          <cell r="A631">
            <v>0</v>
          </cell>
        </row>
        <row r="632">
          <cell r="A632">
            <v>0</v>
          </cell>
        </row>
        <row r="633">
          <cell r="A633">
            <v>0</v>
          </cell>
        </row>
        <row r="634">
          <cell r="A634">
            <v>0</v>
          </cell>
        </row>
        <row r="635">
          <cell r="A635">
            <v>0</v>
          </cell>
        </row>
        <row r="636">
          <cell r="A636">
            <v>0</v>
          </cell>
        </row>
        <row r="637">
          <cell r="A637">
            <v>0</v>
          </cell>
        </row>
        <row r="638">
          <cell r="A638">
            <v>0</v>
          </cell>
        </row>
        <row r="639">
          <cell r="A639">
            <v>0</v>
          </cell>
        </row>
        <row r="640">
          <cell r="A640">
            <v>0</v>
          </cell>
        </row>
        <row r="641">
          <cell r="A641">
            <v>0</v>
          </cell>
        </row>
        <row r="642">
          <cell r="A642">
            <v>0</v>
          </cell>
        </row>
        <row r="643">
          <cell r="A643">
            <v>0</v>
          </cell>
        </row>
        <row r="644">
          <cell r="A644">
            <v>0</v>
          </cell>
        </row>
        <row r="645">
          <cell r="A645">
            <v>0</v>
          </cell>
        </row>
        <row r="646">
          <cell r="A646">
            <v>0</v>
          </cell>
        </row>
        <row r="647">
          <cell r="A647">
            <v>0</v>
          </cell>
        </row>
        <row r="648">
          <cell r="A648">
            <v>0</v>
          </cell>
        </row>
        <row r="649">
          <cell r="A649">
            <v>0</v>
          </cell>
        </row>
        <row r="650">
          <cell r="A650">
            <v>0</v>
          </cell>
        </row>
        <row r="651">
          <cell r="A651">
            <v>0</v>
          </cell>
        </row>
        <row r="652">
          <cell r="A652">
            <v>0</v>
          </cell>
        </row>
        <row r="653">
          <cell r="A653">
            <v>0</v>
          </cell>
        </row>
        <row r="654">
          <cell r="A654">
            <v>0</v>
          </cell>
        </row>
        <row r="655">
          <cell r="A655">
            <v>0</v>
          </cell>
        </row>
        <row r="656">
          <cell r="A656">
            <v>0</v>
          </cell>
        </row>
        <row r="657">
          <cell r="A657">
            <v>0</v>
          </cell>
        </row>
        <row r="658">
          <cell r="A658">
            <v>0</v>
          </cell>
        </row>
        <row r="659">
          <cell r="A659">
            <v>0</v>
          </cell>
        </row>
        <row r="660">
          <cell r="A660">
            <v>0</v>
          </cell>
        </row>
        <row r="661">
          <cell r="A661">
            <v>0</v>
          </cell>
        </row>
        <row r="662">
          <cell r="A662">
            <v>0</v>
          </cell>
        </row>
        <row r="663">
          <cell r="A663">
            <v>0</v>
          </cell>
        </row>
        <row r="664">
          <cell r="A664">
            <v>0</v>
          </cell>
        </row>
        <row r="665">
          <cell r="A665">
            <v>0</v>
          </cell>
        </row>
        <row r="666">
          <cell r="A666">
            <v>0</v>
          </cell>
        </row>
        <row r="667">
          <cell r="A667">
            <v>0</v>
          </cell>
        </row>
        <row r="668">
          <cell r="A668">
            <v>0</v>
          </cell>
        </row>
        <row r="669">
          <cell r="A669">
            <v>0</v>
          </cell>
        </row>
        <row r="670">
          <cell r="A670">
            <v>0</v>
          </cell>
        </row>
        <row r="671">
          <cell r="A671">
            <v>0</v>
          </cell>
        </row>
        <row r="672">
          <cell r="A672">
            <v>0</v>
          </cell>
        </row>
        <row r="673">
          <cell r="A673">
            <v>0</v>
          </cell>
        </row>
        <row r="674">
          <cell r="A674">
            <v>0</v>
          </cell>
        </row>
        <row r="675">
          <cell r="A675">
            <v>0</v>
          </cell>
        </row>
        <row r="676">
          <cell r="A676">
            <v>0</v>
          </cell>
        </row>
        <row r="677">
          <cell r="A677">
            <v>0</v>
          </cell>
        </row>
        <row r="678">
          <cell r="A678">
            <v>0</v>
          </cell>
        </row>
        <row r="679">
          <cell r="A679">
            <v>0</v>
          </cell>
        </row>
        <row r="680">
          <cell r="A680">
            <v>0</v>
          </cell>
        </row>
        <row r="681">
          <cell r="A681">
            <v>0</v>
          </cell>
        </row>
        <row r="682">
          <cell r="A682">
            <v>0</v>
          </cell>
        </row>
        <row r="683">
          <cell r="A683">
            <v>0</v>
          </cell>
        </row>
        <row r="684">
          <cell r="A684">
            <v>0</v>
          </cell>
        </row>
        <row r="685">
          <cell r="A685">
            <v>0</v>
          </cell>
        </row>
        <row r="686">
          <cell r="A686">
            <v>0</v>
          </cell>
        </row>
        <row r="687">
          <cell r="A687">
            <v>0</v>
          </cell>
        </row>
        <row r="688">
          <cell r="A688">
            <v>0</v>
          </cell>
        </row>
        <row r="689">
          <cell r="A689">
            <v>0</v>
          </cell>
        </row>
        <row r="690">
          <cell r="A690">
            <v>0</v>
          </cell>
        </row>
        <row r="691">
          <cell r="A691">
            <v>0</v>
          </cell>
        </row>
        <row r="692">
          <cell r="A692">
            <v>0</v>
          </cell>
        </row>
        <row r="693">
          <cell r="A693">
            <v>0</v>
          </cell>
        </row>
        <row r="694">
          <cell r="A694">
            <v>0</v>
          </cell>
        </row>
        <row r="695">
          <cell r="A695">
            <v>0</v>
          </cell>
        </row>
        <row r="696">
          <cell r="A696">
            <v>0</v>
          </cell>
        </row>
        <row r="697">
          <cell r="A697">
            <v>0</v>
          </cell>
        </row>
        <row r="698">
          <cell r="A698">
            <v>0</v>
          </cell>
        </row>
        <row r="699">
          <cell r="A699">
            <v>0</v>
          </cell>
        </row>
        <row r="700">
          <cell r="A700">
            <v>0</v>
          </cell>
        </row>
        <row r="701">
          <cell r="A701">
            <v>0</v>
          </cell>
        </row>
        <row r="702">
          <cell r="A702">
            <v>0</v>
          </cell>
        </row>
        <row r="703">
          <cell r="A703">
            <v>0</v>
          </cell>
        </row>
        <row r="704">
          <cell r="A704">
            <v>0</v>
          </cell>
        </row>
        <row r="705">
          <cell r="A705">
            <v>0</v>
          </cell>
        </row>
        <row r="706">
          <cell r="A706">
            <v>0</v>
          </cell>
        </row>
        <row r="707">
          <cell r="A707">
            <v>0</v>
          </cell>
        </row>
        <row r="708">
          <cell r="A708">
            <v>0</v>
          </cell>
        </row>
        <row r="709">
          <cell r="A709">
            <v>0</v>
          </cell>
        </row>
        <row r="710">
          <cell r="A710">
            <v>0</v>
          </cell>
        </row>
        <row r="711">
          <cell r="A711">
            <v>0</v>
          </cell>
        </row>
        <row r="712">
          <cell r="A712">
            <v>0</v>
          </cell>
        </row>
        <row r="713">
          <cell r="A713">
            <v>0</v>
          </cell>
        </row>
        <row r="714">
          <cell r="A714">
            <v>0</v>
          </cell>
        </row>
        <row r="715">
          <cell r="A715">
            <v>0</v>
          </cell>
        </row>
        <row r="716">
          <cell r="A716">
            <v>0</v>
          </cell>
        </row>
        <row r="717">
          <cell r="A717">
            <v>0</v>
          </cell>
        </row>
        <row r="718">
          <cell r="A718">
            <v>0</v>
          </cell>
        </row>
        <row r="719">
          <cell r="A719">
            <v>0</v>
          </cell>
        </row>
        <row r="720">
          <cell r="A720">
            <v>0</v>
          </cell>
        </row>
        <row r="721">
          <cell r="A721">
            <v>0</v>
          </cell>
        </row>
        <row r="722">
          <cell r="A722">
            <v>0</v>
          </cell>
        </row>
        <row r="723">
          <cell r="A723">
            <v>0</v>
          </cell>
        </row>
        <row r="724">
          <cell r="A724">
            <v>0</v>
          </cell>
        </row>
        <row r="725">
          <cell r="A725">
            <v>0</v>
          </cell>
        </row>
        <row r="726">
          <cell r="A726">
            <v>0</v>
          </cell>
        </row>
        <row r="727">
          <cell r="A727">
            <v>0</v>
          </cell>
        </row>
        <row r="728">
          <cell r="A728">
            <v>0</v>
          </cell>
        </row>
        <row r="729">
          <cell r="A729">
            <v>0</v>
          </cell>
        </row>
        <row r="730">
          <cell r="A730">
            <v>0</v>
          </cell>
        </row>
        <row r="731">
          <cell r="A731">
            <v>0</v>
          </cell>
        </row>
        <row r="732">
          <cell r="A732">
            <v>0</v>
          </cell>
        </row>
        <row r="733">
          <cell r="A733">
            <v>0</v>
          </cell>
        </row>
        <row r="734">
          <cell r="A734">
            <v>0</v>
          </cell>
        </row>
        <row r="735">
          <cell r="A735">
            <v>0</v>
          </cell>
        </row>
        <row r="736">
          <cell r="A736">
            <v>0</v>
          </cell>
        </row>
        <row r="737">
          <cell r="A737">
            <v>0</v>
          </cell>
        </row>
        <row r="738">
          <cell r="A738">
            <v>0</v>
          </cell>
        </row>
        <row r="739">
          <cell r="A739">
            <v>0</v>
          </cell>
        </row>
        <row r="740">
          <cell r="A740">
            <v>0</v>
          </cell>
        </row>
        <row r="741">
          <cell r="A741">
            <v>0</v>
          </cell>
        </row>
        <row r="742">
          <cell r="A742">
            <v>0</v>
          </cell>
        </row>
        <row r="743">
          <cell r="A743">
            <v>0</v>
          </cell>
        </row>
        <row r="744">
          <cell r="A744">
            <v>0</v>
          </cell>
        </row>
        <row r="745">
          <cell r="A745">
            <v>0</v>
          </cell>
        </row>
        <row r="746">
          <cell r="A746">
            <v>0</v>
          </cell>
        </row>
        <row r="747">
          <cell r="A747">
            <v>0</v>
          </cell>
        </row>
        <row r="748">
          <cell r="A748">
            <v>0</v>
          </cell>
        </row>
        <row r="749">
          <cell r="A749">
            <v>0</v>
          </cell>
        </row>
        <row r="750">
          <cell r="A750">
            <v>0</v>
          </cell>
        </row>
        <row r="751">
          <cell r="A751">
            <v>0</v>
          </cell>
        </row>
        <row r="752">
          <cell r="A752">
            <v>0</v>
          </cell>
        </row>
        <row r="753">
          <cell r="A753">
            <v>0</v>
          </cell>
        </row>
        <row r="754">
          <cell r="A754">
            <v>0</v>
          </cell>
        </row>
        <row r="755">
          <cell r="A755">
            <v>0</v>
          </cell>
        </row>
        <row r="756">
          <cell r="A756">
            <v>0</v>
          </cell>
        </row>
        <row r="757">
          <cell r="A757">
            <v>0</v>
          </cell>
        </row>
        <row r="758">
          <cell r="A758">
            <v>0</v>
          </cell>
        </row>
        <row r="759">
          <cell r="A759">
            <v>0</v>
          </cell>
        </row>
        <row r="760">
          <cell r="A760">
            <v>0</v>
          </cell>
        </row>
        <row r="761">
          <cell r="A761">
            <v>0</v>
          </cell>
        </row>
        <row r="762">
          <cell r="A762">
            <v>0</v>
          </cell>
        </row>
        <row r="763">
          <cell r="A763">
            <v>0</v>
          </cell>
        </row>
        <row r="764">
          <cell r="A764">
            <v>0</v>
          </cell>
        </row>
        <row r="765">
          <cell r="A765">
            <v>0</v>
          </cell>
        </row>
        <row r="766">
          <cell r="A766">
            <v>0</v>
          </cell>
        </row>
        <row r="767">
          <cell r="A767">
            <v>0</v>
          </cell>
        </row>
        <row r="768">
          <cell r="A768">
            <v>0</v>
          </cell>
        </row>
        <row r="769">
          <cell r="A769">
            <v>0</v>
          </cell>
        </row>
        <row r="770">
          <cell r="A770">
            <v>0</v>
          </cell>
        </row>
        <row r="771">
          <cell r="A771">
            <v>0</v>
          </cell>
        </row>
        <row r="772">
          <cell r="A772">
            <v>0</v>
          </cell>
        </row>
        <row r="773">
          <cell r="A773">
            <v>0</v>
          </cell>
        </row>
        <row r="774">
          <cell r="A774">
            <v>0</v>
          </cell>
        </row>
        <row r="775">
          <cell r="A775">
            <v>0</v>
          </cell>
        </row>
        <row r="776">
          <cell r="A776">
            <v>0</v>
          </cell>
        </row>
        <row r="777">
          <cell r="A777">
            <v>0</v>
          </cell>
        </row>
        <row r="778">
          <cell r="A778">
            <v>0</v>
          </cell>
        </row>
        <row r="779">
          <cell r="A779">
            <v>0</v>
          </cell>
        </row>
        <row r="780">
          <cell r="A780">
            <v>0</v>
          </cell>
        </row>
        <row r="781">
          <cell r="A781">
            <v>0</v>
          </cell>
        </row>
        <row r="782">
          <cell r="A782">
            <v>0</v>
          </cell>
        </row>
        <row r="783">
          <cell r="A783">
            <v>0</v>
          </cell>
        </row>
        <row r="784">
          <cell r="A784">
            <v>0</v>
          </cell>
        </row>
        <row r="785">
          <cell r="A785">
            <v>0</v>
          </cell>
        </row>
        <row r="786">
          <cell r="A786">
            <v>0</v>
          </cell>
        </row>
        <row r="787">
          <cell r="A787">
            <v>0</v>
          </cell>
        </row>
        <row r="788">
          <cell r="A788">
            <v>0</v>
          </cell>
        </row>
        <row r="789">
          <cell r="A789">
            <v>0</v>
          </cell>
        </row>
        <row r="790">
          <cell r="A790">
            <v>0</v>
          </cell>
        </row>
        <row r="791">
          <cell r="A791">
            <v>0</v>
          </cell>
        </row>
        <row r="792">
          <cell r="A792">
            <v>0</v>
          </cell>
        </row>
        <row r="793">
          <cell r="A793">
            <v>0</v>
          </cell>
        </row>
        <row r="794">
          <cell r="A794">
            <v>0</v>
          </cell>
        </row>
        <row r="795">
          <cell r="A795">
            <v>0</v>
          </cell>
        </row>
        <row r="796">
          <cell r="A796">
            <v>0</v>
          </cell>
        </row>
        <row r="797">
          <cell r="A797">
            <v>0</v>
          </cell>
        </row>
        <row r="798">
          <cell r="A798">
            <v>0</v>
          </cell>
        </row>
        <row r="799">
          <cell r="A799">
            <v>0</v>
          </cell>
        </row>
        <row r="800">
          <cell r="A800">
            <v>0</v>
          </cell>
        </row>
        <row r="801">
          <cell r="A801">
            <v>0</v>
          </cell>
        </row>
        <row r="802">
          <cell r="A802">
            <v>0</v>
          </cell>
        </row>
        <row r="803">
          <cell r="A803">
            <v>0</v>
          </cell>
        </row>
        <row r="804">
          <cell r="A804">
            <v>0</v>
          </cell>
        </row>
        <row r="805">
          <cell r="A805">
            <v>0</v>
          </cell>
        </row>
        <row r="806">
          <cell r="A806">
            <v>0</v>
          </cell>
        </row>
        <row r="807">
          <cell r="A807">
            <v>0</v>
          </cell>
        </row>
        <row r="808">
          <cell r="A808">
            <v>0</v>
          </cell>
        </row>
        <row r="809">
          <cell r="A809">
            <v>0</v>
          </cell>
        </row>
        <row r="810">
          <cell r="A810">
            <v>0</v>
          </cell>
        </row>
        <row r="811">
          <cell r="A811">
            <v>0</v>
          </cell>
        </row>
        <row r="812">
          <cell r="A812">
            <v>0</v>
          </cell>
        </row>
        <row r="813">
          <cell r="A813">
            <v>0</v>
          </cell>
        </row>
        <row r="814">
          <cell r="A814">
            <v>0</v>
          </cell>
        </row>
        <row r="815">
          <cell r="A815">
            <v>0</v>
          </cell>
        </row>
        <row r="816">
          <cell r="A816">
            <v>0</v>
          </cell>
        </row>
        <row r="817">
          <cell r="A817">
            <v>0</v>
          </cell>
        </row>
        <row r="818">
          <cell r="A818">
            <v>0</v>
          </cell>
        </row>
        <row r="819">
          <cell r="A819">
            <v>0</v>
          </cell>
        </row>
        <row r="820">
          <cell r="A820">
            <v>0</v>
          </cell>
        </row>
        <row r="821">
          <cell r="A821">
            <v>0</v>
          </cell>
        </row>
        <row r="822">
          <cell r="A822">
            <v>0</v>
          </cell>
        </row>
        <row r="823">
          <cell r="A823">
            <v>0</v>
          </cell>
        </row>
        <row r="824">
          <cell r="A824">
            <v>0</v>
          </cell>
        </row>
        <row r="825">
          <cell r="A825">
            <v>0</v>
          </cell>
        </row>
        <row r="826">
          <cell r="A826">
            <v>0</v>
          </cell>
        </row>
        <row r="827">
          <cell r="A827">
            <v>0</v>
          </cell>
        </row>
        <row r="828">
          <cell r="A828">
            <v>0</v>
          </cell>
        </row>
        <row r="829">
          <cell r="A829">
            <v>0</v>
          </cell>
        </row>
        <row r="830">
          <cell r="A830">
            <v>0</v>
          </cell>
        </row>
        <row r="831">
          <cell r="A831">
            <v>0</v>
          </cell>
        </row>
        <row r="832">
          <cell r="A832">
            <v>0</v>
          </cell>
        </row>
        <row r="833">
          <cell r="A833">
            <v>0</v>
          </cell>
        </row>
        <row r="834">
          <cell r="A834">
            <v>0</v>
          </cell>
        </row>
        <row r="835">
          <cell r="A835">
            <v>0</v>
          </cell>
        </row>
        <row r="836">
          <cell r="A836">
            <v>0</v>
          </cell>
        </row>
        <row r="837">
          <cell r="A837">
            <v>0</v>
          </cell>
        </row>
        <row r="838">
          <cell r="A838">
            <v>0</v>
          </cell>
        </row>
        <row r="839">
          <cell r="A839">
            <v>0</v>
          </cell>
        </row>
        <row r="840">
          <cell r="A840">
            <v>0</v>
          </cell>
        </row>
        <row r="841">
          <cell r="A841">
            <v>0</v>
          </cell>
        </row>
        <row r="842">
          <cell r="A842">
            <v>0</v>
          </cell>
        </row>
        <row r="843">
          <cell r="A843">
            <v>0</v>
          </cell>
        </row>
        <row r="844">
          <cell r="A844">
            <v>0</v>
          </cell>
        </row>
        <row r="845">
          <cell r="A845">
            <v>0</v>
          </cell>
        </row>
        <row r="846">
          <cell r="A846">
            <v>0</v>
          </cell>
        </row>
        <row r="847">
          <cell r="A847">
            <v>0</v>
          </cell>
        </row>
        <row r="848">
          <cell r="A848">
            <v>0</v>
          </cell>
        </row>
        <row r="849">
          <cell r="A849">
            <v>0</v>
          </cell>
        </row>
        <row r="850">
          <cell r="A850">
            <v>0</v>
          </cell>
        </row>
        <row r="851">
          <cell r="A851">
            <v>0</v>
          </cell>
        </row>
        <row r="852">
          <cell r="A852">
            <v>0</v>
          </cell>
        </row>
        <row r="853">
          <cell r="A853">
            <v>0</v>
          </cell>
        </row>
        <row r="854">
          <cell r="A854">
            <v>0</v>
          </cell>
        </row>
        <row r="855">
          <cell r="A855">
            <v>0</v>
          </cell>
        </row>
        <row r="856">
          <cell r="A856">
            <v>0</v>
          </cell>
        </row>
        <row r="857">
          <cell r="A857">
            <v>0</v>
          </cell>
        </row>
        <row r="858">
          <cell r="A858">
            <v>0</v>
          </cell>
        </row>
        <row r="859">
          <cell r="A859">
            <v>0</v>
          </cell>
        </row>
        <row r="860">
          <cell r="A860">
            <v>0</v>
          </cell>
        </row>
        <row r="861">
          <cell r="A861">
            <v>0</v>
          </cell>
        </row>
        <row r="862">
          <cell r="A862">
            <v>0</v>
          </cell>
        </row>
        <row r="863">
          <cell r="A863">
            <v>0</v>
          </cell>
        </row>
        <row r="864">
          <cell r="A864">
            <v>0</v>
          </cell>
        </row>
        <row r="865">
          <cell r="A865">
            <v>0</v>
          </cell>
        </row>
        <row r="866">
          <cell r="A866">
            <v>0</v>
          </cell>
        </row>
        <row r="867">
          <cell r="A867">
            <v>0</v>
          </cell>
        </row>
        <row r="868">
          <cell r="A868">
            <v>0</v>
          </cell>
        </row>
        <row r="869">
          <cell r="A869">
            <v>0</v>
          </cell>
        </row>
        <row r="870">
          <cell r="A870">
            <v>0</v>
          </cell>
        </row>
        <row r="871">
          <cell r="A871">
            <v>0</v>
          </cell>
        </row>
        <row r="872">
          <cell r="A872">
            <v>0</v>
          </cell>
        </row>
        <row r="873">
          <cell r="A873">
            <v>0</v>
          </cell>
        </row>
        <row r="874">
          <cell r="A874">
            <v>0</v>
          </cell>
        </row>
        <row r="875">
          <cell r="A875">
            <v>0</v>
          </cell>
        </row>
        <row r="876">
          <cell r="A876">
            <v>0</v>
          </cell>
        </row>
        <row r="877">
          <cell r="A877">
            <v>0</v>
          </cell>
        </row>
        <row r="878">
          <cell r="A878">
            <v>0</v>
          </cell>
        </row>
        <row r="879">
          <cell r="A879">
            <v>0</v>
          </cell>
        </row>
        <row r="880">
          <cell r="A880">
            <v>0</v>
          </cell>
        </row>
        <row r="881">
          <cell r="A881">
            <v>0</v>
          </cell>
        </row>
        <row r="882">
          <cell r="A882">
            <v>0</v>
          </cell>
        </row>
        <row r="883">
          <cell r="A883">
            <v>0</v>
          </cell>
        </row>
        <row r="884">
          <cell r="A884">
            <v>0</v>
          </cell>
        </row>
        <row r="885">
          <cell r="A885">
            <v>0</v>
          </cell>
        </row>
        <row r="886">
          <cell r="A886">
            <v>0</v>
          </cell>
        </row>
        <row r="887">
          <cell r="A887">
            <v>0</v>
          </cell>
        </row>
        <row r="888">
          <cell r="A888">
            <v>0</v>
          </cell>
        </row>
        <row r="889">
          <cell r="A889">
            <v>0</v>
          </cell>
        </row>
        <row r="890">
          <cell r="A890">
            <v>0</v>
          </cell>
        </row>
        <row r="891">
          <cell r="A891">
            <v>0</v>
          </cell>
        </row>
        <row r="892">
          <cell r="A892">
            <v>0</v>
          </cell>
        </row>
        <row r="893">
          <cell r="A893">
            <v>0</v>
          </cell>
        </row>
        <row r="894">
          <cell r="A894">
            <v>0</v>
          </cell>
        </row>
        <row r="895">
          <cell r="A895">
            <v>0</v>
          </cell>
        </row>
        <row r="896">
          <cell r="A896">
            <v>0</v>
          </cell>
        </row>
        <row r="897">
          <cell r="A897">
            <v>0</v>
          </cell>
        </row>
        <row r="898">
          <cell r="A898">
            <v>0</v>
          </cell>
        </row>
        <row r="899">
          <cell r="A899">
            <v>0</v>
          </cell>
        </row>
        <row r="900">
          <cell r="A900">
            <v>0</v>
          </cell>
        </row>
        <row r="901">
          <cell r="A901">
            <v>0</v>
          </cell>
        </row>
        <row r="902">
          <cell r="A902">
            <v>0</v>
          </cell>
        </row>
        <row r="903">
          <cell r="A903">
            <v>0</v>
          </cell>
        </row>
        <row r="904">
          <cell r="A904">
            <v>0</v>
          </cell>
        </row>
        <row r="905">
          <cell r="A905">
            <v>0</v>
          </cell>
        </row>
        <row r="906">
          <cell r="A906">
            <v>0</v>
          </cell>
        </row>
        <row r="907">
          <cell r="A907">
            <v>0</v>
          </cell>
        </row>
        <row r="908">
          <cell r="A908">
            <v>0</v>
          </cell>
        </row>
        <row r="909">
          <cell r="A909">
            <v>0</v>
          </cell>
        </row>
        <row r="910">
          <cell r="A910">
            <v>0</v>
          </cell>
        </row>
        <row r="911">
          <cell r="A911">
            <v>0</v>
          </cell>
        </row>
        <row r="912">
          <cell r="A912">
            <v>0</v>
          </cell>
        </row>
        <row r="913">
          <cell r="A913">
            <v>0</v>
          </cell>
        </row>
        <row r="914">
          <cell r="A914">
            <v>0</v>
          </cell>
        </row>
        <row r="915">
          <cell r="A915">
            <v>0</v>
          </cell>
        </row>
        <row r="916">
          <cell r="A916">
            <v>0</v>
          </cell>
        </row>
        <row r="917">
          <cell r="A917">
            <v>0</v>
          </cell>
        </row>
        <row r="918">
          <cell r="A918">
            <v>0</v>
          </cell>
        </row>
        <row r="919">
          <cell r="A919">
            <v>0</v>
          </cell>
        </row>
        <row r="920">
          <cell r="A920">
            <v>0</v>
          </cell>
        </row>
        <row r="921">
          <cell r="A921">
            <v>0</v>
          </cell>
        </row>
        <row r="922">
          <cell r="A922">
            <v>0</v>
          </cell>
        </row>
        <row r="923">
          <cell r="A923">
            <v>0</v>
          </cell>
        </row>
        <row r="924">
          <cell r="A924">
            <v>0</v>
          </cell>
        </row>
        <row r="925">
          <cell r="A925">
            <v>0</v>
          </cell>
        </row>
        <row r="926">
          <cell r="A926">
            <v>0</v>
          </cell>
        </row>
        <row r="927">
          <cell r="A927">
            <v>0</v>
          </cell>
        </row>
        <row r="928">
          <cell r="A928">
            <v>0</v>
          </cell>
        </row>
        <row r="929">
          <cell r="A929">
            <v>0</v>
          </cell>
        </row>
        <row r="930">
          <cell r="A930">
            <v>0</v>
          </cell>
        </row>
        <row r="931">
          <cell r="A931">
            <v>0</v>
          </cell>
        </row>
        <row r="932">
          <cell r="A932">
            <v>0</v>
          </cell>
        </row>
        <row r="933">
          <cell r="A933">
            <v>0</v>
          </cell>
        </row>
        <row r="934">
          <cell r="A934">
            <v>0</v>
          </cell>
        </row>
        <row r="935">
          <cell r="A935">
            <v>0</v>
          </cell>
        </row>
        <row r="936">
          <cell r="A936">
            <v>0</v>
          </cell>
        </row>
        <row r="937">
          <cell r="A937">
            <v>0</v>
          </cell>
        </row>
        <row r="938">
          <cell r="A938">
            <v>0</v>
          </cell>
        </row>
        <row r="939">
          <cell r="A939">
            <v>0</v>
          </cell>
        </row>
        <row r="940">
          <cell r="A940">
            <v>0</v>
          </cell>
        </row>
        <row r="941">
          <cell r="A941">
            <v>0</v>
          </cell>
        </row>
        <row r="942">
          <cell r="A942">
            <v>0</v>
          </cell>
        </row>
        <row r="943">
          <cell r="A943">
            <v>0</v>
          </cell>
        </row>
        <row r="944">
          <cell r="A944">
            <v>0</v>
          </cell>
        </row>
        <row r="945">
          <cell r="A945">
            <v>0</v>
          </cell>
        </row>
        <row r="946">
          <cell r="A946">
            <v>0</v>
          </cell>
        </row>
        <row r="947">
          <cell r="A947">
            <v>0</v>
          </cell>
        </row>
        <row r="948">
          <cell r="A948">
            <v>0</v>
          </cell>
        </row>
        <row r="949">
          <cell r="A949">
            <v>0</v>
          </cell>
        </row>
        <row r="950">
          <cell r="A950">
            <v>0</v>
          </cell>
        </row>
        <row r="951">
          <cell r="A951">
            <v>0</v>
          </cell>
        </row>
        <row r="952">
          <cell r="A952">
            <v>0</v>
          </cell>
        </row>
        <row r="953">
          <cell r="A953">
            <v>0</v>
          </cell>
        </row>
        <row r="954">
          <cell r="A954">
            <v>0</v>
          </cell>
        </row>
        <row r="955">
          <cell r="A955">
            <v>0</v>
          </cell>
        </row>
        <row r="956">
          <cell r="A956">
            <v>0</v>
          </cell>
        </row>
        <row r="957">
          <cell r="A957">
            <v>0</v>
          </cell>
        </row>
        <row r="958">
          <cell r="A958">
            <v>0</v>
          </cell>
        </row>
        <row r="959">
          <cell r="A959">
            <v>0</v>
          </cell>
        </row>
        <row r="960">
          <cell r="A960">
            <v>0</v>
          </cell>
        </row>
        <row r="961">
          <cell r="A961">
            <v>0</v>
          </cell>
        </row>
        <row r="962">
          <cell r="A962">
            <v>0</v>
          </cell>
        </row>
        <row r="963">
          <cell r="A963">
            <v>0</v>
          </cell>
        </row>
        <row r="964">
          <cell r="A964">
            <v>0</v>
          </cell>
        </row>
        <row r="965">
          <cell r="A965">
            <v>0</v>
          </cell>
        </row>
        <row r="966">
          <cell r="A966">
            <v>0</v>
          </cell>
        </row>
        <row r="967">
          <cell r="A967">
            <v>0</v>
          </cell>
        </row>
        <row r="968">
          <cell r="A968">
            <v>0</v>
          </cell>
        </row>
        <row r="969">
          <cell r="A969">
            <v>0</v>
          </cell>
        </row>
        <row r="970">
          <cell r="A970">
            <v>0</v>
          </cell>
        </row>
        <row r="971">
          <cell r="A971">
            <v>0</v>
          </cell>
        </row>
        <row r="972">
          <cell r="A972">
            <v>0</v>
          </cell>
        </row>
        <row r="973">
          <cell r="A973">
            <v>0</v>
          </cell>
        </row>
        <row r="974">
          <cell r="A974">
            <v>0</v>
          </cell>
        </row>
        <row r="975">
          <cell r="A975">
            <v>0</v>
          </cell>
        </row>
        <row r="976">
          <cell r="A976">
            <v>0</v>
          </cell>
        </row>
        <row r="977">
          <cell r="A977">
            <v>0</v>
          </cell>
        </row>
        <row r="978">
          <cell r="A978">
            <v>0</v>
          </cell>
        </row>
        <row r="979">
          <cell r="A979">
            <v>0</v>
          </cell>
        </row>
        <row r="980">
          <cell r="A980">
            <v>0</v>
          </cell>
        </row>
        <row r="981">
          <cell r="A981">
            <v>0</v>
          </cell>
        </row>
        <row r="982">
          <cell r="A982">
            <v>0</v>
          </cell>
        </row>
        <row r="983">
          <cell r="A983">
            <v>0</v>
          </cell>
        </row>
        <row r="984">
          <cell r="A984">
            <v>0</v>
          </cell>
        </row>
        <row r="985">
          <cell r="A985">
            <v>0</v>
          </cell>
        </row>
        <row r="986">
          <cell r="A986">
            <v>0</v>
          </cell>
        </row>
        <row r="987">
          <cell r="A987">
            <v>0</v>
          </cell>
        </row>
        <row r="988">
          <cell r="A988">
            <v>0</v>
          </cell>
        </row>
        <row r="989">
          <cell r="A989">
            <v>0</v>
          </cell>
        </row>
        <row r="990">
          <cell r="A990">
            <v>0</v>
          </cell>
        </row>
        <row r="991">
          <cell r="A991">
            <v>0</v>
          </cell>
        </row>
        <row r="992">
          <cell r="A992">
            <v>0</v>
          </cell>
        </row>
        <row r="993">
          <cell r="A993">
            <v>0</v>
          </cell>
        </row>
        <row r="994">
          <cell r="A994">
            <v>0</v>
          </cell>
        </row>
        <row r="995">
          <cell r="A995">
            <v>0</v>
          </cell>
        </row>
        <row r="996">
          <cell r="A996">
            <v>0</v>
          </cell>
        </row>
        <row r="997">
          <cell r="A997">
            <v>0</v>
          </cell>
        </row>
        <row r="998">
          <cell r="A998">
            <v>0</v>
          </cell>
        </row>
        <row r="999">
          <cell r="A999">
            <v>0</v>
          </cell>
        </row>
        <row r="1000">
          <cell r="A1000">
            <v>0</v>
          </cell>
        </row>
        <row r="1001">
          <cell r="A1001">
            <v>0</v>
          </cell>
        </row>
        <row r="1002">
          <cell r="A1002">
            <v>0</v>
          </cell>
        </row>
        <row r="1003">
          <cell r="A1003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Hourly"/>
      <sheetName val="Sheet1"/>
      <sheetName val="ASAL"/>
      <sheetName val="FOR"/>
      <sheetName val="summary"/>
      <sheetName val="Run"/>
      <sheetName val="D"/>
      <sheetName val="PC_750"/>
      <sheetName val="I"/>
      <sheetName val="PLAN"/>
      <sheetName val="REMARK"/>
      <sheetName val="WORK"/>
      <sheetName val="Standard Cost"/>
      <sheetName val="Hystori"/>
      <sheetName val="OPT_GL"/>
      <sheetName val="bantuan"/>
      <sheetName val="Hourly_16_Des_2006"/>
      <sheetName val="Data Base"/>
      <sheetName val="LS-Rutin"/>
      <sheetName val="ocean voyage"/>
      <sheetName val="LIST"/>
    </sheetNames>
    <sheetDataSet>
      <sheetData sheetId="0" refreshError="1">
        <row r="34">
          <cell r="B34" t="str">
            <v>SH4001</v>
          </cell>
          <cell r="C34">
            <v>0</v>
          </cell>
          <cell r="D34">
            <v>0</v>
          </cell>
          <cell r="E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Z34">
            <v>0</v>
          </cell>
          <cell r="AA34">
            <v>0</v>
          </cell>
          <cell r="AB34">
            <v>0</v>
          </cell>
        </row>
        <row r="35">
          <cell r="B35" t="str">
            <v>SH4002</v>
          </cell>
          <cell r="C35">
            <v>5</v>
          </cell>
          <cell r="D35">
            <v>4</v>
          </cell>
          <cell r="E35">
            <v>6.53</v>
          </cell>
          <cell r="H35">
            <v>15.53</v>
          </cell>
          <cell r="I35">
            <v>1800</v>
          </cell>
          <cell r="J35">
            <v>1800</v>
          </cell>
          <cell r="K35">
            <v>1800</v>
          </cell>
          <cell r="L35">
            <v>1800</v>
          </cell>
          <cell r="M35">
            <v>1800</v>
          </cell>
          <cell r="N35">
            <v>1800</v>
          </cell>
          <cell r="O35">
            <v>9000</v>
          </cell>
          <cell r="P35">
            <v>7200</v>
          </cell>
          <cell r="Q35">
            <v>11754</v>
          </cell>
          <cell r="T35">
            <v>27954</v>
          </cell>
          <cell r="U35">
            <v>0</v>
          </cell>
          <cell r="V35">
            <v>0</v>
          </cell>
          <cell r="W35">
            <v>0</v>
          </cell>
          <cell r="Z35">
            <v>0</v>
          </cell>
          <cell r="AA35">
            <v>3000</v>
          </cell>
          <cell r="AB35">
            <v>3081.3421652230218</v>
          </cell>
        </row>
        <row r="36">
          <cell r="B36" t="str">
            <v>SH304</v>
          </cell>
          <cell r="C36">
            <v>4</v>
          </cell>
          <cell r="D36">
            <v>0</v>
          </cell>
          <cell r="E36">
            <v>0</v>
          </cell>
          <cell r="H36">
            <v>4</v>
          </cell>
          <cell r="I36">
            <v>1300</v>
          </cell>
          <cell r="J36">
            <v>1300</v>
          </cell>
          <cell r="K36">
            <v>1300</v>
          </cell>
          <cell r="L36">
            <v>1300</v>
          </cell>
          <cell r="M36">
            <v>1300</v>
          </cell>
          <cell r="N36">
            <v>1300</v>
          </cell>
          <cell r="O36">
            <v>5200</v>
          </cell>
          <cell r="P36">
            <v>0</v>
          </cell>
          <cell r="Q36">
            <v>0</v>
          </cell>
          <cell r="T36">
            <v>5200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2550</v>
          </cell>
          <cell r="AB36">
            <v>3038.3085758957914</v>
          </cell>
        </row>
        <row r="37">
          <cell r="B37" t="str">
            <v>SH305</v>
          </cell>
          <cell r="C37">
            <v>0</v>
          </cell>
          <cell r="D37">
            <v>0</v>
          </cell>
          <cell r="E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</row>
        <row r="38">
          <cell r="B38" t="str">
            <v>SH306</v>
          </cell>
          <cell r="C38">
            <v>7.74</v>
          </cell>
          <cell r="D38">
            <v>7.13</v>
          </cell>
          <cell r="E38">
            <v>6.53</v>
          </cell>
          <cell r="H38">
            <v>21.4</v>
          </cell>
          <cell r="I38">
            <v>1300</v>
          </cell>
          <cell r="J38">
            <v>1300</v>
          </cell>
          <cell r="K38">
            <v>1300</v>
          </cell>
          <cell r="L38">
            <v>1300</v>
          </cell>
          <cell r="M38">
            <v>1300</v>
          </cell>
          <cell r="N38">
            <v>1300</v>
          </cell>
          <cell r="O38">
            <v>10062</v>
          </cell>
          <cell r="P38">
            <v>9269</v>
          </cell>
          <cell r="Q38">
            <v>8489</v>
          </cell>
          <cell r="T38">
            <v>27820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2750</v>
          </cell>
          <cell r="AB38">
            <v>3038.3085758957914</v>
          </cell>
        </row>
        <row r="39">
          <cell r="B39" t="str">
            <v>EX708</v>
          </cell>
          <cell r="C39">
            <v>0</v>
          </cell>
          <cell r="D39">
            <v>0</v>
          </cell>
          <cell r="E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</row>
        <row r="40">
          <cell r="B40" t="str">
            <v>EX709</v>
          </cell>
          <cell r="C40">
            <v>7.74</v>
          </cell>
          <cell r="D40">
            <v>7.13</v>
          </cell>
          <cell r="E40">
            <v>6.53</v>
          </cell>
          <cell r="H40">
            <v>21.4</v>
          </cell>
          <cell r="I40">
            <v>1300</v>
          </cell>
          <cell r="J40">
            <v>1300</v>
          </cell>
          <cell r="K40">
            <v>1300</v>
          </cell>
          <cell r="L40">
            <v>1300</v>
          </cell>
          <cell r="M40">
            <v>1300</v>
          </cell>
          <cell r="N40">
            <v>1300</v>
          </cell>
          <cell r="O40">
            <v>10062</v>
          </cell>
          <cell r="P40">
            <v>9269</v>
          </cell>
          <cell r="Q40">
            <v>8489</v>
          </cell>
          <cell r="T40">
            <v>27820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3350</v>
          </cell>
          <cell r="AB40">
            <v>3399.832765763766</v>
          </cell>
        </row>
        <row r="41">
          <cell r="B41" t="str">
            <v>EX710</v>
          </cell>
          <cell r="C41">
            <v>7.74</v>
          </cell>
          <cell r="D41">
            <v>7.13</v>
          </cell>
          <cell r="E41">
            <v>6.53</v>
          </cell>
          <cell r="H41">
            <v>21.4</v>
          </cell>
          <cell r="I41">
            <v>900</v>
          </cell>
          <cell r="J41">
            <v>900</v>
          </cell>
          <cell r="K41">
            <v>900</v>
          </cell>
          <cell r="L41">
            <v>900</v>
          </cell>
          <cell r="M41">
            <v>900</v>
          </cell>
          <cell r="N41">
            <v>900</v>
          </cell>
          <cell r="O41">
            <v>6966</v>
          </cell>
          <cell r="P41">
            <v>6417</v>
          </cell>
          <cell r="Q41">
            <v>5877</v>
          </cell>
          <cell r="T41">
            <v>19260</v>
          </cell>
          <cell r="U41">
            <v>0</v>
          </cell>
          <cell r="V41">
            <v>0</v>
          </cell>
          <cell r="W41">
            <v>0</v>
          </cell>
          <cell r="Z41">
            <v>0</v>
          </cell>
          <cell r="AA41">
            <v>3300</v>
          </cell>
          <cell r="AB41">
            <v>3822.1493617523656</v>
          </cell>
        </row>
        <row r="42">
          <cell r="B42" t="str">
            <v>EX711</v>
          </cell>
          <cell r="C42">
            <v>0</v>
          </cell>
          <cell r="D42">
            <v>0</v>
          </cell>
          <cell r="E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</row>
        <row r="43">
          <cell r="B43" t="str">
            <v>EX1001</v>
          </cell>
          <cell r="C43">
            <v>0</v>
          </cell>
          <cell r="D43">
            <v>0</v>
          </cell>
          <cell r="E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</row>
        <row r="44">
          <cell r="B44" t="str">
            <v>EX1002</v>
          </cell>
          <cell r="C44">
            <v>7.74</v>
          </cell>
          <cell r="D44">
            <v>7.13</v>
          </cell>
          <cell r="E44">
            <v>6.53</v>
          </cell>
          <cell r="H44">
            <v>21.4</v>
          </cell>
          <cell r="I44">
            <v>500</v>
          </cell>
          <cell r="J44">
            <v>500</v>
          </cell>
          <cell r="K44">
            <v>500</v>
          </cell>
          <cell r="L44">
            <v>500</v>
          </cell>
          <cell r="M44">
            <v>500</v>
          </cell>
          <cell r="N44">
            <v>500</v>
          </cell>
          <cell r="T44">
            <v>0</v>
          </cell>
          <cell r="U44">
            <v>3870</v>
          </cell>
          <cell r="V44">
            <v>3565</v>
          </cell>
          <cell r="W44">
            <v>3265</v>
          </cell>
          <cell r="X44">
            <v>0</v>
          </cell>
          <cell r="Y44">
            <v>0</v>
          </cell>
          <cell r="Z44">
            <v>10700</v>
          </cell>
          <cell r="AA44">
            <v>0</v>
          </cell>
          <cell r="AB44">
            <v>8149.0857203720061</v>
          </cell>
        </row>
        <row r="45">
          <cell r="B45" t="str">
            <v>EX1004</v>
          </cell>
          <cell r="F45">
            <v>9.5</v>
          </cell>
          <cell r="G45">
            <v>10.5</v>
          </cell>
          <cell r="H45">
            <v>20</v>
          </cell>
          <cell r="L45">
            <v>400</v>
          </cell>
          <cell r="M45">
            <v>400</v>
          </cell>
          <cell r="N45">
            <v>400</v>
          </cell>
          <cell r="R45">
            <v>3800</v>
          </cell>
          <cell r="S45">
            <v>4200</v>
          </cell>
          <cell r="T45">
            <v>8000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3173.5472399067926</v>
          </cell>
        </row>
        <row r="46">
          <cell r="B46" t="str">
            <v>EX1006</v>
          </cell>
          <cell r="C46">
            <v>7.74</v>
          </cell>
          <cell r="D46">
            <v>7.13</v>
          </cell>
          <cell r="E46">
            <v>6.53</v>
          </cell>
          <cell r="H46">
            <v>21.4</v>
          </cell>
          <cell r="I46">
            <v>400</v>
          </cell>
          <cell r="J46">
            <v>400</v>
          </cell>
          <cell r="K46">
            <v>400</v>
          </cell>
          <cell r="L46">
            <v>400</v>
          </cell>
          <cell r="M46">
            <v>400</v>
          </cell>
          <cell r="N46">
            <v>400</v>
          </cell>
          <cell r="O46">
            <v>3096</v>
          </cell>
          <cell r="P46">
            <v>2852</v>
          </cell>
          <cell r="Q46">
            <v>2612</v>
          </cell>
          <cell r="T46">
            <v>8560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3250</v>
          </cell>
          <cell r="AB46">
            <v>3281.7946753159999</v>
          </cell>
        </row>
        <row r="47">
          <cell r="B47" t="str">
            <v>EX1008</v>
          </cell>
          <cell r="C47">
            <v>7.74</v>
          </cell>
          <cell r="D47">
            <v>7.13</v>
          </cell>
          <cell r="E47">
            <v>6.53</v>
          </cell>
          <cell r="H47">
            <v>21.4</v>
          </cell>
          <cell r="I47">
            <v>400</v>
          </cell>
          <cell r="J47">
            <v>400</v>
          </cell>
          <cell r="K47">
            <v>400</v>
          </cell>
          <cell r="L47">
            <v>400</v>
          </cell>
          <cell r="M47">
            <v>400</v>
          </cell>
          <cell r="N47">
            <v>400</v>
          </cell>
          <cell r="O47">
            <v>3096</v>
          </cell>
          <cell r="P47">
            <v>2852</v>
          </cell>
          <cell r="Q47">
            <v>2612</v>
          </cell>
          <cell r="T47">
            <v>8560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</row>
        <row r="48">
          <cell r="B48" t="str">
            <v>EX1013</v>
          </cell>
          <cell r="C48">
            <v>7.74</v>
          </cell>
          <cell r="D48">
            <v>7.13</v>
          </cell>
          <cell r="E48">
            <v>6.53</v>
          </cell>
          <cell r="H48">
            <v>21.4</v>
          </cell>
          <cell r="I48">
            <v>450</v>
          </cell>
          <cell r="J48">
            <v>450</v>
          </cell>
          <cell r="K48">
            <v>450</v>
          </cell>
          <cell r="L48">
            <v>450</v>
          </cell>
          <cell r="M48">
            <v>400</v>
          </cell>
          <cell r="N48">
            <v>440</v>
          </cell>
          <cell r="O48">
            <v>3483</v>
          </cell>
          <cell r="P48">
            <v>2852</v>
          </cell>
          <cell r="Q48">
            <v>2612</v>
          </cell>
          <cell r="T48">
            <v>8947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2650</v>
          </cell>
          <cell r="AB48">
            <v>2825.951919795802</v>
          </cell>
        </row>
        <row r="49">
          <cell r="B49" t="str">
            <v>EX1014</v>
          </cell>
          <cell r="C49">
            <v>7.74</v>
          </cell>
          <cell r="D49">
            <v>7.13</v>
          </cell>
          <cell r="E49">
            <v>6.53</v>
          </cell>
          <cell r="H49">
            <v>21.4</v>
          </cell>
          <cell r="I49">
            <v>450</v>
          </cell>
          <cell r="J49">
            <v>450</v>
          </cell>
          <cell r="K49">
            <v>450</v>
          </cell>
          <cell r="L49">
            <v>450</v>
          </cell>
          <cell r="M49">
            <v>450</v>
          </cell>
          <cell r="N49">
            <v>450</v>
          </cell>
          <cell r="O49">
            <v>3483</v>
          </cell>
          <cell r="P49">
            <v>3208.5</v>
          </cell>
          <cell r="Q49">
            <v>2938.5</v>
          </cell>
          <cell r="T49">
            <v>9630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3250</v>
          </cell>
          <cell r="AB49">
            <v>0</v>
          </cell>
        </row>
        <row r="50">
          <cell r="B50" t="str">
            <v>EX577</v>
          </cell>
          <cell r="F50">
            <v>9.5</v>
          </cell>
          <cell r="G50">
            <v>10.5</v>
          </cell>
          <cell r="H50">
            <v>20</v>
          </cell>
          <cell r="L50">
            <v>300</v>
          </cell>
          <cell r="M50">
            <v>300</v>
          </cell>
          <cell r="N50">
            <v>300</v>
          </cell>
          <cell r="R50">
            <v>2850</v>
          </cell>
          <cell r="S50">
            <v>3150</v>
          </cell>
          <cell r="T50">
            <v>6000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2500</v>
          </cell>
          <cell r="AB50">
            <v>0</v>
          </cell>
        </row>
        <row r="51">
          <cell r="B51" t="str">
            <v>EX578</v>
          </cell>
          <cell r="F51">
            <v>9.5</v>
          </cell>
          <cell r="G51">
            <v>10.5</v>
          </cell>
          <cell r="H51">
            <v>20</v>
          </cell>
          <cell r="L51">
            <v>300</v>
          </cell>
          <cell r="M51">
            <v>300</v>
          </cell>
          <cell r="N51">
            <v>300</v>
          </cell>
          <cell r="R51">
            <v>2850</v>
          </cell>
          <cell r="S51">
            <v>3150</v>
          </cell>
          <cell r="T51">
            <v>6000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2750</v>
          </cell>
          <cell r="AB51">
            <v>2890.9618348385825</v>
          </cell>
        </row>
        <row r="52">
          <cell r="B52" t="str">
            <v>WL508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</row>
        <row r="53">
          <cell r="B53" t="str">
            <v>EX429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</row>
        <row r="54">
          <cell r="B54" t="str">
            <v>EX430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</row>
        <row r="55">
          <cell r="B55" t="str">
            <v>KPTJEX009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 t="e">
            <v>#N/A</v>
          </cell>
          <cell r="AB55">
            <v>0</v>
          </cell>
        </row>
        <row r="56">
          <cell r="B56" t="str">
            <v>KPLMEX002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 t="e">
            <v>#N/A</v>
          </cell>
          <cell r="AB56">
            <v>0</v>
          </cell>
        </row>
        <row r="57">
          <cell r="B57">
            <v>1</v>
          </cell>
          <cell r="F57">
            <v>0</v>
          </cell>
          <cell r="G57">
            <v>0</v>
          </cell>
          <cell r="H57">
            <v>0</v>
          </cell>
          <cell r="L57">
            <v>0</v>
          </cell>
          <cell r="M57">
            <v>0</v>
          </cell>
          <cell r="N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Z57">
            <v>0</v>
          </cell>
          <cell r="AA57" t="e">
            <v>#N/A</v>
          </cell>
          <cell r="AB57">
            <v>0</v>
          </cell>
        </row>
        <row r="58">
          <cell r="B58" t="str">
            <v>TOTAL</v>
          </cell>
          <cell r="C58">
            <v>70.92</v>
          </cell>
          <cell r="D58">
            <v>61.04</v>
          </cell>
          <cell r="E58">
            <v>58.77</v>
          </cell>
          <cell r="F58">
            <v>28.5</v>
          </cell>
          <cell r="G58">
            <v>31.5</v>
          </cell>
          <cell r="H58">
            <v>250.73</v>
          </cell>
          <cell r="I58">
            <v>1800</v>
          </cell>
          <cell r="J58">
            <v>1800</v>
          </cell>
          <cell r="K58">
            <v>1800</v>
          </cell>
          <cell r="L58">
            <v>1800</v>
          </cell>
          <cell r="M58">
            <v>1800</v>
          </cell>
          <cell r="N58">
            <v>1800</v>
          </cell>
          <cell r="O58">
            <v>54448</v>
          </cell>
          <cell r="P58">
            <v>43919.5</v>
          </cell>
          <cell r="Q58">
            <v>45383.5</v>
          </cell>
          <cell r="R58">
            <v>9500</v>
          </cell>
          <cell r="S58">
            <v>10500</v>
          </cell>
          <cell r="T58">
            <v>163751</v>
          </cell>
          <cell r="U58">
            <v>3870</v>
          </cell>
          <cell r="V58">
            <v>3565</v>
          </cell>
          <cell r="W58">
            <v>3265</v>
          </cell>
          <cell r="X58">
            <v>0</v>
          </cell>
          <cell r="Y58">
            <v>0</v>
          </cell>
          <cell r="Z58">
            <v>10700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Plan"/>
      <sheetName val="hourly"/>
      <sheetName val="Daily Plan Nov'06R0"/>
      <sheetName val="SUM"/>
      <sheetName val="OPT_GL"/>
      <sheetName val="bantuan"/>
      <sheetName val="Truck"/>
      <sheetName val="database"/>
      <sheetName val="summary"/>
      <sheetName val="Data Base"/>
      <sheetName val="Run"/>
    </sheetNames>
    <sheetDataSet>
      <sheetData sheetId="0" refreshError="1">
        <row r="8">
          <cell r="BH8" t="str">
            <v>SH304</v>
          </cell>
          <cell r="BI8">
            <v>6.5</v>
          </cell>
          <cell r="BJ8">
            <v>10.5</v>
          </cell>
          <cell r="BK8">
            <v>17</v>
          </cell>
          <cell r="BL8">
            <v>1400</v>
          </cell>
          <cell r="BM8">
            <v>1400</v>
          </cell>
          <cell r="BN8">
            <v>1400</v>
          </cell>
          <cell r="BO8">
            <v>9100</v>
          </cell>
          <cell r="BP8">
            <v>14700</v>
          </cell>
          <cell r="BQ8">
            <v>23800</v>
          </cell>
          <cell r="BR8">
            <v>0</v>
          </cell>
          <cell r="BS8">
            <v>0</v>
          </cell>
          <cell r="BT8">
            <v>0</v>
          </cell>
          <cell r="BU8" t="str">
            <v>OB</v>
          </cell>
          <cell r="BV8">
            <v>4.5</v>
          </cell>
          <cell r="BW8">
            <v>2.5</v>
          </cell>
          <cell r="BX8">
            <v>3250</v>
          </cell>
          <cell r="BY8">
            <v>0</v>
          </cell>
          <cell r="BZ8">
            <v>0</v>
          </cell>
          <cell r="CA8">
            <v>0</v>
          </cell>
        </row>
        <row r="9">
          <cell r="BH9" t="str">
            <v>SH305</v>
          </cell>
          <cell r="BI9">
            <v>6.5</v>
          </cell>
          <cell r="BJ9">
            <v>10.5</v>
          </cell>
          <cell r="BK9">
            <v>17</v>
          </cell>
          <cell r="BL9">
            <v>1400</v>
          </cell>
          <cell r="BM9">
            <v>1400</v>
          </cell>
          <cell r="BN9">
            <v>1400</v>
          </cell>
          <cell r="BO9">
            <v>9100</v>
          </cell>
          <cell r="BP9">
            <v>14700</v>
          </cell>
          <cell r="BQ9">
            <v>23800</v>
          </cell>
          <cell r="BR9">
            <v>0</v>
          </cell>
          <cell r="BS9">
            <v>0</v>
          </cell>
          <cell r="BT9">
            <v>0</v>
          </cell>
          <cell r="BU9" t="str">
            <v>OB</v>
          </cell>
          <cell r="BV9">
            <v>4.5</v>
          </cell>
          <cell r="BW9">
            <v>2.5</v>
          </cell>
          <cell r="BX9">
            <v>2750</v>
          </cell>
          <cell r="BY9">
            <v>0</v>
          </cell>
          <cell r="BZ9">
            <v>0</v>
          </cell>
          <cell r="CA9">
            <v>0</v>
          </cell>
        </row>
        <row r="10">
          <cell r="BH10" t="str">
            <v>SH306</v>
          </cell>
          <cell r="BI10">
            <v>6.5</v>
          </cell>
          <cell r="BJ10">
            <v>10.5</v>
          </cell>
          <cell r="BK10">
            <v>17</v>
          </cell>
          <cell r="BL10">
            <v>1350</v>
          </cell>
          <cell r="BM10">
            <v>1350</v>
          </cell>
          <cell r="BN10">
            <v>1350</v>
          </cell>
          <cell r="BO10">
            <v>8775</v>
          </cell>
          <cell r="BP10">
            <v>14175</v>
          </cell>
          <cell r="BQ10">
            <v>22950</v>
          </cell>
          <cell r="BR10">
            <v>0</v>
          </cell>
          <cell r="BS10">
            <v>0</v>
          </cell>
          <cell r="BT10">
            <v>0</v>
          </cell>
          <cell r="BU10" t="str">
            <v>OB</v>
          </cell>
          <cell r="BV10">
            <v>4.5</v>
          </cell>
          <cell r="BW10">
            <v>2.5</v>
          </cell>
          <cell r="BX10">
            <v>3250</v>
          </cell>
          <cell r="BY10">
            <v>0</v>
          </cell>
          <cell r="BZ10">
            <v>0</v>
          </cell>
          <cell r="CA10">
            <v>0</v>
          </cell>
        </row>
        <row r="11">
          <cell r="BH11" t="str">
            <v>EX708</v>
          </cell>
          <cell r="BI11">
            <v>6.5</v>
          </cell>
          <cell r="BJ11">
            <v>10.5</v>
          </cell>
          <cell r="BK11">
            <v>17</v>
          </cell>
          <cell r="BL11">
            <v>950</v>
          </cell>
          <cell r="BM11">
            <v>950</v>
          </cell>
          <cell r="BN11">
            <v>950</v>
          </cell>
          <cell r="BO11">
            <v>6175</v>
          </cell>
          <cell r="BP11">
            <v>9975</v>
          </cell>
          <cell r="BQ11">
            <v>16150</v>
          </cell>
          <cell r="BR11">
            <v>0</v>
          </cell>
          <cell r="BS11">
            <v>0</v>
          </cell>
          <cell r="BT11">
            <v>0</v>
          </cell>
          <cell r="BU11" t="str">
            <v>OB</v>
          </cell>
          <cell r="BV11">
            <v>4.5</v>
          </cell>
          <cell r="BW11">
            <v>2.5</v>
          </cell>
          <cell r="BX11">
            <v>2500</v>
          </cell>
          <cell r="BY11">
            <v>0</v>
          </cell>
          <cell r="BZ11">
            <v>0</v>
          </cell>
          <cell r="CA11">
            <v>0</v>
          </cell>
        </row>
        <row r="12">
          <cell r="BH12" t="str">
            <v>EX709</v>
          </cell>
          <cell r="BI12">
            <v>6.5</v>
          </cell>
          <cell r="BJ12">
            <v>10.5</v>
          </cell>
          <cell r="BK12">
            <v>17</v>
          </cell>
          <cell r="BL12">
            <v>950</v>
          </cell>
          <cell r="BM12">
            <v>950</v>
          </cell>
          <cell r="BN12">
            <v>950</v>
          </cell>
          <cell r="BO12">
            <v>6175</v>
          </cell>
          <cell r="BP12">
            <v>9975</v>
          </cell>
          <cell r="BQ12">
            <v>16150</v>
          </cell>
          <cell r="BR12">
            <v>0</v>
          </cell>
          <cell r="BS12">
            <v>0</v>
          </cell>
          <cell r="BT12">
            <v>0</v>
          </cell>
          <cell r="BU12" t="str">
            <v>OB</v>
          </cell>
          <cell r="BV12">
            <v>4.5</v>
          </cell>
          <cell r="BW12">
            <v>2.5</v>
          </cell>
          <cell r="BX12">
            <v>2250</v>
          </cell>
          <cell r="BY12">
            <v>0</v>
          </cell>
          <cell r="BZ12">
            <v>0</v>
          </cell>
          <cell r="CA12">
            <v>0</v>
          </cell>
        </row>
        <row r="13">
          <cell r="BH13" t="str">
            <v>EX710</v>
          </cell>
          <cell r="BI13">
            <v>6.5</v>
          </cell>
          <cell r="BJ13">
            <v>10.5</v>
          </cell>
          <cell r="BK13">
            <v>17</v>
          </cell>
          <cell r="BL13">
            <v>900</v>
          </cell>
          <cell r="BM13">
            <v>900</v>
          </cell>
          <cell r="BN13">
            <v>900</v>
          </cell>
          <cell r="BO13">
            <v>5850</v>
          </cell>
          <cell r="BP13">
            <v>9450</v>
          </cell>
          <cell r="BQ13">
            <v>15300</v>
          </cell>
          <cell r="BR13">
            <v>0</v>
          </cell>
          <cell r="BS13">
            <v>0</v>
          </cell>
          <cell r="BT13">
            <v>0</v>
          </cell>
          <cell r="BU13" t="str">
            <v>OB</v>
          </cell>
          <cell r="BV13">
            <v>4.5</v>
          </cell>
          <cell r="BW13">
            <v>2.5</v>
          </cell>
          <cell r="BX13">
            <v>3000</v>
          </cell>
          <cell r="BY13">
            <v>0</v>
          </cell>
          <cell r="BZ13">
            <v>0</v>
          </cell>
          <cell r="CA13">
            <v>0</v>
          </cell>
        </row>
        <row r="14">
          <cell r="BH14" t="str">
            <v>EX711</v>
          </cell>
          <cell r="BI14">
            <v>6.5</v>
          </cell>
          <cell r="BJ14">
            <v>10.5</v>
          </cell>
          <cell r="BK14">
            <v>17</v>
          </cell>
          <cell r="BL14">
            <v>950</v>
          </cell>
          <cell r="BM14">
            <v>950</v>
          </cell>
          <cell r="BN14">
            <v>950</v>
          </cell>
          <cell r="BO14">
            <v>6175</v>
          </cell>
          <cell r="BP14">
            <v>9975</v>
          </cell>
          <cell r="BQ14">
            <v>16150</v>
          </cell>
          <cell r="BR14">
            <v>0</v>
          </cell>
          <cell r="BS14">
            <v>0</v>
          </cell>
          <cell r="BT14">
            <v>0</v>
          </cell>
          <cell r="BU14" t="str">
            <v>OB</v>
          </cell>
          <cell r="BV14">
            <v>4.5</v>
          </cell>
          <cell r="BW14">
            <v>2.5</v>
          </cell>
          <cell r="BX14">
            <v>2750</v>
          </cell>
          <cell r="BY14">
            <v>0</v>
          </cell>
          <cell r="BZ14">
            <v>0</v>
          </cell>
          <cell r="CA14">
            <v>0</v>
          </cell>
        </row>
        <row r="15">
          <cell r="BH15" t="str">
            <v>EX718</v>
          </cell>
          <cell r="BI15">
            <v>6.5</v>
          </cell>
          <cell r="BJ15">
            <v>10.5</v>
          </cell>
          <cell r="BK15">
            <v>17</v>
          </cell>
          <cell r="BL15">
            <v>900</v>
          </cell>
          <cell r="BM15">
            <v>900</v>
          </cell>
          <cell r="BN15">
            <v>900</v>
          </cell>
          <cell r="BO15">
            <v>5850</v>
          </cell>
          <cell r="BP15">
            <v>9450</v>
          </cell>
          <cell r="BQ15">
            <v>15300</v>
          </cell>
          <cell r="BR15">
            <v>0</v>
          </cell>
          <cell r="BS15">
            <v>0</v>
          </cell>
          <cell r="BT15">
            <v>0</v>
          </cell>
          <cell r="BU15" t="str">
            <v>OB</v>
          </cell>
          <cell r="BV15">
            <v>4.5</v>
          </cell>
          <cell r="BW15">
            <v>2.5</v>
          </cell>
          <cell r="BX15">
            <v>3000</v>
          </cell>
          <cell r="BY15">
            <v>0</v>
          </cell>
          <cell r="BZ15">
            <v>0</v>
          </cell>
          <cell r="CA15">
            <v>0</v>
          </cell>
        </row>
        <row r="16">
          <cell r="BH16" t="str">
            <v>EX729</v>
          </cell>
          <cell r="BI16">
            <v>6.5</v>
          </cell>
          <cell r="BJ16">
            <v>10.5</v>
          </cell>
          <cell r="BK16">
            <v>17</v>
          </cell>
          <cell r="BL16">
            <v>900</v>
          </cell>
          <cell r="BM16">
            <v>900</v>
          </cell>
          <cell r="BN16">
            <v>900</v>
          </cell>
          <cell r="BO16">
            <v>5850</v>
          </cell>
          <cell r="BP16">
            <v>9450</v>
          </cell>
          <cell r="BQ16">
            <v>15300</v>
          </cell>
          <cell r="BR16">
            <v>0</v>
          </cell>
          <cell r="BS16">
            <v>0</v>
          </cell>
          <cell r="BT16">
            <v>0</v>
          </cell>
          <cell r="BU16" t="str">
            <v>OB</v>
          </cell>
          <cell r="BV16">
            <v>4.5</v>
          </cell>
          <cell r="BW16">
            <v>2.5</v>
          </cell>
          <cell r="BX16">
            <v>3000</v>
          </cell>
          <cell r="BY16">
            <v>0</v>
          </cell>
          <cell r="BZ16">
            <v>0</v>
          </cell>
          <cell r="CA16">
            <v>0</v>
          </cell>
        </row>
        <row r="17">
          <cell r="BH17" t="str">
            <v>EX1701</v>
          </cell>
          <cell r="BI17">
            <v>0</v>
          </cell>
          <cell r="BJ17">
            <v>5</v>
          </cell>
          <cell r="BK17">
            <v>5</v>
          </cell>
          <cell r="BL17">
            <v>0</v>
          </cell>
          <cell r="BM17">
            <v>800</v>
          </cell>
          <cell r="BN17">
            <v>800</v>
          </cell>
          <cell r="BO17">
            <v>0</v>
          </cell>
          <cell r="BP17">
            <v>4000</v>
          </cell>
          <cell r="BQ17">
            <v>4000</v>
          </cell>
          <cell r="BR17">
            <v>0</v>
          </cell>
          <cell r="BS17">
            <v>0</v>
          </cell>
          <cell r="BT17">
            <v>0</v>
          </cell>
          <cell r="BU17" t="str">
            <v>OB</v>
          </cell>
          <cell r="BV17">
            <v>0</v>
          </cell>
          <cell r="BW17">
            <v>8</v>
          </cell>
          <cell r="BX17">
            <v>-1250</v>
          </cell>
          <cell r="BY17">
            <v>4250</v>
          </cell>
          <cell r="BZ17">
            <v>17</v>
          </cell>
          <cell r="CA17">
            <v>0</v>
          </cell>
        </row>
        <row r="18">
          <cell r="BH18" t="str">
            <v>EX1001</v>
          </cell>
          <cell r="BI18">
            <v>6.5</v>
          </cell>
          <cell r="BJ18">
            <v>10.5</v>
          </cell>
          <cell r="BK18">
            <v>17</v>
          </cell>
          <cell r="BL18">
            <v>400</v>
          </cell>
          <cell r="BM18">
            <v>400</v>
          </cell>
          <cell r="BN18">
            <v>400</v>
          </cell>
          <cell r="BO18">
            <v>2600</v>
          </cell>
          <cell r="BP18">
            <v>4200</v>
          </cell>
          <cell r="BQ18">
            <v>6800</v>
          </cell>
          <cell r="BR18">
            <v>0</v>
          </cell>
          <cell r="BS18">
            <v>0</v>
          </cell>
          <cell r="BT18">
            <v>0</v>
          </cell>
          <cell r="BU18" t="str">
            <v>OB</v>
          </cell>
          <cell r="BV18">
            <v>4.5</v>
          </cell>
          <cell r="BW18">
            <v>2.5</v>
          </cell>
          <cell r="BX18">
            <v>2500</v>
          </cell>
          <cell r="BY18">
            <v>0</v>
          </cell>
          <cell r="BZ18">
            <v>0</v>
          </cell>
          <cell r="CA18">
            <v>0</v>
          </cell>
        </row>
        <row r="19">
          <cell r="BH19" t="str">
            <v>EX1002</v>
          </cell>
          <cell r="BI19">
            <v>6.5</v>
          </cell>
          <cell r="BJ19">
            <v>10.5</v>
          </cell>
          <cell r="BK19">
            <v>17</v>
          </cell>
          <cell r="BL19">
            <v>400</v>
          </cell>
          <cell r="BM19">
            <v>400</v>
          </cell>
          <cell r="BN19">
            <v>400</v>
          </cell>
          <cell r="BO19">
            <v>2600</v>
          </cell>
          <cell r="BP19">
            <v>4200</v>
          </cell>
          <cell r="BQ19">
            <v>6800</v>
          </cell>
          <cell r="BR19">
            <v>0</v>
          </cell>
          <cell r="BS19">
            <v>0</v>
          </cell>
          <cell r="BT19">
            <v>0</v>
          </cell>
          <cell r="BU19" t="str">
            <v>OB</v>
          </cell>
          <cell r="BV19">
            <v>4.5</v>
          </cell>
          <cell r="BW19">
            <v>2.5</v>
          </cell>
          <cell r="BX19">
            <v>2500</v>
          </cell>
          <cell r="BY19">
            <v>0</v>
          </cell>
          <cell r="BZ19">
            <v>0</v>
          </cell>
          <cell r="CA19">
            <v>0</v>
          </cell>
        </row>
        <row r="20">
          <cell r="BH20" t="str">
            <v>EX1004</v>
          </cell>
          <cell r="BI20">
            <v>6.5</v>
          </cell>
          <cell r="BJ20">
            <v>10.5</v>
          </cell>
          <cell r="BK20">
            <v>17</v>
          </cell>
          <cell r="BL20">
            <v>500</v>
          </cell>
          <cell r="BM20">
            <v>500</v>
          </cell>
          <cell r="BN20">
            <v>500</v>
          </cell>
          <cell r="BO20">
            <v>0</v>
          </cell>
          <cell r="BP20">
            <v>0</v>
          </cell>
          <cell r="BQ20">
            <v>0</v>
          </cell>
          <cell r="BR20">
            <v>3250</v>
          </cell>
          <cell r="BS20">
            <v>5250</v>
          </cell>
          <cell r="BT20">
            <v>8500</v>
          </cell>
          <cell r="BU20" t="str">
            <v>CC</v>
          </cell>
          <cell r="BV20">
            <v>11</v>
          </cell>
          <cell r="BW20">
            <v>13</v>
          </cell>
          <cell r="BX20">
            <v>3000</v>
          </cell>
          <cell r="BY20">
            <v>0</v>
          </cell>
          <cell r="BZ20">
            <v>0</v>
          </cell>
          <cell r="CA20">
            <v>0</v>
          </cell>
        </row>
        <row r="21">
          <cell r="BH21" t="str">
            <v>EX1006</v>
          </cell>
          <cell r="BI21">
            <v>6.5</v>
          </cell>
          <cell r="BJ21">
            <v>10.5</v>
          </cell>
          <cell r="BK21">
            <v>17</v>
          </cell>
          <cell r="BL21">
            <v>500</v>
          </cell>
          <cell r="BM21">
            <v>500</v>
          </cell>
          <cell r="BN21">
            <v>500</v>
          </cell>
          <cell r="BO21">
            <v>3250</v>
          </cell>
          <cell r="BP21">
            <v>5250</v>
          </cell>
          <cell r="BQ21">
            <v>8500</v>
          </cell>
          <cell r="BR21">
            <v>0</v>
          </cell>
          <cell r="BS21">
            <v>0</v>
          </cell>
          <cell r="BT21">
            <v>0</v>
          </cell>
          <cell r="BU21" t="str">
            <v>OB</v>
          </cell>
          <cell r="BV21">
            <v>11</v>
          </cell>
          <cell r="BW21">
            <v>13</v>
          </cell>
          <cell r="BX21">
            <v>750</v>
          </cell>
          <cell r="BY21">
            <v>0</v>
          </cell>
          <cell r="BZ21">
            <v>0</v>
          </cell>
          <cell r="CA21">
            <v>0</v>
          </cell>
        </row>
        <row r="22">
          <cell r="BH22" t="str">
            <v>EX1008</v>
          </cell>
          <cell r="BI22">
            <v>6.5</v>
          </cell>
          <cell r="BJ22">
            <v>10.5</v>
          </cell>
          <cell r="BK22">
            <v>17</v>
          </cell>
          <cell r="BL22">
            <v>500</v>
          </cell>
          <cell r="BM22">
            <v>500</v>
          </cell>
          <cell r="BN22">
            <v>500</v>
          </cell>
          <cell r="BO22">
            <v>0</v>
          </cell>
          <cell r="BP22">
            <v>0</v>
          </cell>
          <cell r="BQ22">
            <v>0</v>
          </cell>
          <cell r="BR22">
            <v>3250</v>
          </cell>
          <cell r="BS22">
            <v>5250</v>
          </cell>
          <cell r="BT22">
            <v>8500</v>
          </cell>
          <cell r="BU22" t="str">
            <v>CC</v>
          </cell>
          <cell r="BV22">
            <v>11</v>
          </cell>
          <cell r="BW22">
            <v>13</v>
          </cell>
          <cell r="BX22">
            <v>-4250</v>
          </cell>
          <cell r="BY22">
            <v>4250</v>
          </cell>
          <cell r="BZ22">
            <v>0</v>
          </cell>
          <cell r="CA22">
            <v>0</v>
          </cell>
        </row>
        <row r="23">
          <cell r="BH23" t="str">
            <v>EX1013</v>
          </cell>
          <cell r="BI23">
            <v>6.5</v>
          </cell>
          <cell r="BJ23">
            <v>10.5</v>
          </cell>
          <cell r="BK23">
            <v>17</v>
          </cell>
          <cell r="BL23">
            <v>500</v>
          </cell>
          <cell r="BM23">
            <v>500</v>
          </cell>
          <cell r="BN23">
            <v>500</v>
          </cell>
          <cell r="BO23">
            <v>0</v>
          </cell>
          <cell r="BP23">
            <v>0</v>
          </cell>
          <cell r="BQ23">
            <v>0</v>
          </cell>
          <cell r="BR23">
            <v>3250</v>
          </cell>
          <cell r="BS23">
            <v>5250</v>
          </cell>
          <cell r="BT23">
            <v>8500</v>
          </cell>
          <cell r="BU23" t="str">
            <v>CC</v>
          </cell>
          <cell r="BV23">
            <v>6.5</v>
          </cell>
          <cell r="BW23">
            <v>2</v>
          </cell>
          <cell r="BX23">
            <v>-4250</v>
          </cell>
          <cell r="BY23">
            <v>4250</v>
          </cell>
          <cell r="BZ23">
            <v>0</v>
          </cell>
          <cell r="CA23">
            <v>0</v>
          </cell>
        </row>
        <row r="24">
          <cell r="BH24" t="str">
            <v>EX1014</v>
          </cell>
          <cell r="BI24">
            <v>4.5</v>
          </cell>
          <cell r="BJ24">
            <v>11</v>
          </cell>
          <cell r="BK24">
            <v>15.5</v>
          </cell>
          <cell r="BL24">
            <v>500</v>
          </cell>
          <cell r="BM24">
            <v>500</v>
          </cell>
          <cell r="BN24">
            <v>500</v>
          </cell>
          <cell r="BO24">
            <v>2250</v>
          </cell>
          <cell r="BP24">
            <v>5500</v>
          </cell>
          <cell r="BQ24">
            <v>7750</v>
          </cell>
          <cell r="BR24">
            <v>0</v>
          </cell>
          <cell r="BS24">
            <v>0</v>
          </cell>
          <cell r="BT24">
            <v>0</v>
          </cell>
          <cell r="BU24" t="str">
            <v>OB</v>
          </cell>
          <cell r="BV24">
            <v>11</v>
          </cell>
          <cell r="BW24">
            <v>13</v>
          </cell>
          <cell r="BX24">
            <v>2750</v>
          </cell>
          <cell r="BY24">
            <v>0</v>
          </cell>
          <cell r="BZ24">
            <v>0</v>
          </cell>
          <cell r="CA24">
            <v>0</v>
          </cell>
        </row>
        <row r="25">
          <cell r="BH25" t="str">
            <v>EX577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 t="str">
            <v>OB</v>
          </cell>
          <cell r="BV25">
            <v>0</v>
          </cell>
          <cell r="BW25">
            <v>0</v>
          </cell>
          <cell r="BX25">
            <v>750</v>
          </cell>
          <cell r="BY25">
            <v>0</v>
          </cell>
          <cell r="BZ25">
            <v>0</v>
          </cell>
          <cell r="CA25">
            <v>0</v>
          </cell>
        </row>
        <row r="26">
          <cell r="BH26" t="str">
            <v>EX578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 t="str">
            <v>OB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</row>
        <row r="27">
          <cell r="BH27" t="str">
            <v>EX579</v>
          </cell>
          <cell r="BI27">
            <v>5.5</v>
          </cell>
          <cell r="BJ27">
            <v>10.5</v>
          </cell>
          <cell r="BK27">
            <v>16</v>
          </cell>
          <cell r="BL27">
            <v>300</v>
          </cell>
          <cell r="BM27">
            <v>300</v>
          </cell>
          <cell r="BN27">
            <v>300</v>
          </cell>
          <cell r="BO27">
            <v>1650</v>
          </cell>
          <cell r="BP27">
            <v>3150</v>
          </cell>
          <cell r="BQ27">
            <v>4800</v>
          </cell>
          <cell r="BR27">
            <v>0</v>
          </cell>
          <cell r="BS27">
            <v>0</v>
          </cell>
          <cell r="BT27">
            <v>0</v>
          </cell>
          <cell r="BU27" t="str">
            <v>OB</v>
          </cell>
          <cell r="BV27">
            <v>11</v>
          </cell>
          <cell r="BW27">
            <v>13</v>
          </cell>
          <cell r="BX27">
            <v>1000</v>
          </cell>
          <cell r="BY27">
            <v>0</v>
          </cell>
          <cell r="BZ27">
            <v>24</v>
          </cell>
          <cell r="CA27">
            <v>0</v>
          </cell>
        </row>
        <row r="28">
          <cell r="BH28" t="str">
            <v>WL508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 t="str">
            <v>OB</v>
          </cell>
          <cell r="BV28">
            <v>0</v>
          </cell>
          <cell r="BW28">
            <v>0</v>
          </cell>
          <cell r="BX28" t="e">
            <v>#N/A</v>
          </cell>
          <cell r="BY28">
            <v>0</v>
          </cell>
          <cell r="BZ28">
            <v>0</v>
          </cell>
          <cell r="CA28">
            <v>0</v>
          </cell>
        </row>
        <row r="29">
          <cell r="BH29" t="str">
            <v>EX429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 t="str">
            <v>OB</v>
          </cell>
          <cell r="BV29">
            <v>0</v>
          </cell>
          <cell r="BW29">
            <v>0</v>
          </cell>
          <cell r="BX29" t="e">
            <v>#N/A</v>
          </cell>
          <cell r="BY29">
            <v>0</v>
          </cell>
          <cell r="BZ29">
            <v>0</v>
          </cell>
          <cell r="CA29">
            <v>0</v>
          </cell>
        </row>
        <row r="30">
          <cell r="BH30" t="str">
            <v>EX430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 t="str">
            <v>OB</v>
          </cell>
          <cell r="BV30">
            <v>0</v>
          </cell>
          <cell r="BW30">
            <v>0</v>
          </cell>
          <cell r="BX30" t="e">
            <v>#N/A</v>
          </cell>
          <cell r="BY30">
            <v>0</v>
          </cell>
          <cell r="BZ30">
            <v>0</v>
          </cell>
          <cell r="CA30">
            <v>0</v>
          </cell>
        </row>
        <row r="31">
          <cell r="BH31" t="str">
            <v>KPTJEX026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 t="str">
            <v>OB</v>
          </cell>
          <cell r="BV31">
            <v>0</v>
          </cell>
          <cell r="BW31">
            <v>0</v>
          </cell>
          <cell r="BX31" t="e">
            <v>#N/A</v>
          </cell>
          <cell r="BY31">
            <v>0</v>
          </cell>
          <cell r="BZ31">
            <v>0</v>
          </cell>
          <cell r="CA31">
            <v>0</v>
          </cell>
        </row>
        <row r="32">
          <cell r="BH32" t="str">
            <v>KPLMEX002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 t="str">
            <v>OB</v>
          </cell>
          <cell r="BV32">
            <v>0</v>
          </cell>
          <cell r="BW32">
            <v>0</v>
          </cell>
          <cell r="BX32" t="e">
            <v>#N/A</v>
          </cell>
          <cell r="BY32">
            <v>0</v>
          </cell>
          <cell r="BZ32">
            <v>0</v>
          </cell>
          <cell r="CA32">
            <v>0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Run"/>
      <sheetName val="LIST"/>
      <sheetName val="A_SQL2IMPS_"/>
      <sheetName val="Daily Plan"/>
      <sheetName val="SUM"/>
      <sheetName val="OPT_GL"/>
      <sheetName val="Data Base"/>
      <sheetName val="Rat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OB_3SH"/>
      <sheetName val="SCTM_puasa"/>
      <sheetName val="SCTM_puasa_3SH"/>
      <sheetName val="WK#01"/>
      <sheetName val="WK#02"/>
      <sheetName val="WK#03"/>
      <sheetName val="WK#04"/>
      <sheetName val="WK#05"/>
      <sheetName val="WK#06"/>
      <sheetName val="MONTHLY"/>
      <sheetName val="ABSEN"/>
      <sheetName val="simulasi"/>
      <sheetName val="Data hauler"/>
      <sheetName val="Data loader"/>
      <sheetName val="Run"/>
      <sheetName val="Data_AC"/>
      <sheetName val="Daily Plan"/>
      <sheetName val="SUM"/>
      <sheetName val="LIST"/>
      <sheetName val="Data Base"/>
      <sheetName val="Data"/>
      <sheetName val="OPT_GL"/>
      <sheetName val="DRILLBLAST"/>
      <sheetName val="Coal"/>
      <sheetName val="Rain and Slipp."/>
      <sheetName val="Rain and Slipp_"/>
      <sheetName val="OB"/>
      <sheetName val="EXCV PRODUCTIVITY"/>
      <sheetName val="Ref"/>
      <sheetName val="Detail"/>
      <sheetName val="ooc"/>
      <sheetName val="March_april _2_"/>
      <sheetName val="March-april (2)"/>
      <sheetName val="BIGPlan"/>
      <sheetName val="Intro"/>
    </sheetNames>
    <sheetDataSet>
      <sheetData sheetId="0" refreshError="1">
        <row r="12">
          <cell r="B12" t="str">
            <v>SH4001</v>
          </cell>
          <cell r="D12">
            <v>21.389999999999997</v>
          </cell>
          <cell r="E12">
            <v>28.462518548387095</v>
          </cell>
          <cell r="F12">
            <v>28.462518548387095</v>
          </cell>
          <cell r="G12">
            <v>28.462518548387095</v>
          </cell>
          <cell r="H12">
            <v>26.625486290322581</v>
          </cell>
          <cell r="I12">
            <v>28.462518548387095</v>
          </cell>
          <cell r="J12">
            <v>28.462518548387095</v>
          </cell>
          <cell r="K12">
            <v>28.462518548387095</v>
          </cell>
          <cell r="L12">
            <v>28.462518548387095</v>
          </cell>
          <cell r="M12">
            <v>28.462518548387095</v>
          </cell>
          <cell r="N12">
            <v>28.462518548387095</v>
          </cell>
          <cell r="O12">
            <v>26.625486290322581</v>
          </cell>
          <cell r="P12">
            <v>28.462518548387095</v>
          </cell>
          <cell r="Q12">
            <v>28.462518548387095</v>
          </cell>
          <cell r="R12">
            <v>28.462518548387095</v>
          </cell>
          <cell r="S12">
            <v>28.462518548387095</v>
          </cell>
          <cell r="T12">
            <v>28.462518548387095</v>
          </cell>
          <cell r="U12">
            <v>28.462518548387095</v>
          </cell>
          <cell r="V12">
            <v>26.625486290322581</v>
          </cell>
          <cell r="W12">
            <v>28.462518548387095</v>
          </cell>
          <cell r="X12">
            <v>28.462518548387095</v>
          </cell>
          <cell r="Y12">
            <v>28.462518548387095</v>
          </cell>
          <cell r="Z12">
            <v>28.462518548387095</v>
          </cell>
          <cell r="AA12">
            <v>28.462518548387095</v>
          </cell>
          <cell r="AB12">
            <v>28.462518548387095</v>
          </cell>
          <cell r="AC12">
            <v>26.625486290322581</v>
          </cell>
          <cell r="AD12">
            <v>28.462518548387095</v>
          </cell>
          <cell r="AE12">
            <v>28.462518548387095</v>
          </cell>
          <cell r="AF12">
            <v>28.462518548387095</v>
          </cell>
          <cell r="AG12">
            <v>28.462518548387095</v>
          </cell>
          <cell r="AH12">
            <v>28.462518548387095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867.91742741935514</v>
          </cell>
        </row>
        <row r="13">
          <cell r="B13" t="str">
            <v>SH4002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28.462518548387095</v>
          </cell>
          <cell r="L13">
            <v>28.462518548387095</v>
          </cell>
          <cell r="M13">
            <v>28.462518548387095</v>
          </cell>
          <cell r="N13">
            <v>28.462518548387095</v>
          </cell>
          <cell r="O13">
            <v>26.625486290322581</v>
          </cell>
          <cell r="P13">
            <v>28.462518548387095</v>
          </cell>
          <cell r="Q13">
            <v>28.462518548387095</v>
          </cell>
          <cell r="R13">
            <v>28.462518548387095</v>
          </cell>
          <cell r="S13">
            <v>28.462518548387095</v>
          </cell>
          <cell r="T13">
            <v>28.462518548387095</v>
          </cell>
          <cell r="U13">
            <v>28.462518548387095</v>
          </cell>
          <cell r="V13">
            <v>26.625486290322581</v>
          </cell>
          <cell r="W13">
            <v>28.462518548387095</v>
          </cell>
          <cell r="X13">
            <v>28.462518548387095</v>
          </cell>
          <cell r="Y13">
            <v>28.462518548387095</v>
          </cell>
          <cell r="Z13">
            <v>28.462518548387095</v>
          </cell>
          <cell r="AA13">
            <v>28.462518548387095</v>
          </cell>
          <cell r="AB13">
            <v>28.462518548387095</v>
          </cell>
          <cell r="AC13">
            <v>26.625486290322581</v>
          </cell>
          <cell r="AD13">
            <v>28.462518548387095</v>
          </cell>
          <cell r="AE13">
            <v>28.462518548387095</v>
          </cell>
          <cell r="AF13">
            <v>28.462518548387095</v>
          </cell>
          <cell r="AG13">
            <v>28.462518548387095</v>
          </cell>
          <cell r="AH13">
            <v>28.462518548387095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677.58934838709706</v>
          </cell>
        </row>
        <row r="14">
          <cell r="B14" t="str">
            <v>SH304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20.141523689516127</v>
          </cell>
          <cell r="U14">
            <v>20.141523689516127</v>
          </cell>
          <cell r="V14">
            <v>19.130656754032259</v>
          </cell>
          <cell r="W14">
            <v>20.141523689516127</v>
          </cell>
          <cell r="X14">
            <v>20.141523689516127</v>
          </cell>
          <cell r="Y14">
            <v>20.141523689516127</v>
          </cell>
          <cell r="Z14">
            <v>20.141523689516127</v>
          </cell>
          <cell r="AA14">
            <v>20.141523689516127</v>
          </cell>
          <cell r="AB14">
            <v>20.141523689516127</v>
          </cell>
          <cell r="AC14">
            <v>19.130656754032259</v>
          </cell>
          <cell r="AD14">
            <v>20.141523689516127</v>
          </cell>
          <cell r="AE14">
            <v>20.141523689516127</v>
          </cell>
          <cell r="AF14">
            <v>20.141523689516127</v>
          </cell>
          <cell r="AG14">
            <v>20.141523689516127</v>
          </cell>
          <cell r="AH14">
            <v>20.141523689516127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300.10112147177421</v>
          </cell>
        </row>
        <row r="15">
          <cell r="B15" t="str">
            <v>SH305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20.141523689516127</v>
          </cell>
          <cell r="L15">
            <v>20.141523689516127</v>
          </cell>
          <cell r="M15">
            <v>20.141523689516127</v>
          </cell>
          <cell r="N15">
            <v>20.141523689516127</v>
          </cell>
          <cell r="O15">
            <v>19.130656754032259</v>
          </cell>
          <cell r="P15">
            <v>20.141523689516127</v>
          </cell>
          <cell r="Q15">
            <v>20.141523689516127</v>
          </cell>
          <cell r="R15">
            <v>20.141523689516127</v>
          </cell>
          <cell r="S15">
            <v>20.141523689516127</v>
          </cell>
          <cell r="T15">
            <v>20.141523689516127</v>
          </cell>
          <cell r="U15">
            <v>20.141523689516127</v>
          </cell>
          <cell r="V15">
            <v>19.130656754032259</v>
          </cell>
          <cell r="W15">
            <v>20.141523689516127</v>
          </cell>
          <cell r="X15">
            <v>20.141523689516127</v>
          </cell>
          <cell r="Y15">
            <v>20.141523689516127</v>
          </cell>
          <cell r="Z15">
            <v>20.141523689516127</v>
          </cell>
          <cell r="AA15">
            <v>20.141523689516127</v>
          </cell>
          <cell r="AB15">
            <v>20.141523689516127</v>
          </cell>
          <cell r="AC15">
            <v>19.130656754032259</v>
          </cell>
          <cell r="AD15">
            <v>20.141523689516127</v>
          </cell>
          <cell r="AE15">
            <v>20.141523689516127</v>
          </cell>
          <cell r="AF15">
            <v>20.141523689516127</v>
          </cell>
          <cell r="AG15">
            <v>20.141523689516127</v>
          </cell>
          <cell r="AH15">
            <v>20.141523689516127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480.36396774193554</v>
          </cell>
        </row>
        <row r="16">
          <cell r="B16" t="str">
            <v>SH306</v>
          </cell>
          <cell r="D16">
            <v>13.284000000000001</v>
          </cell>
          <cell r="E16">
            <v>20.141523689516127</v>
          </cell>
          <cell r="F16">
            <v>20.141523689516127</v>
          </cell>
          <cell r="G16">
            <v>20.141523689516127</v>
          </cell>
          <cell r="H16">
            <v>19.130656754032259</v>
          </cell>
          <cell r="I16">
            <v>20.141523689516127</v>
          </cell>
          <cell r="J16">
            <v>20.141523689516127</v>
          </cell>
          <cell r="K16">
            <v>20.141523689516127</v>
          </cell>
          <cell r="L16">
            <v>20.141523689516127</v>
          </cell>
          <cell r="M16">
            <v>20.141523689516127</v>
          </cell>
          <cell r="N16">
            <v>20.141523689516127</v>
          </cell>
          <cell r="O16">
            <v>19.130656754032259</v>
          </cell>
          <cell r="P16">
            <v>20.141523689516127</v>
          </cell>
          <cell r="Q16">
            <v>20.141523689516127</v>
          </cell>
          <cell r="R16">
            <v>20.141523689516127</v>
          </cell>
          <cell r="S16">
            <v>20.141523689516127</v>
          </cell>
          <cell r="T16">
            <v>20.141523689516127</v>
          </cell>
          <cell r="U16">
            <v>20.141523689516127</v>
          </cell>
          <cell r="V16">
            <v>19.130656754032259</v>
          </cell>
          <cell r="W16">
            <v>20.141523689516127</v>
          </cell>
          <cell r="X16">
            <v>20.141523689516127</v>
          </cell>
          <cell r="Y16">
            <v>20.141523689516127</v>
          </cell>
          <cell r="Z16">
            <v>20.141523689516127</v>
          </cell>
          <cell r="AA16">
            <v>20.141523689516127</v>
          </cell>
          <cell r="AB16">
            <v>20.141523689516127</v>
          </cell>
          <cell r="AC16">
            <v>19.130656754032259</v>
          </cell>
          <cell r="AD16">
            <v>20.141523689516127</v>
          </cell>
          <cell r="AE16">
            <v>20.141523689516127</v>
          </cell>
          <cell r="AF16">
            <v>20.141523689516127</v>
          </cell>
          <cell r="AG16">
            <v>20.141523689516127</v>
          </cell>
          <cell r="AH16">
            <v>20.141523689516127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613.4862429435484</v>
          </cell>
        </row>
        <row r="17">
          <cell r="B17" t="str">
            <v>EX708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</row>
        <row r="18">
          <cell r="B18" t="str">
            <v>EX709</v>
          </cell>
          <cell r="D18">
            <v>0</v>
          </cell>
          <cell r="E18">
            <v>0</v>
          </cell>
          <cell r="F18">
            <v>0</v>
          </cell>
          <cell r="G18">
            <v>14.331149983198927</v>
          </cell>
          <cell r="H18">
            <v>13.611895278897849</v>
          </cell>
          <cell r="I18">
            <v>14.331149983198927</v>
          </cell>
          <cell r="J18">
            <v>14.331149983198927</v>
          </cell>
          <cell r="K18">
            <v>14.331149983198927</v>
          </cell>
          <cell r="L18">
            <v>14.331149983198927</v>
          </cell>
          <cell r="M18">
            <v>14.331149983198927</v>
          </cell>
          <cell r="N18">
            <v>14.331149983198927</v>
          </cell>
          <cell r="O18">
            <v>13.611895278897849</v>
          </cell>
          <cell r="P18">
            <v>14.331149983198927</v>
          </cell>
          <cell r="Q18">
            <v>14.331149983198927</v>
          </cell>
          <cell r="R18">
            <v>14.331149983198927</v>
          </cell>
          <cell r="S18">
            <v>14.331149983198927</v>
          </cell>
          <cell r="T18">
            <v>14.331149983198927</v>
          </cell>
          <cell r="U18">
            <v>14.331149983198927</v>
          </cell>
          <cell r="V18">
            <v>13.611895278897849</v>
          </cell>
          <cell r="W18">
            <v>14.331149983198927</v>
          </cell>
          <cell r="X18">
            <v>14.331149983198927</v>
          </cell>
          <cell r="Y18">
            <v>14.331149983198927</v>
          </cell>
          <cell r="Z18">
            <v>14.331149983198927</v>
          </cell>
          <cell r="AA18">
            <v>14.331149983198927</v>
          </cell>
          <cell r="AB18">
            <v>14.331149983198927</v>
          </cell>
          <cell r="AC18">
            <v>13.611895278897849</v>
          </cell>
          <cell r="AD18">
            <v>14.331149983198927</v>
          </cell>
          <cell r="AE18">
            <v>14.331149983198927</v>
          </cell>
          <cell r="AF18">
            <v>14.331149983198927</v>
          </cell>
          <cell r="AG18">
            <v>14.331149983198927</v>
          </cell>
          <cell r="AH18">
            <v>14.331149983198927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398.39518071236586</v>
          </cell>
        </row>
        <row r="19">
          <cell r="B19" t="str">
            <v>EX710</v>
          </cell>
          <cell r="D19">
            <v>11.166458333333333</v>
          </cell>
          <cell r="E19">
            <v>14.858603433019713</v>
          </cell>
          <cell r="F19">
            <v>14.858603433019713</v>
          </cell>
          <cell r="G19">
            <v>14.858603433019713</v>
          </cell>
          <cell r="H19">
            <v>13.89959716061828</v>
          </cell>
          <cell r="I19">
            <v>14.858603433019713</v>
          </cell>
          <cell r="J19">
            <v>14.858603433019713</v>
          </cell>
          <cell r="K19">
            <v>14.858603433019713</v>
          </cell>
          <cell r="L19">
            <v>14.858603433019713</v>
          </cell>
          <cell r="M19">
            <v>14.858603433019713</v>
          </cell>
          <cell r="N19">
            <v>14.858603433019713</v>
          </cell>
          <cell r="O19">
            <v>13.89959716061828</v>
          </cell>
          <cell r="P19">
            <v>14.858603433019713</v>
          </cell>
          <cell r="Q19">
            <v>14.858603433019713</v>
          </cell>
          <cell r="R19">
            <v>14.858603433019713</v>
          </cell>
          <cell r="S19">
            <v>14.858603433019713</v>
          </cell>
          <cell r="T19">
            <v>14.858603433019713</v>
          </cell>
          <cell r="U19">
            <v>14.858603433019713</v>
          </cell>
          <cell r="V19">
            <v>13.89959716061828</v>
          </cell>
          <cell r="W19">
            <v>14.858603433019713</v>
          </cell>
          <cell r="X19">
            <v>14.858603433019713</v>
          </cell>
          <cell r="Y19">
            <v>14.858603433019713</v>
          </cell>
          <cell r="Z19">
            <v>14.858603433019713</v>
          </cell>
          <cell r="AA19">
            <v>14.858603433019713</v>
          </cell>
          <cell r="AB19">
            <v>14.858603433019713</v>
          </cell>
          <cell r="AC19">
            <v>13.89959716061828</v>
          </cell>
          <cell r="AD19">
            <v>14.858603433019713</v>
          </cell>
          <cell r="AE19">
            <v>14.858603433019713</v>
          </cell>
          <cell r="AF19">
            <v>14.858603433019713</v>
          </cell>
          <cell r="AG19">
            <v>14.858603433019713</v>
          </cell>
          <cell r="AH19">
            <v>14.858603433019713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453.08853623431889</v>
          </cell>
        </row>
        <row r="20">
          <cell r="B20" t="str">
            <v>EX711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13.611895278897849</v>
          </cell>
          <cell r="P20">
            <v>14.331149983198927</v>
          </cell>
          <cell r="Q20">
            <v>14.331149983198927</v>
          </cell>
          <cell r="R20">
            <v>14.331149983198927</v>
          </cell>
          <cell r="S20">
            <v>14.331149983198927</v>
          </cell>
          <cell r="T20">
            <v>14.331149983198927</v>
          </cell>
          <cell r="U20">
            <v>14.331149983198927</v>
          </cell>
          <cell r="V20">
            <v>13.611895278897849</v>
          </cell>
          <cell r="W20">
            <v>14.331149983198927</v>
          </cell>
          <cell r="X20">
            <v>14.331149983198927</v>
          </cell>
          <cell r="Y20">
            <v>14.331149983198927</v>
          </cell>
          <cell r="Z20">
            <v>14.331149983198927</v>
          </cell>
          <cell r="AA20">
            <v>14.331149983198927</v>
          </cell>
          <cell r="AB20">
            <v>14.331149983198927</v>
          </cell>
          <cell r="AC20">
            <v>13.611895278897849</v>
          </cell>
          <cell r="AD20">
            <v>14.331149983198927</v>
          </cell>
          <cell r="AE20">
            <v>14.858603433019713</v>
          </cell>
          <cell r="AF20">
            <v>14.331149983198927</v>
          </cell>
          <cell r="AG20">
            <v>14.331149983198927</v>
          </cell>
          <cell r="AH20">
            <v>14.331149983198927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284.99268900089618</v>
          </cell>
        </row>
        <row r="21">
          <cell r="B21" t="str">
            <v>EX1001</v>
          </cell>
          <cell r="D21">
            <v>5.0293333333333337</v>
          </cell>
          <cell r="E21">
            <v>7.6255974462365597</v>
          </cell>
          <cell r="F21">
            <v>7.6255974462365597</v>
          </cell>
          <cell r="G21">
            <v>7.6255974462365597</v>
          </cell>
          <cell r="H21">
            <v>7.2428823924731187</v>
          </cell>
          <cell r="I21">
            <v>7.6255974462365597</v>
          </cell>
          <cell r="J21">
            <v>7.6255974462365597</v>
          </cell>
          <cell r="K21">
            <v>7.6255974462365597</v>
          </cell>
          <cell r="L21">
            <v>7.6255974462365597</v>
          </cell>
          <cell r="M21">
            <v>7.6255974462365597</v>
          </cell>
          <cell r="N21">
            <v>7.6255974462365597</v>
          </cell>
          <cell r="O21">
            <v>7.2428823924731187</v>
          </cell>
          <cell r="P21">
            <v>7.6255974462365597</v>
          </cell>
          <cell r="Q21">
            <v>7.6255974462365597</v>
          </cell>
          <cell r="R21">
            <v>7.6255974462365597</v>
          </cell>
          <cell r="S21">
            <v>7.6255974462365597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118.64786491935482</v>
          </cell>
        </row>
        <row r="22">
          <cell r="B22" t="str">
            <v>EX1006</v>
          </cell>
          <cell r="D22">
            <v>5.0293333333333337</v>
          </cell>
          <cell r="E22">
            <v>7.6255974462365597</v>
          </cell>
          <cell r="F22">
            <v>7.6255974462365597</v>
          </cell>
          <cell r="G22">
            <v>7.6255974462365597</v>
          </cell>
          <cell r="H22">
            <v>7.2428823924731187</v>
          </cell>
          <cell r="I22">
            <v>7.6255974462365597</v>
          </cell>
          <cell r="J22">
            <v>7.6255974462365597</v>
          </cell>
          <cell r="K22">
            <v>7.6255974462365597</v>
          </cell>
          <cell r="L22">
            <v>7.6255974462365597</v>
          </cell>
          <cell r="M22">
            <v>7.6255974462365597</v>
          </cell>
          <cell r="N22">
            <v>7.6255974462365597</v>
          </cell>
          <cell r="O22">
            <v>7.2428823924731187</v>
          </cell>
          <cell r="P22">
            <v>7.6255974462365597</v>
          </cell>
          <cell r="Q22">
            <v>7.6255974462365597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103.39667002688171</v>
          </cell>
        </row>
        <row r="23">
          <cell r="B23" t="str">
            <v>EX1008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O23">
            <v>0</v>
          </cell>
        </row>
        <row r="24">
          <cell r="B24" t="str">
            <v>EX1013</v>
          </cell>
          <cell r="D24">
            <v>5.0293333333333337</v>
          </cell>
          <cell r="E24">
            <v>7.6255974462365597</v>
          </cell>
          <cell r="F24">
            <v>7.6255974462365597</v>
          </cell>
          <cell r="G24">
            <v>7.6255974462365597</v>
          </cell>
          <cell r="H24">
            <v>7.2428823924731187</v>
          </cell>
          <cell r="I24">
            <v>7.6255974462365597</v>
          </cell>
          <cell r="J24">
            <v>7.6255974462365597</v>
          </cell>
          <cell r="K24">
            <v>7.6255974462365597</v>
          </cell>
          <cell r="L24">
            <v>7.6255974462365597</v>
          </cell>
          <cell r="M24">
            <v>7.6255974462365597</v>
          </cell>
          <cell r="N24">
            <v>7.6255974462365597</v>
          </cell>
          <cell r="O24">
            <v>7.2428823924731187</v>
          </cell>
          <cell r="P24">
            <v>7.6255974462365597</v>
          </cell>
          <cell r="Q24">
            <v>7.6255974462365597</v>
          </cell>
          <cell r="R24">
            <v>7.6255974462365597</v>
          </cell>
          <cell r="S24">
            <v>7.6255974462365597</v>
          </cell>
          <cell r="T24">
            <v>7.6255974462365597</v>
          </cell>
          <cell r="U24">
            <v>7.6255974462365597</v>
          </cell>
          <cell r="V24">
            <v>7.2428823924731187</v>
          </cell>
          <cell r="W24">
            <v>7.6255974462365597</v>
          </cell>
          <cell r="X24">
            <v>7.6255974462365597</v>
          </cell>
          <cell r="Y24">
            <v>7.6255974462365597</v>
          </cell>
          <cell r="Z24">
            <v>7.6255974462365597</v>
          </cell>
          <cell r="AA24">
            <v>7.6255974462365597</v>
          </cell>
          <cell r="AB24">
            <v>7.6255974462365597</v>
          </cell>
          <cell r="AC24">
            <v>7.2428823924731187</v>
          </cell>
          <cell r="AD24">
            <v>7.6255974462365597</v>
          </cell>
          <cell r="AE24">
            <v>7.6255974462365597</v>
          </cell>
          <cell r="AF24">
            <v>7.6255974462365597</v>
          </cell>
          <cell r="AG24">
            <v>7.6255974462365597</v>
          </cell>
          <cell r="AH24">
            <v>7.6255974462365597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O24">
            <v>232.26639650537626</v>
          </cell>
        </row>
        <row r="25">
          <cell r="B25" t="str">
            <v>EX1014</v>
          </cell>
          <cell r="D25">
            <v>5.0293333333333337</v>
          </cell>
          <cell r="E25">
            <v>7.6255974462365597</v>
          </cell>
          <cell r="F25">
            <v>7.6255974462365597</v>
          </cell>
          <cell r="G25">
            <v>7.6255974462365597</v>
          </cell>
          <cell r="H25">
            <v>7.2428823924731187</v>
          </cell>
          <cell r="I25">
            <v>7.6255974462365597</v>
          </cell>
          <cell r="J25">
            <v>7.6255974462365597</v>
          </cell>
          <cell r="K25">
            <v>7.6255974462365597</v>
          </cell>
          <cell r="L25">
            <v>7.6255974462365597</v>
          </cell>
          <cell r="M25">
            <v>7.6255974462365597</v>
          </cell>
          <cell r="N25">
            <v>7.6255974462365597</v>
          </cell>
          <cell r="O25">
            <v>7.2428823924731187</v>
          </cell>
          <cell r="P25">
            <v>7.6255974462365597</v>
          </cell>
          <cell r="Q25">
            <v>7.6255974462365597</v>
          </cell>
          <cell r="R25">
            <v>7.6255974462365597</v>
          </cell>
          <cell r="S25">
            <v>7.6255974462365597</v>
          </cell>
          <cell r="T25">
            <v>7.6255974462365597</v>
          </cell>
          <cell r="U25">
            <v>7.6255974462365597</v>
          </cell>
          <cell r="V25">
            <v>7.2428823924731187</v>
          </cell>
          <cell r="W25">
            <v>7.6255974462365597</v>
          </cell>
          <cell r="X25">
            <v>7.6255974462365597</v>
          </cell>
          <cell r="Y25">
            <v>7.6255974462365597</v>
          </cell>
          <cell r="Z25">
            <v>7.6255974462365597</v>
          </cell>
          <cell r="AA25">
            <v>7.6255974462365597</v>
          </cell>
          <cell r="AB25">
            <v>7.6255974462365597</v>
          </cell>
          <cell r="AC25">
            <v>7.2428823924731187</v>
          </cell>
          <cell r="AD25">
            <v>7.6255974462365597</v>
          </cell>
          <cell r="AE25">
            <v>7.6255974462365597</v>
          </cell>
          <cell r="AF25">
            <v>7.6255974462365597</v>
          </cell>
          <cell r="AG25">
            <v>7.6255974462365597</v>
          </cell>
          <cell r="AH25">
            <v>7.6255974462365597</v>
          </cell>
          <cell r="AI25">
            <v>0</v>
          </cell>
          <cell r="AJ25">
            <v>0</v>
          </cell>
          <cell r="AK25">
            <v>0</v>
          </cell>
          <cell r="AO25">
            <v>232.26639650537626</v>
          </cell>
        </row>
        <row r="26">
          <cell r="B26" t="str">
            <v>EX577</v>
          </cell>
          <cell r="D26">
            <v>3.0176000000000003</v>
          </cell>
          <cell r="E26">
            <v>4.5753584677419354</v>
          </cell>
          <cell r="F26">
            <v>4.5753584677419354</v>
          </cell>
          <cell r="G26">
            <v>4.5753584677419354</v>
          </cell>
          <cell r="H26">
            <v>4.3457294354838716</v>
          </cell>
          <cell r="I26">
            <v>4.5753584677419354</v>
          </cell>
          <cell r="J26">
            <v>4.5753584677419354</v>
          </cell>
          <cell r="K26">
            <v>4.5753584677419354</v>
          </cell>
          <cell r="L26">
            <v>4.5753584677419354</v>
          </cell>
          <cell r="M26">
            <v>4.5753584677419354</v>
          </cell>
          <cell r="N26">
            <v>4.5753584677419354</v>
          </cell>
          <cell r="O26">
            <v>4.3457294354838716</v>
          </cell>
          <cell r="P26">
            <v>4.5753584677419354</v>
          </cell>
          <cell r="Q26">
            <v>4.5753584677419354</v>
          </cell>
          <cell r="R26">
            <v>4.5753584677419354</v>
          </cell>
          <cell r="S26">
            <v>4.5753584677419354</v>
          </cell>
          <cell r="T26">
            <v>4.5753584677419354</v>
          </cell>
          <cell r="U26">
            <v>4.5753584677419354</v>
          </cell>
          <cell r="V26">
            <v>4.3457294354838716</v>
          </cell>
          <cell r="W26">
            <v>4.5753584677419354</v>
          </cell>
          <cell r="X26">
            <v>4.5753584677419354</v>
          </cell>
          <cell r="Y26">
            <v>4.5753584677419354</v>
          </cell>
          <cell r="Z26">
            <v>4.5753584677419354</v>
          </cell>
          <cell r="AA26">
            <v>4.5753584677419354</v>
          </cell>
          <cell r="AB26">
            <v>4.5753584677419354</v>
          </cell>
          <cell r="AC26">
            <v>4.3457294354838716</v>
          </cell>
          <cell r="AD26">
            <v>4.5753584677419354</v>
          </cell>
          <cell r="AE26">
            <v>4.5753584677419354</v>
          </cell>
          <cell r="AF26">
            <v>4.5753584677419354</v>
          </cell>
          <cell r="AG26">
            <v>4.5753584677419354</v>
          </cell>
          <cell r="AH26">
            <v>4.5753584677419354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139.35983790322581</v>
          </cell>
        </row>
        <row r="27">
          <cell r="B27" t="str">
            <v>EX578</v>
          </cell>
          <cell r="D27">
            <v>5.0293333333333337</v>
          </cell>
          <cell r="E27">
            <v>7.6255974462365597</v>
          </cell>
          <cell r="F27">
            <v>4.5753584677419354</v>
          </cell>
          <cell r="G27">
            <v>4.5753584677419354</v>
          </cell>
          <cell r="H27">
            <v>4.3457294354838716</v>
          </cell>
          <cell r="I27">
            <v>4.5753584677419354</v>
          </cell>
          <cell r="J27">
            <v>4.5753584677419354</v>
          </cell>
          <cell r="K27">
            <v>4.5753584677419354</v>
          </cell>
          <cell r="L27">
            <v>4.5753584677419354</v>
          </cell>
          <cell r="M27">
            <v>4.5753584677419354</v>
          </cell>
          <cell r="N27">
            <v>4.5753584677419354</v>
          </cell>
          <cell r="O27">
            <v>4.3457294354838716</v>
          </cell>
          <cell r="P27">
            <v>4.5753584677419354</v>
          </cell>
          <cell r="Q27">
            <v>4.5753584677419354</v>
          </cell>
          <cell r="R27">
            <v>4.5753584677419354</v>
          </cell>
          <cell r="S27">
            <v>4.5753584677419354</v>
          </cell>
          <cell r="T27">
            <v>4.5753584677419354</v>
          </cell>
          <cell r="U27">
            <v>4.5753584677419354</v>
          </cell>
          <cell r="V27">
            <v>4.3457294354838716</v>
          </cell>
          <cell r="W27">
            <v>4.5753584677419354</v>
          </cell>
          <cell r="X27">
            <v>4.5753584677419354</v>
          </cell>
          <cell r="Y27">
            <v>4.5753584677419354</v>
          </cell>
          <cell r="Z27">
            <v>4.5753584677419354</v>
          </cell>
          <cell r="AA27">
            <v>4.5753584677419354</v>
          </cell>
          <cell r="AB27">
            <v>4.5753584677419354</v>
          </cell>
          <cell r="AC27">
            <v>4.3457294354838716</v>
          </cell>
          <cell r="AD27">
            <v>4.5753584677419354</v>
          </cell>
          <cell r="AE27">
            <v>4.5753584677419354</v>
          </cell>
          <cell r="AF27">
            <v>4.5753584677419354</v>
          </cell>
          <cell r="AG27">
            <v>4.5753584677419354</v>
          </cell>
          <cell r="AH27">
            <v>4.5753584677419354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144.42181021505377</v>
          </cell>
        </row>
        <row r="28">
          <cell r="B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</row>
        <row r="29">
          <cell r="B29" t="str">
            <v>TOTAL</v>
          </cell>
          <cell r="C29">
            <v>0</v>
          </cell>
          <cell r="D29">
            <v>74.004725000000008</v>
          </cell>
          <cell r="E29">
            <v>106.16599136984765</v>
          </cell>
          <cell r="F29">
            <v>103.11575239135303</v>
          </cell>
          <cell r="G29">
            <v>117.44690237455195</v>
          </cell>
          <cell r="H29">
            <v>110.93062392473121</v>
          </cell>
          <cell r="I29">
            <v>117.44690237455195</v>
          </cell>
          <cell r="J29">
            <v>117.44690237455195</v>
          </cell>
          <cell r="K29">
            <v>166.05094461245517</v>
          </cell>
          <cell r="L29">
            <v>166.05094461245517</v>
          </cell>
          <cell r="M29">
            <v>166.05094461245517</v>
          </cell>
          <cell r="N29">
            <v>166.05094461245517</v>
          </cell>
          <cell r="O29">
            <v>170.29866224798388</v>
          </cell>
          <cell r="P29">
            <v>180.38209459565411</v>
          </cell>
          <cell r="Q29">
            <v>180.38209459565411</v>
          </cell>
          <cell r="R29">
            <v>172.75649714941756</v>
          </cell>
          <cell r="S29">
            <v>172.75649714941756</v>
          </cell>
          <cell r="T29">
            <v>185.27242339269714</v>
          </cell>
          <cell r="U29">
            <v>185.27242339269714</v>
          </cell>
          <cell r="V29">
            <v>174.9435542170699</v>
          </cell>
          <cell r="W29">
            <v>185.27242339269714</v>
          </cell>
          <cell r="X29">
            <v>185.27242339269714</v>
          </cell>
          <cell r="Y29">
            <v>185.27242339269714</v>
          </cell>
          <cell r="Z29">
            <v>185.27242339269714</v>
          </cell>
          <cell r="AA29">
            <v>185.27242339269714</v>
          </cell>
          <cell r="AB29">
            <v>185.27242339269714</v>
          </cell>
          <cell r="AC29">
            <v>174.9435542170699</v>
          </cell>
          <cell r="AD29">
            <v>185.27242339269714</v>
          </cell>
          <cell r="AE29">
            <v>185.7998768425179</v>
          </cell>
          <cell r="AF29">
            <v>185.27242339269714</v>
          </cell>
          <cell r="AG29">
            <v>185.27242339269714</v>
          </cell>
          <cell r="AH29">
            <v>185.27242339269714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5046.2934899865586</v>
          </cell>
        </row>
        <row r="30">
          <cell r="B30" t="str">
            <v>TOTAL</v>
          </cell>
          <cell r="C30">
            <v>0</v>
          </cell>
          <cell r="D30">
            <v>74.004725000000008</v>
          </cell>
          <cell r="E30">
            <v>106.16599136984765</v>
          </cell>
          <cell r="F30">
            <v>103.11575239135303</v>
          </cell>
          <cell r="G30">
            <v>117.44690237455195</v>
          </cell>
          <cell r="H30">
            <v>110.93062392473121</v>
          </cell>
          <cell r="I30">
            <v>117.44690237455195</v>
          </cell>
          <cell r="J30">
            <v>117.44690237455195</v>
          </cell>
          <cell r="K30">
            <v>166.05094461245517</v>
          </cell>
          <cell r="L30">
            <v>166.05094461245517</v>
          </cell>
          <cell r="M30">
            <v>166.05094461245517</v>
          </cell>
          <cell r="N30">
            <v>166.05094461245517</v>
          </cell>
          <cell r="O30">
            <v>170.29866224798388</v>
          </cell>
          <cell r="P30">
            <v>180.38209459565411</v>
          </cell>
          <cell r="Q30">
            <v>180.38209459565411</v>
          </cell>
          <cell r="R30">
            <v>172.75649714941756</v>
          </cell>
          <cell r="S30">
            <v>172.75649714941756</v>
          </cell>
          <cell r="T30">
            <v>185.27242339269714</v>
          </cell>
          <cell r="U30">
            <v>185.27242339269714</v>
          </cell>
          <cell r="V30">
            <v>174.9435542170699</v>
          </cell>
          <cell r="W30">
            <v>185.27242339269714</v>
          </cell>
          <cell r="X30">
            <v>185.27242339269714</v>
          </cell>
          <cell r="Y30">
            <v>185.27242339269714</v>
          </cell>
          <cell r="Z30">
            <v>185.27242339269714</v>
          </cell>
          <cell r="AA30">
            <v>185.27242339269714</v>
          </cell>
          <cell r="AB30">
            <v>185.27242339269714</v>
          </cell>
          <cell r="AC30">
            <v>174.9435542170699</v>
          </cell>
          <cell r="AD30">
            <v>185.27242339269714</v>
          </cell>
          <cell r="AE30">
            <v>185.7998768425179</v>
          </cell>
          <cell r="AF30">
            <v>185.27242339269714</v>
          </cell>
          <cell r="AG30">
            <v>185.27242339269714</v>
          </cell>
          <cell r="AH30">
            <v>185.27242339269714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5046.2934899865586</v>
          </cell>
        </row>
        <row r="31">
          <cell r="B31" t="str">
            <v>RESUME WASTE REMOVAL</v>
          </cell>
          <cell r="AF31" t="str">
            <v>TOTAL WASTE REMOVAL</v>
          </cell>
          <cell r="AO31">
            <v>5046.2934899865586</v>
          </cell>
        </row>
        <row r="32">
          <cell r="B32" t="str">
            <v>OB</v>
          </cell>
          <cell r="C32">
            <v>4762.5118418682805</v>
          </cell>
          <cell r="K32" t="str">
            <v>kBCM</v>
          </cell>
        </row>
        <row r="33">
          <cell r="B33" t="str">
            <v>TS_PIT</v>
          </cell>
          <cell r="C33">
            <v>0</v>
          </cell>
          <cell r="K33" t="str">
            <v>kBCM</v>
          </cell>
        </row>
        <row r="34">
          <cell r="B34" t="str">
            <v>OB+TS_PIT</v>
          </cell>
          <cell r="C34">
            <v>0</v>
          </cell>
          <cell r="K34" t="str">
            <v>kBCM</v>
          </cell>
        </row>
        <row r="35">
          <cell r="B35" t="str">
            <v>TS_WD</v>
          </cell>
          <cell r="C35">
            <v>283.78164811827958</v>
          </cell>
          <cell r="K35" t="str">
            <v>kBCM</v>
          </cell>
        </row>
        <row r="36">
          <cell r="B36" t="str">
            <v>TOTAL</v>
          </cell>
          <cell r="C36">
            <v>5046.2934899865604</v>
          </cell>
          <cell r="K36" t="str">
            <v>kBCM</v>
          </cell>
        </row>
        <row r="38">
          <cell r="K38" t="str">
            <v>kBCM</v>
          </cell>
        </row>
        <row r="39">
          <cell r="B39" t="str">
            <v>PRODUCTION PLANNING FOR COAL , KTON</v>
          </cell>
        </row>
        <row r="40">
          <cell r="B40" t="str">
            <v>FLEET</v>
          </cell>
          <cell r="C40" t="str">
            <v>WEEK # 01</v>
          </cell>
          <cell r="K40" t="str">
            <v>WEEK # 02</v>
          </cell>
          <cell r="R40" t="str">
            <v>WEEK #03</v>
          </cell>
          <cell r="Y40" t="str">
            <v>WEEK #04</v>
          </cell>
          <cell r="AF40" t="str">
            <v>WEEK # 05</v>
          </cell>
          <cell r="AM40" t="str">
            <v>WEEK#06</v>
          </cell>
          <cell r="AO40" t="str">
            <v>Total</v>
          </cell>
        </row>
        <row r="41">
          <cell r="B41" t="str">
            <v>NUMBER</v>
          </cell>
          <cell r="C41">
            <v>0</v>
          </cell>
          <cell r="D41">
            <v>39083</v>
          </cell>
          <cell r="E41">
            <v>39084</v>
          </cell>
          <cell r="F41">
            <v>39085</v>
          </cell>
          <cell r="G41">
            <v>39086</v>
          </cell>
          <cell r="H41">
            <v>39087</v>
          </cell>
          <cell r="I41">
            <v>39088</v>
          </cell>
          <cell r="J41">
            <v>39089</v>
          </cell>
          <cell r="K41">
            <v>39090</v>
          </cell>
          <cell r="L41">
            <v>39091</v>
          </cell>
          <cell r="M41">
            <v>39092</v>
          </cell>
          <cell r="N41">
            <v>39093</v>
          </cell>
          <cell r="O41">
            <v>39094</v>
          </cell>
          <cell r="P41">
            <v>39095</v>
          </cell>
          <cell r="Q41">
            <v>39096</v>
          </cell>
          <cell r="R41">
            <v>39097</v>
          </cell>
          <cell r="S41">
            <v>39098</v>
          </cell>
          <cell r="T41">
            <v>39099</v>
          </cell>
          <cell r="U41">
            <v>39100</v>
          </cell>
          <cell r="V41">
            <v>39101</v>
          </cell>
          <cell r="W41">
            <v>39102</v>
          </cell>
          <cell r="X41">
            <v>39103</v>
          </cell>
          <cell r="Y41">
            <v>39104</v>
          </cell>
          <cell r="Z41">
            <v>39105</v>
          </cell>
          <cell r="AA41">
            <v>39106</v>
          </cell>
          <cell r="AB41">
            <v>39107</v>
          </cell>
          <cell r="AC41">
            <v>39108</v>
          </cell>
          <cell r="AD41">
            <v>39109</v>
          </cell>
          <cell r="AE41">
            <v>39110</v>
          </cell>
          <cell r="AF41">
            <v>39111</v>
          </cell>
          <cell r="AG41">
            <v>39112</v>
          </cell>
          <cell r="AH41">
            <v>39113</v>
          </cell>
          <cell r="AI41">
            <v>39114</v>
          </cell>
          <cell r="AJ41">
            <v>39115</v>
          </cell>
          <cell r="AK41">
            <v>39116</v>
          </cell>
          <cell r="AL41">
            <v>39117</v>
          </cell>
          <cell r="AM41">
            <v>39118</v>
          </cell>
          <cell r="AN41">
            <v>39119</v>
          </cell>
        </row>
        <row r="42">
          <cell r="B42" t="str">
            <v>EX1002</v>
          </cell>
          <cell r="C42">
            <v>0</v>
          </cell>
          <cell r="D42">
            <v>0</v>
          </cell>
          <cell r="E42">
            <v>7.6255974462365597</v>
          </cell>
          <cell r="F42">
            <v>7.6255974462365597</v>
          </cell>
          <cell r="G42">
            <v>7.6255974462365597</v>
          </cell>
          <cell r="H42">
            <v>7.2428823924731187</v>
          </cell>
          <cell r="I42">
            <v>7.6255974462365597</v>
          </cell>
          <cell r="J42">
            <v>7.6255974462365597</v>
          </cell>
          <cell r="K42">
            <v>7.6255974462365597</v>
          </cell>
          <cell r="L42">
            <v>7.6255974462365597</v>
          </cell>
          <cell r="M42">
            <v>7.6255974462365597</v>
          </cell>
          <cell r="N42">
            <v>7.6255974462365597</v>
          </cell>
          <cell r="O42">
            <v>7.2428823924731187</v>
          </cell>
          <cell r="P42">
            <v>7.6255974462365597</v>
          </cell>
          <cell r="Q42">
            <v>7.6255974462365597</v>
          </cell>
          <cell r="R42">
            <v>7.6255974462365597</v>
          </cell>
          <cell r="S42">
            <v>7.6255974462365597</v>
          </cell>
          <cell r="T42">
            <v>7.6255974462365597</v>
          </cell>
          <cell r="U42">
            <v>7.6255974462365597</v>
          </cell>
          <cell r="V42">
            <v>7.2428823924731187</v>
          </cell>
          <cell r="W42">
            <v>7.6255974462365597</v>
          </cell>
          <cell r="X42">
            <v>7.6255974462365597</v>
          </cell>
          <cell r="Y42">
            <v>7.6255974462365597</v>
          </cell>
          <cell r="Z42">
            <v>7.6255974462365597</v>
          </cell>
          <cell r="AA42">
            <v>7.6255974462365597</v>
          </cell>
          <cell r="AB42">
            <v>7.6255974462365597</v>
          </cell>
          <cell r="AC42">
            <v>7.2428823924731187</v>
          </cell>
          <cell r="AD42">
            <v>7.6255974462365597</v>
          </cell>
          <cell r="AE42">
            <v>7.6255974462365597</v>
          </cell>
          <cell r="AF42">
            <v>7.6255974462365597</v>
          </cell>
          <cell r="AG42">
            <v>7.6255974462365597</v>
          </cell>
          <cell r="AH42">
            <v>7.6255974462365597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227.23706317204295</v>
          </cell>
        </row>
        <row r="43">
          <cell r="B43" t="str">
            <v>EX1004</v>
          </cell>
          <cell r="D43">
            <v>0</v>
          </cell>
          <cell r="E43">
            <v>7.6255974462365597</v>
          </cell>
          <cell r="F43">
            <v>7.6255974462365597</v>
          </cell>
          <cell r="G43">
            <v>7.6255974462365597</v>
          </cell>
          <cell r="H43">
            <v>7.2428823924731187</v>
          </cell>
          <cell r="I43">
            <v>7.6255974462365597</v>
          </cell>
          <cell r="J43">
            <v>7.6255974462365597</v>
          </cell>
          <cell r="K43">
            <v>7.6255974462365597</v>
          </cell>
          <cell r="L43">
            <v>7.6255974462365597</v>
          </cell>
          <cell r="M43">
            <v>7.6255974462365597</v>
          </cell>
          <cell r="N43">
            <v>7.6255974462365597</v>
          </cell>
          <cell r="O43">
            <v>7.2428823924731187</v>
          </cell>
          <cell r="P43">
            <v>7.6255974462365597</v>
          </cell>
          <cell r="Q43">
            <v>7.6255974462365597</v>
          </cell>
          <cell r="R43">
            <v>7.6255974462365597</v>
          </cell>
          <cell r="S43">
            <v>7.6255974462365597</v>
          </cell>
          <cell r="T43">
            <v>7.6255974462365597</v>
          </cell>
          <cell r="U43">
            <v>7.6255974462365597</v>
          </cell>
          <cell r="V43">
            <v>7.2428823924731187</v>
          </cell>
          <cell r="W43">
            <v>7.6255974462365597</v>
          </cell>
          <cell r="X43">
            <v>7.6255974462365597</v>
          </cell>
          <cell r="Y43">
            <v>7.6255974462365597</v>
          </cell>
          <cell r="Z43">
            <v>7.6255974462365597</v>
          </cell>
          <cell r="AA43">
            <v>7.6255974462365597</v>
          </cell>
          <cell r="AB43">
            <v>7.6255974462365597</v>
          </cell>
          <cell r="AC43">
            <v>7.2428823924731187</v>
          </cell>
          <cell r="AD43">
            <v>7.6255974462365597</v>
          </cell>
          <cell r="AE43">
            <v>7.6255974462365597</v>
          </cell>
          <cell r="AF43">
            <v>7.6255974462365597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211.98586827956984</v>
          </cell>
        </row>
        <row r="44">
          <cell r="AO44">
            <v>0</v>
          </cell>
        </row>
        <row r="45">
          <cell r="AO4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/>
      <sheetData sheetId="34"/>
      <sheetData sheetId="35" refreshError="1"/>
      <sheetData sheetId="3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OB_3SH"/>
      <sheetName val="SCTM_puasa"/>
      <sheetName val="SCTM_puasa_3SH"/>
      <sheetName val="WK#01"/>
      <sheetName val="WK#02"/>
      <sheetName val="WK#03"/>
      <sheetName val="WK#04"/>
      <sheetName val="WK#05"/>
      <sheetName val="WK#06"/>
      <sheetName val="MONTHLY"/>
      <sheetName val="ABSEN"/>
      <sheetName val="simulasi"/>
      <sheetName val="Data Coal I"/>
      <sheetName val="Data Coal II"/>
      <sheetName val="Data OB"/>
      <sheetName val="Curah hujan"/>
      <sheetName val="ACUM"/>
      <sheetName val="TJ"/>
      <sheetName val="LM"/>
      <sheetName val="Run"/>
      <sheetName val="Hourly"/>
      <sheetName val="Daily Plan"/>
      <sheetName val="SUM"/>
      <sheetName val="Sales Mining"/>
      <sheetName val="EPR_MTD"/>
      <sheetName val="Data Base"/>
    </sheetNames>
    <sheetDataSet>
      <sheetData sheetId="0" refreshError="1">
        <row r="12">
          <cell r="B12" t="str">
            <v>SH4001</v>
          </cell>
          <cell r="D12">
            <v>21.389999999999997</v>
          </cell>
          <cell r="E12">
            <v>28.462518548387095</v>
          </cell>
          <cell r="F12">
            <v>28.462518548387095</v>
          </cell>
          <cell r="G12">
            <v>28.462518548387095</v>
          </cell>
          <cell r="H12">
            <v>26.625486290322581</v>
          </cell>
          <cell r="I12">
            <v>28.462518548387095</v>
          </cell>
          <cell r="J12">
            <v>28.462518548387095</v>
          </cell>
          <cell r="K12">
            <v>28.462518548387095</v>
          </cell>
          <cell r="L12">
            <v>28.462518548387095</v>
          </cell>
          <cell r="M12">
            <v>28.462518548387095</v>
          </cell>
          <cell r="N12">
            <v>28.462518548387095</v>
          </cell>
          <cell r="O12">
            <v>26.625486290322581</v>
          </cell>
          <cell r="P12">
            <v>28.462518548387095</v>
          </cell>
          <cell r="Q12">
            <v>28.462518548387095</v>
          </cell>
          <cell r="R12">
            <v>28.462518548387095</v>
          </cell>
          <cell r="S12">
            <v>28.462518548387095</v>
          </cell>
          <cell r="T12">
            <v>28.462518548387095</v>
          </cell>
          <cell r="U12">
            <v>28.462518548387095</v>
          </cell>
          <cell r="V12">
            <v>26.625486290322581</v>
          </cell>
          <cell r="W12">
            <v>28.462518548387095</v>
          </cell>
          <cell r="X12">
            <v>28.462518548387095</v>
          </cell>
          <cell r="Y12">
            <v>28.462518548387095</v>
          </cell>
          <cell r="Z12">
            <v>28.462518548387095</v>
          </cell>
          <cell r="AA12">
            <v>28.462518548387095</v>
          </cell>
          <cell r="AB12">
            <v>28.462518548387095</v>
          </cell>
          <cell r="AC12">
            <v>26.625486290322581</v>
          </cell>
          <cell r="AD12">
            <v>28.462518548387095</v>
          </cell>
          <cell r="AE12">
            <v>28.462518548387095</v>
          </cell>
          <cell r="AF12">
            <v>28.462518548387095</v>
          </cell>
          <cell r="AG12">
            <v>28.462518548387095</v>
          </cell>
          <cell r="AH12">
            <v>28.462518548387095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867.91742741935514</v>
          </cell>
        </row>
        <row r="13">
          <cell r="B13" t="str">
            <v>SH4002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28.462518548387095</v>
          </cell>
          <cell r="L13">
            <v>28.462518548387095</v>
          </cell>
          <cell r="M13">
            <v>28.462518548387095</v>
          </cell>
          <cell r="N13">
            <v>28.462518548387095</v>
          </cell>
          <cell r="O13">
            <v>26.625486290322581</v>
          </cell>
          <cell r="P13">
            <v>28.462518548387095</v>
          </cell>
          <cell r="Q13">
            <v>28.462518548387095</v>
          </cell>
          <cell r="R13">
            <v>28.462518548387095</v>
          </cell>
          <cell r="S13">
            <v>28.462518548387095</v>
          </cell>
          <cell r="T13">
            <v>28.462518548387095</v>
          </cell>
          <cell r="U13">
            <v>28.462518548387095</v>
          </cell>
          <cell r="V13">
            <v>26.625486290322581</v>
          </cell>
          <cell r="W13">
            <v>28.462518548387095</v>
          </cell>
          <cell r="X13">
            <v>28.462518548387095</v>
          </cell>
          <cell r="Y13">
            <v>28.462518548387095</v>
          </cell>
          <cell r="Z13">
            <v>28.462518548387095</v>
          </cell>
          <cell r="AA13">
            <v>28.462518548387095</v>
          </cell>
          <cell r="AB13">
            <v>28.462518548387095</v>
          </cell>
          <cell r="AC13">
            <v>26.625486290322581</v>
          </cell>
          <cell r="AD13">
            <v>28.462518548387095</v>
          </cell>
          <cell r="AE13">
            <v>28.462518548387095</v>
          </cell>
          <cell r="AF13">
            <v>28.462518548387095</v>
          </cell>
          <cell r="AG13">
            <v>28.462518548387095</v>
          </cell>
          <cell r="AH13">
            <v>28.462518548387095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677.58934838709706</v>
          </cell>
        </row>
        <row r="14">
          <cell r="B14" t="str">
            <v>SH304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20.141523689516127</v>
          </cell>
          <cell r="U14">
            <v>20.141523689516127</v>
          </cell>
          <cell r="V14">
            <v>19.130656754032259</v>
          </cell>
          <cell r="W14">
            <v>20.141523689516127</v>
          </cell>
          <cell r="X14">
            <v>20.141523689516127</v>
          </cell>
          <cell r="Y14">
            <v>20.141523689516127</v>
          </cell>
          <cell r="Z14">
            <v>20.141523689516127</v>
          </cell>
          <cell r="AA14">
            <v>20.141523689516127</v>
          </cell>
          <cell r="AB14">
            <v>20.141523689516127</v>
          </cell>
          <cell r="AC14">
            <v>19.130656754032259</v>
          </cell>
          <cell r="AD14">
            <v>20.141523689516127</v>
          </cell>
          <cell r="AE14">
            <v>20.141523689516127</v>
          </cell>
          <cell r="AF14">
            <v>20.141523689516127</v>
          </cell>
          <cell r="AG14">
            <v>20.141523689516127</v>
          </cell>
          <cell r="AH14">
            <v>20.141523689516127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300.10112147177421</v>
          </cell>
        </row>
        <row r="15">
          <cell r="B15" t="str">
            <v>SH305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20.141523689516127</v>
          </cell>
          <cell r="L15">
            <v>20.141523689516127</v>
          </cell>
          <cell r="M15">
            <v>20.141523689516127</v>
          </cell>
          <cell r="N15">
            <v>20.141523689516127</v>
          </cell>
          <cell r="O15">
            <v>19.130656754032259</v>
          </cell>
          <cell r="P15">
            <v>20.141523689516127</v>
          </cell>
          <cell r="Q15">
            <v>20.141523689516127</v>
          </cell>
          <cell r="R15">
            <v>20.141523689516127</v>
          </cell>
          <cell r="S15">
            <v>20.141523689516127</v>
          </cell>
          <cell r="T15">
            <v>20.141523689516127</v>
          </cell>
          <cell r="U15">
            <v>20.141523689516127</v>
          </cell>
          <cell r="V15">
            <v>19.130656754032259</v>
          </cell>
          <cell r="W15">
            <v>20.141523689516127</v>
          </cell>
          <cell r="X15">
            <v>20.141523689516127</v>
          </cell>
          <cell r="Y15">
            <v>20.141523689516127</v>
          </cell>
          <cell r="Z15">
            <v>20.141523689516127</v>
          </cell>
          <cell r="AA15">
            <v>20.141523689516127</v>
          </cell>
          <cell r="AB15">
            <v>20.141523689516127</v>
          </cell>
          <cell r="AC15">
            <v>19.130656754032259</v>
          </cell>
          <cell r="AD15">
            <v>20.141523689516127</v>
          </cell>
          <cell r="AE15">
            <v>20.141523689516127</v>
          </cell>
          <cell r="AF15">
            <v>20.141523689516127</v>
          </cell>
          <cell r="AG15">
            <v>20.141523689516127</v>
          </cell>
          <cell r="AH15">
            <v>20.141523689516127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480.36396774193554</v>
          </cell>
        </row>
        <row r="16">
          <cell r="B16" t="str">
            <v>SH306</v>
          </cell>
          <cell r="D16">
            <v>13.284000000000001</v>
          </cell>
          <cell r="E16">
            <v>20.141523689516127</v>
          </cell>
          <cell r="F16">
            <v>20.141523689516127</v>
          </cell>
          <cell r="G16">
            <v>20.141523689516127</v>
          </cell>
          <cell r="H16">
            <v>19.130656754032259</v>
          </cell>
          <cell r="I16">
            <v>20.141523689516127</v>
          </cell>
          <cell r="J16">
            <v>20.141523689516127</v>
          </cell>
          <cell r="K16">
            <v>20.141523689516127</v>
          </cell>
          <cell r="L16">
            <v>20.141523689516127</v>
          </cell>
          <cell r="M16">
            <v>20.141523689516127</v>
          </cell>
          <cell r="N16">
            <v>20.141523689516127</v>
          </cell>
          <cell r="O16">
            <v>19.130656754032259</v>
          </cell>
          <cell r="P16">
            <v>20.141523689516127</v>
          </cell>
          <cell r="Q16">
            <v>20.141523689516127</v>
          </cell>
          <cell r="R16">
            <v>20.141523689516127</v>
          </cell>
          <cell r="S16">
            <v>20.141523689516127</v>
          </cell>
          <cell r="T16">
            <v>20.141523689516127</v>
          </cell>
          <cell r="U16">
            <v>20.141523689516127</v>
          </cell>
          <cell r="V16">
            <v>19.130656754032259</v>
          </cell>
          <cell r="W16">
            <v>20.141523689516127</v>
          </cell>
          <cell r="X16">
            <v>20.141523689516127</v>
          </cell>
          <cell r="Y16">
            <v>20.141523689516127</v>
          </cell>
          <cell r="Z16">
            <v>20.141523689516127</v>
          </cell>
          <cell r="AA16">
            <v>20.141523689516127</v>
          </cell>
          <cell r="AB16">
            <v>20.141523689516127</v>
          </cell>
          <cell r="AC16">
            <v>19.130656754032259</v>
          </cell>
          <cell r="AD16">
            <v>20.141523689516127</v>
          </cell>
          <cell r="AE16">
            <v>20.141523689516127</v>
          </cell>
          <cell r="AF16">
            <v>20.141523689516127</v>
          </cell>
          <cell r="AG16">
            <v>20.141523689516127</v>
          </cell>
          <cell r="AH16">
            <v>20.141523689516127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613.4862429435484</v>
          </cell>
        </row>
        <row r="17">
          <cell r="B17" t="str">
            <v>EX708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</row>
        <row r="18">
          <cell r="B18" t="str">
            <v>EX709</v>
          </cell>
          <cell r="D18">
            <v>0</v>
          </cell>
          <cell r="E18">
            <v>0</v>
          </cell>
          <cell r="F18">
            <v>0</v>
          </cell>
          <cell r="G18">
            <v>14.331149983198927</v>
          </cell>
          <cell r="H18">
            <v>13.611895278897849</v>
          </cell>
          <cell r="I18">
            <v>14.331149983198927</v>
          </cell>
          <cell r="J18">
            <v>14.331149983198927</v>
          </cell>
          <cell r="K18">
            <v>14.331149983198927</v>
          </cell>
          <cell r="L18">
            <v>14.331149983198927</v>
          </cell>
          <cell r="M18">
            <v>14.331149983198927</v>
          </cell>
          <cell r="N18">
            <v>14.331149983198927</v>
          </cell>
          <cell r="O18">
            <v>13.611895278897849</v>
          </cell>
          <cell r="P18">
            <v>14.331149983198927</v>
          </cell>
          <cell r="Q18">
            <v>14.331149983198927</v>
          </cell>
          <cell r="R18">
            <v>14.331149983198927</v>
          </cell>
          <cell r="S18">
            <v>14.331149983198927</v>
          </cell>
          <cell r="T18">
            <v>14.331149983198927</v>
          </cell>
          <cell r="U18">
            <v>14.331149983198927</v>
          </cell>
          <cell r="V18">
            <v>13.611895278897849</v>
          </cell>
          <cell r="W18">
            <v>14.331149983198927</v>
          </cell>
          <cell r="X18">
            <v>14.331149983198927</v>
          </cell>
          <cell r="Y18">
            <v>14.331149983198927</v>
          </cell>
          <cell r="Z18">
            <v>14.331149983198927</v>
          </cell>
          <cell r="AA18">
            <v>14.331149983198927</v>
          </cell>
          <cell r="AB18">
            <v>14.331149983198927</v>
          </cell>
          <cell r="AC18">
            <v>13.611895278897849</v>
          </cell>
          <cell r="AD18">
            <v>14.331149983198927</v>
          </cell>
          <cell r="AE18">
            <v>14.331149983198927</v>
          </cell>
          <cell r="AF18">
            <v>14.331149983198927</v>
          </cell>
          <cell r="AG18">
            <v>14.331149983198927</v>
          </cell>
          <cell r="AH18">
            <v>14.331149983198927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398.39518071236586</v>
          </cell>
        </row>
        <row r="19">
          <cell r="B19" t="str">
            <v>EX710</v>
          </cell>
          <cell r="D19">
            <v>11.166458333333333</v>
          </cell>
          <cell r="E19">
            <v>14.858603433019713</v>
          </cell>
          <cell r="F19">
            <v>14.858603433019713</v>
          </cell>
          <cell r="G19">
            <v>14.858603433019713</v>
          </cell>
          <cell r="H19">
            <v>13.89959716061828</v>
          </cell>
          <cell r="I19">
            <v>14.858603433019713</v>
          </cell>
          <cell r="J19">
            <v>14.858603433019713</v>
          </cell>
          <cell r="K19">
            <v>14.858603433019713</v>
          </cell>
          <cell r="L19">
            <v>14.858603433019713</v>
          </cell>
          <cell r="M19">
            <v>14.858603433019713</v>
          </cell>
          <cell r="N19">
            <v>14.858603433019713</v>
          </cell>
          <cell r="O19">
            <v>13.89959716061828</v>
          </cell>
          <cell r="P19">
            <v>14.858603433019713</v>
          </cell>
          <cell r="Q19">
            <v>14.858603433019713</v>
          </cell>
          <cell r="R19">
            <v>14.858603433019713</v>
          </cell>
          <cell r="S19">
            <v>14.858603433019713</v>
          </cell>
          <cell r="T19">
            <v>14.858603433019713</v>
          </cell>
          <cell r="U19">
            <v>14.858603433019713</v>
          </cell>
          <cell r="V19">
            <v>13.89959716061828</v>
          </cell>
          <cell r="W19">
            <v>14.858603433019713</v>
          </cell>
          <cell r="X19">
            <v>14.858603433019713</v>
          </cell>
          <cell r="Y19">
            <v>14.858603433019713</v>
          </cell>
          <cell r="Z19">
            <v>14.858603433019713</v>
          </cell>
          <cell r="AA19">
            <v>14.858603433019713</v>
          </cell>
          <cell r="AB19">
            <v>14.858603433019713</v>
          </cell>
          <cell r="AC19">
            <v>13.89959716061828</v>
          </cell>
          <cell r="AD19">
            <v>14.858603433019713</v>
          </cell>
          <cell r="AE19">
            <v>14.858603433019713</v>
          </cell>
          <cell r="AF19">
            <v>14.858603433019713</v>
          </cell>
          <cell r="AG19">
            <v>14.858603433019713</v>
          </cell>
          <cell r="AH19">
            <v>14.858603433019713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453.08853623431889</v>
          </cell>
        </row>
        <row r="20">
          <cell r="B20" t="str">
            <v>EX711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13.611895278897849</v>
          </cell>
          <cell r="P20">
            <v>14.331149983198927</v>
          </cell>
          <cell r="Q20">
            <v>14.331149983198927</v>
          </cell>
          <cell r="R20">
            <v>14.331149983198927</v>
          </cell>
          <cell r="S20">
            <v>14.331149983198927</v>
          </cell>
          <cell r="T20">
            <v>14.331149983198927</v>
          </cell>
          <cell r="U20">
            <v>14.331149983198927</v>
          </cell>
          <cell r="V20">
            <v>13.611895278897849</v>
          </cell>
          <cell r="W20">
            <v>14.331149983198927</v>
          </cell>
          <cell r="X20">
            <v>14.331149983198927</v>
          </cell>
          <cell r="Y20">
            <v>14.331149983198927</v>
          </cell>
          <cell r="Z20">
            <v>14.331149983198927</v>
          </cell>
          <cell r="AA20">
            <v>14.331149983198927</v>
          </cell>
          <cell r="AB20">
            <v>14.331149983198927</v>
          </cell>
          <cell r="AC20">
            <v>13.611895278897849</v>
          </cell>
          <cell r="AD20">
            <v>14.331149983198927</v>
          </cell>
          <cell r="AE20">
            <v>14.858603433019713</v>
          </cell>
          <cell r="AF20">
            <v>14.331149983198927</v>
          </cell>
          <cell r="AG20">
            <v>14.331149983198927</v>
          </cell>
          <cell r="AH20">
            <v>14.331149983198927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284.99268900089618</v>
          </cell>
        </row>
        <row r="21">
          <cell r="B21" t="str">
            <v>EX1001</v>
          </cell>
          <cell r="D21">
            <v>5.0293333333333337</v>
          </cell>
          <cell r="E21">
            <v>7.6255974462365597</v>
          </cell>
          <cell r="F21">
            <v>7.6255974462365597</v>
          </cell>
          <cell r="G21">
            <v>7.6255974462365597</v>
          </cell>
          <cell r="H21">
            <v>7.2428823924731187</v>
          </cell>
          <cell r="I21">
            <v>7.6255974462365597</v>
          </cell>
          <cell r="J21">
            <v>7.6255974462365597</v>
          </cell>
          <cell r="K21">
            <v>7.6255974462365597</v>
          </cell>
          <cell r="L21">
            <v>7.6255974462365597</v>
          </cell>
          <cell r="M21">
            <v>7.6255974462365597</v>
          </cell>
          <cell r="N21">
            <v>7.6255974462365597</v>
          </cell>
          <cell r="O21">
            <v>7.2428823924731187</v>
          </cell>
          <cell r="P21">
            <v>7.6255974462365597</v>
          </cell>
          <cell r="Q21">
            <v>7.6255974462365597</v>
          </cell>
          <cell r="R21">
            <v>7.6255974462365597</v>
          </cell>
          <cell r="S21">
            <v>7.6255974462365597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118.64786491935482</v>
          </cell>
        </row>
        <row r="22">
          <cell r="B22" t="str">
            <v>EX1006</v>
          </cell>
          <cell r="D22">
            <v>5.0293333333333337</v>
          </cell>
          <cell r="E22">
            <v>7.6255974462365597</v>
          </cell>
          <cell r="F22">
            <v>7.6255974462365597</v>
          </cell>
          <cell r="G22">
            <v>7.6255974462365597</v>
          </cell>
          <cell r="H22">
            <v>7.2428823924731187</v>
          </cell>
          <cell r="I22">
            <v>7.6255974462365597</v>
          </cell>
          <cell r="J22">
            <v>7.6255974462365597</v>
          </cell>
          <cell r="K22">
            <v>7.6255974462365597</v>
          </cell>
          <cell r="L22">
            <v>7.6255974462365597</v>
          </cell>
          <cell r="M22">
            <v>7.6255974462365597</v>
          </cell>
          <cell r="N22">
            <v>7.6255974462365597</v>
          </cell>
          <cell r="O22">
            <v>7.2428823924731187</v>
          </cell>
          <cell r="P22">
            <v>7.6255974462365597</v>
          </cell>
          <cell r="Q22">
            <v>7.6255974462365597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103.39667002688171</v>
          </cell>
        </row>
        <row r="23">
          <cell r="B23" t="str">
            <v>EX1008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O23">
            <v>0</v>
          </cell>
        </row>
        <row r="24">
          <cell r="B24" t="str">
            <v>EX1013</v>
          </cell>
          <cell r="D24">
            <v>5.0293333333333337</v>
          </cell>
          <cell r="E24">
            <v>7.6255974462365597</v>
          </cell>
          <cell r="F24">
            <v>7.6255974462365597</v>
          </cell>
          <cell r="G24">
            <v>7.6255974462365597</v>
          </cell>
          <cell r="H24">
            <v>7.2428823924731187</v>
          </cell>
          <cell r="I24">
            <v>7.6255974462365597</v>
          </cell>
          <cell r="J24">
            <v>7.6255974462365597</v>
          </cell>
          <cell r="K24">
            <v>7.6255974462365597</v>
          </cell>
          <cell r="L24">
            <v>7.6255974462365597</v>
          </cell>
          <cell r="M24">
            <v>7.6255974462365597</v>
          </cell>
          <cell r="N24">
            <v>7.6255974462365597</v>
          </cell>
          <cell r="O24">
            <v>7.2428823924731187</v>
          </cell>
          <cell r="P24">
            <v>7.6255974462365597</v>
          </cell>
          <cell r="Q24">
            <v>7.6255974462365597</v>
          </cell>
          <cell r="R24">
            <v>7.6255974462365597</v>
          </cell>
          <cell r="S24">
            <v>7.6255974462365597</v>
          </cell>
          <cell r="T24">
            <v>7.6255974462365597</v>
          </cell>
          <cell r="U24">
            <v>7.6255974462365597</v>
          </cell>
          <cell r="V24">
            <v>7.2428823924731187</v>
          </cell>
          <cell r="W24">
            <v>7.6255974462365597</v>
          </cell>
          <cell r="X24">
            <v>7.6255974462365597</v>
          </cell>
          <cell r="Y24">
            <v>7.6255974462365597</v>
          </cell>
          <cell r="Z24">
            <v>7.6255974462365597</v>
          </cell>
          <cell r="AA24">
            <v>7.6255974462365597</v>
          </cell>
          <cell r="AB24">
            <v>7.6255974462365597</v>
          </cell>
          <cell r="AC24">
            <v>7.2428823924731187</v>
          </cell>
          <cell r="AD24">
            <v>7.6255974462365597</v>
          </cell>
          <cell r="AE24">
            <v>7.6255974462365597</v>
          </cell>
          <cell r="AF24">
            <v>7.6255974462365597</v>
          </cell>
          <cell r="AG24">
            <v>7.6255974462365597</v>
          </cell>
          <cell r="AH24">
            <v>7.6255974462365597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O24">
            <v>232.26639650537626</v>
          </cell>
        </row>
        <row r="25">
          <cell r="B25" t="str">
            <v>EX1014</v>
          </cell>
          <cell r="D25">
            <v>5.0293333333333337</v>
          </cell>
          <cell r="E25">
            <v>7.6255974462365597</v>
          </cell>
          <cell r="F25">
            <v>7.6255974462365597</v>
          </cell>
          <cell r="G25">
            <v>7.6255974462365597</v>
          </cell>
          <cell r="H25">
            <v>7.2428823924731187</v>
          </cell>
          <cell r="I25">
            <v>7.6255974462365597</v>
          </cell>
          <cell r="J25">
            <v>7.6255974462365597</v>
          </cell>
          <cell r="K25">
            <v>7.6255974462365597</v>
          </cell>
          <cell r="L25">
            <v>7.6255974462365597</v>
          </cell>
          <cell r="M25">
            <v>7.6255974462365597</v>
          </cell>
          <cell r="N25">
            <v>7.6255974462365597</v>
          </cell>
          <cell r="O25">
            <v>7.2428823924731187</v>
          </cell>
          <cell r="P25">
            <v>7.6255974462365597</v>
          </cell>
          <cell r="Q25">
            <v>7.6255974462365597</v>
          </cell>
          <cell r="R25">
            <v>7.6255974462365597</v>
          </cell>
          <cell r="S25">
            <v>7.6255974462365597</v>
          </cell>
          <cell r="T25">
            <v>7.6255974462365597</v>
          </cell>
          <cell r="U25">
            <v>7.6255974462365597</v>
          </cell>
          <cell r="V25">
            <v>7.2428823924731187</v>
          </cell>
          <cell r="W25">
            <v>7.6255974462365597</v>
          </cell>
          <cell r="X25">
            <v>7.6255974462365597</v>
          </cell>
          <cell r="Y25">
            <v>7.6255974462365597</v>
          </cell>
          <cell r="Z25">
            <v>7.6255974462365597</v>
          </cell>
          <cell r="AA25">
            <v>7.6255974462365597</v>
          </cell>
          <cell r="AB25">
            <v>7.6255974462365597</v>
          </cell>
          <cell r="AC25">
            <v>7.2428823924731187</v>
          </cell>
          <cell r="AD25">
            <v>7.6255974462365597</v>
          </cell>
          <cell r="AE25">
            <v>7.6255974462365597</v>
          </cell>
          <cell r="AF25">
            <v>7.6255974462365597</v>
          </cell>
          <cell r="AG25">
            <v>7.6255974462365597</v>
          </cell>
          <cell r="AH25">
            <v>7.6255974462365597</v>
          </cell>
          <cell r="AI25">
            <v>0</v>
          </cell>
          <cell r="AJ25">
            <v>0</v>
          </cell>
          <cell r="AK25">
            <v>0</v>
          </cell>
          <cell r="AO25">
            <v>232.26639650537626</v>
          </cell>
        </row>
        <row r="26">
          <cell r="B26" t="str">
            <v>EX577</v>
          </cell>
          <cell r="D26">
            <v>3.0176000000000003</v>
          </cell>
          <cell r="E26">
            <v>4.5753584677419354</v>
          </cell>
          <cell r="F26">
            <v>4.5753584677419354</v>
          </cell>
          <cell r="G26">
            <v>4.5753584677419354</v>
          </cell>
          <cell r="H26">
            <v>4.3457294354838716</v>
          </cell>
          <cell r="I26">
            <v>4.5753584677419354</v>
          </cell>
          <cell r="J26">
            <v>4.5753584677419354</v>
          </cell>
          <cell r="K26">
            <v>4.5753584677419354</v>
          </cell>
          <cell r="L26">
            <v>4.5753584677419354</v>
          </cell>
          <cell r="M26">
            <v>4.5753584677419354</v>
          </cell>
          <cell r="N26">
            <v>4.5753584677419354</v>
          </cell>
          <cell r="O26">
            <v>4.3457294354838716</v>
          </cell>
          <cell r="P26">
            <v>4.5753584677419354</v>
          </cell>
          <cell r="Q26">
            <v>4.5753584677419354</v>
          </cell>
          <cell r="R26">
            <v>4.5753584677419354</v>
          </cell>
          <cell r="S26">
            <v>4.5753584677419354</v>
          </cell>
          <cell r="T26">
            <v>4.5753584677419354</v>
          </cell>
          <cell r="U26">
            <v>4.5753584677419354</v>
          </cell>
          <cell r="V26">
            <v>4.3457294354838716</v>
          </cell>
          <cell r="W26">
            <v>4.5753584677419354</v>
          </cell>
          <cell r="X26">
            <v>4.5753584677419354</v>
          </cell>
          <cell r="Y26">
            <v>4.5753584677419354</v>
          </cell>
          <cell r="Z26">
            <v>4.5753584677419354</v>
          </cell>
          <cell r="AA26">
            <v>4.5753584677419354</v>
          </cell>
          <cell r="AB26">
            <v>4.5753584677419354</v>
          </cell>
          <cell r="AC26">
            <v>4.3457294354838716</v>
          </cell>
          <cell r="AD26">
            <v>4.5753584677419354</v>
          </cell>
          <cell r="AE26">
            <v>4.5753584677419354</v>
          </cell>
          <cell r="AF26">
            <v>4.5753584677419354</v>
          </cell>
          <cell r="AG26">
            <v>4.5753584677419354</v>
          </cell>
          <cell r="AH26">
            <v>4.5753584677419354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139.35983790322581</v>
          </cell>
        </row>
        <row r="27">
          <cell r="B27" t="str">
            <v>EX578</v>
          </cell>
          <cell r="D27">
            <v>5.0293333333333337</v>
          </cell>
          <cell r="E27">
            <v>7.6255974462365597</v>
          </cell>
          <cell r="F27">
            <v>4.5753584677419354</v>
          </cell>
          <cell r="G27">
            <v>4.5753584677419354</v>
          </cell>
          <cell r="H27">
            <v>4.3457294354838716</v>
          </cell>
          <cell r="I27">
            <v>4.5753584677419354</v>
          </cell>
          <cell r="J27">
            <v>4.5753584677419354</v>
          </cell>
          <cell r="K27">
            <v>4.5753584677419354</v>
          </cell>
          <cell r="L27">
            <v>4.5753584677419354</v>
          </cell>
          <cell r="M27">
            <v>4.5753584677419354</v>
          </cell>
          <cell r="N27">
            <v>4.5753584677419354</v>
          </cell>
          <cell r="O27">
            <v>4.3457294354838716</v>
          </cell>
          <cell r="P27">
            <v>4.5753584677419354</v>
          </cell>
          <cell r="Q27">
            <v>4.5753584677419354</v>
          </cell>
          <cell r="R27">
            <v>4.5753584677419354</v>
          </cell>
          <cell r="S27">
            <v>4.5753584677419354</v>
          </cell>
          <cell r="T27">
            <v>4.5753584677419354</v>
          </cell>
          <cell r="U27">
            <v>4.5753584677419354</v>
          </cell>
          <cell r="V27">
            <v>4.3457294354838716</v>
          </cell>
          <cell r="W27">
            <v>4.5753584677419354</v>
          </cell>
          <cell r="X27">
            <v>4.5753584677419354</v>
          </cell>
          <cell r="Y27">
            <v>4.5753584677419354</v>
          </cell>
          <cell r="Z27">
            <v>4.5753584677419354</v>
          </cell>
          <cell r="AA27">
            <v>4.5753584677419354</v>
          </cell>
          <cell r="AB27">
            <v>4.5753584677419354</v>
          </cell>
          <cell r="AC27">
            <v>4.3457294354838716</v>
          </cell>
          <cell r="AD27">
            <v>4.5753584677419354</v>
          </cell>
          <cell r="AE27">
            <v>4.5753584677419354</v>
          </cell>
          <cell r="AF27">
            <v>4.5753584677419354</v>
          </cell>
          <cell r="AG27">
            <v>4.5753584677419354</v>
          </cell>
          <cell r="AH27">
            <v>4.5753584677419354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144.42181021505377</v>
          </cell>
        </row>
        <row r="28">
          <cell r="B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</row>
        <row r="29">
          <cell r="B29" t="str">
            <v>TOTAL</v>
          </cell>
          <cell r="C29">
            <v>0</v>
          </cell>
          <cell r="D29">
            <v>74.004725000000008</v>
          </cell>
          <cell r="E29">
            <v>106.16599136984765</v>
          </cell>
          <cell r="F29">
            <v>103.11575239135303</v>
          </cell>
          <cell r="G29">
            <v>117.44690237455195</v>
          </cell>
          <cell r="H29">
            <v>110.93062392473121</v>
          </cell>
          <cell r="I29">
            <v>117.44690237455195</v>
          </cell>
          <cell r="J29">
            <v>117.44690237455195</v>
          </cell>
          <cell r="K29">
            <v>166.05094461245517</v>
          </cell>
          <cell r="L29">
            <v>166.05094461245517</v>
          </cell>
          <cell r="M29">
            <v>166.05094461245517</v>
          </cell>
          <cell r="N29">
            <v>166.05094461245517</v>
          </cell>
          <cell r="O29">
            <v>170.29866224798388</v>
          </cell>
          <cell r="P29">
            <v>180.38209459565411</v>
          </cell>
          <cell r="Q29">
            <v>180.38209459565411</v>
          </cell>
          <cell r="R29">
            <v>172.75649714941756</v>
          </cell>
          <cell r="S29">
            <v>172.75649714941756</v>
          </cell>
          <cell r="T29">
            <v>185.27242339269714</v>
          </cell>
          <cell r="U29">
            <v>185.27242339269714</v>
          </cell>
          <cell r="V29">
            <v>174.9435542170699</v>
          </cell>
          <cell r="W29">
            <v>185.27242339269714</v>
          </cell>
          <cell r="X29">
            <v>185.27242339269714</v>
          </cell>
          <cell r="Y29">
            <v>185.27242339269714</v>
          </cell>
          <cell r="Z29">
            <v>185.27242339269714</v>
          </cell>
          <cell r="AA29">
            <v>185.27242339269714</v>
          </cell>
          <cell r="AB29">
            <v>185.27242339269714</v>
          </cell>
          <cell r="AC29">
            <v>174.9435542170699</v>
          </cell>
          <cell r="AD29">
            <v>185.27242339269714</v>
          </cell>
          <cell r="AE29">
            <v>185.7998768425179</v>
          </cell>
          <cell r="AF29">
            <v>185.27242339269714</v>
          </cell>
          <cell r="AG29">
            <v>185.27242339269714</v>
          </cell>
          <cell r="AH29">
            <v>185.27242339269714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5046.2934899865586</v>
          </cell>
        </row>
        <row r="30">
          <cell r="B30" t="str">
            <v>TOTAL</v>
          </cell>
          <cell r="C30">
            <v>0</v>
          </cell>
          <cell r="D30">
            <v>74.004725000000008</v>
          </cell>
          <cell r="E30">
            <v>106.16599136984765</v>
          </cell>
          <cell r="F30">
            <v>103.11575239135303</v>
          </cell>
          <cell r="G30">
            <v>117.44690237455195</v>
          </cell>
          <cell r="H30">
            <v>110.93062392473121</v>
          </cell>
          <cell r="I30">
            <v>117.44690237455195</v>
          </cell>
          <cell r="J30">
            <v>117.44690237455195</v>
          </cell>
          <cell r="K30">
            <v>166.05094461245517</v>
          </cell>
          <cell r="L30">
            <v>166.05094461245517</v>
          </cell>
          <cell r="M30">
            <v>166.05094461245517</v>
          </cell>
          <cell r="N30">
            <v>166.05094461245517</v>
          </cell>
          <cell r="O30">
            <v>170.29866224798388</v>
          </cell>
          <cell r="P30">
            <v>180.38209459565411</v>
          </cell>
          <cell r="Q30">
            <v>180.38209459565411</v>
          </cell>
          <cell r="R30">
            <v>172.75649714941756</v>
          </cell>
          <cell r="S30">
            <v>172.75649714941756</v>
          </cell>
          <cell r="T30">
            <v>185.27242339269714</v>
          </cell>
          <cell r="U30">
            <v>185.27242339269714</v>
          </cell>
          <cell r="V30">
            <v>174.9435542170699</v>
          </cell>
          <cell r="W30">
            <v>185.27242339269714</v>
          </cell>
          <cell r="X30">
            <v>185.27242339269714</v>
          </cell>
          <cell r="Y30">
            <v>185.27242339269714</v>
          </cell>
          <cell r="Z30">
            <v>185.27242339269714</v>
          </cell>
          <cell r="AA30">
            <v>185.27242339269714</v>
          </cell>
          <cell r="AB30">
            <v>185.27242339269714</v>
          </cell>
          <cell r="AC30">
            <v>174.9435542170699</v>
          </cell>
          <cell r="AD30">
            <v>185.27242339269714</v>
          </cell>
          <cell r="AE30">
            <v>185.7998768425179</v>
          </cell>
          <cell r="AF30">
            <v>185.27242339269714</v>
          </cell>
          <cell r="AG30">
            <v>185.27242339269714</v>
          </cell>
          <cell r="AH30">
            <v>185.27242339269714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5046.2934899865586</v>
          </cell>
        </row>
        <row r="31">
          <cell r="B31" t="str">
            <v>RESUME WASTE REMOVAL</v>
          </cell>
          <cell r="AF31" t="str">
            <v>TOTAL WASTE REMOVAL</v>
          </cell>
          <cell r="AO31">
            <v>5046.2934899865586</v>
          </cell>
        </row>
        <row r="32">
          <cell r="B32" t="str">
            <v>OB</v>
          </cell>
          <cell r="C32">
            <v>4762.5118418682805</v>
          </cell>
          <cell r="K32" t="str">
            <v>kBCM</v>
          </cell>
        </row>
        <row r="33">
          <cell r="B33" t="str">
            <v>TS_PIT</v>
          </cell>
          <cell r="C33">
            <v>0</v>
          </cell>
          <cell r="K33" t="str">
            <v>kBCM</v>
          </cell>
        </row>
        <row r="34">
          <cell r="B34" t="str">
            <v>OB+TS_PIT</v>
          </cell>
          <cell r="C34">
            <v>0</v>
          </cell>
          <cell r="K34" t="str">
            <v>kBCM</v>
          </cell>
        </row>
        <row r="35">
          <cell r="B35" t="str">
            <v>TS_WD</v>
          </cell>
          <cell r="C35">
            <v>283.78164811827958</v>
          </cell>
          <cell r="K35" t="str">
            <v>kBCM</v>
          </cell>
        </row>
        <row r="36">
          <cell r="B36" t="str">
            <v>TOTAL</v>
          </cell>
          <cell r="C36">
            <v>5046.2934899865604</v>
          </cell>
          <cell r="K36" t="str">
            <v>kBCM</v>
          </cell>
        </row>
        <row r="38">
          <cell r="K38" t="str">
            <v>kBCM</v>
          </cell>
        </row>
        <row r="39">
          <cell r="B39" t="str">
            <v>PRODUCTION PLANNING FOR COAL , KTON</v>
          </cell>
        </row>
        <row r="40">
          <cell r="B40" t="str">
            <v>FLEET</v>
          </cell>
          <cell r="C40" t="str">
            <v>WEEK # 01</v>
          </cell>
          <cell r="K40" t="str">
            <v>WEEK # 02</v>
          </cell>
          <cell r="R40" t="str">
            <v>WEEK #03</v>
          </cell>
          <cell r="Y40" t="str">
            <v>WEEK #04</v>
          </cell>
          <cell r="AF40" t="str">
            <v>WEEK # 05</v>
          </cell>
          <cell r="AM40" t="str">
            <v>WEEK#06</v>
          </cell>
          <cell r="AO40" t="str">
            <v>Total</v>
          </cell>
        </row>
        <row r="41">
          <cell r="B41" t="str">
            <v>NUMBER</v>
          </cell>
          <cell r="C41">
            <v>0</v>
          </cell>
          <cell r="D41">
            <v>39083</v>
          </cell>
          <cell r="E41">
            <v>39084</v>
          </cell>
          <cell r="F41">
            <v>39085</v>
          </cell>
          <cell r="G41">
            <v>39086</v>
          </cell>
          <cell r="H41">
            <v>39087</v>
          </cell>
          <cell r="I41">
            <v>39088</v>
          </cell>
          <cell r="J41">
            <v>39089</v>
          </cell>
          <cell r="K41">
            <v>39090</v>
          </cell>
          <cell r="L41">
            <v>39091</v>
          </cell>
          <cell r="M41">
            <v>39092</v>
          </cell>
          <cell r="N41">
            <v>39093</v>
          </cell>
          <cell r="O41">
            <v>39094</v>
          </cell>
          <cell r="P41">
            <v>39095</v>
          </cell>
          <cell r="Q41">
            <v>39096</v>
          </cell>
          <cell r="R41">
            <v>39097</v>
          </cell>
          <cell r="S41">
            <v>39098</v>
          </cell>
          <cell r="T41">
            <v>39099</v>
          </cell>
          <cell r="U41">
            <v>39100</v>
          </cell>
          <cell r="V41">
            <v>39101</v>
          </cell>
          <cell r="W41">
            <v>39102</v>
          </cell>
          <cell r="X41">
            <v>39103</v>
          </cell>
          <cell r="Y41">
            <v>39104</v>
          </cell>
          <cell r="Z41">
            <v>39105</v>
          </cell>
          <cell r="AA41">
            <v>39106</v>
          </cell>
          <cell r="AB41">
            <v>39107</v>
          </cell>
          <cell r="AC41">
            <v>39108</v>
          </cell>
          <cell r="AD41">
            <v>39109</v>
          </cell>
          <cell r="AE41">
            <v>39110</v>
          </cell>
          <cell r="AF41">
            <v>39111</v>
          </cell>
          <cell r="AG41">
            <v>39112</v>
          </cell>
          <cell r="AH41">
            <v>39113</v>
          </cell>
          <cell r="AI41">
            <v>39114</v>
          </cell>
          <cell r="AJ41">
            <v>39115</v>
          </cell>
          <cell r="AK41">
            <v>39116</v>
          </cell>
          <cell r="AL41">
            <v>39117</v>
          </cell>
          <cell r="AM41">
            <v>39118</v>
          </cell>
          <cell r="AN41">
            <v>39119</v>
          </cell>
        </row>
        <row r="42">
          <cell r="B42" t="str">
            <v>EX1002</v>
          </cell>
          <cell r="C42">
            <v>0</v>
          </cell>
          <cell r="D42">
            <v>0</v>
          </cell>
          <cell r="E42">
            <v>7.6255974462365597</v>
          </cell>
          <cell r="F42">
            <v>7.6255974462365597</v>
          </cell>
          <cell r="G42">
            <v>7.6255974462365597</v>
          </cell>
          <cell r="H42">
            <v>7.2428823924731187</v>
          </cell>
          <cell r="I42">
            <v>7.6255974462365597</v>
          </cell>
          <cell r="J42">
            <v>7.6255974462365597</v>
          </cell>
          <cell r="K42">
            <v>7.6255974462365597</v>
          </cell>
          <cell r="L42">
            <v>7.6255974462365597</v>
          </cell>
          <cell r="M42">
            <v>7.6255974462365597</v>
          </cell>
          <cell r="N42">
            <v>7.6255974462365597</v>
          </cell>
          <cell r="O42">
            <v>7.2428823924731187</v>
          </cell>
          <cell r="P42">
            <v>7.6255974462365597</v>
          </cell>
          <cell r="Q42">
            <v>7.6255974462365597</v>
          </cell>
          <cell r="R42">
            <v>7.6255974462365597</v>
          </cell>
          <cell r="S42">
            <v>7.6255974462365597</v>
          </cell>
          <cell r="T42">
            <v>7.6255974462365597</v>
          </cell>
          <cell r="U42">
            <v>7.6255974462365597</v>
          </cell>
          <cell r="V42">
            <v>7.2428823924731187</v>
          </cell>
          <cell r="W42">
            <v>7.6255974462365597</v>
          </cell>
          <cell r="X42">
            <v>7.6255974462365597</v>
          </cell>
          <cell r="Y42">
            <v>7.6255974462365597</v>
          </cell>
          <cell r="Z42">
            <v>7.6255974462365597</v>
          </cell>
          <cell r="AA42">
            <v>7.6255974462365597</v>
          </cell>
          <cell r="AB42">
            <v>7.6255974462365597</v>
          </cell>
          <cell r="AC42">
            <v>7.2428823924731187</v>
          </cell>
          <cell r="AD42">
            <v>7.6255974462365597</v>
          </cell>
          <cell r="AE42">
            <v>7.6255974462365597</v>
          </cell>
          <cell r="AF42">
            <v>7.6255974462365597</v>
          </cell>
          <cell r="AG42">
            <v>7.6255974462365597</v>
          </cell>
          <cell r="AH42">
            <v>7.6255974462365597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227.23706317204295</v>
          </cell>
        </row>
        <row r="43">
          <cell r="B43" t="str">
            <v>EX1004</v>
          </cell>
          <cell r="D43">
            <v>0</v>
          </cell>
          <cell r="E43">
            <v>7.6255974462365597</v>
          </cell>
          <cell r="F43">
            <v>7.6255974462365597</v>
          </cell>
          <cell r="G43">
            <v>7.6255974462365597</v>
          </cell>
          <cell r="H43">
            <v>7.2428823924731187</v>
          </cell>
          <cell r="I43">
            <v>7.6255974462365597</v>
          </cell>
          <cell r="J43">
            <v>7.6255974462365597</v>
          </cell>
          <cell r="K43">
            <v>7.6255974462365597</v>
          </cell>
          <cell r="L43">
            <v>7.6255974462365597</v>
          </cell>
          <cell r="M43">
            <v>7.6255974462365597</v>
          </cell>
          <cell r="N43">
            <v>7.6255974462365597</v>
          </cell>
          <cell r="O43">
            <v>7.2428823924731187</v>
          </cell>
          <cell r="P43">
            <v>7.6255974462365597</v>
          </cell>
          <cell r="Q43">
            <v>7.6255974462365597</v>
          </cell>
          <cell r="R43">
            <v>7.6255974462365597</v>
          </cell>
          <cell r="S43">
            <v>7.6255974462365597</v>
          </cell>
          <cell r="T43">
            <v>7.6255974462365597</v>
          </cell>
          <cell r="U43">
            <v>7.6255974462365597</v>
          </cell>
          <cell r="V43">
            <v>7.2428823924731187</v>
          </cell>
          <cell r="W43">
            <v>7.6255974462365597</v>
          </cell>
          <cell r="X43">
            <v>7.6255974462365597</v>
          </cell>
          <cell r="Y43">
            <v>7.6255974462365597</v>
          </cell>
          <cell r="Z43">
            <v>7.6255974462365597</v>
          </cell>
          <cell r="AA43">
            <v>7.6255974462365597</v>
          </cell>
          <cell r="AB43">
            <v>7.6255974462365597</v>
          </cell>
          <cell r="AC43">
            <v>7.2428823924731187</v>
          </cell>
          <cell r="AD43">
            <v>7.6255974462365597</v>
          </cell>
          <cell r="AE43">
            <v>7.6255974462365597</v>
          </cell>
          <cell r="AF43">
            <v>7.6255974462365597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211.98586827956984</v>
          </cell>
        </row>
        <row r="44">
          <cell r="AO44">
            <v>0</v>
          </cell>
        </row>
        <row r="45">
          <cell r="AO4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notes"/>
      <sheetName val="PRODUKSI"/>
      <sheetName val="Run"/>
      <sheetName val="MA_PLANS_"/>
      <sheetName val="M_PLANS_"/>
      <sheetName val="Daily Plan"/>
      <sheetName val="ROM &amp; FC Actual"/>
      <sheetName val="sum_MSY"/>
      <sheetName val="DP Report"/>
      <sheetName val="Data Bas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OB_3SH"/>
      <sheetName val="SCTM_puasa"/>
      <sheetName val="SCTM_puasa_3SH"/>
      <sheetName val="WK#01"/>
      <sheetName val="WK#02"/>
      <sheetName val="WK#03"/>
      <sheetName val="WK#04"/>
      <sheetName val="WK#05"/>
      <sheetName val="WK#06"/>
      <sheetName val="MONTHLY"/>
      <sheetName val="ABSEN"/>
      <sheetName val="simulasi"/>
      <sheetName val="Plant"/>
      <sheetName val="bantuan"/>
      <sheetName val="Run"/>
      <sheetName val="Sheet2"/>
      <sheetName val="Sheet1"/>
      <sheetName val="sum_MSY"/>
      <sheetName val="DB "/>
      <sheetName val="Summ PRM"/>
      <sheetName val="SUM"/>
      <sheetName val="Data Base"/>
      <sheetName val="OPT_GL"/>
      <sheetName val="Project"/>
      <sheetName val="LIST"/>
      <sheetName val="Plan"/>
      <sheetName val="Safety 2"/>
      <sheetName val="DRILL_BLAST"/>
      <sheetName val="COAL"/>
      <sheetName val="Productivity"/>
      <sheetName val="ob"/>
      <sheetName val="RAIN_SILPPERY"/>
    </sheetNames>
    <sheetDataSet>
      <sheetData sheetId="0" refreshError="1">
        <row r="12">
          <cell r="B12" t="str">
            <v>SH4001</v>
          </cell>
          <cell r="D12">
            <v>21.389999999999997</v>
          </cell>
          <cell r="E12">
            <v>28.462518548387095</v>
          </cell>
          <cell r="F12">
            <v>28.462518548387095</v>
          </cell>
          <cell r="G12">
            <v>28.462518548387095</v>
          </cell>
          <cell r="H12">
            <v>26.625486290322581</v>
          </cell>
          <cell r="I12">
            <v>28.462518548387095</v>
          </cell>
          <cell r="J12">
            <v>28.462518548387095</v>
          </cell>
          <cell r="K12">
            <v>28.462518548387095</v>
          </cell>
          <cell r="L12">
            <v>28.462518548387095</v>
          </cell>
          <cell r="M12">
            <v>28.462518548387095</v>
          </cell>
          <cell r="N12">
            <v>28.462518548387095</v>
          </cell>
          <cell r="O12">
            <v>26.625486290322581</v>
          </cell>
          <cell r="P12">
            <v>28.462518548387095</v>
          </cell>
          <cell r="Q12">
            <v>28.462518548387095</v>
          </cell>
          <cell r="R12">
            <v>28.462518548387095</v>
          </cell>
          <cell r="S12">
            <v>28.462518548387095</v>
          </cell>
          <cell r="T12">
            <v>28.462518548387095</v>
          </cell>
          <cell r="U12">
            <v>28.462518548387095</v>
          </cell>
          <cell r="V12">
            <v>26.625486290322581</v>
          </cell>
          <cell r="W12">
            <v>28.462518548387095</v>
          </cell>
          <cell r="X12">
            <v>28.462518548387095</v>
          </cell>
          <cell r="Y12">
            <v>28.462518548387095</v>
          </cell>
          <cell r="Z12">
            <v>28.462518548387095</v>
          </cell>
          <cell r="AA12">
            <v>28.462518548387095</v>
          </cell>
          <cell r="AB12">
            <v>28.462518548387095</v>
          </cell>
          <cell r="AC12">
            <v>26.625486290322581</v>
          </cell>
          <cell r="AD12">
            <v>28.462518548387095</v>
          </cell>
          <cell r="AE12">
            <v>28.462518548387095</v>
          </cell>
          <cell r="AF12">
            <v>28.462518548387095</v>
          </cell>
          <cell r="AG12">
            <v>28.462518548387095</v>
          </cell>
          <cell r="AH12">
            <v>28.462518548387095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867.91742741935514</v>
          </cell>
        </row>
        <row r="13">
          <cell r="B13" t="str">
            <v>SH4002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28.462518548387095</v>
          </cell>
          <cell r="L13">
            <v>28.462518548387095</v>
          </cell>
          <cell r="M13">
            <v>28.462518548387095</v>
          </cell>
          <cell r="N13">
            <v>28.462518548387095</v>
          </cell>
          <cell r="O13">
            <v>26.625486290322581</v>
          </cell>
          <cell r="P13">
            <v>28.462518548387095</v>
          </cell>
          <cell r="Q13">
            <v>28.462518548387095</v>
          </cell>
          <cell r="R13">
            <v>28.462518548387095</v>
          </cell>
          <cell r="S13">
            <v>28.462518548387095</v>
          </cell>
          <cell r="T13">
            <v>28.462518548387095</v>
          </cell>
          <cell r="U13">
            <v>28.462518548387095</v>
          </cell>
          <cell r="V13">
            <v>26.625486290322581</v>
          </cell>
          <cell r="W13">
            <v>28.462518548387095</v>
          </cell>
          <cell r="X13">
            <v>28.462518548387095</v>
          </cell>
          <cell r="Y13">
            <v>28.462518548387095</v>
          </cell>
          <cell r="Z13">
            <v>28.462518548387095</v>
          </cell>
          <cell r="AA13">
            <v>28.462518548387095</v>
          </cell>
          <cell r="AB13">
            <v>28.462518548387095</v>
          </cell>
          <cell r="AC13">
            <v>26.625486290322581</v>
          </cell>
          <cell r="AD13">
            <v>28.462518548387095</v>
          </cell>
          <cell r="AE13">
            <v>28.462518548387095</v>
          </cell>
          <cell r="AF13">
            <v>28.462518548387095</v>
          </cell>
          <cell r="AG13">
            <v>28.462518548387095</v>
          </cell>
          <cell r="AH13">
            <v>28.462518548387095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677.58934838709706</v>
          </cell>
        </row>
        <row r="14">
          <cell r="B14" t="str">
            <v>SH304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20.141523689516127</v>
          </cell>
          <cell r="U14">
            <v>20.141523689516127</v>
          </cell>
          <cell r="V14">
            <v>19.130656754032259</v>
          </cell>
          <cell r="W14">
            <v>20.141523689516127</v>
          </cell>
          <cell r="X14">
            <v>20.141523689516127</v>
          </cell>
          <cell r="Y14">
            <v>20.141523689516127</v>
          </cell>
          <cell r="Z14">
            <v>20.141523689516127</v>
          </cell>
          <cell r="AA14">
            <v>20.141523689516127</v>
          </cell>
          <cell r="AB14">
            <v>20.141523689516127</v>
          </cell>
          <cell r="AC14">
            <v>19.130656754032259</v>
          </cell>
          <cell r="AD14">
            <v>20.141523689516127</v>
          </cell>
          <cell r="AE14">
            <v>20.141523689516127</v>
          </cell>
          <cell r="AF14">
            <v>20.141523689516127</v>
          </cell>
          <cell r="AG14">
            <v>20.141523689516127</v>
          </cell>
          <cell r="AH14">
            <v>20.141523689516127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300.10112147177421</v>
          </cell>
        </row>
        <row r="15">
          <cell r="B15" t="str">
            <v>SH305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20.141523689516127</v>
          </cell>
          <cell r="L15">
            <v>20.141523689516127</v>
          </cell>
          <cell r="M15">
            <v>20.141523689516127</v>
          </cell>
          <cell r="N15">
            <v>20.141523689516127</v>
          </cell>
          <cell r="O15">
            <v>19.130656754032259</v>
          </cell>
          <cell r="P15">
            <v>20.141523689516127</v>
          </cell>
          <cell r="Q15">
            <v>20.141523689516127</v>
          </cell>
          <cell r="R15">
            <v>20.141523689516127</v>
          </cell>
          <cell r="S15">
            <v>20.141523689516127</v>
          </cell>
          <cell r="T15">
            <v>20.141523689516127</v>
          </cell>
          <cell r="U15">
            <v>20.141523689516127</v>
          </cell>
          <cell r="V15">
            <v>19.130656754032259</v>
          </cell>
          <cell r="W15">
            <v>20.141523689516127</v>
          </cell>
          <cell r="X15">
            <v>20.141523689516127</v>
          </cell>
          <cell r="Y15">
            <v>20.141523689516127</v>
          </cell>
          <cell r="Z15">
            <v>20.141523689516127</v>
          </cell>
          <cell r="AA15">
            <v>20.141523689516127</v>
          </cell>
          <cell r="AB15">
            <v>20.141523689516127</v>
          </cell>
          <cell r="AC15">
            <v>19.130656754032259</v>
          </cell>
          <cell r="AD15">
            <v>20.141523689516127</v>
          </cell>
          <cell r="AE15">
            <v>20.141523689516127</v>
          </cell>
          <cell r="AF15">
            <v>20.141523689516127</v>
          </cell>
          <cell r="AG15">
            <v>20.141523689516127</v>
          </cell>
          <cell r="AH15">
            <v>20.141523689516127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480.36396774193554</v>
          </cell>
        </row>
        <row r="16">
          <cell r="B16" t="str">
            <v>SH306</v>
          </cell>
          <cell r="D16">
            <v>13.284000000000001</v>
          </cell>
          <cell r="E16">
            <v>20.141523689516127</v>
          </cell>
          <cell r="F16">
            <v>20.141523689516127</v>
          </cell>
          <cell r="G16">
            <v>20.141523689516127</v>
          </cell>
          <cell r="H16">
            <v>19.130656754032259</v>
          </cell>
          <cell r="I16">
            <v>20.141523689516127</v>
          </cell>
          <cell r="J16">
            <v>20.141523689516127</v>
          </cell>
          <cell r="K16">
            <v>20.141523689516127</v>
          </cell>
          <cell r="L16">
            <v>20.141523689516127</v>
          </cell>
          <cell r="M16">
            <v>20.141523689516127</v>
          </cell>
          <cell r="N16">
            <v>20.141523689516127</v>
          </cell>
          <cell r="O16">
            <v>19.130656754032259</v>
          </cell>
          <cell r="P16">
            <v>20.141523689516127</v>
          </cell>
          <cell r="Q16">
            <v>20.141523689516127</v>
          </cell>
          <cell r="R16">
            <v>20.141523689516127</v>
          </cell>
          <cell r="S16">
            <v>20.141523689516127</v>
          </cell>
          <cell r="T16">
            <v>20.141523689516127</v>
          </cell>
          <cell r="U16">
            <v>20.141523689516127</v>
          </cell>
          <cell r="V16">
            <v>19.130656754032259</v>
          </cell>
          <cell r="W16">
            <v>20.141523689516127</v>
          </cell>
          <cell r="X16">
            <v>20.141523689516127</v>
          </cell>
          <cell r="Y16">
            <v>20.141523689516127</v>
          </cell>
          <cell r="Z16">
            <v>20.141523689516127</v>
          </cell>
          <cell r="AA16">
            <v>20.141523689516127</v>
          </cell>
          <cell r="AB16">
            <v>20.141523689516127</v>
          </cell>
          <cell r="AC16">
            <v>19.130656754032259</v>
          </cell>
          <cell r="AD16">
            <v>20.141523689516127</v>
          </cell>
          <cell r="AE16">
            <v>20.141523689516127</v>
          </cell>
          <cell r="AF16">
            <v>20.141523689516127</v>
          </cell>
          <cell r="AG16">
            <v>20.141523689516127</v>
          </cell>
          <cell r="AH16">
            <v>20.141523689516127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613.4862429435484</v>
          </cell>
        </row>
        <row r="17">
          <cell r="B17" t="str">
            <v>EX708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</row>
        <row r="18">
          <cell r="B18" t="str">
            <v>EX709</v>
          </cell>
          <cell r="D18">
            <v>0</v>
          </cell>
          <cell r="E18">
            <v>0</v>
          </cell>
          <cell r="F18">
            <v>0</v>
          </cell>
          <cell r="G18">
            <v>14.331149983198927</v>
          </cell>
          <cell r="H18">
            <v>13.611895278897849</v>
          </cell>
          <cell r="I18">
            <v>14.331149983198927</v>
          </cell>
          <cell r="J18">
            <v>14.331149983198927</v>
          </cell>
          <cell r="K18">
            <v>14.331149983198927</v>
          </cell>
          <cell r="L18">
            <v>14.331149983198927</v>
          </cell>
          <cell r="M18">
            <v>14.331149983198927</v>
          </cell>
          <cell r="N18">
            <v>14.331149983198927</v>
          </cell>
          <cell r="O18">
            <v>13.611895278897849</v>
          </cell>
          <cell r="P18">
            <v>14.331149983198927</v>
          </cell>
          <cell r="Q18">
            <v>14.331149983198927</v>
          </cell>
          <cell r="R18">
            <v>14.331149983198927</v>
          </cell>
          <cell r="S18">
            <v>14.331149983198927</v>
          </cell>
          <cell r="T18">
            <v>14.331149983198927</v>
          </cell>
          <cell r="U18">
            <v>14.331149983198927</v>
          </cell>
          <cell r="V18">
            <v>13.611895278897849</v>
          </cell>
          <cell r="W18">
            <v>14.331149983198927</v>
          </cell>
          <cell r="X18">
            <v>14.331149983198927</v>
          </cell>
          <cell r="Y18">
            <v>14.331149983198927</v>
          </cell>
          <cell r="Z18">
            <v>14.331149983198927</v>
          </cell>
          <cell r="AA18">
            <v>14.331149983198927</v>
          </cell>
          <cell r="AB18">
            <v>14.331149983198927</v>
          </cell>
          <cell r="AC18">
            <v>13.611895278897849</v>
          </cell>
          <cell r="AD18">
            <v>14.331149983198927</v>
          </cell>
          <cell r="AE18">
            <v>14.331149983198927</v>
          </cell>
          <cell r="AF18">
            <v>14.331149983198927</v>
          </cell>
          <cell r="AG18">
            <v>14.331149983198927</v>
          </cell>
          <cell r="AH18">
            <v>14.331149983198927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398.39518071236586</v>
          </cell>
        </row>
        <row r="19">
          <cell r="B19" t="str">
            <v>EX710</v>
          </cell>
          <cell r="D19">
            <v>11.166458333333333</v>
          </cell>
          <cell r="E19">
            <v>14.858603433019713</v>
          </cell>
          <cell r="F19">
            <v>14.858603433019713</v>
          </cell>
          <cell r="G19">
            <v>14.858603433019713</v>
          </cell>
          <cell r="H19">
            <v>13.89959716061828</v>
          </cell>
          <cell r="I19">
            <v>14.858603433019713</v>
          </cell>
          <cell r="J19">
            <v>14.858603433019713</v>
          </cell>
          <cell r="K19">
            <v>14.858603433019713</v>
          </cell>
          <cell r="L19">
            <v>14.858603433019713</v>
          </cell>
          <cell r="M19">
            <v>14.858603433019713</v>
          </cell>
          <cell r="N19">
            <v>14.858603433019713</v>
          </cell>
          <cell r="O19">
            <v>13.89959716061828</v>
          </cell>
          <cell r="P19">
            <v>14.858603433019713</v>
          </cell>
          <cell r="Q19">
            <v>14.858603433019713</v>
          </cell>
          <cell r="R19">
            <v>14.858603433019713</v>
          </cell>
          <cell r="S19">
            <v>14.858603433019713</v>
          </cell>
          <cell r="T19">
            <v>14.858603433019713</v>
          </cell>
          <cell r="U19">
            <v>14.858603433019713</v>
          </cell>
          <cell r="V19">
            <v>13.89959716061828</v>
          </cell>
          <cell r="W19">
            <v>14.858603433019713</v>
          </cell>
          <cell r="X19">
            <v>14.858603433019713</v>
          </cell>
          <cell r="Y19">
            <v>14.858603433019713</v>
          </cell>
          <cell r="Z19">
            <v>14.858603433019713</v>
          </cell>
          <cell r="AA19">
            <v>14.858603433019713</v>
          </cell>
          <cell r="AB19">
            <v>14.858603433019713</v>
          </cell>
          <cell r="AC19">
            <v>13.89959716061828</v>
          </cell>
          <cell r="AD19">
            <v>14.858603433019713</v>
          </cell>
          <cell r="AE19">
            <v>14.858603433019713</v>
          </cell>
          <cell r="AF19">
            <v>14.858603433019713</v>
          </cell>
          <cell r="AG19">
            <v>14.858603433019713</v>
          </cell>
          <cell r="AH19">
            <v>14.858603433019713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453.08853623431889</v>
          </cell>
        </row>
        <row r="20">
          <cell r="B20" t="str">
            <v>EX711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13.611895278897849</v>
          </cell>
          <cell r="P20">
            <v>14.331149983198927</v>
          </cell>
          <cell r="Q20">
            <v>14.331149983198927</v>
          </cell>
          <cell r="R20">
            <v>14.331149983198927</v>
          </cell>
          <cell r="S20">
            <v>14.331149983198927</v>
          </cell>
          <cell r="T20">
            <v>14.331149983198927</v>
          </cell>
          <cell r="U20">
            <v>14.331149983198927</v>
          </cell>
          <cell r="V20">
            <v>13.611895278897849</v>
          </cell>
          <cell r="W20">
            <v>14.331149983198927</v>
          </cell>
          <cell r="X20">
            <v>14.331149983198927</v>
          </cell>
          <cell r="Y20">
            <v>14.331149983198927</v>
          </cell>
          <cell r="Z20">
            <v>14.331149983198927</v>
          </cell>
          <cell r="AA20">
            <v>14.331149983198927</v>
          </cell>
          <cell r="AB20">
            <v>14.331149983198927</v>
          </cell>
          <cell r="AC20">
            <v>13.611895278897849</v>
          </cell>
          <cell r="AD20">
            <v>14.331149983198927</v>
          </cell>
          <cell r="AE20">
            <v>14.858603433019713</v>
          </cell>
          <cell r="AF20">
            <v>14.331149983198927</v>
          </cell>
          <cell r="AG20">
            <v>14.331149983198927</v>
          </cell>
          <cell r="AH20">
            <v>14.331149983198927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284.99268900089618</v>
          </cell>
        </row>
        <row r="21">
          <cell r="B21" t="str">
            <v>EX1001</v>
          </cell>
          <cell r="D21">
            <v>5.0293333333333337</v>
          </cell>
          <cell r="E21">
            <v>7.6255974462365597</v>
          </cell>
          <cell r="F21">
            <v>7.6255974462365597</v>
          </cell>
          <cell r="G21">
            <v>7.6255974462365597</v>
          </cell>
          <cell r="H21">
            <v>7.2428823924731187</v>
          </cell>
          <cell r="I21">
            <v>7.6255974462365597</v>
          </cell>
          <cell r="J21">
            <v>7.6255974462365597</v>
          </cell>
          <cell r="K21">
            <v>7.6255974462365597</v>
          </cell>
          <cell r="L21">
            <v>7.6255974462365597</v>
          </cell>
          <cell r="M21">
            <v>7.6255974462365597</v>
          </cell>
          <cell r="N21">
            <v>7.6255974462365597</v>
          </cell>
          <cell r="O21">
            <v>7.2428823924731187</v>
          </cell>
          <cell r="P21">
            <v>7.6255974462365597</v>
          </cell>
          <cell r="Q21">
            <v>7.6255974462365597</v>
          </cell>
          <cell r="R21">
            <v>7.6255974462365597</v>
          </cell>
          <cell r="S21">
            <v>7.6255974462365597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118.64786491935482</v>
          </cell>
        </row>
        <row r="22">
          <cell r="B22" t="str">
            <v>EX1006</v>
          </cell>
          <cell r="D22">
            <v>5.0293333333333337</v>
          </cell>
          <cell r="E22">
            <v>7.6255974462365597</v>
          </cell>
          <cell r="F22">
            <v>7.6255974462365597</v>
          </cell>
          <cell r="G22">
            <v>7.6255974462365597</v>
          </cell>
          <cell r="H22">
            <v>7.2428823924731187</v>
          </cell>
          <cell r="I22">
            <v>7.6255974462365597</v>
          </cell>
          <cell r="J22">
            <v>7.6255974462365597</v>
          </cell>
          <cell r="K22">
            <v>7.6255974462365597</v>
          </cell>
          <cell r="L22">
            <v>7.6255974462365597</v>
          </cell>
          <cell r="M22">
            <v>7.6255974462365597</v>
          </cell>
          <cell r="N22">
            <v>7.6255974462365597</v>
          </cell>
          <cell r="O22">
            <v>7.2428823924731187</v>
          </cell>
          <cell r="P22">
            <v>7.6255974462365597</v>
          </cell>
          <cell r="Q22">
            <v>7.6255974462365597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103.39667002688171</v>
          </cell>
        </row>
        <row r="23">
          <cell r="B23" t="str">
            <v>EX1008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O23">
            <v>0</v>
          </cell>
        </row>
        <row r="24">
          <cell r="B24" t="str">
            <v>EX1013</v>
          </cell>
          <cell r="D24">
            <v>5.0293333333333337</v>
          </cell>
          <cell r="E24">
            <v>7.6255974462365597</v>
          </cell>
          <cell r="F24">
            <v>7.6255974462365597</v>
          </cell>
          <cell r="G24">
            <v>7.6255974462365597</v>
          </cell>
          <cell r="H24">
            <v>7.2428823924731187</v>
          </cell>
          <cell r="I24">
            <v>7.6255974462365597</v>
          </cell>
          <cell r="J24">
            <v>7.6255974462365597</v>
          </cell>
          <cell r="K24">
            <v>7.6255974462365597</v>
          </cell>
          <cell r="L24">
            <v>7.6255974462365597</v>
          </cell>
          <cell r="M24">
            <v>7.6255974462365597</v>
          </cell>
          <cell r="N24">
            <v>7.6255974462365597</v>
          </cell>
          <cell r="O24">
            <v>7.2428823924731187</v>
          </cell>
          <cell r="P24">
            <v>7.6255974462365597</v>
          </cell>
          <cell r="Q24">
            <v>7.6255974462365597</v>
          </cell>
          <cell r="R24">
            <v>7.6255974462365597</v>
          </cell>
          <cell r="S24">
            <v>7.6255974462365597</v>
          </cell>
          <cell r="T24">
            <v>7.6255974462365597</v>
          </cell>
          <cell r="U24">
            <v>7.6255974462365597</v>
          </cell>
          <cell r="V24">
            <v>7.2428823924731187</v>
          </cell>
          <cell r="W24">
            <v>7.6255974462365597</v>
          </cell>
          <cell r="X24">
            <v>7.6255974462365597</v>
          </cell>
          <cell r="Y24">
            <v>7.6255974462365597</v>
          </cell>
          <cell r="Z24">
            <v>7.6255974462365597</v>
          </cell>
          <cell r="AA24">
            <v>7.6255974462365597</v>
          </cell>
          <cell r="AB24">
            <v>7.6255974462365597</v>
          </cell>
          <cell r="AC24">
            <v>7.2428823924731187</v>
          </cell>
          <cell r="AD24">
            <v>7.6255974462365597</v>
          </cell>
          <cell r="AE24">
            <v>7.6255974462365597</v>
          </cell>
          <cell r="AF24">
            <v>7.6255974462365597</v>
          </cell>
          <cell r="AG24">
            <v>7.6255974462365597</v>
          </cell>
          <cell r="AH24">
            <v>7.6255974462365597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O24">
            <v>232.26639650537626</v>
          </cell>
        </row>
        <row r="25">
          <cell r="B25" t="str">
            <v>EX1014</v>
          </cell>
          <cell r="D25">
            <v>5.0293333333333337</v>
          </cell>
          <cell r="E25">
            <v>7.6255974462365597</v>
          </cell>
          <cell r="F25">
            <v>7.6255974462365597</v>
          </cell>
          <cell r="G25">
            <v>7.6255974462365597</v>
          </cell>
          <cell r="H25">
            <v>7.2428823924731187</v>
          </cell>
          <cell r="I25">
            <v>7.6255974462365597</v>
          </cell>
          <cell r="J25">
            <v>7.6255974462365597</v>
          </cell>
          <cell r="K25">
            <v>7.6255974462365597</v>
          </cell>
          <cell r="L25">
            <v>7.6255974462365597</v>
          </cell>
          <cell r="M25">
            <v>7.6255974462365597</v>
          </cell>
          <cell r="N25">
            <v>7.6255974462365597</v>
          </cell>
          <cell r="O25">
            <v>7.2428823924731187</v>
          </cell>
          <cell r="P25">
            <v>7.6255974462365597</v>
          </cell>
          <cell r="Q25">
            <v>7.6255974462365597</v>
          </cell>
          <cell r="R25">
            <v>7.6255974462365597</v>
          </cell>
          <cell r="S25">
            <v>7.6255974462365597</v>
          </cell>
          <cell r="T25">
            <v>7.6255974462365597</v>
          </cell>
          <cell r="U25">
            <v>7.6255974462365597</v>
          </cell>
          <cell r="V25">
            <v>7.2428823924731187</v>
          </cell>
          <cell r="W25">
            <v>7.6255974462365597</v>
          </cell>
          <cell r="X25">
            <v>7.6255974462365597</v>
          </cell>
          <cell r="Y25">
            <v>7.6255974462365597</v>
          </cell>
          <cell r="Z25">
            <v>7.6255974462365597</v>
          </cell>
          <cell r="AA25">
            <v>7.6255974462365597</v>
          </cell>
          <cell r="AB25">
            <v>7.6255974462365597</v>
          </cell>
          <cell r="AC25">
            <v>7.2428823924731187</v>
          </cell>
          <cell r="AD25">
            <v>7.6255974462365597</v>
          </cell>
          <cell r="AE25">
            <v>7.6255974462365597</v>
          </cell>
          <cell r="AF25">
            <v>7.6255974462365597</v>
          </cell>
          <cell r="AG25">
            <v>7.6255974462365597</v>
          </cell>
          <cell r="AH25">
            <v>7.6255974462365597</v>
          </cell>
          <cell r="AI25">
            <v>0</v>
          </cell>
          <cell r="AJ25">
            <v>0</v>
          </cell>
          <cell r="AK25">
            <v>0</v>
          </cell>
          <cell r="AO25">
            <v>232.26639650537626</v>
          </cell>
        </row>
        <row r="26">
          <cell r="B26" t="str">
            <v>EX577</v>
          </cell>
          <cell r="D26">
            <v>3.0176000000000003</v>
          </cell>
          <cell r="E26">
            <v>4.5753584677419354</v>
          </cell>
          <cell r="F26">
            <v>4.5753584677419354</v>
          </cell>
          <cell r="G26">
            <v>4.5753584677419354</v>
          </cell>
          <cell r="H26">
            <v>4.3457294354838716</v>
          </cell>
          <cell r="I26">
            <v>4.5753584677419354</v>
          </cell>
          <cell r="J26">
            <v>4.5753584677419354</v>
          </cell>
          <cell r="K26">
            <v>4.5753584677419354</v>
          </cell>
          <cell r="L26">
            <v>4.5753584677419354</v>
          </cell>
          <cell r="M26">
            <v>4.5753584677419354</v>
          </cell>
          <cell r="N26">
            <v>4.5753584677419354</v>
          </cell>
          <cell r="O26">
            <v>4.3457294354838716</v>
          </cell>
          <cell r="P26">
            <v>4.5753584677419354</v>
          </cell>
          <cell r="Q26">
            <v>4.5753584677419354</v>
          </cell>
          <cell r="R26">
            <v>4.5753584677419354</v>
          </cell>
          <cell r="S26">
            <v>4.5753584677419354</v>
          </cell>
          <cell r="T26">
            <v>4.5753584677419354</v>
          </cell>
          <cell r="U26">
            <v>4.5753584677419354</v>
          </cell>
          <cell r="V26">
            <v>4.3457294354838716</v>
          </cell>
          <cell r="W26">
            <v>4.5753584677419354</v>
          </cell>
          <cell r="X26">
            <v>4.5753584677419354</v>
          </cell>
          <cell r="Y26">
            <v>4.5753584677419354</v>
          </cell>
          <cell r="Z26">
            <v>4.5753584677419354</v>
          </cell>
          <cell r="AA26">
            <v>4.5753584677419354</v>
          </cell>
          <cell r="AB26">
            <v>4.5753584677419354</v>
          </cell>
          <cell r="AC26">
            <v>4.3457294354838716</v>
          </cell>
          <cell r="AD26">
            <v>4.5753584677419354</v>
          </cell>
          <cell r="AE26">
            <v>4.5753584677419354</v>
          </cell>
          <cell r="AF26">
            <v>4.5753584677419354</v>
          </cell>
          <cell r="AG26">
            <v>4.5753584677419354</v>
          </cell>
          <cell r="AH26">
            <v>4.5753584677419354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139.35983790322581</v>
          </cell>
        </row>
        <row r="27">
          <cell r="B27" t="str">
            <v>EX578</v>
          </cell>
          <cell r="D27">
            <v>5.0293333333333337</v>
          </cell>
          <cell r="E27">
            <v>7.6255974462365597</v>
          </cell>
          <cell r="F27">
            <v>4.5753584677419354</v>
          </cell>
          <cell r="G27">
            <v>4.5753584677419354</v>
          </cell>
          <cell r="H27">
            <v>4.3457294354838716</v>
          </cell>
          <cell r="I27">
            <v>4.5753584677419354</v>
          </cell>
          <cell r="J27">
            <v>4.5753584677419354</v>
          </cell>
          <cell r="K27">
            <v>4.5753584677419354</v>
          </cell>
          <cell r="L27">
            <v>4.5753584677419354</v>
          </cell>
          <cell r="M27">
            <v>4.5753584677419354</v>
          </cell>
          <cell r="N27">
            <v>4.5753584677419354</v>
          </cell>
          <cell r="O27">
            <v>4.3457294354838716</v>
          </cell>
          <cell r="P27">
            <v>4.5753584677419354</v>
          </cell>
          <cell r="Q27">
            <v>4.5753584677419354</v>
          </cell>
          <cell r="R27">
            <v>4.5753584677419354</v>
          </cell>
          <cell r="S27">
            <v>4.5753584677419354</v>
          </cell>
          <cell r="T27">
            <v>4.5753584677419354</v>
          </cell>
          <cell r="U27">
            <v>4.5753584677419354</v>
          </cell>
          <cell r="V27">
            <v>4.3457294354838716</v>
          </cell>
          <cell r="W27">
            <v>4.5753584677419354</v>
          </cell>
          <cell r="X27">
            <v>4.5753584677419354</v>
          </cell>
          <cell r="Y27">
            <v>4.5753584677419354</v>
          </cell>
          <cell r="Z27">
            <v>4.5753584677419354</v>
          </cell>
          <cell r="AA27">
            <v>4.5753584677419354</v>
          </cell>
          <cell r="AB27">
            <v>4.5753584677419354</v>
          </cell>
          <cell r="AC27">
            <v>4.3457294354838716</v>
          </cell>
          <cell r="AD27">
            <v>4.5753584677419354</v>
          </cell>
          <cell r="AE27">
            <v>4.5753584677419354</v>
          </cell>
          <cell r="AF27">
            <v>4.5753584677419354</v>
          </cell>
          <cell r="AG27">
            <v>4.5753584677419354</v>
          </cell>
          <cell r="AH27">
            <v>4.5753584677419354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144.42181021505377</v>
          </cell>
        </row>
        <row r="28">
          <cell r="B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</row>
        <row r="29">
          <cell r="B29" t="str">
            <v>TOTAL</v>
          </cell>
          <cell r="C29">
            <v>0</v>
          </cell>
          <cell r="D29">
            <v>74.004725000000008</v>
          </cell>
          <cell r="E29">
            <v>106.16599136984765</v>
          </cell>
          <cell r="F29">
            <v>103.11575239135303</v>
          </cell>
          <cell r="G29">
            <v>117.44690237455195</v>
          </cell>
          <cell r="H29">
            <v>110.93062392473121</v>
          </cell>
          <cell r="I29">
            <v>117.44690237455195</v>
          </cell>
          <cell r="J29">
            <v>117.44690237455195</v>
          </cell>
          <cell r="K29">
            <v>166.05094461245517</v>
          </cell>
          <cell r="L29">
            <v>166.05094461245517</v>
          </cell>
          <cell r="M29">
            <v>166.05094461245517</v>
          </cell>
          <cell r="N29">
            <v>166.05094461245517</v>
          </cell>
          <cell r="O29">
            <v>170.29866224798388</v>
          </cell>
          <cell r="P29">
            <v>180.38209459565411</v>
          </cell>
          <cell r="Q29">
            <v>180.38209459565411</v>
          </cell>
          <cell r="R29">
            <v>172.75649714941756</v>
          </cell>
          <cell r="S29">
            <v>172.75649714941756</v>
          </cell>
          <cell r="T29">
            <v>185.27242339269714</v>
          </cell>
          <cell r="U29">
            <v>185.27242339269714</v>
          </cell>
          <cell r="V29">
            <v>174.9435542170699</v>
          </cell>
          <cell r="W29">
            <v>185.27242339269714</v>
          </cell>
          <cell r="X29">
            <v>185.27242339269714</v>
          </cell>
          <cell r="Y29">
            <v>185.27242339269714</v>
          </cell>
          <cell r="Z29">
            <v>185.27242339269714</v>
          </cell>
          <cell r="AA29">
            <v>185.27242339269714</v>
          </cell>
          <cell r="AB29">
            <v>185.27242339269714</v>
          </cell>
          <cell r="AC29">
            <v>174.9435542170699</v>
          </cell>
          <cell r="AD29">
            <v>185.27242339269714</v>
          </cell>
          <cell r="AE29">
            <v>185.7998768425179</v>
          </cell>
          <cell r="AF29">
            <v>185.27242339269714</v>
          </cell>
          <cell r="AG29">
            <v>185.27242339269714</v>
          </cell>
          <cell r="AH29">
            <v>185.27242339269714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5046.2934899865586</v>
          </cell>
        </row>
        <row r="30">
          <cell r="B30" t="str">
            <v>TOTAL</v>
          </cell>
          <cell r="C30">
            <v>0</v>
          </cell>
          <cell r="D30">
            <v>74.004725000000008</v>
          </cell>
          <cell r="E30">
            <v>106.16599136984765</v>
          </cell>
          <cell r="F30">
            <v>103.11575239135303</v>
          </cell>
          <cell r="G30">
            <v>117.44690237455195</v>
          </cell>
          <cell r="H30">
            <v>110.93062392473121</v>
          </cell>
          <cell r="I30">
            <v>117.44690237455195</v>
          </cell>
          <cell r="J30">
            <v>117.44690237455195</v>
          </cell>
          <cell r="K30">
            <v>166.05094461245517</v>
          </cell>
          <cell r="L30">
            <v>166.05094461245517</v>
          </cell>
          <cell r="M30">
            <v>166.05094461245517</v>
          </cell>
          <cell r="N30">
            <v>166.05094461245517</v>
          </cell>
          <cell r="O30">
            <v>170.29866224798388</v>
          </cell>
          <cell r="P30">
            <v>180.38209459565411</v>
          </cell>
          <cell r="Q30">
            <v>180.38209459565411</v>
          </cell>
          <cell r="R30">
            <v>172.75649714941756</v>
          </cell>
          <cell r="S30">
            <v>172.75649714941756</v>
          </cell>
          <cell r="T30">
            <v>185.27242339269714</v>
          </cell>
          <cell r="U30">
            <v>185.27242339269714</v>
          </cell>
          <cell r="V30">
            <v>174.9435542170699</v>
          </cell>
          <cell r="W30">
            <v>185.27242339269714</v>
          </cell>
          <cell r="X30">
            <v>185.27242339269714</v>
          </cell>
          <cell r="Y30">
            <v>185.27242339269714</v>
          </cell>
          <cell r="Z30">
            <v>185.27242339269714</v>
          </cell>
          <cell r="AA30">
            <v>185.27242339269714</v>
          </cell>
          <cell r="AB30">
            <v>185.27242339269714</v>
          </cell>
          <cell r="AC30">
            <v>174.9435542170699</v>
          </cell>
          <cell r="AD30">
            <v>185.27242339269714</v>
          </cell>
          <cell r="AE30">
            <v>185.7998768425179</v>
          </cell>
          <cell r="AF30">
            <v>185.27242339269714</v>
          </cell>
          <cell r="AG30">
            <v>185.27242339269714</v>
          </cell>
          <cell r="AH30">
            <v>185.27242339269714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5046.2934899865586</v>
          </cell>
        </row>
        <row r="31">
          <cell r="B31" t="str">
            <v>RESUME WASTE REMOVAL</v>
          </cell>
          <cell r="AF31" t="str">
            <v>TOTAL WASTE REMOVAL</v>
          </cell>
          <cell r="AO31">
            <v>5046.2934899865586</v>
          </cell>
        </row>
        <row r="32">
          <cell r="B32" t="str">
            <v>OB</v>
          </cell>
          <cell r="C32">
            <v>4762.5118418682805</v>
          </cell>
          <cell r="K32" t="str">
            <v>kBCM</v>
          </cell>
        </row>
        <row r="33">
          <cell r="B33" t="str">
            <v>TS_PIT</v>
          </cell>
          <cell r="C33">
            <v>0</v>
          </cell>
          <cell r="K33" t="str">
            <v>kBCM</v>
          </cell>
        </row>
        <row r="34">
          <cell r="B34" t="str">
            <v>OB+TS_PIT</v>
          </cell>
          <cell r="C34">
            <v>0</v>
          </cell>
          <cell r="K34" t="str">
            <v>kBCM</v>
          </cell>
        </row>
        <row r="35">
          <cell r="B35" t="str">
            <v>TS_WD</v>
          </cell>
          <cell r="C35">
            <v>283.78164811827958</v>
          </cell>
          <cell r="K35" t="str">
            <v>kBCM</v>
          </cell>
        </row>
        <row r="36">
          <cell r="B36" t="str">
            <v>TOTAL</v>
          </cell>
          <cell r="C36">
            <v>5046.2934899865604</v>
          </cell>
          <cell r="K36" t="str">
            <v>kBCM</v>
          </cell>
        </row>
        <row r="38">
          <cell r="K38" t="str">
            <v>kBCM</v>
          </cell>
        </row>
        <row r="39">
          <cell r="B39" t="str">
            <v>PRODUCTION PLANNING FOR COAL , KTON</v>
          </cell>
        </row>
        <row r="40">
          <cell r="B40" t="str">
            <v>FLEET</v>
          </cell>
          <cell r="C40" t="str">
            <v>WEEK # 01</v>
          </cell>
          <cell r="K40" t="str">
            <v>WEEK # 02</v>
          </cell>
          <cell r="R40" t="str">
            <v>WEEK #03</v>
          </cell>
          <cell r="Y40" t="str">
            <v>WEEK #04</v>
          </cell>
          <cell r="AF40" t="str">
            <v>WEEK # 05</v>
          </cell>
          <cell r="AM40" t="str">
            <v>WEEK#06</v>
          </cell>
          <cell r="AO40" t="str">
            <v>Total</v>
          </cell>
        </row>
        <row r="41">
          <cell r="B41" t="str">
            <v>NUMBER</v>
          </cell>
          <cell r="C41">
            <v>0</v>
          </cell>
          <cell r="D41">
            <v>39083</v>
          </cell>
          <cell r="E41">
            <v>39084</v>
          </cell>
          <cell r="F41">
            <v>39085</v>
          </cell>
          <cell r="G41">
            <v>39086</v>
          </cell>
          <cell r="H41">
            <v>39087</v>
          </cell>
          <cell r="I41">
            <v>39088</v>
          </cell>
          <cell r="J41">
            <v>39089</v>
          </cell>
          <cell r="K41">
            <v>39090</v>
          </cell>
          <cell r="L41">
            <v>39091</v>
          </cell>
          <cell r="M41">
            <v>39092</v>
          </cell>
          <cell r="N41">
            <v>39093</v>
          </cell>
          <cell r="O41">
            <v>39094</v>
          </cell>
          <cell r="P41">
            <v>39095</v>
          </cell>
          <cell r="Q41">
            <v>39096</v>
          </cell>
          <cell r="R41">
            <v>39097</v>
          </cell>
          <cell r="S41">
            <v>39098</v>
          </cell>
          <cell r="T41">
            <v>39099</v>
          </cell>
          <cell r="U41">
            <v>39100</v>
          </cell>
          <cell r="V41">
            <v>39101</v>
          </cell>
          <cell r="W41">
            <v>39102</v>
          </cell>
          <cell r="X41">
            <v>39103</v>
          </cell>
          <cell r="Y41">
            <v>39104</v>
          </cell>
          <cell r="Z41">
            <v>39105</v>
          </cell>
          <cell r="AA41">
            <v>39106</v>
          </cell>
          <cell r="AB41">
            <v>39107</v>
          </cell>
          <cell r="AC41">
            <v>39108</v>
          </cell>
          <cell r="AD41">
            <v>39109</v>
          </cell>
          <cell r="AE41">
            <v>39110</v>
          </cell>
          <cell r="AF41">
            <v>39111</v>
          </cell>
          <cell r="AG41">
            <v>39112</v>
          </cell>
          <cell r="AH41">
            <v>39113</v>
          </cell>
          <cell r="AI41">
            <v>39114</v>
          </cell>
          <cell r="AJ41">
            <v>39115</v>
          </cell>
          <cell r="AK41">
            <v>39116</v>
          </cell>
          <cell r="AL41">
            <v>39117</v>
          </cell>
          <cell r="AM41">
            <v>39118</v>
          </cell>
          <cell r="AN41">
            <v>39119</v>
          </cell>
        </row>
        <row r="42">
          <cell r="B42" t="str">
            <v>EX1002</v>
          </cell>
          <cell r="C42">
            <v>0</v>
          </cell>
          <cell r="D42">
            <v>0</v>
          </cell>
          <cell r="E42">
            <v>7.6255974462365597</v>
          </cell>
          <cell r="F42">
            <v>7.6255974462365597</v>
          </cell>
          <cell r="G42">
            <v>7.6255974462365597</v>
          </cell>
          <cell r="H42">
            <v>7.2428823924731187</v>
          </cell>
          <cell r="I42">
            <v>7.6255974462365597</v>
          </cell>
          <cell r="J42">
            <v>7.6255974462365597</v>
          </cell>
          <cell r="K42">
            <v>7.6255974462365597</v>
          </cell>
          <cell r="L42">
            <v>7.6255974462365597</v>
          </cell>
          <cell r="M42">
            <v>7.6255974462365597</v>
          </cell>
          <cell r="N42">
            <v>7.6255974462365597</v>
          </cell>
          <cell r="O42">
            <v>7.2428823924731187</v>
          </cell>
          <cell r="P42">
            <v>7.6255974462365597</v>
          </cell>
          <cell r="Q42">
            <v>7.6255974462365597</v>
          </cell>
          <cell r="R42">
            <v>7.6255974462365597</v>
          </cell>
          <cell r="S42">
            <v>7.6255974462365597</v>
          </cell>
          <cell r="T42">
            <v>7.6255974462365597</v>
          </cell>
          <cell r="U42">
            <v>7.6255974462365597</v>
          </cell>
          <cell r="V42">
            <v>7.2428823924731187</v>
          </cell>
          <cell r="W42">
            <v>7.6255974462365597</v>
          </cell>
          <cell r="X42">
            <v>7.6255974462365597</v>
          </cell>
          <cell r="Y42">
            <v>7.6255974462365597</v>
          </cell>
          <cell r="Z42">
            <v>7.6255974462365597</v>
          </cell>
          <cell r="AA42">
            <v>7.6255974462365597</v>
          </cell>
          <cell r="AB42">
            <v>7.6255974462365597</v>
          </cell>
          <cell r="AC42">
            <v>7.2428823924731187</v>
          </cell>
          <cell r="AD42">
            <v>7.6255974462365597</v>
          </cell>
          <cell r="AE42">
            <v>7.6255974462365597</v>
          </cell>
          <cell r="AF42">
            <v>7.6255974462365597</v>
          </cell>
          <cell r="AG42">
            <v>7.6255974462365597</v>
          </cell>
          <cell r="AH42">
            <v>7.6255974462365597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227.23706317204295</v>
          </cell>
        </row>
        <row r="43">
          <cell r="B43" t="str">
            <v>EX1004</v>
          </cell>
          <cell r="D43">
            <v>0</v>
          </cell>
          <cell r="E43">
            <v>7.6255974462365597</v>
          </cell>
          <cell r="F43">
            <v>7.6255974462365597</v>
          </cell>
          <cell r="G43">
            <v>7.6255974462365597</v>
          </cell>
          <cell r="H43">
            <v>7.2428823924731187</v>
          </cell>
          <cell r="I43">
            <v>7.6255974462365597</v>
          </cell>
          <cell r="J43">
            <v>7.6255974462365597</v>
          </cell>
          <cell r="K43">
            <v>7.6255974462365597</v>
          </cell>
          <cell r="L43">
            <v>7.6255974462365597</v>
          </cell>
          <cell r="M43">
            <v>7.6255974462365597</v>
          </cell>
          <cell r="N43">
            <v>7.6255974462365597</v>
          </cell>
          <cell r="O43">
            <v>7.2428823924731187</v>
          </cell>
          <cell r="P43">
            <v>7.6255974462365597</v>
          </cell>
          <cell r="Q43">
            <v>7.6255974462365597</v>
          </cell>
          <cell r="R43">
            <v>7.6255974462365597</v>
          </cell>
          <cell r="S43">
            <v>7.6255974462365597</v>
          </cell>
          <cell r="T43">
            <v>7.6255974462365597</v>
          </cell>
          <cell r="U43">
            <v>7.6255974462365597</v>
          </cell>
          <cell r="V43">
            <v>7.2428823924731187</v>
          </cell>
          <cell r="W43">
            <v>7.6255974462365597</v>
          </cell>
          <cell r="X43">
            <v>7.6255974462365597</v>
          </cell>
          <cell r="Y43">
            <v>7.6255974462365597</v>
          </cell>
          <cell r="Z43">
            <v>7.6255974462365597</v>
          </cell>
          <cell r="AA43">
            <v>7.6255974462365597</v>
          </cell>
          <cell r="AB43">
            <v>7.6255974462365597</v>
          </cell>
          <cell r="AC43">
            <v>7.2428823924731187</v>
          </cell>
          <cell r="AD43">
            <v>7.6255974462365597</v>
          </cell>
          <cell r="AE43">
            <v>7.6255974462365597</v>
          </cell>
          <cell r="AF43">
            <v>7.6255974462365597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211.98586827956984</v>
          </cell>
        </row>
        <row r="44">
          <cell r="AO44">
            <v>0</v>
          </cell>
        </row>
        <row r="45">
          <cell r="AO4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P Report"/>
      <sheetName val="Hourly Prod"/>
      <sheetName val="Crew Perf"/>
      <sheetName val="OB ACTIV"/>
      <sheetName val="Daily Forecasting"/>
      <sheetName val="BD Equip"/>
      <sheetName val="Curah hujan"/>
      <sheetName val="Cost"/>
      <sheetName val="Revenue"/>
      <sheetName val="Hauling"/>
      <sheetName val="Unit Lain"/>
      <sheetName val="EX3600"/>
      <sheetName val="EX25001"/>
      <sheetName val="EX25002"/>
      <sheetName val="EX25003"/>
      <sheetName val="EX651"/>
      <sheetName val="EX632"/>
      <sheetName val="EX634"/>
      <sheetName val="CAT3201"/>
      <sheetName val="CAT3202"/>
      <sheetName val="Spare1"/>
      <sheetName val="Spare2"/>
      <sheetName val="Spare3"/>
      <sheetName val="Spare4"/>
      <sheetName val="Spare5"/>
      <sheetName val="Spare6"/>
      <sheetName val="Spare7"/>
      <sheetName val="Spare8"/>
      <sheetName val="Summary"/>
      <sheetName val="SumDTperPC"/>
      <sheetName val="SumBMAperPC"/>
      <sheetName val="whours-costprod"/>
      <sheetName val="HIRE RATE 1998"/>
      <sheetName val="Act_cost"/>
      <sheetName val="Jan"/>
      <sheetName val="Peb"/>
      <sheetName val="Mar"/>
      <sheetName val="April "/>
      <sheetName val="Mei"/>
      <sheetName val="Juni"/>
      <sheetName val="JULI"/>
      <sheetName val="Agust"/>
      <sheetName val="Sept"/>
      <sheetName val="Okt"/>
      <sheetName val="Nov"/>
      <sheetName val="Des"/>
      <sheetName val="Sheet4"/>
      <sheetName val="RR"/>
      <sheetName val="LTI-24-09 (3)"/>
      <sheetName val="LTI-24-02 (2)"/>
      <sheetName val="LTI-01 (1)"/>
      <sheetName val="Sheet3"/>
      <sheetName val="Sheet2"/>
      <sheetName val="Sheet1"/>
      <sheetName val="NRP"/>
      <sheetName val="EX1003"/>
      <sheetName val="EX1011"/>
      <sheetName val="EX1015"/>
      <sheetName val="EX1016"/>
      <sheetName val="EX584"/>
      <sheetName val="EX559"/>
      <sheetName val="EX560"/>
      <sheetName val="PA001"/>
      <sheetName val="PA002"/>
      <sheetName val="PA003"/>
      <sheetName val="PA004"/>
      <sheetName val="PA005"/>
      <sheetName val="SM003"/>
      <sheetName val="SM004"/>
      <sheetName val="SM005"/>
      <sheetName val="Permanent info"/>
      <sheetName val=" SAF 02"/>
      <sheetName val="_SAF 02"/>
      <sheetName val="#REF!"/>
      <sheetName val="SIA"/>
      <sheetName val="ALL PC"/>
      <sheetName val="EX"/>
      <sheetName val="bantuan"/>
      <sheetName val="PLO IDR YTD"/>
      <sheetName val="POP"/>
      <sheetName val="Redo"/>
      <sheetName val="summary KPI"/>
      <sheetName val="Master"/>
      <sheetName val="EBL"/>
      <sheetName val="prod_plan"/>
      <sheetName val="Petrosea"/>
      <sheetName val="Productivity"/>
      <sheetName val="ooc"/>
      <sheetName val="EX593"/>
      <sheetName val="EX594"/>
      <sheetName val="EX595"/>
      <sheetName val="Truck Count"/>
      <sheetName val="Joint Survey Actual"/>
      <sheetName val="EX716"/>
      <sheetName val="EX717"/>
      <sheetName val="EX1007"/>
      <sheetName val="EX1010"/>
      <sheetName val="EX625"/>
      <sheetName val="EX629"/>
      <sheetName val="EX630"/>
      <sheetName val="EX569"/>
      <sheetName val="EX572"/>
      <sheetName val="Plan"/>
      <sheetName val="Project"/>
      <sheetName val="Daily Plan"/>
      <sheetName val="PA"/>
      <sheetName val="KPI"/>
      <sheetName val="Dr_s__90 dys"/>
      <sheetName val="DUMMY"/>
      <sheetName val="Daily OB &amp; Coal"/>
      <sheetName val="SAF"/>
      <sheetName val="Resume Opp_Loss"/>
      <sheetName val="Safety 2"/>
      <sheetName val="List"/>
      <sheetName val="DATA"/>
      <sheetName val="March-april (2)"/>
      <sheetName val="March_april _2_"/>
      <sheetName val="TB"/>
      <sheetName val="Blasting_per_block"/>
      <sheetName val="Overall_plan"/>
      <sheetName val="crushnsp"/>
      <sheetName val="pittonsp"/>
      <sheetName val="UA_PA"/>
      <sheetName val="Plant_Week"/>
      <sheetName val="Rental"/>
      <sheetName val="Sum"/>
      <sheetName val="W_H"/>
      <sheetName val="ABSENSI"/>
      <sheetName val="Sakit"/>
      <sheetName val="Alpa"/>
      <sheetName val="PAMA"/>
      <sheetName val="PAMA ALL"/>
      <sheetName val="PROD"/>
      <sheetName val="PLO IDR"/>
      <sheetName val="PLO USD"/>
      <sheetName val="PLO USD YTD"/>
      <sheetName val="BAUS_DT3386"/>
      <sheetName val="JSB"/>
      <sheetName val="KODJA"/>
      <sheetName val="Overall _4_"/>
      <sheetName val="Overall _2_"/>
      <sheetName val="nto71"/>
      <sheetName val="Cruser Sp71"/>
      <sheetName val="#REF"/>
      <sheetName val="Overall"/>
      <sheetName val="STD RATES"/>
      <sheetName val="Hourly_Prod"/>
      <sheetName val="Crew_Perf"/>
      <sheetName val="OB_ACTIV"/>
      <sheetName val="Daily_Forecasting"/>
      <sheetName val="BD_Equip"/>
      <sheetName val="DP_Report"/>
      <sheetName val="Curah_hujan"/>
      <sheetName val="Unit_Lain"/>
      <sheetName val="HIRE_RATE_1998"/>
      <sheetName val="April_"/>
      <sheetName val="LTI-24-09_(3)"/>
      <sheetName val="LTI-24-02_(2)"/>
      <sheetName val="LTI-01_(1)"/>
      <sheetName val="_SAF_02"/>
      <sheetName val="Permanent_info"/>
      <sheetName val="_SAF_021"/>
      <sheetName val="ALL_PC"/>
      <sheetName val="PLO_IDR_YTD"/>
      <sheetName val="summary_KPI"/>
      <sheetName val="Truck_Count"/>
      <sheetName val="Joint_Survey_Actual"/>
      <sheetName val="Daily_Plan"/>
      <sheetName val="Dr_s__90_dys"/>
      <sheetName val="Daily_OB_&amp;_Coal"/>
      <sheetName val="rumus 2 (coal ttp &amp; wr)"/>
      <sheetName val="Target"/>
      <sheetName val="Depth_41"/>
      <sheetName val="D"/>
      <sheetName val="PC_750"/>
      <sheetName val="I"/>
      <sheetName val="REMARK"/>
      <sheetName val="WORK"/>
      <sheetName val="Lists"/>
      <sheetName val="P1"/>
      <sheetName val="POPULATION"/>
      <sheetName val="DT ob"/>
      <sheetName val="DT coal"/>
      <sheetName val="HM"/>
      <sheetName val="OLIE"/>
      <sheetName val="II"/>
      <sheetName val="III"/>
      <sheetName val="UP-CIVIL"/>
      <sheetName val="Konversi Jarak"/>
      <sheetName val="Cash Flow"/>
      <sheetName val="OB_TCM"/>
      <sheetName val="F1771-IV"/>
      <sheetName val="April"/>
      <sheetName val="Data Coal I"/>
      <sheetName val="Data Coal II"/>
      <sheetName val="mtd ob forecasting"/>
      <sheetName val="Big"/>
      <sheetName val="Coal_Mining"/>
      <sheetName val="Cover"/>
      <sheetName val="Htr"/>
      <sheetName val="KPC Coal"/>
      <sheetName val="KPC"/>
      <sheetName val="KPC_Total"/>
      <sheetName val="kpi 2015"/>
      <sheetName val="Hourly_Prod1"/>
      <sheetName val="Crew_Perf1"/>
      <sheetName val="OB_ACTIV1"/>
      <sheetName val="Daily_Forecasting1"/>
      <sheetName val="BD_Equip1"/>
      <sheetName val="DP_Report1"/>
      <sheetName val="Curah_hujan1"/>
      <sheetName val="Unit_Lain1"/>
      <sheetName val="HIRE_RATE_19981"/>
      <sheetName val="April_1"/>
      <sheetName val="LTI-24-09_(3)1"/>
      <sheetName val="LTI-24-02_(2)1"/>
      <sheetName val="LTI-01_(1)1"/>
      <sheetName val="Permanent_info1"/>
      <sheetName val="_SAF_022"/>
      <sheetName val="_SAF_023"/>
      <sheetName val="ALL_PC1"/>
      <sheetName val="PLO_IDR_YTD1"/>
      <sheetName val="summary_KPI1"/>
      <sheetName val="Truck_Count1"/>
      <sheetName val="Joint_Survey_Actual1"/>
      <sheetName val="Daily_Plan1"/>
      <sheetName val="Dr_s__90_dys1"/>
      <sheetName val="Daily_OB_&amp;_Coal1"/>
      <sheetName val="Resume_Opp_Loss"/>
      <sheetName val="Safety_2"/>
      <sheetName val="March-april_(2)"/>
      <sheetName val="March_april__2_"/>
      <sheetName val="PAMA_ALL"/>
      <sheetName val="PLO_IDR"/>
      <sheetName val="PLO_USD"/>
      <sheetName val="PLO_USD_YTD"/>
      <sheetName val="Overall__4_"/>
      <sheetName val="Overall__2_"/>
      <sheetName val="Cruser_Sp71"/>
      <sheetName val="rumus_2_(coal_ttp_&amp;_wr)"/>
      <sheetName val="STD_RATES"/>
      <sheetName val="kpi_2015"/>
      <sheetName val="Hourly_Prod2"/>
      <sheetName val="Crew_Perf2"/>
      <sheetName val="OB_ACTIV2"/>
      <sheetName val="Daily_Forecasting2"/>
      <sheetName val="BD_Equip2"/>
      <sheetName val="DP_Report2"/>
      <sheetName val="Curah_hujan2"/>
      <sheetName val="Unit_Lain2"/>
      <sheetName val="HIRE_RATE_19982"/>
      <sheetName val="April_2"/>
      <sheetName val="LTI-24-09_(3)2"/>
      <sheetName val="LTI-24-02_(2)2"/>
      <sheetName val="LTI-01_(1)2"/>
      <sheetName val="Permanent_info2"/>
      <sheetName val="_SAF_024"/>
      <sheetName val="_SAF_025"/>
      <sheetName val="ALL_PC2"/>
      <sheetName val="PLO_IDR_YTD2"/>
      <sheetName val="summary_KPI2"/>
      <sheetName val="Truck_Count2"/>
      <sheetName val="Joint_Survey_Actual2"/>
      <sheetName val="Daily_Plan2"/>
      <sheetName val="Dr_s__90_dys2"/>
      <sheetName val="Daily_OB_&amp;_Coal2"/>
      <sheetName val="Resume_Opp_Loss1"/>
      <sheetName val="Safety_21"/>
      <sheetName val="March-april_(2)1"/>
      <sheetName val="March_april__2_1"/>
      <sheetName val="PAMA_ALL1"/>
      <sheetName val="PLO_IDR1"/>
      <sheetName val="PLO_USD1"/>
      <sheetName val="PLO_USD_YTD1"/>
      <sheetName val="Overall__4_1"/>
      <sheetName val="Overall__2_1"/>
      <sheetName val="Cruser_Sp711"/>
      <sheetName val="Dates"/>
      <sheetName val="FE-1771$.P1"/>
      <sheetName val="GeneralInfo"/>
      <sheetName val="MS"/>
      <sheetName val="3_ list of mp"/>
      <sheetName val="Loading"/>
      <sheetName val="Contract"/>
      <sheetName val="LP-01 2012"/>
      <sheetName val="Gaji"/>
      <sheetName val="Monthly Plan"/>
      <sheetName val="2.wh"/>
      <sheetName val="6.fc"/>
      <sheetName val="3.pa"/>
      <sheetName val="Budget"/>
      <sheetName val="SOS Summary "/>
      <sheetName val="Elec"/>
      <sheetName val="Housekeeping"/>
      <sheetName val="SAD"/>
      <sheetName val="DATABASE"/>
      <sheetName val="ROM-HOPER-size"/>
      <sheetName val="02"/>
      <sheetName val="01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"/>
      <sheetName val="Y2_PLANS_7"/>
      <sheetName val="Run"/>
      <sheetName val="Daily Report"/>
      <sheetName val="ACC Publish"/>
      <sheetName val="ovh"/>
      <sheetName val="FMC"/>
      <sheetName val="OPT_GL"/>
      <sheetName val="DATA MASTER JUN"/>
      <sheetName val="ORTCN"/>
      <sheetName val="COAL old"/>
      <sheetName val="COAL"/>
      <sheetName val="PRO"/>
      <sheetName val="Intro"/>
      <sheetName val="ob"/>
      <sheetName val="DRILL_BLAST"/>
      <sheetName val="RAIN_SILPPERY"/>
      <sheetName val="PRO_COAL"/>
      <sheetName val="TABEL"/>
      <sheetName val="Stock Port "/>
      <sheetName val="SUMMARY TONNAGE &amp; USD"/>
      <sheetName val="SP"/>
      <sheetName val="C"/>
      <sheetName val="SSE"/>
      <sheetName val="Hourly_Prod3"/>
      <sheetName val="Crew_Perf3"/>
      <sheetName val="OB_ACTIV3"/>
      <sheetName val="Daily_Forecasting3"/>
      <sheetName val="BD_Equip3"/>
      <sheetName val="DP_Report3"/>
      <sheetName val="Curah_hujan3"/>
      <sheetName val="Unit_Lain3"/>
      <sheetName val="HIRE_RATE_19983"/>
      <sheetName val="April_3"/>
      <sheetName val="LTI-24-09_(3)3"/>
      <sheetName val="LTI-24-02_(2)3"/>
      <sheetName val="LTI-01_(1)3"/>
      <sheetName val="Permanent_info3"/>
      <sheetName val="_SAF_026"/>
      <sheetName val="_SAF_027"/>
      <sheetName val="ALL_PC3"/>
      <sheetName val="PLO_IDR_YTD3"/>
      <sheetName val="summary_KPI3"/>
      <sheetName val="Truck_Count3"/>
      <sheetName val="Joint_Survey_Actual3"/>
      <sheetName val="Daily_Plan3"/>
      <sheetName val="Dr_s__90_dys3"/>
      <sheetName val="Daily_OB_&amp;_Coal3"/>
      <sheetName val="Resume_Opp_Loss2"/>
      <sheetName val="Safety_22"/>
      <sheetName val="March-april_(2)2"/>
      <sheetName val="March_april__2_2"/>
      <sheetName val="PAMA_ALL2"/>
      <sheetName val="PLO_IDR2"/>
      <sheetName val="PLO_USD2"/>
      <sheetName val="PLO_USD_YTD2"/>
      <sheetName val="Overall__4_2"/>
      <sheetName val="Overall__2_2"/>
      <sheetName val="Cruser_Sp712"/>
      <sheetName val="Hourly_Prod4"/>
      <sheetName val="Crew_Perf4"/>
      <sheetName val="OB_ACTIV4"/>
      <sheetName val="Daily_Forecasting4"/>
      <sheetName val="BD_Equip4"/>
      <sheetName val="DP_Report4"/>
      <sheetName val="Curah_hujan4"/>
      <sheetName val="Unit_Lain4"/>
      <sheetName val="HIRE_RATE_19984"/>
      <sheetName val="April_4"/>
      <sheetName val="LTI-24-09_(3)4"/>
      <sheetName val="LTI-24-02_(2)4"/>
      <sheetName val="LTI-01_(1)4"/>
      <sheetName val="Permanent_info4"/>
      <sheetName val="_SAF_028"/>
      <sheetName val="_SAF_029"/>
      <sheetName val="ALL_PC4"/>
      <sheetName val="PLO_IDR_YTD4"/>
      <sheetName val="summary_KPI4"/>
      <sheetName val="Truck_Count4"/>
      <sheetName val="Joint_Survey_Actual4"/>
      <sheetName val="Daily_Plan4"/>
      <sheetName val="Dr_s__90_dys4"/>
      <sheetName val="Daily_OB_&amp;_Coal4"/>
      <sheetName val="Resume_Opp_Loss3"/>
      <sheetName val="Safety_23"/>
      <sheetName val="March-april_(2)3"/>
      <sheetName val="March_april__2_3"/>
      <sheetName val="PAMA_ALL3"/>
      <sheetName val="PLO_IDR3"/>
      <sheetName val="PLO_USD3"/>
      <sheetName val="PLO_USD_YTD3"/>
      <sheetName val="Overall__4_3"/>
      <sheetName val="Overall__2_3"/>
      <sheetName val="Cruser_Sp713"/>
      <sheetName val="KHUSUS BRAVO II"/>
      <sheetName val="upload"/>
      <sheetName val="Dr's_&gt;90 dys"/>
      <sheetName val="MA_PLANS_"/>
      <sheetName val="M_PLANS_"/>
      <sheetName val="table"/>
      <sheetName val="A_SQL2IMPS_"/>
      <sheetName val="Plant"/>
      <sheetName val="KPI ENG"/>
      <sheetName val="PRICE"/>
      <sheetName val="Pupolasi"/>
      <sheetName val="Query PM"/>
      <sheetName val="BI Share"/>
      <sheetName val="WH &amp; Fuel"/>
      <sheetName val="Data Staff"/>
      <sheetName val="EqList"/>
      <sheetName val="Ppls"/>
      <sheetName val="Dozing Estimation"/>
      <sheetName val="Statistik"/>
      <sheetName val="FORM"/>
      <sheetName val="Prod'n"/>
      <sheetName val="PAR"/>
      <sheetName val="Production HO"/>
      <sheetName val="EDS110507"/>
      <sheetName val="MA"/>
      <sheetName val="Plant Rate"/>
      <sheetName val="POPULASI 2020"/>
      <sheetName val="BUDGET PER UNIT"/>
      <sheetName val="SPO 2020"/>
      <sheetName val="Base Unit"/>
    </sheetNames>
    <sheetDataSet>
      <sheetData sheetId="0" refreshError="1">
        <row r="33">
          <cell r="F33">
            <v>0</v>
          </cell>
        </row>
      </sheetData>
      <sheetData sheetId="1">
        <row r="33">
          <cell r="F33">
            <v>0</v>
          </cell>
        </row>
      </sheetData>
      <sheetData sheetId="2">
        <row r="33">
          <cell r="F33">
            <v>0</v>
          </cell>
        </row>
      </sheetData>
      <sheetData sheetId="3">
        <row r="33">
          <cell r="F33">
            <v>0</v>
          </cell>
        </row>
      </sheetData>
      <sheetData sheetId="4">
        <row r="33">
          <cell r="F33">
            <v>0</v>
          </cell>
        </row>
      </sheetData>
      <sheetData sheetId="5">
        <row r="33">
          <cell r="F33">
            <v>0</v>
          </cell>
        </row>
      </sheetData>
      <sheetData sheetId="6">
        <row r="33">
          <cell r="F33">
            <v>0</v>
          </cell>
        </row>
      </sheetData>
      <sheetData sheetId="7">
        <row r="33">
          <cell r="F33">
            <v>0</v>
          </cell>
        </row>
      </sheetData>
      <sheetData sheetId="8">
        <row r="33">
          <cell r="F33">
            <v>60098</v>
          </cell>
        </row>
      </sheetData>
      <sheetData sheetId="9">
        <row r="33">
          <cell r="F33">
            <v>60098</v>
          </cell>
        </row>
      </sheetData>
      <sheetData sheetId="10">
        <row r="33">
          <cell r="F33">
            <v>60098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>
        <row r="33">
          <cell r="F33">
            <v>0</v>
          </cell>
        </row>
      </sheetData>
      <sheetData sheetId="47">
        <row r="33">
          <cell r="F33">
            <v>0</v>
          </cell>
        </row>
      </sheetData>
      <sheetData sheetId="48">
        <row r="33">
          <cell r="F33">
            <v>0</v>
          </cell>
        </row>
      </sheetData>
      <sheetData sheetId="49">
        <row r="33">
          <cell r="F33">
            <v>0</v>
          </cell>
        </row>
      </sheetData>
      <sheetData sheetId="50">
        <row r="33">
          <cell r="F33">
            <v>0</v>
          </cell>
        </row>
      </sheetData>
      <sheetData sheetId="51">
        <row r="33">
          <cell r="F33">
            <v>0</v>
          </cell>
        </row>
      </sheetData>
      <sheetData sheetId="52">
        <row r="33">
          <cell r="F33">
            <v>0</v>
          </cell>
        </row>
      </sheetData>
      <sheetData sheetId="53">
        <row r="33">
          <cell r="F33">
            <v>0</v>
          </cell>
        </row>
      </sheetData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>
        <row r="33">
          <cell r="F33">
            <v>0</v>
          </cell>
        </row>
      </sheetData>
      <sheetData sheetId="147">
        <row r="33">
          <cell r="F33">
            <v>0</v>
          </cell>
        </row>
      </sheetData>
      <sheetData sheetId="148">
        <row r="33">
          <cell r="F33">
            <v>0</v>
          </cell>
        </row>
      </sheetData>
      <sheetData sheetId="149">
        <row r="33">
          <cell r="F33">
            <v>0</v>
          </cell>
        </row>
      </sheetData>
      <sheetData sheetId="150">
        <row r="33">
          <cell r="F33">
            <v>0</v>
          </cell>
        </row>
      </sheetData>
      <sheetData sheetId="151">
        <row r="33">
          <cell r="F33">
            <v>0</v>
          </cell>
        </row>
      </sheetData>
      <sheetData sheetId="152">
        <row r="33">
          <cell r="F33">
            <v>0</v>
          </cell>
        </row>
      </sheetData>
      <sheetData sheetId="153">
        <row r="33">
          <cell r="F33">
            <v>0</v>
          </cell>
        </row>
      </sheetData>
      <sheetData sheetId="154">
        <row r="33">
          <cell r="F33">
            <v>0</v>
          </cell>
        </row>
      </sheetData>
      <sheetData sheetId="155">
        <row r="33">
          <cell r="F33">
            <v>0</v>
          </cell>
        </row>
      </sheetData>
      <sheetData sheetId="156">
        <row r="33">
          <cell r="F33">
            <v>0</v>
          </cell>
        </row>
      </sheetData>
      <sheetData sheetId="157">
        <row r="33">
          <cell r="F33">
            <v>0</v>
          </cell>
        </row>
      </sheetData>
      <sheetData sheetId="158">
        <row r="33">
          <cell r="F33">
            <v>0</v>
          </cell>
        </row>
      </sheetData>
      <sheetData sheetId="159">
        <row r="33">
          <cell r="F33">
            <v>0</v>
          </cell>
        </row>
      </sheetData>
      <sheetData sheetId="160">
        <row r="33">
          <cell r="F33">
            <v>0</v>
          </cell>
        </row>
      </sheetData>
      <sheetData sheetId="161">
        <row r="33">
          <cell r="F33">
            <v>0</v>
          </cell>
        </row>
      </sheetData>
      <sheetData sheetId="162">
        <row r="33">
          <cell r="F33">
            <v>0</v>
          </cell>
        </row>
      </sheetData>
      <sheetData sheetId="163">
        <row r="33">
          <cell r="F33">
            <v>0</v>
          </cell>
        </row>
      </sheetData>
      <sheetData sheetId="164">
        <row r="33">
          <cell r="F33">
            <v>0</v>
          </cell>
        </row>
      </sheetData>
      <sheetData sheetId="165">
        <row r="33">
          <cell r="F33">
            <v>0</v>
          </cell>
        </row>
      </sheetData>
      <sheetData sheetId="166">
        <row r="33">
          <cell r="F33">
            <v>0</v>
          </cell>
        </row>
      </sheetData>
      <sheetData sheetId="167">
        <row r="33">
          <cell r="F33">
            <v>0</v>
          </cell>
        </row>
      </sheetData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>
        <row r="33">
          <cell r="F33">
            <v>0</v>
          </cell>
        </row>
      </sheetData>
      <sheetData sheetId="186">
        <row r="33">
          <cell r="F33">
            <v>0</v>
          </cell>
        </row>
      </sheetData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>
        <row r="33">
          <cell r="F33">
            <v>0</v>
          </cell>
        </row>
      </sheetData>
      <sheetData sheetId="194">
        <row r="33">
          <cell r="F33">
            <v>0</v>
          </cell>
        </row>
      </sheetData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/>
      <sheetData sheetId="206">
        <row r="33">
          <cell r="F33">
            <v>0</v>
          </cell>
        </row>
      </sheetData>
      <sheetData sheetId="207"/>
      <sheetData sheetId="208">
        <row r="33">
          <cell r="F33">
            <v>0</v>
          </cell>
        </row>
      </sheetData>
      <sheetData sheetId="209">
        <row r="33">
          <cell r="F33">
            <v>0</v>
          </cell>
        </row>
      </sheetData>
      <sheetData sheetId="210">
        <row r="33">
          <cell r="F33">
            <v>0</v>
          </cell>
        </row>
      </sheetData>
      <sheetData sheetId="211">
        <row r="33">
          <cell r="F33">
            <v>0</v>
          </cell>
        </row>
      </sheetData>
      <sheetData sheetId="212">
        <row r="33">
          <cell r="F33">
            <v>0</v>
          </cell>
        </row>
      </sheetData>
      <sheetData sheetId="213">
        <row r="33">
          <cell r="F33">
            <v>0</v>
          </cell>
        </row>
      </sheetData>
      <sheetData sheetId="214">
        <row r="33">
          <cell r="F33">
            <v>0</v>
          </cell>
        </row>
      </sheetData>
      <sheetData sheetId="215">
        <row r="33">
          <cell r="F33">
            <v>0</v>
          </cell>
        </row>
      </sheetData>
      <sheetData sheetId="216">
        <row r="33">
          <cell r="F33">
            <v>0</v>
          </cell>
        </row>
      </sheetData>
      <sheetData sheetId="217">
        <row r="33">
          <cell r="F33">
            <v>0</v>
          </cell>
        </row>
      </sheetData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>
        <row r="33">
          <cell r="F33">
            <v>0</v>
          </cell>
        </row>
      </sheetData>
      <sheetData sheetId="245"/>
      <sheetData sheetId="246">
        <row r="33">
          <cell r="F33">
            <v>0</v>
          </cell>
        </row>
      </sheetData>
      <sheetData sheetId="247">
        <row r="33">
          <cell r="F33">
            <v>0</v>
          </cell>
        </row>
      </sheetData>
      <sheetData sheetId="248"/>
      <sheetData sheetId="249"/>
      <sheetData sheetId="250">
        <row r="33">
          <cell r="F33">
            <v>0</v>
          </cell>
        </row>
      </sheetData>
      <sheetData sheetId="251"/>
      <sheetData sheetId="252"/>
      <sheetData sheetId="253"/>
      <sheetData sheetId="254"/>
      <sheetData sheetId="255"/>
      <sheetData sheetId="256">
        <row r="33">
          <cell r="F33">
            <v>0</v>
          </cell>
        </row>
      </sheetData>
      <sheetData sheetId="257"/>
      <sheetData sheetId="258"/>
      <sheetData sheetId="259"/>
      <sheetData sheetId="260"/>
      <sheetData sheetId="261"/>
      <sheetData sheetId="262">
        <row r="33">
          <cell r="F33">
            <v>0</v>
          </cell>
        </row>
      </sheetData>
      <sheetData sheetId="263">
        <row r="33">
          <cell r="F33">
            <v>0</v>
          </cell>
        </row>
      </sheetData>
      <sheetData sheetId="264">
        <row r="33">
          <cell r="F33">
            <v>0</v>
          </cell>
        </row>
      </sheetData>
      <sheetData sheetId="265">
        <row r="33">
          <cell r="F33">
            <v>0</v>
          </cell>
        </row>
      </sheetData>
      <sheetData sheetId="266">
        <row r="33">
          <cell r="F33">
            <v>0</v>
          </cell>
        </row>
      </sheetData>
      <sheetData sheetId="267"/>
      <sheetData sheetId="268">
        <row r="33">
          <cell r="F33">
            <v>0</v>
          </cell>
        </row>
      </sheetData>
      <sheetData sheetId="269">
        <row r="33">
          <cell r="F33">
            <v>0</v>
          </cell>
        </row>
      </sheetData>
      <sheetData sheetId="270"/>
      <sheetData sheetId="271"/>
      <sheetData sheetId="272"/>
      <sheetData sheetId="273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 refreshError="1"/>
      <sheetData sheetId="407" refreshError="1"/>
      <sheetData sheetId="408" refreshError="1"/>
      <sheetData sheetId="409" refreshError="1"/>
      <sheetData sheetId="410"/>
      <sheetData sheetId="41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ory Dec'12"/>
      <sheetName val="IMM Mine"/>
      <sheetName val="TCM Mine"/>
      <sheetName val="EMB Mine"/>
      <sheetName val="JBG Mine"/>
      <sheetName val="BEK Mine"/>
      <sheetName val="TDM Mine"/>
      <sheetName val="Pivot"/>
      <sheetName val="Dbase"/>
      <sheetName val="Sum Prod &amp; Sales Bdgt"/>
      <sheetName val="Indo_Mine (2)"/>
      <sheetName val="ITM2013(10Dec) 29.5mt"/>
      <sheetName val="Jul (CREM)"/>
      <sheetName val="DP Report"/>
      <sheetName val="Sheet1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C2" t="str">
            <v>ITM MINE PLAN YEAR 2013 (4th Draft Mine Plan Summary)</v>
          </cell>
          <cell r="P2" t="str">
            <v>R - 0 5th D</v>
          </cell>
        </row>
        <row r="3">
          <cell r="C3">
            <v>1</v>
          </cell>
          <cell r="D3">
            <v>2</v>
          </cell>
          <cell r="E3">
            <v>3</v>
          </cell>
          <cell r="F3">
            <v>4</v>
          </cell>
          <cell r="G3">
            <v>5</v>
          </cell>
          <cell r="H3">
            <v>6</v>
          </cell>
          <cell r="I3">
            <v>7</v>
          </cell>
          <cell r="J3">
            <v>8</v>
          </cell>
          <cell r="K3">
            <v>9</v>
          </cell>
          <cell r="L3">
            <v>10</v>
          </cell>
          <cell r="M3">
            <v>11</v>
          </cell>
          <cell r="N3">
            <v>12</v>
          </cell>
          <cell r="O3">
            <v>13</v>
          </cell>
          <cell r="P3">
            <v>14</v>
          </cell>
          <cell r="Q3">
            <v>15</v>
          </cell>
          <cell r="R3">
            <v>16</v>
          </cell>
          <cell r="S3">
            <v>17</v>
          </cell>
        </row>
        <row r="4">
          <cell r="C4" t="str">
            <v>as Data 11 Dec'12</v>
          </cell>
          <cell r="D4" t="str">
            <v>Send to MnL on 11 Dec'12 (not for Budget, only for Outlook 2013 after meeting with ITM PresDir)</v>
          </cell>
          <cell r="N4" t="str">
            <v>Print &amp; Update on :</v>
          </cell>
          <cell r="P4">
            <v>41254</v>
          </cell>
        </row>
        <row r="5">
          <cell r="D5">
            <v>41275</v>
          </cell>
          <cell r="E5">
            <v>41306</v>
          </cell>
          <cell r="F5">
            <v>41334</v>
          </cell>
          <cell r="G5">
            <v>41365</v>
          </cell>
          <cell r="H5">
            <v>41395</v>
          </cell>
          <cell r="I5">
            <v>41426</v>
          </cell>
          <cell r="J5">
            <v>41456</v>
          </cell>
          <cell r="K5">
            <v>41487</v>
          </cell>
          <cell r="L5">
            <v>41518</v>
          </cell>
          <cell r="M5">
            <v>41548</v>
          </cell>
          <cell r="N5">
            <v>41579</v>
          </cell>
          <cell r="O5">
            <v>41609</v>
          </cell>
          <cell r="P5" t="str">
            <v>Total</v>
          </cell>
        </row>
        <row r="6">
          <cell r="C6" t="str">
            <v>IMM FC Ready to Sell (Kton)</v>
          </cell>
          <cell r="D6">
            <v>1131.589608890722</v>
          </cell>
          <cell r="E6">
            <v>1139.8206341715149</v>
          </cell>
          <cell r="F6">
            <v>1135.4831167797879</v>
          </cell>
          <cell r="G6">
            <v>1208.1180960184411</v>
          </cell>
          <cell r="H6">
            <v>1273.374746274621</v>
          </cell>
          <cell r="I6">
            <v>1318.4347977807911</v>
          </cell>
          <cell r="J6">
            <v>1260.9394961516196</v>
          </cell>
          <cell r="K6">
            <v>1243.4603558471345</v>
          </cell>
          <cell r="L6">
            <v>1249.3595185147794</v>
          </cell>
          <cell r="M6">
            <v>1273.7921431072227</v>
          </cell>
          <cell r="N6">
            <v>1283.1615477009861</v>
          </cell>
          <cell r="O6">
            <v>1284.7944590144866</v>
          </cell>
          <cell r="P6">
            <v>14802.328520252107</v>
          </cell>
        </row>
        <row r="7">
          <cell r="C7" t="str">
            <v>IMM West Lo (TS&lt;0.85)</v>
          </cell>
          <cell r="D7">
            <v>340.19319010339603</v>
          </cell>
          <cell r="E7">
            <v>348.42421538418898</v>
          </cell>
          <cell r="F7">
            <v>344.08669799246201</v>
          </cell>
          <cell r="G7">
            <v>375.635617748784</v>
          </cell>
          <cell r="H7">
            <v>381.98478446050399</v>
          </cell>
          <cell r="I7">
            <v>376.36863052860599</v>
          </cell>
          <cell r="J7">
            <v>399.50200865189356</v>
          </cell>
          <cell r="K7">
            <v>422.02286834740858</v>
          </cell>
          <cell r="L7">
            <v>487.92203101505345</v>
          </cell>
          <cell r="M7">
            <v>529.12329298166264</v>
          </cell>
          <cell r="N7">
            <v>515.80436469075619</v>
          </cell>
          <cell r="O7">
            <v>527.43727600425666</v>
          </cell>
          <cell r="P7">
            <v>5048.5049779089732</v>
          </cell>
        </row>
        <row r="8">
          <cell r="C8" t="str">
            <v>IMM West (TS&gt;0.85)</v>
          </cell>
          <cell r="P8">
            <v>0</v>
          </cell>
        </row>
        <row r="9">
          <cell r="C9" t="str">
            <v>IMM East (+WP) TS&lt;1.65</v>
          </cell>
          <cell r="D9">
            <v>374.25</v>
          </cell>
          <cell r="E9">
            <v>374.25</v>
          </cell>
          <cell r="F9">
            <v>374.25</v>
          </cell>
          <cell r="G9">
            <v>374.25</v>
          </cell>
          <cell r="H9">
            <v>383.25</v>
          </cell>
          <cell r="I9">
            <v>389.25</v>
          </cell>
          <cell r="J9">
            <v>429.25</v>
          </cell>
          <cell r="K9">
            <v>389.25</v>
          </cell>
          <cell r="L9">
            <v>329.25</v>
          </cell>
          <cell r="M9">
            <v>279.25</v>
          </cell>
          <cell r="N9">
            <v>289.25</v>
          </cell>
          <cell r="O9">
            <v>279.25</v>
          </cell>
          <cell r="P9">
            <v>4265</v>
          </cell>
        </row>
        <row r="10">
          <cell r="C10" t="str">
            <v>IMM East TS&gt;1.65</v>
          </cell>
          <cell r="D10">
            <v>417.14641878732596</v>
          </cell>
          <cell r="E10">
            <v>417.14641878732596</v>
          </cell>
          <cell r="F10">
            <v>417.14641878732596</v>
          </cell>
          <cell r="G10">
            <v>458.23247826965701</v>
          </cell>
          <cell r="H10">
            <v>508.13996181411704</v>
          </cell>
          <cell r="I10">
            <v>552.8161672521851</v>
          </cell>
          <cell r="J10">
            <v>432.18748749972599</v>
          </cell>
          <cell r="K10">
            <v>432.18748749972599</v>
          </cell>
          <cell r="L10">
            <v>432.18748749972599</v>
          </cell>
          <cell r="M10">
            <v>465.41885012555997</v>
          </cell>
          <cell r="N10">
            <v>478.10718301022996</v>
          </cell>
          <cell r="O10">
            <v>478.10718301022996</v>
          </cell>
          <cell r="P10">
            <v>5488.8235423431361</v>
          </cell>
        </row>
        <row r="11">
          <cell r="C11" t="str">
            <v>TDM FC</v>
          </cell>
          <cell r="D11">
            <v>182.9412956841532</v>
          </cell>
          <cell r="E11">
            <v>197.50638891942819</v>
          </cell>
          <cell r="F11">
            <v>196.26291780451285</v>
          </cell>
          <cell r="G11">
            <v>190.57246929081879</v>
          </cell>
          <cell r="H11">
            <v>221.893486224767</v>
          </cell>
          <cell r="I11">
            <v>221.09716371748121</v>
          </cell>
          <cell r="J11">
            <v>222.20890806717588</v>
          </cell>
          <cell r="K11">
            <v>206.31517025839881</v>
          </cell>
          <cell r="L11">
            <v>228.72833732414682</v>
          </cell>
          <cell r="M11">
            <v>224.91275052081397</v>
          </cell>
          <cell r="N11">
            <v>210.4135206681494</v>
          </cell>
          <cell r="O11">
            <v>178.3625915201539</v>
          </cell>
          <cell r="P11">
            <v>2481.2150000000001</v>
          </cell>
          <cell r="R11" t="e">
            <v>#REF!</v>
          </cell>
        </row>
        <row r="12">
          <cell r="C12" t="str">
            <v>TCM FC Product (Kton)</v>
          </cell>
          <cell r="D12">
            <v>720</v>
          </cell>
          <cell r="E12">
            <v>650</v>
          </cell>
          <cell r="F12">
            <v>600</v>
          </cell>
          <cell r="G12">
            <v>630</v>
          </cell>
          <cell r="H12">
            <v>640</v>
          </cell>
          <cell r="I12">
            <v>640</v>
          </cell>
          <cell r="J12">
            <v>640</v>
          </cell>
          <cell r="K12">
            <v>690</v>
          </cell>
          <cell r="L12">
            <v>710</v>
          </cell>
          <cell r="M12">
            <v>710</v>
          </cell>
          <cell r="N12">
            <v>710</v>
          </cell>
          <cell r="O12">
            <v>660</v>
          </cell>
          <cell r="P12">
            <v>8000</v>
          </cell>
          <cell r="R12" t="e">
            <v>#REF!</v>
          </cell>
        </row>
        <row r="13">
          <cell r="C13" t="str">
            <v>TCM LCV-LS (Sul&lt;0.8)</v>
          </cell>
          <cell r="D13">
            <v>200</v>
          </cell>
          <cell r="E13">
            <v>210</v>
          </cell>
          <cell r="F13">
            <v>210</v>
          </cell>
          <cell r="G13">
            <v>250</v>
          </cell>
          <cell r="H13">
            <v>250</v>
          </cell>
          <cell r="I13">
            <v>250</v>
          </cell>
          <cell r="J13">
            <v>250</v>
          </cell>
          <cell r="K13">
            <v>250</v>
          </cell>
          <cell r="L13">
            <v>250</v>
          </cell>
          <cell r="M13">
            <v>250</v>
          </cell>
          <cell r="N13">
            <v>250</v>
          </cell>
          <cell r="O13">
            <v>250</v>
          </cell>
          <cell r="P13">
            <v>2870</v>
          </cell>
        </row>
        <row r="14">
          <cell r="C14" t="str">
            <v>TCM LCV-HS (Sul&gt;0.8)</v>
          </cell>
          <cell r="D14">
            <v>150</v>
          </cell>
          <cell r="E14">
            <v>50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200</v>
          </cell>
        </row>
        <row r="15">
          <cell r="C15" t="str">
            <v>TCM HCV-HS (Sul&lt;1.8)</v>
          </cell>
          <cell r="D15">
            <v>40</v>
          </cell>
          <cell r="E15">
            <v>40</v>
          </cell>
          <cell r="F15">
            <v>40</v>
          </cell>
          <cell r="G15">
            <v>20</v>
          </cell>
          <cell r="H15">
            <v>20</v>
          </cell>
          <cell r="I15">
            <v>20</v>
          </cell>
          <cell r="J15">
            <v>40</v>
          </cell>
          <cell r="K15">
            <v>40</v>
          </cell>
          <cell r="L15">
            <v>40</v>
          </cell>
          <cell r="M15">
            <v>40</v>
          </cell>
          <cell r="N15">
            <v>40</v>
          </cell>
          <cell r="O15">
            <v>35</v>
          </cell>
          <cell r="P15">
            <v>415</v>
          </cell>
        </row>
        <row r="16">
          <cell r="C16" t="str">
            <v>TCM HCV-LS (Sul&lt;0.8)</v>
          </cell>
          <cell r="D16">
            <v>330</v>
          </cell>
          <cell r="E16">
            <v>350</v>
          </cell>
          <cell r="F16">
            <v>350</v>
          </cell>
          <cell r="G16">
            <v>360</v>
          </cell>
          <cell r="H16">
            <v>370</v>
          </cell>
          <cell r="I16">
            <v>370</v>
          </cell>
          <cell r="J16">
            <v>350</v>
          </cell>
          <cell r="K16">
            <v>400</v>
          </cell>
          <cell r="L16">
            <v>420</v>
          </cell>
          <cell r="M16">
            <v>420</v>
          </cell>
          <cell r="N16">
            <v>420</v>
          </cell>
          <cell r="O16">
            <v>375</v>
          </cell>
          <cell r="P16">
            <v>4515</v>
          </cell>
        </row>
        <row r="17">
          <cell r="C17" t="str">
            <v>JBG FC</v>
          </cell>
          <cell r="D17">
            <v>80</v>
          </cell>
          <cell r="E17">
            <v>80</v>
          </cell>
          <cell r="F17">
            <v>80</v>
          </cell>
          <cell r="G17">
            <v>90</v>
          </cell>
          <cell r="H17">
            <v>90</v>
          </cell>
          <cell r="I17">
            <v>100</v>
          </cell>
          <cell r="J17">
            <v>110</v>
          </cell>
          <cell r="K17">
            <v>110</v>
          </cell>
          <cell r="L17">
            <v>120</v>
          </cell>
          <cell r="M17">
            <v>130</v>
          </cell>
          <cell r="N17">
            <v>130</v>
          </cell>
          <cell r="O17">
            <v>130</v>
          </cell>
          <cell r="P17">
            <v>1250</v>
          </cell>
        </row>
        <row r="18">
          <cell r="C18" t="str">
            <v>EMB FC</v>
          </cell>
          <cell r="D18">
            <v>83.3</v>
          </cell>
          <cell r="E18">
            <v>68.599999999999994</v>
          </cell>
          <cell r="F18">
            <v>73.5</v>
          </cell>
          <cell r="G18">
            <v>78.400000000000006</v>
          </cell>
          <cell r="H18">
            <v>78.400000000000006</v>
          </cell>
          <cell r="I18">
            <v>88.2</v>
          </cell>
          <cell r="J18">
            <v>93.1</v>
          </cell>
          <cell r="K18">
            <v>88.2</v>
          </cell>
          <cell r="L18">
            <v>93.1</v>
          </cell>
          <cell r="M18">
            <v>93.1</v>
          </cell>
          <cell r="N18">
            <v>93.1</v>
          </cell>
          <cell r="O18">
            <v>91.14</v>
          </cell>
          <cell r="P18">
            <v>1022.14</v>
          </cell>
        </row>
        <row r="19">
          <cell r="C19" t="str">
            <v>BEK FC</v>
          </cell>
          <cell r="D19">
            <v>160</v>
          </cell>
          <cell r="E19">
            <v>160</v>
          </cell>
          <cell r="F19">
            <v>160</v>
          </cell>
          <cell r="G19">
            <v>168</v>
          </cell>
          <cell r="H19">
            <v>176</v>
          </cell>
          <cell r="I19">
            <v>162.5</v>
          </cell>
          <cell r="J19">
            <v>162.5</v>
          </cell>
          <cell r="K19">
            <v>162.5</v>
          </cell>
          <cell r="L19">
            <v>162.5</v>
          </cell>
          <cell r="M19">
            <v>176</v>
          </cell>
          <cell r="N19">
            <v>176</v>
          </cell>
          <cell r="O19">
            <v>176</v>
          </cell>
          <cell r="P19">
            <v>2002</v>
          </cell>
        </row>
        <row r="35">
          <cell r="D35">
            <v>41275</v>
          </cell>
          <cell r="E35">
            <v>41306</v>
          </cell>
          <cell r="F35">
            <v>41334</v>
          </cell>
          <cell r="G35">
            <v>41365</v>
          </cell>
          <cell r="H35">
            <v>41395</v>
          </cell>
          <cell r="I35">
            <v>41426</v>
          </cell>
          <cell r="J35">
            <v>41456</v>
          </cell>
          <cell r="K35">
            <v>41487</v>
          </cell>
          <cell r="L35">
            <v>41518</v>
          </cell>
          <cell r="M35">
            <v>41548</v>
          </cell>
          <cell r="N35">
            <v>41579</v>
          </cell>
          <cell r="O35">
            <v>41609</v>
          </cell>
          <cell r="P35" t="str">
            <v>Total</v>
          </cell>
        </row>
        <row r="36">
          <cell r="C36" t="str">
            <v>IMM FC Ready to Sell (Kton)</v>
          </cell>
          <cell r="D36">
            <v>1143300</v>
          </cell>
          <cell r="E36">
            <v>1090800</v>
          </cell>
          <cell r="F36">
            <v>1091300</v>
          </cell>
          <cell r="G36">
            <v>1134300</v>
          </cell>
          <cell r="H36">
            <v>1152500</v>
          </cell>
          <cell r="I36">
            <v>1201000</v>
          </cell>
          <cell r="J36">
            <v>1292500</v>
          </cell>
          <cell r="K36">
            <v>1165000</v>
          </cell>
          <cell r="L36">
            <v>1240000</v>
          </cell>
          <cell r="M36">
            <v>1249000</v>
          </cell>
          <cell r="N36">
            <v>1238000</v>
          </cell>
          <cell r="O36">
            <v>1163000</v>
          </cell>
          <cell r="P36">
            <v>14160700</v>
          </cell>
        </row>
        <row r="37">
          <cell r="C37" t="str">
            <v>IMM West Lo (TS&lt;0.85)</v>
          </cell>
          <cell r="D37">
            <v>355300</v>
          </cell>
          <cell r="E37">
            <v>340800</v>
          </cell>
          <cell r="F37">
            <v>337300</v>
          </cell>
          <cell r="G37">
            <v>388300</v>
          </cell>
          <cell r="H37">
            <v>329500</v>
          </cell>
          <cell r="I37">
            <v>333000</v>
          </cell>
          <cell r="J37">
            <v>433500</v>
          </cell>
          <cell r="K37">
            <v>355000</v>
          </cell>
          <cell r="L37">
            <v>456000</v>
          </cell>
          <cell r="M37">
            <v>510000</v>
          </cell>
          <cell r="N37">
            <v>503000</v>
          </cell>
          <cell r="O37">
            <v>470000</v>
          </cell>
          <cell r="P37">
            <v>4811700</v>
          </cell>
        </row>
        <row r="38">
          <cell r="C38" t="str">
            <v>IMM West (TS&gt;0.85)</v>
          </cell>
          <cell r="P38">
            <v>0</v>
          </cell>
        </row>
        <row r="39">
          <cell r="C39" t="str">
            <v>IMM East (+WP) TS&lt;1.65</v>
          </cell>
          <cell r="D39">
            <v>339500</v>
          </cell>
          <cell r="E39">
            <v>419500</v>
          </cell>
          <cell r="F39">
            <v>379000</v>
          </cell>
          <cell r="G39">
            <v>361500</v>
          </cell>
          <cell r="H39">
            <v>368500</v>
          </cell>
          <cell r="I39">
            <v>359000</v>
          </cell>
          <cell r="J39">
            <v>435000</v>
          </cell>
          <cell r="K39">
            <v>388500</v>
          </cell>
          <cell r="L39">
            <v>342500</v>
          </cell>
          <cell r="M39">
            <v>237500</v>
          </cell>
          <cell r="N39">
            <v>258500</v>
          </cell>
          <cell r="O39">
            <v>272500</v>
          </cell>
          <cell r="P39">
            <v>4161500</v>
          </cell>
        </row>
        <row r="40">
          <cell r="C40" t="str">
            <v>IMM East TS&gt;1.65</v>
          </cell>
          <cell r="D40">
            <v>448500</v>
          </cell>
          <cell r="E40">
            <v>330500</v>
          </cell>
          <cell r="F40">
            <v>375000</v>
          </cell>
          <cell r="G40">
            <v>384500</v>
          </cell>
          <cell r="H40">
            <v>454500</v>
          </cell>
          <cell r="I40">
            <v>509000</v>
          </cell>
          <cell r="J40">
            <v>424000</v>
          </cell>
          <cell r="K40">
            <v>421500</v>
          </cell>
          <cell r="L40">
            <v>441500</v>
          </cell>
          <cell r="M40">
            <v>501500</v>
          </cell>
          <cell r="N40">
            <v>476500</v>
          </cell>
          <cell r="O40">
            <v>420500</v>
          </cell>
          <cell r="P40">
            <v>5187500</v>
          </cell>
        </row>
        <row r="41">
          <cell r="C41" t="str">
            <v>TDM FC</v>
          </cell>
          <cell r="D41">
            <v>123500</v>
          </cell>
          <cell r="E41">
            <v>197000</v>
          </cell>
          <cell r="F41">
            <v>189000</v>
          </cell>
          <cell r="G41">
            <v>199500</v>
          </cell>
          <cell r="H41">
            <v>181000</v>
          </cell>
          <cell r="I41">
            <v>241000</v>
          </cell>
          <cell r="J41">
            <v>199000</v>
          </cell>
          <cell r="K41">
            <v>199000</v>
          </cell>
          <cell r="L41">
            <v>229000</v>
          </cell>
          <cell r="M41">
            <v>229000</v>
          </cell>
          <cell r="N41">
            <v>225000</v>
          </cell>
          <cell r="O41">
            <v>175500</v>
          </cell>
          <cell r="P41">
            <v>2387500</v>
          </cell>
        </row>
        <row r="42">
          <cell r="C42" t="str">
            <v>TCM FC Product (Kton)</v>
          </cell>
          <cell r="D42">
            <v>778300</v>
          </cell>
          <cell r="E42">
            <v>760200</v>
          </cell>
          <cell r="F42">
            <v>654300</v>
          </cell>
          <cell r="G42">
            <v>686900</v>
          </cell>
          <cell r="H42">
            <v>585700</v>
          </cell>
          <cell r="I42">
            <v>632500</v>
          </cell>
          <cell r="J42">
            <v>600300</v>
          </cell>
          <cell r="K42">
            <v>614300</v>
          </cell>
          <cell r="L42">
            <v>625300</v>
          </cell>
          <cell r="M42">
            <v>644900</v>
          </cell>
          <cell r="N42">
            <v>602300</v>
          </cell>
          <cell r="O42">
            <v>618000</v>
          </cell>
          <cell r="P42">
            <v>7803000</v>
          </cell>
        </row>
        <row r="43">
          <cell r="C43" t="str">
            <v>TCM HCV-LS (Sul&lt;0.8)</v>
          </cell>
          <cell r="D43">
            <v>303500</v>
          </cell>
          <cell r="E43">
            <v>280750</v>
          </cell>
          <cell r="F43">
            <v>315800</v>
          </cell>
          <cell r="G43">
            <v>360500</v>
          </cell>
          <cell r="H43">
            <v>310250</v>
          </cell>
          <cell r="I43">
            <v>404250</v>
          </cell>
          <cell r="J43">
            <v>354300</v>
          </cell>
          <cell r="K43">
            <v>365300</v>
          </cell>
          <cell r="L43">
            <v>407250</v>
          </cell>
          <cell r="M43">
            <v>437500</v>
          </cell>
          <cell r="N43">
            <v>390500</v>
          </cell>
          <cell r="O43">
            <v>388750</v>
          </cell>
          <cell r="P43">
            <v>4318650</v>
          </cell>
        </row>
        <row r="44">
          <cell r="C44" t="str">
            <v>TCM HCV-HS (Sul&lt;1.8)</v>
          </cell>
          <cell r="D44">
            <v>20800</v>
          </cell>
          <cell r="E44">
            <v>44200</v>
          </cell>
          <cell r="F44">
            <v>50000</v>
          </cell>
          <cell r="G44">
            <v>23399.999999999996</v>
          </cell>
          <cell r="H44">
            <v>44200</v>
          </cell>
          <cell r="I44">
            <v>0</v>
          </cell>
          <cell r="J44">
            <v>50000</v>
          </cell>
          <cell r="K44">
            <v>50000</v>
          </cell>
          <cell r="L44">
            <v>20800</v>
          </cell>
          <cell r="M44">
            <v>23399.999999999996</v>
          </cell>
          <cell r="N44">
            <v>20800</v>
          </cell>
          <cell r="O44">
            <v>0</v>
          </cell>
          <cell r="P44">
            <v>347600</v>
          </cell>
        </row>
        <row r="45">
          <cell r="C45" t="str">
            <v>TCM LCV-LS (Sul&lt;0.8)</v>
          </cell>
          <cell r="D45">
            <v>302000</v>
          </cell>
          <cell r="E45">
            <v>275250</v>
          </cell>
          <cell r="F45">
            <v>192500</v>
          </cell>
          <cell r="G45">
            <v>247000</v>
          </cell>
          <cell r="H45">
            <v>231250</v>
          </cell>
          <cell r="I45">
            <v>228250</v>
          </cell>
          <cell r="J45">
            <v>196000</v>
          </cell>
          <cell r="K45">
            <v>199000</v>
          </cell>
          <cell r="L45">
            <v>197250</v>
          </cell>
          <cell r="M45">
            <v>184000</v>
          </cell>
          <cell r="N45">
            <v>191000</v>
          </cell>
          <cell r="O45">
            <v>229250</v>
          </cell>
          <cell r="P45">
            <v>2672750</v>
          </cell>
        </row>
        <row r="46">
          <cell r="C46" t="str">
            <v>TCM LCV-HS (Sul&gt;0.8)</v>
          </cell>
          <cell r="D46">
            <v>152000</v>
          </cell>
          <cell r="E46">
            <v>160000</v>
          </cell>
          <cell r="F46">
            <v>96000</v>
          </cell>
          <cell r="G46">
            <v>56000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464000</v>
          </cell>
        </row>
        <row r="47">
          <cell r="C47" t="str">
            <v>JBG FC</v>
          </cell>
          <cell r="D47">
            <v>151700</v>
          </cell>
          <cell r="E47">
            <v>108699.99999999999</v>
          </cell>
          <cell r="F47">
            <v>87000</v>
          </cell>
          <cell r="G47">
            <v>101000</v>
          </cell>
          <cell r="H47">
            <v>76200</v>
          </cell>
          <cell r="I47">
            <v>69000</v>
          </cell>
          <cell r="J47">
            <v>125700</v>
          </cell>
          <cell r="K47">
            <v>125700</v>
          </cell>
          <cell r="L47">
            <v>76200</v>
          </cell>
          <cell r="M47">
            <v>110500</v>
          </cell>
          <cell r="N47">
            <v>125700</v>
          </cell>
          <cell r="O47">
            <v>69500</v>
          </cell>
          <cell r="P47">
            <v>1226900</v>
          </cell>
        </row>
        <row r="48">
          <cell r="C48" t="str">
            <v>EMB FC</v>
          </cell>
          <cell r="D48">
            <v>65000</v>
          </cell>
          <cell r="E48">
            <v>72600</v>
          </cell>
          <cell r="F48">
            <v>87200</v>
          </cell>
          <cell r="G48">
            <v>90100</v>
          </cell>
          <cell r="H48">
            <v>72600</v>
          </cell>
          <cell r="I48">
            <v>99000</v>
          </cell>
          <cell r="J48">
            <v>90000</v>
          </cell>
          <cell r="K48">
            <v>90000</v>
          </cell>
          <cell r="L48">
            <v>109000</v>
          </cell>
          <cell r="M48">
            <v>88600</v>
          </cell>
          <cell r="N48">
            <v>90000</v>
          </cell>
          <cell r="O48">
            <v>70000</v>
          </cell>
          <cell r="P48">
            <v>1024100</v>
          </cell>
        </row>
        <row r="49">
          <cell r="C49" t="str">
            <v>BEK FC</v>
          </cell>
          <cell r="D49">
            <v>130700</v>
          </cell>
          <cell r="E49">
            <v>185200</v>
          </cell>
          <cell r="F49">
            <v>151200</v>
          </cell>
          <cell r="G49">
            <v>237200</v>
          </cell>
          <cell r="H49">
            <v>211000</v>
          </cell>
          <cell r="I49">
            <v>125500</v>
          </cell>
          <cell r="J49">
            <v>140500</v>
          </cell>
          <cell r="K49">
            <v>152500</v>
          </cell>
          <cell r="L49">
            <v>155500</v>
          </cell>
          <cell r="M49">
            <v>146500</v>
          </cell>
          <cell r="N49">
            <v>146500</v>
          </cell>
          <cell r="O49">
            <v>115500</v>
          </cell>
          <cell r="P49">
            <v>1897800</v>
          </cell>
        </row>
      </sheetData>
      <sheetData sheetId="10" refreshError="1"/>
      <sheetData sheetId="11"/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X"/>
      <sheetName val="MATERIAL"/>
      <sheetName val="RENTAL"/>
      <sheetName val="EMPLOYEE-OC"/>
      <sheetName val="OFFICE"/>
      <sheetName val="FIXED"/>
      <sheetName val="OTHERS"/>
      <sheetName val="2007_Total"/>
      <sheetName val="OB_89"/>
      <sheetName val="OB_85"/>
      <sheetName val="Budget OC 2003"/>
      <sheetName val="Project"/>
      <sheetName val="1"/>
      <sheetName val="Page_2"/>
      <sheetName val="Revenue"/>
      <sheetName val="FURNITUR"/>
      <sheetName val="RATE"/>
      <sheetName val="Plan"/>
      <sheetName val="Exc. Rate"/>
      <sheetName val="Rates"/>
      <sheetName val="Wells"/>
      <sheetName val="Zones"/>
      <sheetName val="Indonesia"/>
      <sheetName val="Search for Unrecorded Liabilty"/>
      <sheetName val="Macro5"/>
      <sheetName val="TBM"/>
      <sheetName val="result"/>
      <sheetName val="currency"/>
      <sheetName val="product"/>
      <sheetName val="strategy"/>
      <sheetName val="tani"/>
      <sheetName val="2"/>
      <sheetName val="3"/>
      <sheetName val="4"/>
      <sheetName val="5"/>
      <sheetName val="6"/>
      <sheetName val="7"/>
      <sheetName val="8"/>
      <sheetName val="nengo"/>
      <sheetName val="SCORE_RC_Code"/>
      <sheetName val="Tab.Perkiraan"/>
      <sheetName val="MTD_Flash_Report"/>
      <sheetName val="Power"/>
      <sheetName val="BSC"/>
      <sheetName val="Parameters"/>
      <sheetName val="KEND"/>
      <sheetName val="PA Result"/>
      <sheetName val="MED"/>
      <sheetName val="MB51"/>
      <sheetName val="GL"/>
      <sheetName val="TotalReqPM"/>
      <sheetName val="INCOME STATEMENT"/>
      <sheetName val="Sheet2"/>
      <sheetName val="kriteria"/>
      <sheetName val="TEMP"/>
      <sheetName val="02 Prod'n"/>
      <sheetName val="03 Travel"/>
      <sheetName val="2004"/>
      <sheetName val="cov"/>
      <sheetName val="Petrosea"/>
      <sheetName val="Sum Prod &amp; Sales Bdgt"/>
      <sheetName val="DP Report"/>
      <sheetName val="Money"/>
      <sheetName val="Input-Best Case"/>
      <sheetName val="Input-Expected Case"/>
      <sheetName val="Input-Worst Case"/>
      <sheetName val="Other Cargill BU Synergies"/>
      <sheetName val="Revenue Detail"/>
      <sheetName val="OtherTaxAdjustments"/>
      <sheetName val="name"/>
      <sheetName val="Budget_OC_2003"/>
      <sheetName val="Exc__Rate"/>
      <sheetName val="Search_for_Unrecorded_Liabilty"/>
      <sheetName val="Tab_Perkiraan"/>
      <sheetName val="PA_Result"/>
      <sheetName val="INCOME_STATEMENT"/>
      <sheetName val="Budget_OC_20031"/>
      <sheetName val="Exc__Rate1"/>
      <sheetName val="Search_for_Unrecorded_Liabilty1"/>
      <sheetName val="Tab_Perkiraan1"/>
      <sheetName val="PA_Result1"/>
      <sheetName val="INCOME_STATEMENT1"/>
      <sheetName val="Lookup Sheet"/>
      <sheetName val="Fuel"/>
      <sheetName val="C"/>
      <sheetName val="SUPPORT"/>
      <sheetName val="AFTER 55"/>
      <sheetName val="COST_CAL"/>
      <sheetName val="Codestable"/>
      <sheetName val="DF19"/>
      <sheetName val="Proj Summ"/>
      <sheetName val="Exc__Rate2"/>
      <sheetName val="Search_for_Unrecorded_Liabilty2"/>
      <sheetName val="SysNavigation"/>
      <sheetName val="Macro_XLM"/>
      <sheetName val="A.4.3"/>
      <sheetName val="Data Base"/>
      <sheetName val="Site_BQ"/>
      <sheetName val="Revenue &amp; Cost"/>
      <sheetName val="Guidance"/>
      <sheetName val="A.4.2"/>
      <sheetName val="SALESAGT'03"/>
      <sheetName val="SALESAPR'03"/>
      <sheetName val="SALESDES'03"/>
      <sheetName val="SALESFEB'03"/>
      <sheetName val="SALESJAN'03"/>
      <sheetName val="SALESJULI'03"/>
      <sheetName val="SALESJUNI'03"/>
      <sheetName val="SALESMEI'03"/>
      <sheetName val="SALESMRT'03"/>
      <sheetName val="SALESNOP'03"/>
      <sheetName val="SALESOKT'03"/>
      <sheetName val="SALESSEP'03"/>
      <sheetName val="Sheet1"/>
      <sheetName val="fa-s"/>
      <sheetName val=" total cost Press nov 47"/>
      <sheetName val="CRITERIA1"/>
      <sheetName val="PS"/>
      <sheetName val="data"/>
      <sheetName val="Info"/>
      <sheetName val="IS GMM"/>
      <sheetName val="FE-1771$.P1"/>
      <sheetName val="Market Positioning"/>
      <sheetName val="U1.6"/>
      <sheetName val="Proyeksi"/>
      <sheetName val="Income Tax Calc"/>
      <sheetName val="Angka"/>
      <sheetName val="SE-C"/>
      <sheetName val="Basis 1"/>
      <sheetName val="Summary"/>
      <sheetName val="Listen 1"/>
      <sheetName val="SaldoCorona"/>
      <sheetName val="Bill No.1"/>
      <sheetName val="ob"/>
      <sheetName val="B28"/>
      <sheetName val="Aux"/>
      <sheetName val="Actual"/>
      <sheetName val="U.S. Targeted Investors"/>
      <sheetName val="174_FIS"/>
      <sheetName val="CALCS1"/>
      <sheetName val="Planting"/>
      <sheetName val="number converter"/>
      <sheetName val="Questions"/>
      <sheetName val="Ppls"/>
      <sheetName val="#REF"/>
      <sheetName val="PRO_COAL"/>
      <sheetName val="EDS110507"/>
      <sheetName val="MA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6">
          <cell r="AW6">
            <v>9400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clusion"/>
      <sheetName val="Quarterly"/>
      <sheetName val="Monthly"/>
      <sheetName val="Coal Quality"/>
      <sheetName val="Summary1"/>
      <sheetName val="Summary2"/>
      <sheetName val="Main Equipment Schedule"/>
      <sheetName val="Aux Equipment Utilization"/>
      <sheetName val="Sub-Cont Equipment Utilization"/>
      <sheetName val="Input"/>
      <sheetName val="Assumptions"/>
      <sheetName val="Productivities"/>
      <sheetName val="PLAN"/>
      <sheetName val="Temp"/>
      <sheetName val="quality"/>
      <sheetName val="Sheet1"/>
      <sheetName val="OFFICE"/>
      <sheetName val="1"/>
      <sheetName val="Sum Prod &amp; Sales Bdg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witchboard"/>
      <sheetName val="Setup"/>
      <sheetName val="Exchange Rate"/>
      <sheetName val="Company"/>
      <sheetName val="Business Unit"/>
      <sheetName val="Cost Center"/>
      <sheetName val="Plan"/>
      <sheetName val="Account"/>
      <sheetName val="Sub Account"/>
      <sheetName val="Project"/>
      <sheetName val="Salary"/>
      <sheetName val="Bonus"/>
      <sheetName val="Life insurance premium"/>
      <sheetName val="Workmen compensation fund"/>
      <sheetName val="Provident fund"/>
      <sheetName val="Social security fund"/>
      <sheetName val="Other welfare"/>
      <sheetName val="In-house Training"/>
      <sheetName val="Bank Charge"/>
      <sheetName val="Depreciation"/>
      <sheetName val="Production Volumn"/>
      <sheetName val="Production"/>
      <sheetName val="Macro"/>
      <sheetName val="#REF"/>
      <sheetName val="tabel_2007_Total_plan 93jt"/>
      <sheetName val="OB_89"/>
      <sheetName val="Macro.xls"/>
      <sheetName val="OB_85"/>
      <sheetName val="2007_Total"/>
      <sheetName val="PAR"/>
    </sheetNames>
    <definedNames>
      <definedName name="Sub_Account" refersTo="='Sub Account'!$A$3:$A$1062"/>
    </definedNames>
    <sheetDataSet>
      <sheetData sheetId="0"/>
      <sheetData sheetId="1"/>
      <sheetData sheetId="2"/>
      <sheetData sheetId="3">
        <row r="3">
          <cell r="A3" t="str">
            <v>Indonesia</v>
          </cell>
        </row>
        <row r="4">
          <cell r="A4" t="str">
            <v>Singapore</v>
          </cell>
        </row>
        <row r="5">
          <cell r="A5" t="str">
            <v>America</v>
          </cell>
        </row>
        <row r="6">
          <cell r="A6" t="str">
            <v>Vietnam</v>
          </cell>
        </row>
      </sheetData>
      <sheetData sheetId="4">
        <row r="3">
          <cell r="A3" t="str">
            <v>00</v>
          </cell>
        </row>
        <row r="4">
          <cell r="A4" t="str">
            <v>01</v>
          </cell>
        </row>
        <row r="5">
          <cell r="A5" t="str">
            <v>02</v>
          </cell>
        </row>
        <row r="6">
          <cell r="A6" t="str">
            <v>05</v>
          </cell>
        </row>
        <row r="7">
          <cell r="A7" t="str">
            <v>07</v>
          </cell>
        </row>
        <row r="8">
          <cell r="A8" t="str">
            <v>08</v>
          </cell>
        </row>
        <row r="9">
          <cell r="A9" t="str">
            <v>10</v>
          </cell>
        </row>
        <row r="10">
          <cell r="A10" t="str">
            <v>11</v>
          </cell>
        </row>
        <row r="11">
          <cell r="A11" t="str">
            <v>12</v>
          </cell>
        </row>
        <row r="12">
          <cell r="A12" t="str">
            <v>13</v>
          </cell>
        </row>
        <row r="13">
          <cell r="A13" t="str">
            <v>14</v>
          </cell>
        </row>
        <row r="14">
          <cell r="A14" t="str">
            <v>15</v>
          </cell>
        </row>
        <row r="15">
          <cell r="A15" t="str">
            <v>16</v>
          </cell>
        </row>
        <row r="16">
          <cell r="A16" t="str">
            <v>17</v>
          </cell>
        </row>
        <row r="17">
          <cell r="A17" t="str">
            <v>18</v>
          </cell>
        </row>
        <row r="18">
          <cell r="A18" t="str">
            <v>20</v>
          </cell>
        </row>
        <row r="19">
          <cell r="A19" t="str">
            <v>21</v>
          </cell>
        </row>
        <row r="20">
          <cell r="A20" t="str">
            <v>22</v>
          </cell>
        </row>
        <row r="21">
          <cell r="A21" t="str">
            <v>23</v>
          </cell>
        </row>
        <row r="22">
          <cell r="A22" t="str">
            <v>24</v>
          </cell>
        </row>
        <row r="23">
          <cell r="A23" t="str">
            <v>25</v>
          </cell>
        </row>
        <row r="24">
          <cell r="A24" t="str">
            <v>26</v>
          </cell>
        </row>
        <row r="25">
          <cell r="A25" t="str">
            <v>27</v>
          </cell>
        </row>
        <row r="26">
          <cell r="A26" t="str">
            <v>29</v>
          </cell>
        </row>
        <row r="27">
          <cell r="A27" t="str">
            <v>30</v>
          </cell>
        </row>
        <row r="28">
          <cell r="A28" t="str">
            <v>31</v>
          </cell>
        </row>
        <row r="29">
          <cell r="A29" t="str">
            <v>32</v>
          </cell>
        </row>
        <row r="30">
          <cell r="A30" t="str">
            <v>33</v>
          </cell>
        </row>
        <row r="31">
          <cell r="A31" t="str">
            <v>34</v>
          </cell>
        </row>
        <row r="32">
          <cell r="A32" t="str">
            <v>35</v>
          </cell>
        </row>
        <row r="33">
          <cell r="A33" t="str">
            <v>36</v>
          </cell>
        </row>
        <row r="34">
          <cell r="A34" t="str">
            <v>37</v>
          </cell>
        </row>
      </sheetData>
      <sheetData sheetId="5">
        <row r="3">
          <cell r="A3" t="str">
            <v>00</v>
          </cell>
        </row>
        <row r="4">
          <cell r="A4" t="str">
            <v>01</v>
          </cell>
        </row>
        <row r="5">
          <cell r="A5" t="str">
            <v>02</v>
          </cell>
        </row>
        <row r="6">
          <cell r="A6" t="str">
            <v>03</v>
          </cell>
        </row>
        <row r="7">
          <cell r="A7" t="str">
            <v>04</v>
          </cell>
        </row>
        <row r="8">
          <cell r="A8" t="str">
            <v>05</v>
          </cell>
        </row>
        <row r="9">
          <cell r="A9" t="str">
            <v>07</v>
          </cell>
        </row>
        <row r="10">
          <cell r="A10" t="str">
            <v>08</v>
          </cell>
        </row>
      </sheetData>
      <sheetData sheetId="6">
        <row r="3">
          <cell r="A3" t="str">
            <v>00000</v>
          </cell>
        </row>
        <row r="4">
          <cell r="A4" t="str">
            <v>00001</v>
          </cell>
        </row>
        <row r="5">
          <cell r="A5" t="str">
            <v>01100</v>
          </cell>
        </row>
        <row r="6">
          <cell r="A6" t="str">
            <v>01200</v>
          </cell>
        </row>
        <row r="7">
          <cell r="A7" t="str">
            <v>01300</v>
          </cell>
        </row>
        <row r="8">
          <cell r="A8" t="str">
            <v>01400</v>
          </cell>
        </row>
        <row r="9">
          <cell r="A9" t="str">
            <v>01500</v>
          </cell>
        </row>
        <row r="10">
          <cell r="A10" t="str">
            <v>01600</v>
          </cell>
        </row>
        <row r="11">
          <cell r="A11" t="str">
            <v>01700</v>
          </cell>
        </row>
        <row r="12">
          <cell r="A12" t="str">
            <v>03100</v>
          </cell>
        </row>
        <row r="13">
          <cell r="A13" t="str">
            <v>03200</v>
          </cell>
        </row>
        <row r="14">
          <cell r="A14" t="str">
            <v>03300</v>
          </cell>
        </row>
        <row r="15">
          <cell r="A15" t="str">
            <v>04100</v>
          </cell>
        </row>
        <row r="16">
          <cell r="A16" t="str">
            <v>05100</v>
          </cell>
        </row>
        <row r="17">
          <cell r="A17" t="str">
            <v>05200</v>
          </cell>
        </row>
        <row r="18">
          <cell r="A18" t="str">
            <v>05400</v>
          </cell>
        </row>
        <row r="19">
          <cell r="A19" t="str">
            <v>05500</v>
          </cell>
        </row>
        <row r="20">
          <cell r="A20" t="str">
            <v>05700</v>
          </cell>
        </row>
        <row r="21">
          <cell r="A21" t="str">
            <v>05800</v>
          </cell>
        </row>
        <row r="22">
          <cell r="A22" t="str">
            <v>06100</v>
          </cell>
        </row>
        <row r="23">
          <cell r="A23" t="str">
            <v>06200</v>
          </cell>
        </row>
        <row r="24">
          <cell r="A24" t="str">
            <v>07200</v>
          </cell>
        </row>
        <row r="25">
          <cell r="A25" t="str">
            <v>08100</v>
          </cell>
        </row>
        <row r="26">
          <cell r="A26" t="str">
            <v>11100</v>
          </cell>
        </row>
        <row r="27">
          <cell r="A27" t="str">
            <v>11210</v>
          </cell>
        </row>
        <row r="28">
          <cell r="A28" t="str">
            <v>11220</v>
          </cell>
        </row>
        <row r="29">
          <cell r="A29" t="str">
            <v>11310</v>
          </cell>
        </row>
        <row r="30">
          <cell r="A30" t="str">
            <v>11320</v>
          </cell>
        </row>
        <row r="31">
          <cell r="A31" t="str">
            <v>11330</v>
          </cell>
        </row>
        <row r="32">
          <cell r="A32" t="str">
            <v>11340</v>
          </cell>
        </row>
        <row r="33">
          <cell r="A33" t="str">
            <v>11410</v>
          </cell>
        </row>
        <row r="34">
          <cell r="A34" t="str">
            <v>11510</v>
          </cell>
        </row>
        <row r="35">
          <cell r="A35" t="str">
            <v>11520</v>
          </cell>
        </row>
        <row r="36">
          <cell r="A36" t="str">
            <v>11530</v>
          </cell>
        </row>
        <row r="37">
          <cell r="A37" t="str">
            <v>11540</v>
          </cell>
        </row>
        <row r="38">
          <cell r="A38" t="str">
            <v>11550</v>
          </cell>
        </row>
        <row r="39">
          <cell r="A39" t="str">
            <v>11610</v>
          </cell>
        </row>
        <row r="40">
          <cell r="A40" t="str">
            <v>11620</v>
          </cell>
        </row>
        <row r="41">
          <cell r="A41" t="str">
            <v>11630</v>
          </cell>
        </row>
        <row r="42">
          <cell r="A42" t="str">
            <v>28100</v>
          </cell>
        </row>
        <row r="43">
          <cell r="A43" t="str">
            <v>41100</v>
          </cell>
        </row>
        <row r="44">
          <cell r="A44" t="str">
            <v>41400</v>
          </cell>
        </row>
        <row r="45">
          <cell r="A45" t="str">
            <v>43400</v>
          </cell>
        </row>
        <row r="46">
          <cell r="A46" t="str">
            <v>44000</v>
          </cell>
        </row>
        <row r="47">
          <cell r="A47" t="str">
            <v>45100</v>
          </cell>
        </row>
        <row r="48">
          <cell r="A48" t="str">
            <v>45200</v>
          </cell>
        </row>
        <row r="49">
          <cell r="A49" t="str">
            <v>51100</v>
          </cell>
        </row>
        <row r="50">
          <cell r="A50" t="str">
            <v>52121</v>
          </cell>
        </row>
        <row r="51">
          <cell r="A51" t="str">
            <v>52171</v>
          </cell>
        </row>
        <row r="52">
          <cell r="A52" t="str">
            <v>52172</v>
          </cell>
        </row>
        <row r="53">
          <cell r="A53" t="str">
            <v>52211</v>
          </cell>
        </row>
        <row r="54">
          <cell r="A54" t="str">
            <v>52221</v>
          </cell>
        </row>
        <row r="55">
          <cell r="A55" t="str">
            <v>52231</v>
          </cell>
        </row>
        <row r="56">
          <cell r="A56" t="str">
            <v>52232</v>
          </cell>
        </row>
        <row r="57">
          <cell r="A57" t="str">
            <v>52233</v>
          </cell>
        </row>
        <row r="58">
          <cell r="A58" t="str">
            <v>52241</v>
          </cell>
        </row>
        <row r="59">
          <cell r="A59" t="str">
            <v>52242</v>
          </cell>
        </row>
        <row r="60">
          <cell r="A60" t="str">
            <v>52243</v>
          </cell>
        </row>
        <row r="61">
          <cell r="A61" t="str">
            <v>52251</v>
          </cell>
        </row>
        <row r="62">
          <cell r="A62" t="str">
            <v>52252</v>
          </cell>
        </row>
        <row r="63">
          <cell r="A63" t="str">
            <v>52256</v>
          </cell>
        </row>
        <row r="64">
          <cell r="A64" t="str">
            <v>52257</v>
          </cell>
        </row>
        <row r="65">
          <cell r="A65" t="str">
            <v>52261</v>
          </cell>
        </row>
        <row r="66">
          <cell r="A66" t="str">
            <v>52262</v>
          </cell>
        </row>
        <row r="67">
          <cell r="A67" t="str">
            <v>52264</v>
          </cell>
        </row>
        <row r="68">
          <cell r="A68" t="str">
            <v>52271</v>
          </cell>
        </row>
        <row r="69">
          <cell r="A69" t="str">
            <v>52281</v>
          </cell>
        </row>
        <row r="70">
          <cell r="A70" t="str">
            <v>52291</v>
          </cell>
        </row>
        <row r="71">
          <cell r="A71" t="str">
            <v>52299</v>
          </cell>
        </row>
        <row r="72">
          <cell r="A72" t="str">
            <v>52311</v>
          </cell>
        </row>
        <row r="73">
          <cell r="A73" t="str">
            <v>52321</v>
          </cell>
        </row>
        <row r="74">
          <cell r="A74" t="str">
            <v>52322</v>
          </cell>
        </row>
        <row r="75">
          <cell r="A75" t="str">
            <v>52323</v>
          </cell>
        </row>
        <row r="76">
          <cell r="A76" t="str">
            <v>52324</v>
          </cell>
        </row>
        <row r="77">
          <cell r="A77" t="str">
            <v>52325</v>
          </cell>
        </row>
        <row r="78">
          <cell r="A78" t="str">
            <v>52326</v>
          </cell>
        </row>
        <row r="79">
          <cell r="A79" t="str">
            <v>52331</v>
          </cell>
        </row>
        <row r="80">
          <cell r="A80" t="str">
            <v>52332</v>
          </cell>
        </row>
        <row r="81">
          <cell r="A81" t="str">
            <v>52333</v>
          </cell>
        </row>
        <row r="82">
          <cell r="A82" t="str">
            <v>52334</v>
          </cell>
        </row>
        <row r="83">
          <cell r="A83" t="str">
            <v>52341</v>
          </cell>
        </row>
        <row r="84">
          <cell r="A84" t="str">
            <v>52351</v>
          </cell>
        </row>
        <row r="85">
          <cell r="A85" t="str">
            <v>52352</v>
          </cell>
        </row>
        <row r="86">
          <cell r="A86" t="str">
            <v>52361</v>
          </cell>
        </row>
        <row r="87">
          <cell r="A87" t="str">
            <v>52371</v>
          </cell>
        </row>
        <row r="88">
          <cell r="A88" t="str">
            <v>65251</v>
          </cell>
        </row>
        <row r="89">
          <cell r="A89" t="str">
            <v>69100</v>
          </cell>
        </row>
        <row r="90">
          <cell r="A90" t="str">
            <v>69111</v>
          </cell>
        </row>
        <row r="91">
          <cell r="A91" t="str">
            <v>69400</v>
          </cell>
        </row>
        <row r="92">
          <cell r="A92" t="str">
            <v>69500</v>
          </cell>
        </row>
        <row r="93">
          <cell r="A93" t="str">
            <v>69600</v>
          </cell>
        </row>
        <row r="94">
          <cell r="A94" t="str">
            <v>69701</v>
          </cell>
        </row>
        <row r="95">
          <cell r="A95" t="str">
            <v>69810</v>
          </cell>
        </row>
        <row r="96">
          <cell r="A96" t="str">
            <v>72200</v>
          </cell>
        </row>
        <row r="97">
          <cell r="A97" t="str">
            <v>78221</v>
          </cell>
        </row>
        <row r="98">
          <cell r="A98" t="str">
            <v>78321</v>
          </cell>
        </row>
        <row r="99">
          <cell r="A99" t="str">
            <v>81100</v>
          </cell>
        </row>
        <row r="100">
          <cell r="A100" t="str">
            <v>81210</v>
          </cell>
        </row>
        <row r="101">
          <cell r="A101" t="str">
            <v>81220</v>
          </cell>
        </row>
        <row r="102">
          <cell r="A102" t="str">
            <v>81230</v>
          </cell>
        </row>
        <row r="103">
          <cell r="A103" t="str">
            <v>81310</v>
          </cell>
        </row>
        <row r="104">
          <cell r="A104" t="str">
            <v>81320</v>
          </cell>
        </row>
        <row r="105">
          <cell r="A105" t="str">
            <v>81330</v>
          </cell>
        </row>
        <row r="106">
          <cell r="A106" t="str">
            <v>81340</v>
          </cell>
        </row>
        <row r="107">
          <cell r="A107" t="str">
            <v>81350</v>
          </cell>
        </row>
        <row r="108">
          <cell r="A108" t="str">
            <v>81360</v>
          </cell>
        </row>
        <row r="109">
          <cell r="A109" t="str">
            <v>81410</v>
          </cell>
        </row>
        <row r="110">
          <cell r="A110" t="str">
            <v>81420</v>
          </cell>
        </row>
        <row r="111">
          <cell r="A111" t="str">
            <v>81430</v>
          </cell>
        </row>
        <row r="112">
          <cell r="A112" t="str">
            <v>81440</v>
          </cell>
        </row>
        <row r="113">
          <cell r="A113" t="str">
            <v>81441</v>
          </cell>
        </row>
        <row r="114">
          <cell r="A114" t="str">
            <v>81442</v>
          </cell>
        </row>
        <row r="115">
          <cell r="A115" t="str">
            <v>81443</v>
          </cell>
        </row>
        <row r="116">
          <cell r="A116" t="str">
            <v>81444</v>
          </cell>
        </row>
        <row r="117">
          <cell r="A117" t="str">
            <v>81445</v>
          </cell>
        </row>
        <row r="118">
          <cell r="A118" t="str">
            <v>81510</v>
          </cell>
        </row>
        <row r="119">
          <cell r="A119" t="str">
            <v>81520</v>
          </cell>
        </row>
        <row r="120">
          <cell r="A120" t="str">
            <v>81530</v>
          </cell>
        </row>
        <row r="121">
          <cell r="A121" t="str">
            <v>81610</v>
          </cell>
        </row>
        <row r="122">
          <cell r="A122" t="str">
            <v>81620</v>
          </cell>
        </row>
        <row r="123">
          <cell r="A123" t="str">
            <v>81700</v>
          </cell>
        </row>
        <row r="124">
          <cell r="A124" t="str">
            <v>81800</v>
          </cell>
        </row>
        <row r="125">
          <cell r="A125" t="str">
            <v>81810</v>
          </cell>
        </row>
        <row r="126">
          <cell r="A126" t="str">
            <v>81820</v>
          </cell>
        </row>
        <row r="127">
          <cell r="A127" t="str">
            <v>81830</v>
          </cell>
        </row>
        <row r="128">
          <cell r="A128" t="str">
            <v>81840</v>
          </cell>
        </row>
        <row r="129">
          <cell r="A129" t="str">
            <v>81910</v>
          </cell>
        </row>
        <row r="130">
          <cell r="A130" t="str">
            <v>81920</v>
          </cell>
        </row>
        <row r="131">
          <cell r="A131" t="str">
            <v>81930</v>
          </cell>
        </row>
        <row r="132">
          <cell r="A132" t="str">
            <v>82010</v>
          </cell>
        </row>
        <row r="133">
          <cell r="A133" t="str">
            <v>82110</v>
          </cell>
        </row>
        <row r="134">
          <cell r="A134" t="str">
            <v>82111</v>
          </cell>
        </row>
        <row r="135">
          <cell r="A135" t="str">
            <v>82112</v>
          </cell>
        </row>
        <row r="136">
          <cell r="A136" t="str">
            <v>82120</v>
          </cell>
        </row>
        <row r="137">
          <cell r="A137" t="str">
            <v>82121</v>
          </cell>
        </row>
        <row r="138">
          <cell r="A138" t="str">
            <v>82130</v>
          </cell>
        </row>
        <row r="139">
          <cell r="A139" t="str">
            <v>82140</v>
          </cell>
        </row>
        <row r="140">
          <cell r="A140" t="str">
            <v>82150</v>
          </cell>
        </row>
        <row r="141">
          <cell r="A141" t="str">
            <v>82160</v>
          </cell>
        </row>
        <row r="142">
          <cell r="A142" t="str">
            <v>82170</v>
          </cell>
        </row>
        <row r="143">
          <cell r="A143" t="str">
            <v>82180</v>
          </cell>
        </row>
        <row r="144">
          <cell r="A144" t="str">
            <v>82190</v>
          </cell>
        </row>
        <row r="145">
          <cell r="A145" t="str">
            <v>82210</v>
          </cell>
        </row>
        <row r="146">
          <cell r="A146" t="str">
            <v>82220</v>
          </cell>
        </row>
        <row r="147">
          <cell r="A147" t="str">
            <v>82230</v>
          </cell>
        </row>
        <row r="148">
          <cell r="A148" t="str">
            <v>82310</v>
          </cell>
        </row>
        <row r="149">
          <cell r="A149" t="str">
            <v>82311</v>
          </cell>
        </row>
        <row r="150">
          <cell r="A150" t="str">
            <v>82312</v>
          </cell>
        </row>
        <row r="151">
          <cell r="A151" t="str">
            <v>82313</v>
          </cell>
        </row>
        <row r="152">
          <cell r="A152" t="str">
            <v>82321</v>
          </cell>
        </row>
        <row r="153">
          <cell r="A153" t="str">
            <v>82322</v>
          </cell>
        </row>
        <row r="154">
          <cell r="A154" t="str">
            <v>82323</v>
          </cell>
        </row>
        <row r="155">
          <cell r="A155" t="str">
            <v>82324</v>
          </cell>
        </row>
        <row r="156">
          <cell r="A156" t="str">
            <v>82330</v>
          </cell>
        </row>
        <row r="157">
          <cell r="A157" t="str">
            <v>82340</v>
          </cell>
        </row>
        <row r="158">
          <cell r="A158" t="str">
            <v>82341</v>
          </cell>
        </row>
        <row r="159">
          <cell r="A159" t="str">
            <v>82350</v>
          </cell>
        </row>
        <row r="160">
          <cell r="A160" t="str">
            <v>82401</v>
          </cell>
        </row>
        <row r="161">
          <cell r="A161" t="str">
            <v>82402</v>
          </cell>
        </row>
        <row r="162">
          <cell r="A162" t="str">
            <v>82403</v>
          </cell>
        </row>
        <row r="163">
          <cell r="A163" t="str">
            <v>82404</v>
          </cell>
        </row>
        <row r="164">
          <cell r="A164" t="str">
            <v>82405</v>
          </cell>
        </row>
        <row r="165">
          <cell r="A165" t="str">
            <v>82406</v>
          </cell>
        </row>
        <row r="166">
          <cell r="A166" t="str">
            <v>82410</v>
          </cell>
        </row>
        <row r="167">
          <cell r="A167" t="str">
            <v>82510</v>
          </cell>
        </row>
        <row r="168">
          <cell r="A168" t="str">
            <v>82520</v>
          </cell>
        </row>
        <row r="169">
          <cell r="A169" t="str">
            <v>82530</v>
          </cell>
        </row>
        <row r="170">
          <cell r="A170" t="str">
            <v>82610</v>
          </cell>
        </row>
        <row r="171">
          <cell r="A171" t="str">
            <v>82620</v>
          </cell>
        </row>
        <row r="172">
          <cell r="A172" t="str">
            <v>83100</v>
          </cell>
        </row>
        <row r="173">
          <cell r="A173" t="str">
            <v>83101</v>
          </cell>
        </row>
        <row r="174">
          <cell r="A174" t="str">
            <v>83102</v>
          </cell>
        </row>
        <row r="175">
          <cell r="A175" t="str">
            <v>83110</v>
          </cell>
        </row>
        <row r="176">
          <cell r="A176" t="str">
            <v>83111</v>
          </cell>
        </row>
        <row r="177">
          <cell r="A177" t="str">
            <v>83112</v>
          </cell>
        </row>
        <row r="178">
          <cell r="A178" t="str">
            <v>83113</v>
          </cell>
        </row>
        <row r="179">
          <cell r="A179" t="str">
            <v>83114</v>
          </cell>
        </row>
        <row r="180">
          <cell r="A180" t="str">
            <v>83115</v>
          </cell>
        </row>
        <row r="181">
          <cell r="A181" t="str">
            <v>83120</v>
          </cell>
        </row>
        <row r="182">
          <cell r="A182" t="str">
            <v>83121</v>
          </cell>
        </row>
        <row r="183">
          <cell r="A183" t="str">
            <v>83122</v>
          </cell>
        </row>
        <row r="184">
          <cell r="A184" t="str">
            <v>83123</v>
          </cell>
        </row>
        <row r="185">
          <cell r="A185" t="str">
            <v>83124</v>
          </cell>
        </row>
        <row r="186">
          <cell r="A186" t="str">
            <v>83125</v>
          </cell>
        </row>
        <row r="187">
          <cell r="A187" t="str">
            <v>83130</v>
          </cell>
        </row>
        <row r="188">
          <cell r="A188" t="str">
            <v>83131</v>
          </cell>
        </row>
        <row r="189">
          <cell r="A189" t="str">
            <v>83132</v>
          </cell>
        </row>
        <row r="190">
          <cell r="A190" t="str">
            <v>83133</v>
          </cell>
        </row>
        <row r="191">
          <cell r="A191" t="str">
            <v>83134</v>
          </cell>
        </row>
        <row r="192">
          <cell r="A192" t="str">
            <v>83140</v>
          </cell>
        </row>
        <row r="193">
          <cell r="A193" t="str">
            <v>83141</v>
          </cell>
        </row>
        <row r="194">
          <cell r="A194" t="str">
            <v>83142</v>
          </cell>
        </row>
        <row r="195">
          <cell r="A195" t="str">
            <v>83143</v>
          </cell>
        </row>
        <row r="196">
          <cell r="A196" t="str">
            <v>83144</v>
          </cell>
        </row>
        <row r="197">
          <cell r="A197" t="str">
            <v>83145</v>
          </cell>
        </row>
        <row r="198">
          <cell r="A198" t="str">
            <v>83146</v>
          </cell>
        </row>
        <row r="199">
          <cell r="A199" t="str">
            <v>83147</v>
          </cell>
        </row>
        <row r="200">
          <cell r="A200" t="str">
            <v>83150</v>
          </cell>
        </row>
        <row r="201">
          <cell r="A201" t="str">
            <v>83151</v>
          </cell>
        </row>
        <row r="202">
          <cell r="A202" t="str">
            <v>83152</v>
          </cell>
        </row>
        <row r="203">
          <cell r="A203" t="str">
            <v>83153</v>
          </cell>
        </row>
        <row r="204">
          <cell r="A204" t="str">
            <v>83161</v>
          </cell>
        </row>
        <row r="205">
          <cell r="A205" t="str">
            <v>83200</v>
          </cell>
        </row>
        <row r="206">
          <cell r="A206" t="str">
            <v>83201</v>
          </cell>
        </row>
        <row r="207">
          <cell r="A207" t="str">
            <v>83210</v>
          </cell>
        </row>
        <row r="208">
          <cell r="A208" t="str">
            <v>83211</v>
          </cell>
        </row>
        <row r="209">
          <cell r="A209" t="str">
            <v>83212</v>
          </cell>
        </row>
        <row r="210">
          <cell r="A210" t="str">
            <v>83220</v>
          </cell>
        </row>
        <row r="211">
          <cell r="A211" t="str">
            <v>83221</v>
          </cell>
        </row>
        <row r="212">
          <cell r="A212" t="str">
            <v>83222</v>
          </cell>
        </row>
        <row r="213">
          <cell r="A213" t="str">
            <v>83223</v>
          </cell>
        </row>
        <row r="214">
          <cell r="A214" t="str">
            <v>83224</v>
          </cell>
        </row>
        <row r="215">
          <cell r="A215" t="str">
            <v>83225</v>
          </cell>
        </row>
        <row r="216">
          <cell r="A216" t="str">
            <v>83226</v>
          </cell>
        </row>
        <row r="217">
          <cell r="A217" t="str">
            <v>83230</v>
          </cell>
        </row>
        <row r="218">
          <cell r="A218" t="str">
            <v>83232</v>
          </cell>
        </row>
        <row r="219">
          <cell r="A219" t="str">
            <v>83240</v>
          </cell>
        </row>
        <row r="220">
          <cell r="A220" t="str">
            <v>83250</v>
          </cell>
        </row>
        <row r="221">
          <cell r="A221" t="str">
            <v>84000</v>
          </cell>
        </row>
        <row r="222">
          <cell r="A222" t="str">
            <v>84100</v>
          </cell>
        </row>
        <row r="223">
          <cell r="A223" t="str">
            <v>84110</v>
          </cell>
        </row>
        <row r="224">
          <cell r="A224" t="str">
            <v>84111</v>
          </cell>
        </row>
        <row r="225">
          <cell r="A225" t="str">
            <v>84112</v>
          </cell>
        </row>
        <row r="226">
          <cell r="A226" t="str">
            <v>84120</v>
          </cell>
        </row>
        <row r="227">
          <cell r="A227" t="str">
            <v>84121</v>
          </cell>
        </row>
        <row r="228">
          <cell r="A228" t="str">
            <v>84122</v>
          </cell>
        </row>
        <row r="229">
          <cell r="A229" t="str">
            <v>84123</v>
          </cell>
        </row>
        <row r="230">
          <cell r="A230" t="str">
            <v>84130</v>
          </cell>
        </row>
        <row r="231">
          <cell r="A231" t="str">
            <v>84131</v>
          </cell>
        </row>
        <row r="232">
          <cell r="A232" t="str">
            <v>84140</v>
          </cell>
        </row>
        <row r="233">
          <cell r="A233" t="str">
            <v>84141</v>
          </cell>
        </row>
        <row r="234">
          <cell r="A234" t="str">
            <v>84150</v>
          </cell>
        </row>
        <row r="235">
          <cell r="A235" t="str">
            <v>84151</v>
          </cell>
        </row>
        <row r="236">
          <cell r="A236" t="str">
            <v>84200</v>
          </cell>
        </row>
        <row r="237">
          <cell r="A237" t="str">
            <v>84210</v>
          </cell>
        </row>
        <row r="238">
          <cell r="A238" t="str">
            <v>84220</v>
          </cell>
        </row>
        <row r="239">
          <cell r="A239" t="str">
            <v>84230</v>
          </cell>
        </row>
        <row r="240">
          <cell r="A240" t="str">
            <v>84240</v>
          </cell>
        </row>
        <row r="241">
          <cell r="A241" t="str">
            <v>84250</v>
          </cell>
        </row>
        <row r="242">
          <cell r="A242" t="str">
            <v>84260</v>
          </cell>
        </row>
        <row r="243">
          <cell r="A243" t="str">
            <v>84300</v>
          </cell>
        </row>
        <row r="244">
          <cell r="A244" t="str">
            <v>84311</v>
          </cell>
        </row>
        <row r="245">
          <cell r="A245" t="str">
            <v>84312</v>
          </cell>
        </row>
        <row r="246">
          <cell r="A246" t="str">
            <v>84321</v>
          </cell>
        </row>
        <row r="247">
          <cell r="A247" t="str">
            <v>84322</v>
          </cell>
        </row>
        <row r="248">
          <cell r="A248" t="str">
            <v>84330</v>
          </cell>
        </row>
        <row r="249">
          <cell r="A249" t="str">
            <v>84340</v>
          </cell>
        </row>
        <row r="250">
          <cell r="A250" t="str">
            <v>84400</v>
          </cell>
        </row>
        <row r="251">
          <cell r="A251" t="str">
            <v>84410</v>
          </cell>
        </row>
        <row r="252">
          <cell r="A252" t="str">
            <v>84411</v>
          </cell>
        </row>
        <row r="253">
          <cell r="A253" t="str">
            <v>84412</v>
          </cell>
        </row>
        <row r="254">
          <cell r="A254" t="str">
            <v>84420</v>
          </cell>
        </row>
        <row r="255">
          <cell r="A255" t="str">
            <v>84430</v>
          </cell>
        </row>
        <row r="256">
          <cell r="A256" t="str">
            <v>84440</v>
          </cell>
        </row>
        <row r="257">
          <cell r="A257" t="str">
            <v>84450</v>
          </cell>
        </row>
        <row r="258">
          <cell r="A258" t="str">
            <v>84451</v>
          </cell>
        </row>
        <row r="259">
          <cell r="A259" t="str">
            <v>84452</v>
          </cell>
        </row>
        <row r="260">
          <cell r="A260" t="str">
            <v>84453</v>
          </cell>
        </row>
        <row r="261">
          <cell r="A261" t="str">
            <v>84454</v>
          </cell>
        </row>
        <row r="262">
          <cell r="A262" t="str">
            <v>84460</v>
          </cell>
        </row>
        <row r="263">
          <cell r="A263" t="str">
            <v>84461</v>
          </cell>
        </row>
        <row r="264">
          <cell r="A264" t="str">
            <v>84462</v>
          </cell>
        </row>
        <row r="265">
          <cell r="A265" t="str">
            <v>84463</v>
          </cell>
        </row>
        <row r="266">
          <cell r="A266" t="str">
            <v>84464</v>
          </cell>
        </row>
        <row r="267">
          <cell r="A267" t="str">
            <v>84511</v>
          </cell>
        </row>
        <row r="268">
          <cell r="A268" t="str">
            <v>84512</v>
          </cell>
        </row>
        <row r="269">
          <cell r="A269" t="str">
            <v>84513</v>
          </cell>
        </row>
        <row r="270">
          <cell r="A270" t="str">
            <v>84611</v>
          </cell>
        </row>
        <row r="271">
          <cell r="A271" t="str">
            <v>84612</v>
          </cell>
        </row>
        <row r="272">
          <cell r="A272" t="str">
            <v>84613</v>
          </cell>
        </row>
        <row r="273">
          <cell r="A273" t="str">
            <v>84614</v>
          </cell>
        </row>
        <row r="274">
          <cell r="A274" t="str">
            <v>84990</v>
          </cell>
        </row>
        <row r="275">
          <cell r="A275" t="str">
            <v>84991</v>
          </cell>
        </row>
        <row r="276">
          <cell r="A276" t="str">
            <v>84992</v>
          </cell>
        </row>
        <row r="277">
          <cell r="A277" t="str">
            <v>84993</v>
          </cell>
        </row>
        <row r="278">
          <cell r="A278" t="str">
            <v>84994</v>
          </cell>
        </row>
        <row r="279">
          <cell r="A279" t="str">
            <v>84995</v>
          </cell>
        </row>
        <row r="280">
          <cell r="A280" t="str">
            <v>84996</v>
          </cell>
        </row>
        <row r="281">
          <cell r="A281" t="str">
            <v>84997</v>
          </cell>
        </row>
        <row r="282">
          <cell r="A282" t="str">
            <v>84998</v>
          </cell>
        </row>
        <row r="283">
          <cell r="A283" t="str">
            <v>84999</v>
          </cell>
        </row>
        <row r="284">
          <cell r="A284" t="str">
            <v>85000</v>
          </cell>
        </row>
        <row r="285">
          <cell r="A285" t="str">
            <v>85100</v>
          </cell>
        </row>
        <row r="286">
          <cell r="A286" t="str">
            <v>85110</v>
          </cell>
        </row>
        <row r="287">
          <cell r="A287" t="str">
            <v>85111</v>
          </cell>
        </row>
        <row r="288">
          <cell r="A288" t="str">
            <v>85112</v>
          </cell>
        </row>
        <row r="289">
          <cell r="A289" t="str">
            <v>85113</v>
          </cell>
        </row>
        <row r="290">
          <cell r="A290" t="str">
            <v>85114</v>
          </cell>
        </row>
        <row r="291">
          <cell r="A291" t="str">
            <v>85115</v>
          </cell>
        </row>
        <row r="292">
          <cell r="A292" t="str">
            <v>85116</v>
          </cell>
        </row>
        <row r="293">
          <cell r="A293" t="str">
            <v>85120</v>
          </cell>
        </row>
        <row r="294">
          <cell r="A294" t="str">
            <v>85121</v>
          </cell>
        </row>
        <row r="295">
          <cell r="A295" t="str">
            <v>85122</v>
          </cell>
        </row>
        <row r="296">
          <cell r="A296" t="str">
            <v>85130</v>
          </cell>
        </row>
        <row r="297">
          <cell r="A297" t="str">
            <v>85131</v>
          </cell>
        </row>
        <row r="298">
          <cell r="A298" t="str">
            <v>85132</v>
          </cell>
        </row>
        <row r="299">
          <cell r="A299" t="str">
            <v>85133</v>
          </cell>
        </row>
        <row r="300">
          <cell r="A300" t="str">
            <v>85134</v>
          </cell>
        </row>
        <row r="301">
          <cell r="A301" t="str">
            <v>85135</v>
          </cell>
        </row>
        <row r="302">
          <cell r="A302" t="str">
            <v>85140</v>
          </cell>
        </row>
        <row r="303">
          <cell r="A303" t="str">
            <v>85141</v>
          </cell>
        </row>
        <row r="304">
          <cell r="A304" t="str">
            <v>85142</v>
          </cell>
        </row>
        <row r="305">
          <cell r="A305" t="str">
            <v>85150</v>
          </cell>
        </row>
        <row r="306">
          <cell r="A306" t="str">
            <v>85151</v>
          </cell>
        </row>
        <row r="307">
          <cell r="A307" t="str">
            <v>85152</v>
          </cell>
        </row>
        <row r="308">
          <cell r="A308" t="str">
            <v>85153</v>
          </cell>
        </row>
        <row r="309">
          <cell r="A309" t="str">
            <v>85160</v>
          </cell>
        </row>
        <row r="310">
          <cell r="A310" t="str">
            <v>85161</v>
          </cell>
        </row>
        <row r="311">
          <cell r="A311" t="str">
            <v>85162</v>
          </cell>
        </row>
        <row r="312">
          <cell r="A312" t="str">
            <v>85163</v>
          </cell>
        </row>
        <row r="313">
          <cell r="A313" t="str">
            <v>85164</v>
          </cell>
        </row>
        <row r="314">
          <cell r="A314" t="str">
            <v>85165</v>
          </cell>
        </row>
        <row r="315">
          <cell r="A315" t="str">
            <v>85166</v>
          </cell>
        </row>
        <row r="316">
          <cell r="A316" t="str">
            <v>85170</v>
          </cell>
        </row>
        <row r="317">
          <cell r="A317" t="str">
            <v>85171</v>
          </cell>
        </row>
        <row r="318">
          <cell r="A318" t="str">
            <v>85172</v>
          </cell>
        </row>
        <row r="319">
          <cell r="A319" t="str">
            <v>85180</v>
          </cell>
        </row>
        <row r="320">
          <cell r="A320" t="str">
            <v>85181</v>
          </cell>
        </row>
        <row r="321">
          <cell r="A321" t="str">
            <v>85900</v>
          </cell>
        </row>
        <row r="322">
          <cell r="A322" t="str">
            <v>86110</v>
          </cell>
        </row>
        <row r="323">
          <cell r="A323" t="str">
            <v>86120</v>
          </cell>
        </row>
        <row r="324">
          <cell r="A324" t="str">
            <v>86130</v>
          </cell>
        </row>
        <row r="325">
          <cell r="A325" t="str">
            <v>86140</v>
          </cell>
        </row>
        <row r="326">
          <cell r="A326" t="str">
            <v>86210</v>
          </cell>
        </row>
        <row r="327">
          <cell r="A327" t="str">
            <v>86220</v>
          </cell>
        </row>
        <row r="328">
          <cell r="A328" t="str">
            <v>86230</v>
          </cell>
        </row>
        <row r="329">
          <cell r="A329" t="str">
            <v>86240</v>
          </cell>
        </row>
        <row r="330">
          <cell r="A330" t="str">
            <v>86250</v>
          </cell>
        </row>
        <row r="331">
          <cell r="A331" t="str">
            <v>86310</v>
          </cell>
        </row>
        <row r="332">
          <cell r="A332" t="str">
            <v>86320</v>
          </cell>
        </row>
        <row r="333">
          <cell r="A333" t="str">
            <v>86330</v>
          </cell>
        </row>
        <row r="334">
          <cell r="A334" t="str">
            <v>86340</v>
          </cell>
        </row>
        <row r="335">
          <cell r="A335" t="str">
            <v>86350</v>
          </cell>
        </row>
        <row r="336">
          <cell r="A336" t="str">
            <v>86360</v>
          </cell>
        </row>
        <row r="337">
          <cell r="A337" t="str">
            <v>86410</v>
          </cell>
        </row>
        <row r="338">
          <cell r="A338" t="str">
            <v>86420</v>
          </cell>
        </row>
        <row r="339">
          <cell r="A339" t="str">
            <v>86430</v>
          </cell>
        </row>
        <row r="340">
          <cell r="A340" t="str">
            <v>86510</v>
          </cell>
        </row>
        <row r="341">
          <cell r="A341" t="str">
            <v>86520</v>
          </cell>
        </row>
        <row r="342">
          <cell r="A342" t="str">
            <v>86521</v>
          </cell>
        </row>
        <row r="343">
          <cell r="A343" t="str">
            <v>86522</v>
          </cell>
        </row>
        <row r="344">
          <cell r="A344" t="str">
            <v>86523</v>
          </cell>
        </row>
        <row r="345">
          <cell r="A345" t="str">
            <v>86610</v>
          </cell>
        </row>
        <row r="346">
          <cell r="A346" t="str">
            <v>86911</v>
          </cell>
        </row>
        <row r="347">
          <cell r="A347" t="str">
            <v>86912</v>
          </cell>
        </row>
        <row r="348">
          <cell r="A348" t="str">
            <v>86913</v>
          </cell>
        </row>
        <row r="349">
          <cell r="A349" t="str">
            <v>86914</v>
          </cell>
        </row>
        <row r="350">
          <cell r="A350" t="str">
            <v>86921</v>
          </cell>
        </row>
        <row r="351">
          <cell r="A351" t="str">
            <v>86922</v>
          </cell>
        </row>
        <row r="352">
          <cell r="A352" t="str">
            <v>86931</v>
          </cell>
        </row>
        <row r="353">
          <cell r="A353" t="str">
            <v>86932</v>
          </cell>
        </row>
        <row r="354">
          <cell r="A354" t="str">
            <v>86933</v>
          </cell>
        </row>
        <row r="355">
          <cell r="A355" t="str">
            <v>86941</v>
          </cell>
        </row>
        <row r="356">
          <cell r="A356" t="str">
            <v>86950</v>
          </cell>
        </row>
        <row r="357">
          <cell r="A357" t="str">
            <v>86951</v>
          </cell>
        </row>
      </sheetData>
      <sheetData sheetId="7">
        <row r="3">
          <cell r="A3" t="str">
            <v>000</v>
          </cell>
        </row>
        <row r="4">
          <cell r="A4" t="str">
            <v>001</v>
          </cell>
        </row>
        <row r="5">
          <cell r="A5" t="str">
            <v>002</v>
          </cell>
        </row>
        <row r="6">
          <cell r="A6" t="str">
            <v>003</v>
          </cell>
        </row>
        <row r="7">
          <cell r="A7" t="str">
            <v>004</v>
          </cell>
        </row>
        <row r="8">
          <cell r="A8" t="str">
            <v>005</v>
          </cell>
        </row>
        <row r="9">
          <cell r="A9" t="str">
            <v>007</v>
          </cell>
        </row>
        <row r="10">
          <cell r="A10" t="str">
            <v>008</v>
          </cell>
        </row>
        <row r="11">
          <cell r="A11" t="str">
            <v>009</v>
          </cell>
        </row>
        <row r="12">
          <cell r="A12" t="str">
            <v>010</v>
          </cell>
        </row>
        <row r="13">
          <cell r="A13" t="str">
            <v>021</v>
          </cell>
        </row>
        <row r="14">
          <cell r="A14" t="str">
            <v>037</v>
          </cell>
        </row>
        <row r="15">
          <cell r="A15" t="str">
            <v>061</v>
          </cell>
        </row>
        <row r="16">
          <cell r="A16" t="str">
            <v>062</v>
          </cell>
        </row>
        <row r="17">
          <cell r="A17" t="str">
            <v>063</v>
          </cell>
        </row>
        <row r="18">
          <cell r="A18" t="str">
            <v>064</v>
          </cell>
        </row>
        <row r="19">
          <cell r="A19" t="str">
            <v>065</v>
          </cell>
        </row>
        <row r="20">
          <cell r="A20" t="str">
            <v>081</v>
          </cell>
        </row>
        <row r="21">
          <cell r="A21" t="str">
            <v>082</v>
          </cell>
        </row>
        <row r="22">
          <cell r="A22" t="str">
            <v>083</v>
          </cell>
        </row>
        <row r="23">
          <cell r="A23" t="str">
            <v>091</v>
          </cell>
        </row>
        <row r="24">
          <cell r="A24" t="str">
            <v>092</v>
          </cell>
        </row>
        <row r="25">
          <cell r="A25" t="str">
            <v>093</v>
          </cell>
        </row>
        <row r="26">
          <cell r="A26" t="str">
            <v>094</v>
          </cell>
        </row>
        <row r="27">
          <cell r="A27" t="str">
            <v>095</v>
          </cell>
        </row>
        <row r="28">
          <cell r="A28" t="str">
            <v>096</v>
          </cell>
        </row>
        <row r="29">
          <cell r="A29" t="str">
            <v>097</v>
          </cell>
        </row>
        <row r="30">
          <cell r="A30" t="str">
            <v>098</v>
          </cell>
        </row>
        <row r="31">
          <cell r="A31" t="str">
            <v>099</v>
          </cell>
        </row>
        <row r="32">
          <cell r="A32" t="str">
            <v>101</v>
          </cell>
        </row>
        <row r="33">
          <cell r="A33" t="str">
            <v>102</v>
          </cell>
        </row>
        <row r="34">
          <cell r="A34" t="str">
            <v>103</v>
          </cell>
        </row>
        <row r="35">
          <cell r="A35" t="str">
            <v>104</v>
          </cell>
        </row>
        <row r="36">
          <cell r="A36" t="str">
            <v>105</v>
          </cell>
        </row>
        <row r="37">
          <cell r="A37" t="str">
            <v>107</v>
          </cell>
        </row>
        <row r="38">
          <cell r="A38" t="str">
            <v>108</v>
          </cell>
        </row>
        <row r="39">
          <cell r="A39" t="str">
            <v>109</v>
          </cell>
        </row>
        <row r="40">
          <cell r="A40" t="str">
            <v>110</v>
          </cell>
        </row>
        <row r="41">
          <cell r="A41" t="str">
            <v>111</v>
          </cell>
        </row>
        <row r="42">
          <cell r="A42" t="str">
            <v>112</v>
          </cell>
        </row>
        <row r="43">
          <cell r="A43" t="str">
            <v>113</v>
          </cell>
        </row>
        <row r="44">
          <cell r="A44" t="str">
            <v>114</v>
          </cell>
        </row>
        <row r="45">
          <cell r="A45" t="str">
            <v>115</v>
          </cell>
        </row>
        <row r="46">
          <cell r="A46" t="str">
            <v>116</v>
          </cell>
        </row>
        <row r="47">
          <cell r="A47" t="str">
            <v>117</v>
          </cell>
        </row>
        <row r="48">
          <cell r="A48" t="str">
            <v>118</v>
          </cell>
        </row>
        <row r="49">
          <cell r="A49" t="str">
            <v>119</v>
          </cell>
        </row>
        <row r="50">
          <cell r="A50" t="str">
            <v>120</v>
          </cell>
        </row>
        <row r="51">
          <cell r="A51" t="str">
            <v>121</v>
          </cell>
        </row>
        <row r="52">
          <cell r="A52" t="str">
            <v>122</v>
          </cell>
        </row>
        <row r="53">
          <cell r="A53" t="str">
            <v>123</v>
          </cell>
        </row>
        <row r="54">
          <cell r="A54" t="str">
            <v>141</v>
          </cell>
        </row>
        <row r="55">
          <cell r="A55" t="str">
            <v>142</v>
          </cell>
        </row>
        <row r="56">
          <cell r="A56" t="str">
            <v>143</v>
          </cell>
        </row>
        <row r="57">
          <cell r="A57" t="str">
            <v>144</v>
          </cell>
        </row>
        <row r="58">
          <cell r="A58" t="str">
            <v>145</v>
          </cell>
        </row>
        <row r="59">
          <cell r="A59" t="str">
            <v>181</v>
          </cell>
        </row>
        <row r="60">
          <cell r="A60" t="str">
            <v>182</v>
          </cell>
        </row>
        <row r="61">
          <cell r="A61" t="str">
            <v>183</v>
          </cell>
        </row>
        <row r="62">
          <cell r="A62" t="str">
            <v>184</v>
          </cell>
        </row>
        <row r="63">
          <cell r="A63" t="str">
            <v>185</v>
          </cell>
        </row>
        <row r="64">
          <cell r="A64" t="str">
            <v>186</v>
          </cell>
        </row>
        <row r="65">
          <cell r="A65" t="str">
            <v>187</v>
          </cell>
        </row>
        <row r="66">
          <cell r="A66" t="str">
            <v>188</v>
          </cell>
        </row>
        <row r="67">
          <cell r="A67" t="str">
            <v>189</v>
          </cell>
        </row>
        <row r="68">
          <cell r="A68" t="str">
            <v>190</v>
          </cell>
        </row>
        <row r="69">
          <cell r="A69" t="str">
            <v>191</v>
          </cell>
        </row>
        <row r="70">
          <cell r="A70" t="str">
            <v>210</v>
          </cell>
        </row>
        <row r="71">
          <cell r="A71" t="str">
            <v>211</v>
          </cell>
        </row>
        <row r="72">
          <cell r="A72" t="str">
            <v>211</v>
          </cell>
        </row>
        <row r="73">
          <cell r="A73" t="str">
            <v>212</v>
          </cell>
        </row>
        <row r="74">
          <cell r="A74" t="str">
            <v>213</v>
          </cell>
        </row>
        <row r="75">
          <cell r="A75" t="str">
            <v>214</v>
          </cell>
        </row>
        <row r="76">
          <cell r="A76" t="str">
            <v>215</v>
          </cell>
        </row>
        <row r="77">
          <cell r="A77" t="str">
            <v>216</v>
          </cell>
        </row>
        <row r="78">
          <cell r="A78" t="str">
            <v>217</v>
          </cell>
        </row>
        <row r="79">
          <cell r="A79" t="str">
            <v>218</v>
          </cell>
        </row>
        <row r="80">
          <cell r="A80" t="str">
            <v>219</v>
          </cell>
        </row>
        <row r="81">
          <cell r="A81" t="str">
            <v>220</v>
          </cell>
        </row>
        <row r="82">
          <cell r="A82" t="str">
            <v>221</v>
          </cell>
        </row>
        <row r="83">
          <cell r="A83" t="str">
            <v>222</v>
          </cell>
        </row>
        <row r="84">
          <cell r="A84" t="str">
            <v>223</v>
          </cell>
        </row>
        <row r="85">
          <cell r="A85" t="str">
            <v>224</v>
          </cell>
        </row>
        <row r="86">
          <cell r="A86" t="str">
            <v>225</v>
          </cell>
        </row>
        <row r="87">
          <cell r="A87" t="str">
            <v>226</v>
          </cell>
        </row>
        <row r="88">
          <cell r="A88" t="str">
            <v>227</v>
          </cell>
        </row>
        <row r="89">
          <cell r="A89" t="str">
            <v>228</v>
          </cell>
        </row>
        <row r="90">
          <cell r="A90" t="str">
            <v>229</v>
          </cell>
        </row>
        <row r="91">
          <cell r="A91" t="str">
            <v>230</v>
          </cell>
        </row>
        <row r="92">
          <cell r="A92" t="str">
            <v>231</v>
          </cell>
        </row>
        <row r="93">
          <cell r="A93" t="str">
            <v>232</v>
          </cell>
        </row>
        <row r="94">
          <cell r="A94" t="str">
            <v>233</v>
          </cell>
        </row>
        <row r="95">
          <cell r="A95" t="str">
            <v>234</v>
          </cell>
        </row>
        <row r="96">
          <cell r="A96" t="str">
            <v>235</v>
          </cell>
        </row>
        <row r="97">
          <cell r="A97" t="str">
            <v>236</v>
          </cell>
        </row>
        <row r="98">
          <cell r="A98" t="str">
            <v>281</v>
          </cell>
        </row>
        <row r="99">
          <cell r="A99" t="str">
            <v>282</v>
          </cell>
        </row>
        <row r="100">
          <cell r="A100" t="str">
            <v>283</v>
          </cell>
        </row>
        <row r="101">
          <cell r="A101" t="str">
            <v>284</v>
          </cell>
        </row>
        <row r="102">
          <cell r="A102" t="str">
            <v>285</v>
          </cell>
        </row>
        <row r="103">
          <cell r="A103" t="str">
            <v>286</v>
          </cell>
        </row>
        <row r="104">
          <cell r="A104" t="str">
            <v>287</v>
          </cell>
        </row>
        <row r="105">
          <cell r="A105" t="str">
            <v>288</v>
          </cell>
        </row>
        <row r="106">
          <cell r="A106" t="str">
            <v>289</v>
          </cell>
        </row>
        <row r="107">
          <cell r="A107" t="str">
            <v>290</v>
          </cell>
        </row>
        <row r="108">
          <cell r="A108" t="str">
            <v>291</v>
          </cell>
        </row>
        <row r="109">
          <cell r="A109" t="str">
            <v>292</v>
          </cell>
        </row>
        <row r="110">
          <cell r="A110" t="str">
            <v>293</v>
          </cell>
        </row>
        <row r="111">
          <cell r="A111" t="str">
            <v>294</v>
          </cell>
        </row>
        <row r="112">
          <cell r="A112" t="str">
            <v>295</v>
          </cell>
        </row>
        <row r="113">
          <cell r="A113" t="str">
            <v>296</v>
          </cell>
        </row>
        <row r="114">
          <cell r="A114" t="str">
            <v>297</v>
          </cell>
        </row>
        <row r="115">
          <cell r="A115" t="str">
            <v>298</v>
          </cell>
        </row>
        <row r="116">
          <cell r="A116" t="str">
            <v>299</v>
          </cell>
        </row>
        <row r="117">
          <cell r="A117" t="str">
            <v>300</v>
          </cell>
        </row>
        <row r="118">
          <cell r="A118" t="str">
            <v>301</v>
          </cell>
        </row>
        <row r="119">
          <cell r="A119" t="str">
            <v>302</v>
          </cell>
        </row>
        <row r="120">
          <cell r="A120" t="str">
            <v>303</v>
          </cell>
        </row>
        <row r="121">
          <cell r="A121" t="str">
            <v>304</v>
          </cell>
        </row>
        <row r="122">
          <cell r="A122" t="str">
            <v>305</v>
          </cell>
        </row>
        <row r="123">
          <cell r="A123" t="str">
            <v>310</v>
          </cell>
        </row>
        <row r="124">
          <cell r="A124" t="str">
            <v>312</v>
          </cell>
        </row>
        <row r="125">
          <cell r="A125" t="str">
            <v>313</v>
          </cell>
        </row>
        <row r="126">
          <cell r="A126" t="str">
            <v>314</v>
          </cell>
        </row>
        <row r="127">
          <cell r="A127" t="str">
            <v>315</v>
          </cell>
        </row>
        <row r="128">
          <cell r="A128" t="str">
            <v>317</v>
          </cell>
        </row>
        <row r="129">
          <cell r="A129" t="str">
            <v>318</v>
          </cell>
        </row>
        <row r="130">
          <cell r="A130" t="str">
            <v>319</v>
          </cell>
        </row>
        <row r="131">
          <cell r="A131" t="str">
            <v>321</v>
          </cell>
        </row>
        <row r="132">
          <cell r="A132" t="str">
            <v>322</v>
          </cell>
        </row>
        <row r="133">
          <cell r="A133" t="str">
            <v>323</v>
          </cell>
        </row>
        <row r="134">
          <cell r="A134" t="str">
            <v>324</v>
          </cell>
        </row>
        <row r="135">
          <cell r="A135" t="str">
            <v>325</v>
          </cell>
        </row>
        <row r="136">
          <cell r="A136" t="str">
            <v>326</v>
          </cell>
        </row>
        <row r="137">
          <cell r="A137" t="str">
            <v>327</v>
          </cell>
        </row>
        <row r="138">
          <cell r="A138" t="str">
            <v>328</v>
          </cell>
        </row>
        <row r="139">
          <cell r="A139" t="str">
            <v>329</v>
          </cell>
        </row>
        <row r="140">
          <cell r="A140" t="str">
            <v>330</v>
          </cell>
        </row>
        <row r="141">
          <cell r="A141" t="str">
            <v>331</v>
          </cell>
        </row>
        <row r="142">
          <cell r="A142" t="str">
            <v>332</v>
          </cell>
        </row>
        <row r="143">
          <cell r="A143" t="str">
            <v>333</v>
          </cell>
        </row>
        <row r="144">
          <cell r="A144" t="str">
            <v>334</v>
          </cell>
        </row>
        <row r="145">
          <cell r="A145" t="str">
            <v>335</v>
          </cell>
        </row>
        <row r="146">
          <cell r="A146" t="str">
            <v>336</v>
          </cell>
        </row>
        <row r="147">
          <cell r="A147" t="str">
            <v>337</v>
          </cell>
        </row>
        <row r="148">
          <cell r="A148" t="str">
            <v>338</v>
          </cell>
        </row>
        <row r="149">
          <cell r="A149" t="str">
            <v>339</v>
          </cell>
        </row>
        <row r="150">
          <cell r="A150" t="str">
            <v>340</v>
          </cell>
        </row>
        <row r="151">
          <cell r="A151" t="str">
            <v>341</v>
          </cell>
        </row>
        <row r="152">
          <cell r="A152" t="str">
            <v>342</v>
          </cell>
        </row>
        <row r="153">
          <cell r="A153" t="str">
            <v>343</v>
          </cell>
        </row>
        <row r="154">
          <cell r="A154" t="str">
            <v>344</v>
          </cell>
        </row>
        <row r="155">
          <cell r="A155" t="str">
            <v>345</v>
          </cell>
        </row>
        <row r="156">
          <cell r="A156" t="str">
            <v>346</v>
          </cell>
        </row>
        <row r="157">
          <cell r="A157" t="str">
            <v>347</v>
          </cell>
        </row>
        <row r="158">
          <cell r="A158" t="str">
            <v>348</v>
          </cell>
        </row>
        <row r="159">
          <cell r="A159" t="str">
            <v>349</v>
          </cell>
        </row>
        <row r="160">
          <cell r="A160" t="str">
            <v>350</v>
          </cell>
        </row>
        <row r="161">
          <cell r="A161" t="str">
            <v>351</v>
          </cell>
        </row>
        <row r="162">
          <cell r="A162" t="str">
            <v>352</v>
          </cell>
        </row>
        <row r="163">
          <cell r="A163" t="str">
            <v>353</v>
          </cell>
        </row>
        <row r="164">
          <cell r="A164" t="str">
            <v>354</v>
          </cell>
        </row>
        <row r="165">
          <cell r="A165" t="str">
            <v>355</v>
          </cell>
        </row>
        <row r="166">
          <cell r="A166" t="str">
            <v>356</v>
          </cell>
        </row>
        <row r="167">
          <cell r="A167" t="str">
            <v>357</v>
          </cell>
        </row>
        <row r="168">
          <cell r="A168" t="str">
            <v>358</v>
          </cell>
        </row>
        <row r="169">
          <cell r="A169" t="str">
            <v>359</v>
          </cell>
        </row>
        <row r="170">
          <cell r="A170" t="str">
            <v>360</v>
          </cell>
        </row>
        <row r="171">
          <cell r="A171" t="str">
            <v>361</v>
          </cell>
        </row>
        <row r="172">
          <cell r="A172" t="str">
            <v>362</v>
          </cell>
        </row>
        <row r="173">
          <cell r="A173" t="str">
            <v>363</v>
          </cell>
        </row>
        <row r="174">
          <cell r="A174" t="str">
            <v>364</v>
          </cell>
        </row>
        <row r="175">
          <cell r="A175" t="str">
            <v>365</v>
          </cell>
        </row>
        <row r="176">
          <cell r="A176" t="str">
            <v>366</v>
          </cell>
        </row>
        <row r="177">
          <cell r="A177" t="str">
            <v>367</v>
          </cell>
        </row>
        <row r="178">
          <cell r="A178" t="str">
            <v>368</v>
          </cell>
        </row>
        <row r="179">
          <cell r="A179" t="str">
            <v>369</v>
          </cell>
        </row>
        <row r="180">
          <cell r="A180" t="str">
            <v>370</v>
          </cell>
        </row>
        <row r="181">
          <cell r="A181" t="str">
            <v>381</v>
          </cell>
        </row>
        <row r="182">
          <cell r="A182" t="str">
            <v>382</v>
          </cell>
        </row>
        <row r="183">
          <cell r="A183" t="str">
            <v>383</v>
          </cell>
        </row>
        <row r="184">
          <cell r="A184" t="str">
            <v>384</v>
          </cell>
        </row>
        <row r="185">
          <cell r="A185" t="str">
            <v>385</v>
          </cell>
        </row>
        <row r="186">
          <cell r="A186" t="str">
            <v>386</v>
          </cell>
        </row>
        <row r="187">
          <cell r="A187" t="str">
            <v>387</v>
          </cell>
        </row>
        <row r="188">
          <cell r="A188" t="str">
            <v>388</v>
          </cell>
        </row>
        <row r="189">
          <cell r="A189" t="str">
            <v>389</v>
          </cell>
        </row>
        <row r="190">
          <cell r="A190" t="str">
            <v>390</v>
          </cell>
        </row>
        <row r="191">
          <cell r="A191" t="str">
            <v>391</v>
          </cell>
        </row>
        <row r="192">
          <cell r="A192" t="str">
            <v>392</v>
          </cell>
        </row>
        <row r="193">
          <cell r="A193" t="str">
            <v>393</v>
          </cell>
        </row>
        <row r="194">
          <cell r="A194" t="str">
            <v>394</v>
          </cell>
        </row>
        <row r="195">
          <cell r="A195" t="str">
            <v>395</v>
          </cell>
        </row>
        <row r="196">
          <cell r="A196" t="str">
            <v>396</v>
          </cell>
        </row>
        <row r="197">
          <cell r="A197" t="str">
            <v>397</v>
          </cell>
        </row>
        <row r="198">
          <cell r="A198" t="str">
            <v>398</v>
          </cell>
        </row>
        <row r="199">
          <cell r="A199" t="str">
            <v>399</v>
          </cell>
        </row>
        <row r="200">
          <cell r="A200" t="str">
            <v>400</v>
          </cell>
        </row>
        <row r="201">
          <cell r="A201" t="str">
            <v>401</v>
          </cell>
        </row>
        <row r="202">
          <cell r="A202" t="str">
            <v>402</v>
          </cell>
        </row>
        <row r="203">
          <cell r="A203" t="str">
            <v>403</v>
          </cell>
        </row>
        <row r="204">
          <cell r="A204" t="str">
            <v>404</v>
          </cell>
        </row>
        <row r="205">
          <cell r="A205" t="str">
            <v>405</v>
          </cell>
        </row>
        <row r="206">
          <cell r="A206" t="str">
            <v>406</v>
          </cell>
        </row>
        <row r="207">
          <cell r="A207" t="str">
            <v>407</v>
          </cell>
        </row>
        <row r="208">
          <cell r="A208" t="str">
            <v>408</v>
          </cell>
        </row>
        <row r="209">
          <cell r="A209" t="str">
            <v>409</v>
          </cell>
        </row>
        <row r="210">
          <cell r="A210" t="str">
            <v>410</v>
          </cell>
        </row>
        <row r="211">
          <cell r="A211" t="str">
            <v>411</v>
          </cell>
        </row>
        <row r="212">
          <cell r="A212" t="str">
            <v>412</v>
          </cell>
        </row>
        <row r="213">
          <cell r="A213" t="str">
            <v>413</v>
          </cell>
        </row>
        <row r="214">
          <cell r="A214" t="str">
            <v>414</v>
          </cell>
        </row>
        <row r="215">
          <cell r="A215" t="str">
            <v>415</v>
          </cell>
        </row>
        <row r="216">
          <cell r="A216" t="str">
            <v>416</v>
          </cell>
        </row>
        <row r="217">
          <cell r="A217" t="str">
            <v>417</v>
          </cell>
        </row>
        <row r="218">
          <cell r="A218" t="str">
            <v>418</v>
          </cell>
        </row>
        <row r="219">
          <cell r="A219" t="str">
            <v>419</v>
          </cell>
        </row>
        <row r="220">
          <cell r="A220" t="str">
            <v>420</v>
          </cell>
        </row>
        <row r="221">
          <cell r="A221" t="str">
            <v>421</v>
          </cell>
        </row>
        <row r="222">
          <cell r="A222" t="str">
            <v>422</v>
          </cell>
        </row>
        <row r="223">
          <cell r="A223" t="str">
            <v>423</v>
          </cell>
        </row>
        <row r="224">
          <cell r="A224" t="str">
            <v>424</v>
          </cell>
        </row>
        <row r="225">
          <cell r="A225" t="str">
            <v>425</v>
          </cell>
        </row>
        <row r="226">
          <cell r="A226" t="str">
            <v>426</v>
          </cell>
        </row>
        <row r="227">
          <cell r="A227" t="str">
            <v>427</v>
          </cell>
        </row>
        <row r="228">
          <cell r="A228" t="str">
            <v>428</v>
          </cell>
        </row>
        <row r="229">
          <cell r="A229" t="str">
            <v>429</v>
          </cell>
        </row>
        <row r="230">
          <cell r="A230" t="str">
            <v>430</v>
          </cell>
        </row>
        <row r="231">
          <cell r="A231" t="str">
            <v>431</v>
          </cell>
        </row>
        <row r="232">
          <cell r="A232" t="str">
            <v>432</v>
          </cell>
        </row>
        <row r="233">
          <cell r="A233" t="str">
            <v>433</v>
          </cell>
        </row>
        <row r="234">
          <cell r="A234" t="str">
            <v>434</v>
          </cell>
        </row>
        <row r="235">
          <cell r="A235" t="str">
            <v>435</v>
          </cell>
        </row>
        <row r="236">
          <cell r="A236" t="str">
            <v>436</v>
          </cell>
        </row>
        <row r="237">
          <cell r="A237" t="str">
            <v>437</v>
          </cell>
        </row>
        <row r="238">
          <cell r="A238" t="str">
            <v>438</v>
          </cell>
        </row>
        <row r="239">
          <cell r="A239" t="str">
            <v>439</v>
          </cell>
        </row>
        <row r="240">
          <cell r="A240" t="str">
            <v>440</v>
          </cell>
        </row>
        <row r="241">
          <cell r="A241" t="str">
            <v>441</v>
          </cell>
        </row>
        <row r="242">
          <cell r="A242" t="str">
            <v>442</v>
          </cell>
        </row>
        <row r="243">
          <cell r="A243" t="str">
            <v>443</v>
          </cell>
        </row>
        <row r="244">
          <cell r="A244" t="str">
            <v>444</v>
          </cell>
        </row>
        <row r="245">
          <cell r="A245" t="str">
            <v>445</v>
          </cell>
        </row>
        <row r="246">
          <cell r="A246" t="str">
            <v>446</v>
          </cell>
        </row>
        <row r="247">
          <cell r="A247" t="str">
            <v>447</v>
          </cell>
        </row>
        <row r="248">
          <cell r="A248" t="str">
            <v>448</v>
          </cell>
        </row>
        <row r="249">
          <cell r="A249" t="str">
            <v>449</v>
          </cell>
        </row>
        <row r="250">
          <cell r="A250" t="str">
            <v>450</v>
          </cell>
        </row>
        <row r="251">
          <cell r="A251" t="str">
            <v>451</v>
          </cell>
        </row>
        <row r="252">
          <cell r="A252" t="str">
            <v>452</v>
          </cell>
        </row>
        <row r="253">
          <cell r="A253" t="str">
            <v>453</v>
          </cell>
        </row>
        <row r="254">
          <cell r="A254" t="str">
            <v>454</v>
          </cell>
        </row>
        <row r="255">
          <cell r="A255" t="str">
            <v>455</v>
          </cell>
        </row>
        <row r="256">
          <cell r="A256" t="str">
            <v>456</v>
          </cell>
        </row>
        <row r="257">
          <cell r="A257" t="str">
            <v>457</v>
          </cell>
        </row>
        <row r="258">
          <cell r="A258" t="str">
            <v>458</v>
          </cell>
        </row>
        <row r="259">
          <cell r="A259" t="str">
            <v>459</v>
          </cell>
        </row>
        <row r="260">
          <cell r="A260" t="str">
            <v>460</v>
          </cell>
        </row>
        <row r="261">
          <cell r="A261" t="str">
            <v>461</v>
          </cell>
        </row>
        <row r="262">
          <cell r="A262" t="str">
            <v>462</v>
          </cell>
        </row>
        <row r="263">
          <cell r="A263" t="str">
            <v>463</v>
          </cell>
        </row>
        <row r="264">
          <cell r="A264" t="str">
            <v>464</v>
          </cell>
        </row>
        <row r="265">
          <cell r="A265" t="str">
            <v>465</v>
          </cell>
        </row>
        <row r="266">
          <cell r="A266" t="str">
            <v>466</v>
          </cell>
        </row>
        <row r="267">
          <cell r="A267" t="str">
            <v>467</v>
          </cell>
        </row>
        <row r="268">
          <cell r="A268" t="str">
            <v>468</v>
          </cell>
        </row>
        <row r="269">
          <cell r="A269" t="str">
            <v>469</v>
          </cell>
        </row>
        <row r="270">
          <cell r="A270" t="str">
            <v>470</v>
          </cell>
        </row>
        <row r="271">
          <cell r="A271" t="str">
            <v>471</v>
          </cell>
        </row>
        <row r="272">
          <cell r="A272" t="str">
            <v>472</v>
          </cell>
        </row>
        <row r="273">
          <cell r="A273" t="str">
            <v>473</v>
          </cell>
        </row>
        <row r="274">
          <cell r="A274" t="str">
            <v>474</v>
          </cell>
        </row>
        <row r="275">
          <cell r="A275" t="str">
            <v>475</v>
          </cell>
        </row>
        <row r="276">
          <cell r="A276" t="str">
            <v>476</v>
          </cell>
        </row>
        <row r="277">
          <cell r="A277" t="str">
            <v>477</v>
          </cell>
        </row>
        <row r="278">
          <cell r="A278" t="str">
            <v>478</v>
          </cell>
        </row>
        <row r="279">
          <cell r="A279" t="str">
            <v>479</v>
          </cell>
        </row>
        <row r="280">
          <cell r="A280" t="str">
            <v>480</v>
          </cell>
        </row>
        <row r="281">
          <cell r="A281" t="str">
            <v>481</v>
          </cell>
        </row>
        <row r="282">
          <cell r="A282" t="str">
            <v>482</v>
          </cell>
        </row>
        <row r="283">
          <cell r="A283" t="str">
            <v>483</v>
          </cell>
        </row>
        <row r="284">
          <cell r="A284" t="str">
            <v>485</v>
          </cell>
        </row>
        <row r="285">
          <cell r="A285" t="str">
            <v>486</v>
          </cell>
        </row>
        <row r="286">
          <cell r="A286" t="str">
            <v>488</v>
          </cell>
        </row>
        <row r="287">
          <cell r="A287" t="str">
            <v>490</v>
          </cell>
        </row>
        <row r="288">
          <cell r="A288" t="str">
            <v>491</v>
          </cell>
        </row>
        <row r="289">
          <cell r="A289" t="str">
            <v>492</v>
          </cell>
        </row>
        <row r="290">
          <cell r="A290" t="str">
            <v>495</v>
          </cell>
        </row>
        <row r="291">
          <cell r="A291" t="str">
            <v>496</v>
          </cell>
        </row>
        <row r="292">
          <cell r="A292" t="str">
            <v>501</v>
          </cell>
        </row>
        <row r="293">
          <cell r="A293" t="str">
            <v>502</v>
          </cell>
        </row>
        <row r="294">
          <cell r="A294" t="str">
            <v>503</v>
          </cell>
        </row>
        <row r="295">
          <cell r="A295" t="str">
            <v>504</v>
          </cell>
        </row>
        <row r="296">
          <cell r="A296" t="str">
            <v>505</v>
          </cell>
        </row>
        <row r="297">
          <cell r="A297" t="str">
            <v>506</v>
          </cell>
        </row>
        <row r="298">
          <cell r="A298" t="str">
            <v>507</v>
          </cell>
        </row>
        <row r="299">
          <cell r="A299" t="str">
            <v>508</v>
          </cell>
        </row>
        <row r="300">
          <cell r="A300" t="str">
            <v>509</v>
          </cell>
        </row>
        <row r="301">
          <cell r="A301" t="str">
            <v>510</v>
          </cell>
        </row>
        <row r="302">
          <cell r="A302" t="str">
            <v>511</v>
          </cell>
        </row>
        <row r="303">
          <cell r="A303" t="str">
            <v>512</v>
          </cell>
        </row>
        <row r="304">
          <cell r="A304" t="str">
            <v>513</v>
          </cell>
        </row>
        <row r="305">
          <cell r="A305" t="str">
            <v>514</v>
          </cell>
        </row>
        <row r="306">
          <cell r="A306" t="str">
            <v>515</v>
          </cell>
        </row>
        <row r="307">
          <cell r="A307" t="str">
            <v>516</v>
          </cell>
        </row>
        <row r="308">
          <cell r="A308" t="str">
            <v>517</v>
          </cell>
        </row>
        <row r="309">
          <cell r="A309" t="str">
            <v>518</v>
          </cell>
        </row>
        <row r="310">
          <cell r="A310" t="str">
            <v>519</v>
          </cell>
        </row>
        <row r="311">
          <cell r="A311" t="str">
            <v>520</v>
          </cell>
        </row>
        <row r="312">
          <cell r="A312" t="str">
            <v>566</v>
          </cell>
        </row>
        <row r="313">
          <cell r="A313" t="str">
            <v>581</v>
          </cell>
        </row>
        <row r="314">
          <cell r="A314" t="str">
            <v>601</v>
          </cell>
        </row>
        <row r="315">
          <cell r="A315" t="str">
            <v>602</v>
          </cell>
        </row>
        <row r="316">
          <cell r="A316" t="str">
            <v>603</v>
          </cell>
        </row>
        <row r="317">
          <cell r="A317" t="str">
            <v>604</v>
          </cell>
        </row>
        <row r="318">
          <cell r="A318" t="str">
            <v>605</v>
          </cell>
        </row>
        <row r="319">
          <cell r="A319" t="str">
            <v>606</v>
          </cell>
        </row>
        <row r="320">
          <cell r="A320" t="str">
            <v>607</v>
          </cell>
        </row>
        <row r="321">
          <cell r="A321" t="str">
            <v>608</v>
          </cell>
        </row>
        <row r="322">
          <cell r="A322" t="str">
            <v>609</v>
          </cell>
        </row>
        <row r="323">
          <cell r="A323" t="str">
            <v>610</v>
          </cell>
        </row>
        <row r="324">
          <cell r="A324" t="str">
            <v>611</v>
          </cell>
        </row>
        <row r="325">
          <cell r="A325" t="str">
            <v>612</v>
          </cell>
        </row>
        <row r="326">
          <cell r="A326" t="str">
            <v>613</v>
          </cell>
        </row>
        <row r="327">
          <cell r="A327" t="str">
            <v>614</v>
          </cell>
        </row>
        <row r="328">
          <cell r="A328" t="str">
            <v>615</v>
          </cell>
        </row>
        <row r="329">
          <cell r="A329" t="str">
            <v>616</v>
          </cell>
        </row>
        <row r="330">
          <cell r="A330" t="str">
            <v>617</v>
          </cell>
        </row>
        <row r="331">
          <cell r="A331" t="str">
            <v>618</v>
          </cell>
        </row>
        <row r="332">
          <cell r="A332" t="str">
            <v>619</v>
          </cell>
        </row>
        <row r="333">
          <cell r="A333" t="str">
            <v>620</v>
          </cell>
        </row>
        <row r="334">
          <cell r="A334" t="str">
            <v>621</v>
          </cell>
        </row>
        <row r="335">
          <cell r="A335" t="str">
            <v>622</v>
          </cell>
        </row>
        <row r="336">
          <cell r="A336" t="str">
            <v>623</v>
          </cell>
        </row>
        <row r="337">
          <cell r="A337" t="str">
            <v>624</v>
          </cell>
        </row>
        <row r="338">
          <cell r="A338" t="str">
            <v>625</v>
          </cell>
        </row>
        <row r="339">
          <cell r="A339" t="str">
            <v>626</v>
          </cell>
        </row>
        <row r="340">
          <cell r="A340" t="str">
            <v>627</v>
          </cell>
        </row>
        <row r="341">
          <cell r="A341" t="str">
            <v>628</v>
          </cell>
        </row>
        <row r="342">
          <cell r="A342" t="str">
            <v>629</v>
          </cell>
        </row>
        <row r="343">
          <cell r="A343" t="str">
            <v>630</v>
          </cell>
        </row>
        <row r="344">
          <cell r="A344" t="str">
            <v>631</v>
          </cell>
        </row>
        <row r="345">
          <cell r="A345" t="str">
            <v>632</v>
          </cell>
        </row>
        <row r="346">
          <cell r="A346" t="str">
            <v>633</v>
          </cell>
        </row>
        <row r="347">
          <cell r="A347" t="str">
            <v>634</v>
          </cell>
        </row>
        <row r="348">
          <cell r="A348" t="str">
            <v>635</v>
          </cell>
        </row>
        <row r="349">
          <cell r="A349" t="str">
            <v>636</v>
          </cell>
        </row>
        <row r="350">
          <cell r="A350" t="str">
            <v>637</v>
          </cell>
        </row>
        <row r="351">
          <cell r="A351" t="str">
            <v>638</v>
          </cell>
        </row>
        <row r="352">
          <cell r="A352" t="str">
            <v>639</v>
          </cell>
        </row>
        <row r="353">
          <cell r="A353" t="str">
            <v>640</v>
          </cell>
        </row>
        <row r="354">
          <cell r="A354" t="str">
            <v>641</v>
          </cell>
        </row>
        <row r="355">
          <cell r="A355" t="str">
            <v>642</v>
          </cell>
        </row>
        <row r="356">
          <cell r="A356" t="str">
            <v>643</v>
          </cell>
        </row>
        <row r="357">
          <cell r="A357" t="str">
            <v>644</v>
          </cell>
        </row>
        <row r="358">
          <cell r="A358" t="str">
            <v>645</v>
          </cell>
        </row>
        <row r="359">
          <cell r="A359" t="str">
            <v>646</v>
          </cell>
        </row>
        <row r="360">
          <cell r="A360" t="str">
            <v>647</v>
          </cell>
        </row>
        <row r="361">
          <cell r="A361" t="str">
            <v>648</v>
          </cell>
        </row>
        <row r="362">
          <cell r="A362" t="str">
            <v>649</v>
          </cell>
        </row>
        <row r="363">
          <cell r="A363" t="str">
            <v>650</v>
          </cell>
        </row>
        <row r="364">
          <cell r="A364" t="str">
            <v>651</v>
          </cell>
        </row>
        <row r="365">
          <cell r="A365" t="str">
            <v>652</v>
          </cell>
        </row>
        <row r="366">
          <cell r="A366" t="str">
            <v>653</v>
          </cell>
        </row>
        <row r="367">
          <cell r="A367" t="str">
            <v>654</v>
          </cell>
        </row>
        <row r="368">
          <cell r="A368" t="str">
            <v>655</v>
          </cell>
        </row>
        <row r="369">
          <cell r="A369" t="str">
            <v>656</v>
          </cell>
        </row>
        <row r="370">
          <cell r="A370" t="str">
            <v>657</v>
          </cell>
        </row>
        <row r="371">
          <cell r="A371" t="str">
            <v>658</v>
          </cell>
        </row>
        <row r="372">
          <cell r="A372" t="str">
            <v>659</v>
          </cell>
        </row>
        <row r="373">
          <cell r="A373" t="str">
            <v>660</v>
          </cell>
        </row>
        <row r="374">
          <cell r="A374" t="str">
            <v>661</v>
          </cell>
        </row>
        <row r="375">
          <cell r="A375" t="str">
            <v>662</v>
          </cell>
        </row>
        <row r="376">
          <cell r="A376" t="str">
            <v>663</v>
          </cell>
        </row>
        <row r="377">
          <cell r="A377" t="str">
            <v>664</v>
          </cell>
        </row>
        <row r="378">
          <cell r="A378" t="str">
            <v>665</v>
          </cell>
        </row>
        <row r="379">
          <cell r="A379" t="str">
            <v>666</v>
          </cell>
        </row>
        <row r="380">
          <cell r="A380" t="str">
            <v>667</v>
          </cell>
        </row>
        <row r="381">
          <cell r="A381" t="str">
            <v>668</v>
          </cell>
        </row>
        <row r="382">
          <cell r="A382" t="str">
            <v>669</v>
          </cell>
        </row>
        <row r="383">
          <cell r="A383" t="str">
            <v>670</v>
          </cell>
        </row>
        <row r="384">
          <cell r="A384" t="str">
            <v>671</v>
          </cell>
        </row>
        <row r="385">
          <cell r="A385" t="str">
            <v>672</v>
          </cell>
        </row>
        <row r="386">
          <cell r="A386" t="str">
            <v>673</v>
          </cell>
        </row>
        <row r="387">
          <cell r="A387" t="str">
            <v>674</v>
          </cell>
        </row>
        <row r="388">
          <cell r="A388" t="str">
            <v>675</v>
          </cell>
        </row>
        <row r="389">
          <cell r="A389" t="str">
            <v>676</v>
          </cell>
        </row>
        <row r="390">
          <cell r="A390" t="str">
            <v>677</v>
          </cell>
        </row>
        <row r="391">
          <cell r="A391" t="str">
            <v>678</v>
          </cell>
        </row>
        <row r="392">
          <cell r="A392" t="str">
            <v>679</v>
          </cell>
        </row>
        <row r="393">
          <cell r="A393" t="str">
            <v>680</v>
          </cell>
        </row>
        <row r="394">
          <cell r="A394" t="str">
            <v>681</v>
          </cell>
        </row>
        <row r="395">
          <cell r="A395" t="str">
            <v>682</v>
          </cell>
        </row>
        <row r="396">
          <cell r="A396" t="str">
            <v>683</v>
          </cell>
        </row>
        <row r="397">
          <cell r="A397" t="str">
            <v>684</v>
          </cell>
        </row>
        <row r="398">
          <cell r="A398" t="str">
            <v>685</v>
          </cell>
        </row>
        <row r="399">
          <cell r="A399" t="str">
            <v>686</v>
          </cell>
        </row>
        <row r="400">
          <cell r="A400" t="str">
            <v>687</v>
          </cell>
        </row>
        <row r="401">
          <cell r="A401" t="str">
            <v>688</v>
          </cell>
        </row>
        <row r="402">
          <cell r="A402" t="str">
            <v>689</v>
          </cell>
        </row>
        <row r="403">
          <cell r="A403" t="str">
            <v>690</v>
          </cell>
        </row>
        <row r="404">
          <cell r="A404" t="str">
            <v>691</v>
          </cell>
        </row>
        <row r="405">
          <cell r="A405" t="str">
            <v>692</v>
          </cell>
        </row>
        <row r="406">
          <cell r="A406" t="str">
            <v>693</v>
          </cell>
        </row>
        <row r="407">
          <cell r="A407" t="str">
            <v>694</v>
          </cell>
        </row>
        <row r="408">
          <cell r="A408" t="str">
            <v>695</v>
          </cell>
        </row>
        <row r="409">
          <cell r="A409" t="str">
            <v>696</v>
          </cell>
        </row>
        <row r="410">
          <cell r="A410" t="str">
            <v>697</v>
          </cell>
        </row>
        <row r="411">
          <cell r="A411" t="str">
            <v>698</v>
          </cell>
        </row>
        <row r="412">
          <cell r="A412" t="str">
            <v>699</v>
          </cell>
        </row>
        <row r="413">
          <cell r="A413" t="str">
            <v>700</v>
          </cell>
        </row>
        <row r="414">
          <cell r="A414" t="str">
            <v>701</v>
          </cell>
        </row>
        <row r="415">
          <cell r="A415" t="str">
            <v>702</v>
          </cell>
        </row>
        <row r="416">
          <cell r="A416" t="str">
            <v>703</v>
          </cell>
        </row>
        <row r="417">
          <cell r="A417" t="str">
            <v>704</v>
          </cell>
        </row>
        <row r="418">
          <cell r="A418" t="str">
            <v>705</v>
          </cell>
        </row>
        <row r="419">
          <cell r="A419" t="str">
            <v>706</v>
          </cell>
        </row>
        <row r="420">
          <cell r="A420" t="str">
            <v>707</v>
          </cell>
        </row>
        <row r="421">
          <cell r="A421" t="str">
            <v>708</v>
          </cell>
        </row>
        <row r="422">
          <cell r="A422" t="str">
            <v>709</v>
          </cell>
        </row>
        <row r="423">
          <cell r="A423" t="str">
            <v>710</v>
          </cell>
        </row>
        <row r="424">
          <cell r="A424" t="str">
            <v>711</v>
          </cell>
        </row>
        <row r="425">
          <cell r="A425" t="str">
            <v>712</v>
          </cell>
        </row>
        <row r="426">
          <cell r="A426" t="str">
            <v>713</v>
          </cell>
        </row>
        <row r="427">
          <cell r="A427" t="str">
            <v>714</v>
          </cell>
        </row>
        <row r="428">
          <cell r="A428" t="str">
            <v>715</v>
          </cell>
        </row>
        <row r="429">
          <cell r="A429" t="str">
            <v>716</v>
          </cell>
        </row>
        <row r="430">
          <cell r="A430" t="str">
            <v>717</v>
          </cell>
        </row>
        <row r="431">
          <cell r="A431" t="str">
            <v>718</v>
          </cell>
        </row>
        <row r="432">
          <cell r="A432" t="str">
            <v>719</v>
          </cell>
        </row>
        <row r="433">
          <cell r="A433" t="str">
            <v>720</v>
          </cell>
        </row>
        <row r="434">
          <cell r="A434" t="str">
            <v>721</v>
          </cell>
        </row>
        <row r="435">
          <cell r="A435" t="str">
            <v>722</v>
          </cell>
        </row>
        <row r="436">
          <cell r="A436" t="str">
            <v>723</v>
          </cell>
        </row>
        <row r="437">
          <cell r="A437" t="str">
            <v>724</v>
          </cell>
        </row>
        <row r="438">
          <cell r="A438" t="str">
            <v>725</v>
          </cell>
        </row>
        <row r="439">
          <cell r="A439" t="str">
            <v>726</v>
          </cell>
        </row>
        <row r="440">
          <cell r="A440" t="str">
            <v>728</v>
          </cell>
        </row>
        <row r="441">
          <cell r="A441" t="str">
            <v>729</v>
          </cell>
        </row>
        <row r="442">
          <cell r="A442" t="str">
            <v>730</v>
          </cell>
        </row>
        <row r="443">
          <cell r="A443" t="str">
            <v>731</v>
          </cell>
        </row>
        <row r="444">
          <cell r="A444" t="str">
            <v>733</v>
          </cell>
        </row>
        <row r="445">
          <cell r="A445" t="str">
            <v>734</v>
          </cell>
        </row>
        <row r="446">
          <cell r="A446" t="str">
            <v>735</v>
          </cell>
        </row>
        <row r="447">
          <cell r="A447" t="str">
            <v>736</v>
          </cell>
        </row>
        <row r="448">
          <cell r="A448" t="str">
            <v>738</v>
          </cell>
        </row>
        <row r="449">
          <cell r="A449" t="str">
            <v>739</v>
          </cell>
        </row>
        <row r="450">
          <cell r="A450" t="str">
            <v>741</v>
          </cell>
        </row>
        <row r="451">
          <cell r="A451" t="str">
            <v>742</v>
          </cell>
        </row>
        <row r="452">
          <cell r="A452" t="str">
            <v>743</v>
          </cell>
        </row>
        <row r="453">
          <cell r="A453" t="str">
            <v>744</v>
          </cell>
        </row>
        <row r="454">
          <cell r="A454" t="str">
            <v>745</v>
          </cell>
        </row>
        <row r="455">
          <cell r="A455" t="str">
            <v>746</v>
          </cell>
        </row>
        <row r="456">
          <cell r="A456" t="str">
            <v>771</v>
          </cell>
        </row>
        <row r="457">
          <cell r="A457" t="str">
            <v>772</v>
          </cell>
        </row>
        <row r="458">
          <cell r="A458" t="str">
            <v>773</v>
          </cell>
        </row>
        <row r="459">
          <cell r="A459" t="str">
            <v>774</v>
          </cell>
        </row>
        <row r="460">
          <cell r="A460" t="str">
            <v>775</v>
          </cell>
        </row>
        <row r="461">
          <cell r="A461" t="str">
            <v>776</v>
          </cell>
        </row>
        <row r="462">
          <cell r="A462" t="str">
            <v>777</v>
          </cell>
        </row>
        <row r="463">
          <cell r="A463" t="str">
            <v>778</v>
          </cell>
        </row>
        <row r="464">
          <cell r="A464" t="str">
            <v>779</v>
          </cell>
        </row>
        <row r="465">
          <cell r="A465" t="str">
            <v>780</v>
          </cell>
        </row>
        <row r="466">
          <cell r="A466" t="str">
            <v>781</v>
          </cell>
        </row>
        <row r="467">
          <cell r="A467" t="str">
            <v>782</v>
          </cell>
        </row>
        <row r="468">
          <cell r="A468" t="str">
            <v>783</v>
          </cell>
        </row>
        <row r="469">
          <cell r="A469" t="str">
            <v>784</v>
          </cell>
        </row>
        <row r="470">
          <cell r="A470" t="str">
            <v>785</v>
          </cell>
        </row>
        <row r="471">
          <cell r="A471" t="str">
            <v>786</v>
          </cell>
        </row>
        <row r="472">
          <cell r="A472" t="str">
            <v>787</v>
          </cell>
        </row>
        <row r="473">
          <cell r="A473" t="str">
            <v>788</v>
          </cell>
        </row>
        <row r="474">
          <cell r="A474" t="str">
            <v>789</v>
          </cell>
        </row>
        <row r="475">
          <cell r="A475" t="str">
            <v>790</v>
          </cell>
        </row>
        <row r="476">
          <cell r="A476" t="str">
            <v>791</v>
          </cell>
        </row>
        <row r="477">
          <cell r="A477" t="str">
            <v>792</v>
          </cell>
        </row>
        <row r="478">
          <cell r="A478" t="str">
            <v>793</v>
          </cell>
        </row>
        <row r="479">
          <cell r="A479" t="str">
            <v>794</v>
          </cell>
        </row>
        <row r="480">
          <cell r="A480" t="str">
            <v>795</v>
          </cell>
        </row>
        <row r="481">
          <cell r="A481" t="str">
            <v>796</v>
          </cell>
        </row>
        <row r="482">
          <cell r="A482" t="str">
            <v>797</v>
          </cell>
        </row>
        <row r="483">
          <cell r="A483" t="str">
            <v>798</v>
          </cell>
        </row>
        <row r="484">
          <cell r="A484" t="str">
            <v>799</v>
          </cell>
        </row>
        <row r="485">
          <cell r="A485" t="str">
            <v>800</v>
          </cell>
        </row>
        <row r="486">
          <cell r="A486" t="str">
            <v>801</v>
          </cell>
        </row>
        <row r="487">
          <cell r="A487" t="str">
            <v>802</v>
          </cell>
        </row>
        <row r="488">
          <cell r="A488" t="str">
            <v>803</v>
          </cell>
        </row>
        <row r="489">
          <cell r="A489" t="str">
            <v>804</v>
          </cell>
        </row>
        <row r="490">
          <cell r="A490" t="str">
            <v>805</v>
          </cell>
        </row>
        <row r="491">
          <cell r="A491" t="str">
            <v>806</v>
          </cell>
        </row>
        <row r="492">
          <cell r="A492" t="str">
            <v>807</v>
          </cell>
        </row>
        <row r="493">
          <cell r="A493" t="str">
            <v>808</v>
          </cell>
        </row>
        <row r="494">
          <cell r="A494" t="str">
            <v>809</v>
          </cell>
        </row>
        <row r="495">
          <cell r="A495" t="str">
            <v>810</v>
          </cell>
        </row>
        <row r="496">
          <cell r="A496" t="str">
            <v>811</v>
          </cell>
        </row>
        <row r="497">
          <cell r="A497" t="str">
            <v>812</v>
          </cell>
        </row>
        <row r="498">
          <cell r="A498" t="str">
            <v>813</v>
          </cell>
        </row>
        <row r="499">
          <cell r="A499" t="str">
            <v>814</v>
          </cell>
        </row>
        <row r="500">
          <cell r="A500" t="str">
            <v>815</v>
          </cell>
        </row>
        <row r="501">
          <cell r="A501" t="str">
            <v>816</v>
          </cell>
        </row>
        <row r="502">
          <cell r="A502" t="str">
            <v>817</v>
          </cell>
        </row>
        <row r="503">
          <cell r="A503" t="str">
            <v>818</v>
          </cell>
        </row>
        <row r="504">
          <cell r="A504" t="str">
            <v>819</v>
          </cell>
        </row>
        <row r="505">
          <cell r="A505" t="str">
            <v>820</v>
          </cell>
        </row>
        <row r="506">
          <cell r="A506" t="str">
            <v>821</v>
          </cell>
        </row>
        <row r="507">
          <cell r="A507" t="str">
            <v>822</v>
          </cell>
        </row>
        <row r="508">
          <cell r="A508" t="str">
            <v>823</v>
          </cell>
        </row>
        <row r="509">
          <cell r="A509" t="str">
            <v>824</v>
          </cell>
        </row>
        <row r="510">
          <cell r="A510" t="str">
            <v>825</v>
          </cell>
        </row>
        <row r="511">
          <cell r="A511" t="str">
            <v>826</v>
          </cell>
        </row>
        <row r="512">
          <cell r="A512" t="str">
            <v>827</v>
          </cell>
        </row>
        <row r="513">
          <cell r="A513" t="str">
            <v>828</v>
          </cell>
        </row>
        <row r="514">
          <cell r="A514" t="str">
            <v>829</v>
          </cell>
        </row>
        <row r="515">
          <cell r="A515" t="str">
            <v>830</v>
          </cell>
        </row>
        <row r="516">
          <cell r="A516" t="str">
            <v>831</v>
          </cell>
        </row>
        <row r="517">
          <cell r="A517" t="str">
            <v>833</v>
          </cell>
        </row>
        <row r="518">
          <cell r="A518" t="str">
            <v>834</v>
          </cell>
        </row>
        <row r="519">
          <cell r="A519" t="str">
            <v>835</v>
          </cell>
        </row>
        <row r="520">
          <cell r="A520" t="str">
            <v>836</v>
          </cell>
        </row>
        <row r="521">
          <cell r="A521" t="str">
            <v>837</v>
          </cell>
        </row>
        <row r="522">
          <cell r="A522" t="str">
            <v>838</v>
          </cell>
        </row>
        <row r="523">
          <cell r="A523" t="str">
            <v>839</v>
          </cell>
        </row>
        <row r="524">
          <cell r="A524" t="str">
            <v>840</v>
          </cell>
        </row>
        <row r="525">
          <cell r="A525" t="str">
            <v>841</v>
          </cell>
        </row>
        <row r="526">
          <cell r="A526" t="str">
            <v>842</v>
          </cell>
        </row>
        <row r="527">
          <cell r="A527" t="str">
            <v>843</v>
          </cell>
        </row>
        <row r="528">
          <cell r="A528" t="str">
            <v>844</v>
          </cell>
        </row>
        <row r="529">
          <cell r="A529" t="str">
            <v>845</v>
          </cell>
        </row>
        <row r="530">
          <cell r="A530" t="str">
            <v>846</v>
          </cell>
        </row>
        <row r="531">
          <cell r="A531" t="str">
            <v>847</v>
          </cell>
        </row>
        <row r="532">
          <cell r="A532" t="str">
            <v>850</v>
          </cell>
        </row>
        <row r="533">
          <cell r="A533" t="str">
            <v>851</v>
          </cell>
        </row>
        <row r="534">
          <cell r="A534" t="str">
            <v>852</v>
          </cell>
        </row>
        <row r="535">
          <cell r="A535" t="str">
            <v>853</v>
          </cell>
        </row>
        <row r="536">
          <cell r="A536" t="str">
            <v>854</v>
          </cell>
        </row>
        <row r="537">
          <cell r="A537" t="str">
            <v>855</v>
          </cell>
        </row>
        <row r="538">
          <cell r="A538" t="str">
            <v>856</v>
          </cell>
        </row>
        <row r="539">
          <cell r="A539" t="str">
            <v>857</v>
          </cell>
        </row>
        <row r="540">
          <cell r="A540" t="str">
            <v>858</v>
          </cell>
        </row>
        <row r="541">
          <cell r="A541" t="str">
            <v>859</v>
          </cell>
        </row>
        <row r="542">
          <cell r="A542" t="str">
            <v>860</v>
          </cell>
        </row>
        <row r="543">
          <cell r="A543" t="str">
            <v>861</v>
          </cell>
        </row>
        <row r="544">
          <cell r="A544" t="str">
            <v>862</v>
          </cell>
        </row>
        <row r="545">
          <cell r="A545" t="str">
            <v>863</v>
          </cell>
        </row>
        <row r="546">
          <cell r="A546" t="str">
            <v>864</v>
          </cell>
        </row>
        <row r="547">
          <cell r="A547" t="str">
            <v>865</v>
          </cell>
        </row>
        <row r="548">
          <cell r="A548" t="str">
            <v>866</v>
          </cell>
        </row>
        <row r="549">
          <cell r="A549" t="str">
            <v>867</v>
          </cell>
        </row>
        <row r="550">
          <cell r="A550" t="str">
            <v>868</v>
          </cell>
        </row>
        <row r="551">
          <cell r="A551" t="str">
            <v>869</v>
          </cell>
        </row>
        <row r="552">
          <cell r="A552" t="str">
            <v>870</v>
          </cell>
        </row>
        <row r="553">
          <cell r="A553" t="str">
            <v>871</v>
          </cell>
        </row>
        <row r="554">
          <cell r="A554" t="str">
            <v>872</v>
          </cell>
        </row>
        <row r="555">
          <cell r="A555" t="str">
            <v>873</v>
          </cell>
        </row>
        <row r="556">
          <cell r="A556" t="str">
            <v>874</v>
          </cell>
        </row>
        <row r="557">
          <cell r="A557" t="str">
            <v>875</v>
          </cell>
        </row>
        <row r="558">
          <cell r="A558" t="str">
            <v>876</v>
          </cell>
        </row>
        <row r="559">
          <cell r="A559" t="str">
            <v>877</v>
          </cell>
        </row>
        <row r="560">
          <cell r="A560" t="str">
            <v>878</v>
          </cell>
        </row>
        <row r="561">
          <cell r="A561" t="str">
            <v>879</v>
          </cell>
        </row>
        <row r="562">
          <cell r="A562" t="str">
            <v>880</v>
          </cell>
        </row>
        <row r="563">
          <cell r="A563" t="str">
            <v>881</v>
          </cell>
        </row>
        <row r="564">
          <cell r="A564" t="str">
            <v>882</v>
          </cell>
        </row>
        <row r="565">
          <cell r="A565" t="str">
            <v>883</v>
          </cell>
        </row>
        <row r="566">
          <cell r="A566" t="str">
            <v>884</v>
          </cell>
        </row>
        <row r="567">
          <cell r="A567" t="str">
            <v>885</v>
          </cell>
        </row>
        <row r="568">
          <cell r="A568" t="str">
            <v>886</v>
          </cell>
        </row>
        <row r="569">
          <cell r="A569" t="str">
            <v>887</v>
          </cell>
        </row>
        <row r="570">
          <cell r="A570" t="str">
            <v>888</v>
          </cell>
        </row>
        <row r="571">
          <cell r="A571" t="str">
            <v>889</v>
          </cell>
        </row>
        <row r="572">
          <cell r="A572" t="str">
            <v>890</v>
          </cell>
        </row>
        <row r="573">
          <cell r="A573" t="str">
            <v>891</v>
          </cell>
        </row>
        <row r="574">
          <cell r="A574" t="str">
            <v>892</v>
          </cell>
        </row>
        <row r="575">
          <cell r="A575" t="str">
            <v>893</v>
          </cell>
        </row>
        <row r="576">
          <cell r="A576" t="str">
            <v>894</v>
          </cell>
        </row>
        <row r="577">
          <cell r="A577" t="str">
            <v>895</v>
          </cell>
        </row>
        <row r="578">
          <cell r="A578" t="str">
            <v>896</v>
          </cell>
        </row>
        <row r="579">
          <cell r="A579" t="str">
            <v>897</v>
          </cell>
        </row>
        <row r="580">
          <cell r="A580" t="str">
            <v>898</v>
          </cell>
        </row>
        <row r="581">
          <cell r="A581" t="str">
            <v>899</v>
          </cell>
        </row>
        <row r="582">
          <cell r="A582" t="str">
            <v>900</v>
          </cell>
        </row>
        <row r="583">
          <cell r="A583" t="str">
            <v>901</v>
          </cell>
        </row>
        <row r="584">
          <cell r="A584" t="str">
            <v>902</v>
          </cell>
        </row>
        <row r="585">
          <cell r="A585" t="str">
            <v>903</v>
          </cell>
        </row>
        <row r="586">
          <cell r="A586" t="str">
            <v>904</v>
          </cell>
        </row>
        <row r="587">
          <cell r="A587" t="str">
            <v>905</v>
          </cell>
        </row>
        <row r="588">
          <cell r="A588" t="str">
            <v>906</v>
          </cell>
        </row>
        <row r="589">
          <cell r="A589" t="str">
            <v>907</v>
          </cell>
        </row>
        <row r="590">
          <cell r="A590" t="str">
            <v>908</v>
          </cell>
        </row>
        <row r="591">
          <cell r="A591" t="str">
            <v>909</v>
          </cell>
        </row>
        <row r="592">
          <cell r="A592" t="str">
            <v>M02</v>
          </cell>
        </row>
        <row r="593">
          <cell r="A593" t="str">
            <v>M03</v>
          </cell>
        </row>
        <row r="594">
          <cell r="A594" t="str">
            <v>M04</v>
          </cell>
        </row>
        <row r="595">
          <cell r="A595" t="str">
            <v>M05</v>
          </cell>
        </row>
        <row r="596">
          <cell r="A596" t="str">
            <v>M06</v>
          </cell>
        </row>
        <row r="597">
          <cell r="A597" t="str">
            <v>M07</v>
          </cell>
        </row>
        <row r="598">
          <cell r="A598" t="str">
            <v>M08</v>
          </cell>
        </row>
        <row r="599">
          <cell r="A599" t="str">
            <v>M09</v>
          </cell>
        </row>
        <row r="600">
          <cell r="A600" t="str">
            <v>M10</v>
          </cell>
        </row>
        <row r="601">
          <cell r="A601" t="str">
            <v>M11</v>
          </cell>
        </row>
        <row r="602">
          <cell r="A602" t="str">
            <v>M12</v>
          </cell>
        </row>
        <row r="603">
          <cell r="A603" t="str">
            <v>M13</v>
          </cell>
        </row>
        <row r="604">
          <cell r="A604" t="str">
            <v>M14</v>
          </cell>
        </row>
        <row r="605">
          <cell r="A605" t="str">
            <v>M23</v>
          </cell>
        </row>
        <row r="606">
          <cell r="A606" t="str">
            <v>M24</v>
          </cell>
        </row>
        <row r="607">
          <cell r="A607" t="str">
            <v>M25</v>
          </cell>
        </row>
        <row r="608">
          <cell r="A608" t="str">
            <v>M26</v>
          </cell>
        </row>
        <row r="609">
          <cell r="A609" t="str">
            <v>M27</v>
          </cell>
        </row>
        <row r="610">
          <cell r="A610" t="str">
            <v>M56</v>
          </cell>
        </row>
        <row r="611">
          <cell r="A611" t="str">
            <v>M57</v>
          </cell>
        </row>
        <row r="612">
          <cell r="A612" t="str">
            <v>M58</v>
          </cell>
        </row>
        <row r="613">
          <cell r="A613" t="str">
            <v>M59</v>
          </cell>
        </row>
        <row r="614">
          <cell r="A614" t="str">
            <v>M60</v>
          </cell>
        </row>
        <row r="615">
          <cell r="A615" t="str">
            <v>M61</v>
          </cell>
        </row>
        <row r="616">
          <cell r="A616" t="str">
            <v>M62</v>
          </cell>
        </row>
        <row r="617">
          <cell r="A617" t="str">
            <v>M63</v>
          </cell>
        </row>
        <row r="618">
          <cell r="A618" t="str">
            <v>M64</v>
          </cell>
        </row>
        <row r="619">
          <cell r="A619" t="str">
            <v>M65</v>
          </cell>
        </row>
        <row r="620">
          <cell r="A620" t="str">
            <v>M66</v>
          </cell>
        </row>
        <row r="621">
          <cell r="A621" t="str">
            <v>M67</v>
          </cell>
        </row>
        <row r="622">
          <cell r="A622" t="str">
            <v>M68</v>
          </cell>
        </row>
        <row r="623">
          <cell r="A623" t="str">
            <v>M69</v>
          </cell>
        </row>
        <row r="624">
          <cell r="A624" t="str">
            <v>M70</v>
          </cell>
        </row>
        <row r="625">
          <cell r="A625" t="str">
            <v>M72</v>
          </cell>
        </row>
        <row r="626">
          <cell r="A626" t="str">
            <v>M73</v>
          </cell>
        </row>
        <row r="627">
          <cell r="A627" t="str">
            <v>M74</v>
          </cell>
        </row>
        <row r="628">
          <cell r="A628" t="str">
            <v>M75</v>
          </cell>
        </row>
        <row r="629">
          <cell r="A629" t="str">
            <v>M76</v>
          </cell>
        </row>
        <row r="630">
          <cell r="A630" t="str">
            <v>M77</v>
          </cell>
        </row>
        <row r="631">
          <cell r="A631" t="str">
            <v>M78</v>
          </cell>
        </row>
        <row r="632">
          <cell r="A632" t="str">
            <v>M79</v>
          </cell>
        </row>
        <row r="633">
          <cell r="A633" t="str">
            <v>M80</v>
          </cell>
        </row>
        <row r="634">
          <cell r="A634" t="str">
            <v>M95</v>
          </cell>
        </row>
        <row r="635">
          <cell r="A635" t="str">
            <v>M96</v>
          </cell>
        </row>
        <row r="636">
          <cell r="A636" t="str">
            <v>M97</v>
          </cell>
        </row>
        <row r="637">
          <cell r="A637" t="str">
            <v>M98</v>
          </cell>
        </row>
        <row r="638">
          <cell r="A638" t="str">
            <v>M99</v>
          </cell>
        </row>
        <row r="639">
          <cell r="A639" t="str">
            <v>N01</v>
          </cell>
        </row>
        <row r="640">
          <cell r="A640" t="str">
            <v>N02</v>
          </cell>
        </row>
        <row r="641">
          <cell r="A641" t="str">
            <v>N03</v>
          </cell>
        </row>
        <row r="642">
          <cell r="A642" t="str">
            <v>N04</v>
          </cell>
        </row>
        <row r="643">
          <cell r="A643" t="str">
            <v>N05</v>
          </cell>
        </row>
        <row r="644">
          <cell r="A644" t="str">
            <v>N11</v>
          </cell>
        </row>
        <row r="645">
          <cell r="A645" t="str">
            <v>N12</v>
          </cell>
        </row>
        <row r="646">
          <cell r="A646" t="str">
            <v>N13</v>
          </cell>
        </row>
        <row r="647">
          <cell r="A647" t="str">
            <v>N14</v>
          </cell>
        </row>
        <row r="648">
          <cell r="A648" t="str">
            <v>N17</v>
          </cell>
        </row>
        <row r="649">
          <cell r="A649" t="str">
            <v>N18</v>
          </cell>
        </row>
        <row r="650">
          <cell r="A650" t="str">
            <v>N19</v>
          </cell>
        </row>
        <row r="651">
          <cell r="A651" t="str">
            <v>N20</v>
          </cell>
        </row>
        <row r="652">
          <cell r="A652" t="str">
            <v>N21</v>
          </cell>
        </row>
        <row r="653">
          <cell r="A653" t="str">
            <v>N22</v>
          </cell>
        </row>
        <row r="654">
          <cell r="A654" t="str">
            <v>N41</v>
          </cell>
        </row>
        <row r="655">
          <cell r="A655" t="str">
            <v>N50</v>
          </cell>
        </row>
        <row r="656">
          <cell r="A656" t="str">
            <v>N51</v>
          </cell>
        </row>
        <row r="657">
          <cell r="A657" t="str">
            <v>N52</v>
          </cell>
        </row>
        <row r="658">
          <cell r="A658" t="str">
            <v>N53</v>
          </cell>
        </row>
        <row r="659">
          <cell r="A659" t="str">
            <v>N54</v>
          </cell>
        </row>
        <row r="660">
          <cell r="A660" t="str">
            <v>N89</v>
          </cell>
        </row>
        <row r="661">
          <cell r="A661" t="str">
            <v>N90</v>
          </cell>
        </row>
        <row r="662">
          <cell r="A662" t="str">
            <v>N91</v>
          </cell>
        </row>
        <row r="663">
          <cell r="A663" t="str">
            <v>N92</v>
          </cell>
        </row>
        <row r="664">
          <cell r="A664" t="str">
            <v>N93</v>
          </cell>
        </row>
        <row r="665">
          <cell r="A665" t="str">
            <v>N94</v>
          </cell>
        </row>
        <row r="666">
          <cell r="A666" t="str">
            <v>N95</v>
          </cell>
        </row>
        <row r="667">
          <cell r="A667" t="str">
            <v>P02</v>
          </cell>
        </row>
        <row r="668">
          <cell r="A668" t="str">
            <v>P03</v>
          </cell>
        </row>
        <row r="669">
          <cell r="A669" t="str">
            <v>P04</v>
          </cell>
        </row>
        <row r="670">
          <cell r="A670" t="str">
            <v>P05</v>
          </cell>
        </row>
        <row r="671">
          <cell r="A671" t="str">
            <v>P06</v>
          </cell>
        </row>
        <row r="672">
          <cell r="A672" t="str">
            <v>P07</v>
          </cell>
        </row>
        <row r="673">
          <cell r="A673" t="str">
            <v>P08</v>
          </cell>
        </row>
        <row r="674">
          <cell r="A674" t="str">
            <v>P09</v>
          </cell>
        </row>
        <row r="675">
          <cell r="A675" t="str">
            <v>P10</v>
          </cell>
        </row>
        <row r="676">
          <cell r="A676" t="str">
            <v>P11</v>
          </cell>
        </row>
        <row r="677">
          <cell r="A677" t="str">
            <v>P12</v>
          </cell>
        </row>
        <row r="678">
          <cell r="A678" t="str">
            <v>P13</v>
          </cell>
        </row>
        <row r="679">
          <cell r="A679" t="str">
            <v>P14</v>
          </cell>
        </row>
        <row r="680">
          <cell r="A680" t="str">
            <v>P15</v>
          </cell>
        </row>
        <row r="681">
          <cell r="A681" t="str">
            <v>P16</v>
          </cell>
        </row>
        <row r="682">
          <cell r="A682" t="str">
            <v>P17</v>
          </cell>
        </row>
        <row r="683">
          <cell r="A683" t="str">
            <v>P18</v>
          </cell>
        </row>
        <row r="684">
          <cell r="A684" t="str">
            <v>P19</v>
          </cell>
        </row>
        <row r="685">
          <cell r="A685" t="str">
            <v>P23</v>
          </cell>
        </row>
        <row r="686">
          <cell r="A686" t="str">
            <v>P26</v>
          </cell>
        </row>
        <row r="687">
          <cell r="A687" t="str">
            <v>P27</v>
          </cell>
        </row>
        <row r="688">
          <cell r="A688" t="str">
            <v>P28</v>
          </cell>
        </row>
        <row r="689">
          <cell r="A689" t="str">
            <v>P55</v>
          </cell>
        </row>
        <row r="690">
          <cell r="A690" t="str">
            <v>P56</v>
          </cell>
        </row>
        <row r="691">
          <cell r="A691" t="str">
            <v>P57</v>
          </cell>
        </row>
        <row r="692">
          <cell r="A692" t="str">
            <v>P58</v>
          </cell>
        </row>
        <row r="693">
          <cell r="A693" t="str">
            <v>P59</v>
          </cell>
        </row>
        <row r="694">
          <cell r="A694" t="str">
            <v>P60</v>
          </cell>
        </row>
        <row r="695">
          <cell r="A695" t="str">
            <v>P61</v>
          </cell>
        </row>
        <row r="696">
          <cell r="A696" t="str">
            <v>P62</v>
          </cell>
        </row>
        <row r="697">
          <cell r="A697" t="str">
            <v>P63</v>
          </cell>
        </row>
        <row r="698">
          <cell r="A698" t="str">
            <v>P64</v>
          </cell>
        </row>
        <row r="699">
          <cell r="A699" t="str">
            <v>P65</v>
          </cell>
        </row>
        <row r="700">
          <cell r="A700" t="str">
            <v>P66</v>
          </cell>
        </row>
        <row r="701">
          <cell r="A701" t="str">
            <v>P67</v>
          </cell>
        </row>
        <row r="702">
          <cell r="A702" t="str">
            <v>P68</v>
          </cell>
        </row>
        <row r="703">
          <cell r="A703" t="str">
            <v>P69</v>
          </cell>
        </row>
        <row r="704">
          <cell r="A704" t="str">
            <v>P70</v>
          </cell>
        </row>
        <row r="705">
          <cell r="A705" t="str">
            <v>P71</v>
          </cell>
        </row>
        <row r="706">
          <cell r="A706" t="str">
            <v>P72</v>
          </cell>
        </row>
        <row r="707">
          <cell r="A707" t="str">
            <v>P73</v>
          </cell>
        </row>
        <row r="708">
          <cell r="A708" t="str">
            <v>P74</v>
          </cell>
        </row>
        <row r="709">
          <cell r="A709" t="str">
            <v>P75</v>
          </cell>
        </row>
        <row r="710">
          <cell r="A710" t="str">
            <v>P76</v>
          </cell>
        </row>
        <row r="711">
          <cell r="A711" t="str">
            <v>P77</v>
          </cell>
        </row>
        <row r="712">
          <cell r="A712" t="str">
            <v>P78</v>
          </cell>
        </row>
        <row r="713">
          <cell r="A713" t="str">
            <v>P79</v>
          </cell>
        </row>
        <row r="714">
          <cell r="A714" t="str">
            <v>P80</v>
          </cell>
        </row>
        <row r="715">
          <cell r="A715" t="str">
            <v>P81</v>
          </cell>
        </row>
        <row r="716">
          <cell r="A716" t="str">
            <v>P82</v>
          </cell>
        </row>
        <row r="717">
          <cell r="A717" t="str">
            <v>R02</v>
          </cell>
        </row>
        <row r="718">
          <cell r="A718" t="str">
            <v>R03</v>
          </cell>
        </row>
        <row r="719">
          <cell r="A719" t="str">
            <v>R04</v>
          </cell>
        </row>
        <row r="720">
          <cell r="A720" t="str">
            <v>R08</v>
          </cell>
        </row>
        <row r="721">
          <cell r="A721" t="str">
            <v>R09</v>
          </cell>
        </row>
        <row r="722">
          <cell r="A722" t="str">
            <v>R11</v>
          </cell>
        </row>
        <row r="723">
          <cell r="A723" t="str">
            <v>R12</v>
          </cell>
        </row>
        <row r="724">
          <cell r="A724" t="str">
            <v>R13</v>
          </cell>
        </row>
        <row r="725">
          <cell r="A725" t="str">
            <v>R14</v>
          </cell>
        </row>
        <row r="726">
          <cell r="A726" t="str">
            <v>R15</v>
          </cell>
        </row>
        <row r="727">
          <cell r="A727" t="str">
            <v>R16</v>
          </cell>
        </row>
        <row r="728">
          <cell r="A728" t="str">
            <v>R17</v>
          </cell>
        </row>
        <row r="729">
          <cell r="A729" t="str">
            <v>R31</v>
          </cell>
        </row>
        <row r="730">
          <cell r="A730" t="str">
            <v>R32</v>
          </cell>
        </row>
        <row r="731">
          <cell r="A731" t="str">
            <v>R33</v>
          </cell>
        </row>
        <row r="732">
          <cell r="A732" t="str">
            <v>R37</v>
          </cell>
        </row>
        <row r="733">
          <cell r="A733" t="str">
            <v>S02</v>
          </cell>
        </row>
        <row r="734">
          <cell r="A734" t="str">
            <v>S03</v>
          </cell>
        </row>
        <row r="735">
          <cell r="A735" t="str">
            <v>S04</v>
          </cell>
        </row>
        <row r="736">
          <cell r="A736" t="str">
            <v>S05</v>
          </cell>
        </row>
        <row r="737">
          <cell r="A737" t="str">
            <v>S06</v>
          </cell>
        </row>
        <row r="738">
          <cell r="A738" t="str">
            <v>S07</v>
          </cell>
        </row>
        <row r="739">
          <cell r="A739" t="str">
            <v>S08</v>
          </cell>
        </row>
        <row r="740">
          <cell r="A740" t="str">
            <v>S14</v>
          </cell>
        </row>
        <row r="741">
          <cell r="A741" t="str">
            <v>S15</v>
          </cell>
        </row>
        <row r="742">
          <cell r="A742" t="str">
            <v>S16</v>
          </cell>
        </row>
        <row r="743">
          <cell r="A743" t="str">
            <v>S24</v>
          </cell>
        </row>
        <row r="744">
          <cell r="A744" t="str">
            <v>S25</v>
          </cell>
        </row>
        <row r="745">
          <cell r="A745" t="str">
            <v>S28</v>
          </cell>
        </row>
        <row r="746">
          <cell r="A746" t="str">
            <v>S83</v>
          </cell>
        </row>
        <row r="747">
          <cell r="A747" t="str">
            <v>S84</v>
          </cell>
        </row>
        <row r="748">
          <cell r="A748" t="str">
            <v>S85</v>
          </cell>
        </row>
        <row r="749">
          <cell r="A749" t="str">
            <v>S86</v>
          </cell>
        </row>
        <row r="750">
          <cell r="A750" t="str">
            <v>S87</v>
          </cell>
        </row>
        <row r="751">
          <cell r="A751" t="str">
            <v>S88</v>
          </cell>
        </row>
        <row r="752">
          <cell r="A752" t="str">
            <v>T02</v>
          </cell>
        </row>
        <row r="753">
          <cell r="A753" t="str">
            <v>T03</v>
          </cell>
        </row>
        <row r="754">
          <cell r="A754" t="str">
            <v>T04</v>
          </cell>
        </row>
        <row r="755">
          <cell r="A755" t="str">
            <v>T05</v>
          </cell>
        </row>
        <row r="756">
          <cell r="A756" t="str">
            <v>T06</v>
          </cell>
        </row>
        <row r="757">
          <cell r="A757" t="str">
            <v>T07</v>
          </cell>
        </row>
        <row r="758">
          <cell r="A758" t="str">
            <v>T08</v>
          </cell>
        </row>
        <row r="759">
          <cell r="A759" t="str">
            <v>T09</v>
          </cell>
        </row>
        <row r="760">
          <cell r="A760" t="str">
            <v>T14</v>
          </cell>
        </row>
        <row r="761">
          <cell r="A761" t="str">
            <v>T15</v>
          </cell>
        </row>
        <row r="762">
          <cell r="A762" t="str">
            <v>T16</v>
          </cell>
        </row>
        <row r="763">
          <cell r="A763" t="str">
            <v>T17</v>
          </cell>
        </row>
        <row r="764">
          <cell r="A764" t="str">
            <v>T18</v>
          </cell>
        </row>
        <row r="765">
          <cell r="A765" t="str">
            <v>T19</v>
          </cell>
        </row>
        <row r="766">
          <cell r="A766" t="str">
            <v>T21</v>
          </cell>
        </row>
        <row r="767">
          <cell r="A767" t="str">
            <v>T22</v>
          </cell>
        </row>
        <row r="768">
          <cell r="A768" t="str">
            <v>T23</v>
          </cell>
        </row>
        <row r="769">
          <cell r="A769" t="str">
            <v>T24</v>
          </cell>
        </row>
        <row r="770">
          <cell r="A770" t="str">
            <v>T25</v>
          </cell>
        </row>
        <row r="771">
          <cell r="A771" t="str">
            <v>T26</v>
          </cell>
        </row>
        <row r="772">
          <cell r="A772" t="str">
            <v>T27</v>
          </cell>
        </row>
        <row r="773">
          <cell r="A773" t="str">
            <v>T28</v>
          </cell>
        </row>
        <row r="774">
          <cell r="A774" t="str">
            <v>T29</v>
          </cell>
        </row>
        <row r="775">
          <cell r="A775" t="str">
            <v>T30</v>
          </cell>
        </row>
        <row r="776">
          <cell r="A776" t="str">
            <v>T31</v>
          </cell>
        </row>
        <row r="777">
          <cell r="A777" t="str">
            <v>T32</v>
          </cell>
        </row>
        <row r="778">
          <cell r="A778" t="str">
            <v>T33</v>
          </cell>
        </row>
        <row r="779">
          <cell r="A779" t="str">
            <v>T34</v>
          </cell>
        </row>
        <row r="780">
          <cell r="A780" t="str">
            <v>T35</v>
          </cell>
        </row>
        <row r="781">
          <cell r="A781" t="str">
            <v>T36</v>
          </cell>
        </row>
        <row r="782">
          <cell r="A782" t="str">
            <v>T37</v>
          </cell>
        </row>
      </sheetData>
      <sheetData sheetId="8">
        <row r="3">
          <cell r="A3" t="str">
            <v>11617</v>
          </cell>
        </row>
        <row r="4">
          <cell r="A4" t="str">
            <v>14101</v>
          </cell>
        </row>
        <row r="5">
          <cell r="A5" t="str">
            <v>14111</v>
          </cell>
        </row>
        <row r="6">
          <cell r="A6" t="str">
            <v>14201</v>
          </cell>
        </row>
        <row r="7">
          <cell r="A7" t="str">
            <v>14211</v>
          </cell>
        </row>
        <row r="8">
          <cell r="A8" t="str">
            <v>14221</v>
          </cell>
        </row>
        <row r="9">
          <cell r="A9" t="str">
            <v>14301</v>
          </cell>
        </row>
        <row r="10">
          <cell r="A10" t="str">
            <v>14401</v>
          </cell>
        </row>
        <row r="11">
          <cell r="A11" t="str">
            <v>14501</v>
          </cell>
        </row>
        <row r="12">
          <cell r="A12" t="str">
            <v>14601</v>
          </cell>
        </row>
        <row r="13">
          <cell r="A13" t="str">
            <v>14801</v>
          </cell>
        </row>
        <row r="14">
          <cell r="A14" t="str">
            <v>16801</v>
          </cell>
        </row>
        <row r="15">
          <cell r="A15" t="str">
            <v>21798</v>
          </cell>
        </row>
        <row r="16">
          <cell r="A16" t="str">
            <v>52301</v>
          </cell>
        </row>
        <row r="17">
          <cell r="A17" t="str">
            <v>53000</v>
          </cell>
        </row>
        <row r="18">
          <cell r="A18" t="str">
            <v>53010</v>
          </cell>
        </row>
        <row r="19">
          <cell r="A19" t="str">
            <v>53015</v>
          </cell>
        </row>
        <row r="20">
          <cell r="A20" t="str">
            <v>53020</v>
          </cell>
        </row>
        <row r="21">
          <cell r="A21" t="str">
            <v>53025</v>
          </cell>
        </row>
        <row r="22">
          <cell r="A22" t="str">
            <v>53030</v>
          </cell>
        </row>
        <row r="23">
          <cell r="A23" t="str">
            <v>53035</v>
          </cell>
        </row>
        <row r="24">
          <cell r="A24" t="str">
            <v>53040</v>
          </cell>
        </row>
        <row r="25">
          <cell r="A25" t="str">
            <v>53045</v>
          </cell>
        </row>
        <row r="26">
          <cell r="A26" t="str">
            <v>53050</v>
          </cell>
        </row>
        <row r="27">
          <cell r="A27" t="str">
            <v>53055</v>
          </cell>
        </row>
        <row r="28">
          <cell r="A28" t="str">
            <v>54000</v>
          </cell>
        </row>
        <row r="29">
          <cell r="A29" t="str">
            <v>54995</v>
          </cell>
        </row>
        <row r="30">
          <cell r="A30" t="str">
            <v>55000</v>
          </cell>
        </row>
      </sheetData>
      <sheetData sheetId="9">
        <row r="3">
          <cell r="A3">
            <v>50001200</v>
          </cell>
        </row>
        <row r="4">
          <cell r="A4">
            <v>50001201</v>
          </cell>
        </row>
        <row r="5">
          <cell r="A5">
            <v>50001202</v>
          </cell>
        </row>
        <row r="6">
          <cell r="A6">
            <v>50001203</v>
          </cell>
        </row>
        <row r="7">
          <cell r="A7">
            <v>50001204</v>
          </cell>
        </row>
        <row r="8">
          <cell r="A8">
            <v>50001205</v>
          </cell>
        </row>
        <row r="9">
          <cell r="A9">
            <v>50001206</v>
          </cell>
        </row>
        <row r="10">
          <cell r="A10">
            <v>50001207</v>
          </cell>
        </row>
        <row r="11">
          <cell r="A11">
            <v>50001208</v>
          </cell>
        </row>
        <row r="12">
          <cell r="A12">
            <v>50001209</v>
          </cell>
        </row>
        <row r="13">
          <cell r="A13">
            <v>50001210</v>
          </cell>
        </row>
        <row r="14">
          <cell r="A14">
            <v>50001211</v>
          </cell>
        </row>
        <row r="15">
          <cell r="A15">
            <v>50001212</v>
          </cell>
        </row>
        <row r="16">
          <cell r="A16">
            <v>50001213</v>
          </cell>
        </row>
        <row r="17">
          <cell r="A17">
            <v>50001214</v>
          </cell>
        </row>
        <row r="18">
          <cell r="A18">
            <v>50001214</v>
          </cell>
        </row>
        <row r="19">
          <cell r="A19">
            <v>50001215</v>
          </cell>
        </row>
        <row r="20">
          <cell r="A20">
            <v>50001215</v>
          </cell>
        </row>
        <row r="21">
          <cell r="A21">
            <v>50001216</v>
          </cell>
        </row>
        <row r="22">
          <cell r="A22">
            <v>50001217</v>
          </cell>
        </row>
        <row r="23">
          <cell r="A23">
            <v>50001218</v>
          </cell>
        </row>
        <row r="24">
          <cell r="A24">
            <v>50001219</v>
          </cell>
        </row>
        <row r="25">
          <cell r="A25">
            <v>50001220</v>
          </cell>
        </row>
        <row r="26">
          <cell r="A26">
            <v>50001221</v>
          </cell>
        </row>
        <row r="27">
          <cell r="A27">
            <v>50001222</v>
          </cell>
        </row>
        <row r="28">
          <cell r="A28">
            <v>50001223</v>
          </cell>
        </row>
        <row r="29">
          <cell r="A29">
            <v>50001224</v>
          </cell>
        </row>
        <row r="30">
          <cell r="A30">
            <v>50001225</v>
          </cell>
        </row>
        <row r="31">
          <cell r="A31">
            <v>50001226</v>
          </cell>
        </row>
        <row r="32">
          <cell r="A32">
            <v>50001227</v>
          </cell>
        </row>
        <row r="33">
          <cell r="A33">
            <v>50001228</v>
          </cell>
        </row>
        <row r="34">
          <cell r="A34">
            <v>50001229</v>
          </cell>
        </row>
        <row r="35">
          <cell r="A35">
            <v>50001230</v>
          </cell>
        </row>
        <row r="36">
          <cell r="A36">
            <v>50001231</v>
          </cell>
        </row>
        <row r="37">
          <cell r="A37">
            <v>50001232</v>
          </cell>
        </row>
        <row r="38">
          <cell r="A38">
            <v>50001233</v>
          </cell>
        </row>
        <row r="39">
          <cell r="A39">
            <v>50001234</v>
          </cell>
        </row>
        <row r="40">
          <cell r="A40">
            <v>50001235</v>
          </cell>
        </row>
        <row r="41">
          <cell r="A41">
            <v>50001236</v>
          </cell>
        </row>
        <row r="42">
          <cell r="A42">
            <v>50001237</v>
          </cell>
        </row>
        <row r="43">
          <cell r="A43">
            <v>50001238</v>
          </cell>
        </row>
        <row r="44">
          <cell r="A44">
            <v>50001239</v>
          </cell>
        </row>
        <row r="45">
          <cell r="A45">
            <v>50001240</v>
          </cell>
        </row>
        <row r="46">
          <cell r="A46">
            <v>50001241</v>
          </cell>
        </row>
        <row r="47">
          <cell r="A47">
            <v>50001242</v>
          </cell>
        </row>
        <row r="48">
          <cell r="A48">
            <v>50001243</v>
          </cell>
        </row>
        <row r="49">
          <cell r="A49">
            <v>50001244</v>
          </cell>
        </row>
        <row r="50">
          <cell r="A50">
            <v>50001245</v>
          </cell>
        </row>
        <row r="51">
          <cell r="A51">
            <v>50001246</v>
          </cell>
        </row>
        <row r="52">
          <cell r="A52">
            <v>50001247</v>
          </cell>
        </row>
        <row r="53">
          <cell r="A53">
            <v>50001248</v>
          </cell>
        </row>
        <row r="54">
          <cell r="A54">
            <v>50001249</v>
          </cell>
        </row>
        <row r="55">
          <cell r="A55">
            <v>50001250</v>
          </cell>
        </row>
        <row r="56">
          <cell r="A56">
            <v>50001251</v>
          </cell>
        </row>
        <row r="57">
          <cell r="A57">
            <v>50001252</v>
          </cell>
        </row>
        <row r="58">
          <cell r="A58">
            <v>50001253</v>
          </cell>
        </row>
        <row r="59">
          <cell r="A59">
            <v>50001254</v>
          </cell>
        </row>
        <row r="60">
          <cell r="A60">
            <v>50001255</v>
          </cell>
        </row>
        <row r="61">
          <cell r="A61">
            <v>50001256</v>
          </cell>
        </row>
        <row r="62">
          <cell r="A62">
            <v>50001257</v>
          </cell>
        </row>
        <row r="63">
          <cell r="A63">
            <v>50001258</v>
          </cell>
        </row>
        <row r="64">
          <cell r="A64">
            <v>50001259</v>
          </cell>
        </row>
        <row r="65">
          <cell r="A65">
            <v>50001260</v>
          </cell>
        </row>
        <row r="66">
          <cell r="A66">
            <v>50001261</v>
          </cell>
        </row>
        <row r="67">
          <cell r="A67">
            <v>50001262</v>
          </cell>
        </row>
        <row r="68">
          <cell r="A68">
            <v>50001263</v>
          </cell>
        </row>
        <row r="69">
          <cell r="A69">
            <v>50001264</v>
          </cell>
        </row>
        <row r="70">
          <cell r="A70">
            <v>50001265</v>
          </cell>
        </row>
        <row r="71">
          <cell r="A71">
            <v>50001266</v>
          </cell>
        </row>
        <row r="72">
          <cell r="A72">
            <v>50001267</v>
          </cell>
        </row>
        <row r="73">
          <cell r="A73">
            <v>50001268</v>
          </cell>
        </row>
        <row r="74">
          <cell r="A74">
            <v>50001269</v>
          </cell>
        </row>
        <row r="75">
          <cell r="A75">
            <v>50001270</v>
          </cell>
        </row>
        <row r="76">
          <cell r="A76">
            <v>50001271</v>
          </cell>
        </row>
        <row r="77">
          <cell r="A77">
            <v>50001272</v>
          </cell>
        </row>
        <row r="78">
          <cell r="A78">
            <v>50001273</v>
          </cell>
        </row>
        <row r="79">
          <cell r="A79">
            <v>50001274</v>
          </cell>
        </row>
        <row r="80">
          <cell r="A80">
            <v>50001275</v>
          </cell>
        </row>
        <row r="81">
          <cell r="A81">
            <v>50001276</v>
          </cell>
        </row>
        <row r="82">
          <cell r="A82">
            <v>50001277</v>
          </cell>
        </row>
        <row r="83">
          <cell r="A83">
            <v>50001278</v>
          </cell>
        </row>
        <row r="84">
          <cell r="A84">
            <v>50001279</v>
          </cell>
        </row>
        <row r="85">
          <cell r="A85">
            <v>50001280</v>
          </cell>
        </row>
        <row r="86">
          <cell r="A86">
            <v>50001281</v>
          </cell>
        </row>
        <row r="87">
          <cell r="A87">
            <v>50001282</v>
          </cell>
        </row>
        <row r="88">
          <cell r="A88">
            <v>50001283</v>
          </cell>
        </row>
        <row r="89">
          <cell r="A89">
            <v>50001284</v>
          </cell>
        </row>
        <row r="90">
          <cell r="A90">
            <v>50001285</v>
          </cell>
        </row>
        <row r="91">
          <cell r="A91">
            <v>50001286</v>
          </cell>
        </row>
        <row r="92">
          <cell r="A92">
            <v>50001287</v>
          </cell>
        </row>
        <row r="93">
          <cell r="A93">
            <v>50001288</v>
          </cell>
        </row>
        <row r="94">
          <cell r="A94">
            <v>50001289</v>
          </cell>
        </row>
        <row r="95">
          <cell r="A95">
            <v>50001290</v>
          </cell>
        </row>
        <row r="96">
          <cell r="A96">
            <v>50001291</v>
          </cell>
        </row>
        <row r="97">
          <cell r="A97">
            <v>50001292</v>
          </cell>
        </row>
        <row r="98">
          <cell r="A98">
            <v>50001293</v>
          </cell>
        </row>
        <row r="99">
          <cell r="A99">
            <v>50001294</v>
          </cell>
        </row>
        <row r="100">
          <cell r="A100">
            <v>50001295</v>
          </cell>
        </row>
        <row r="101">
          <cell r="A101">
            <v>50001296</v>
          </cell>
        </row>
        <row r="102">
          <cell r="A102">
            <v>50001297</v>
          </cell>
        </row>
        <row r="103">
          <cell r="A103">
            <v>50001298</v>
          </cell>
        </row>
        <row r="104">
          <cell r="A104">
            <v>50001299</v>
          </cell>
        </row>
        <row r="105">
          <cell r="A105">
            <v>50001300</v>
          </cell>
        </row>
        <row r="106">
          <cell r="A106">
            <v>50001301</v>
          </cell>
        </row>
        <row r="107">
          <cell r="A107">
            <v>50001302</v>
          </cell>
        </row>
        <row r="108">
          <cell r="A108" t="str">
            <v>00000000</v>
          </cell>
        </row>
        <row r="109">
          <cell r="A109" t="str">
            <v>10001101</v>
          </cell>
        </row>
        <row r="110">
          <cell r="A110" t="str">
            <v>10001102</v>
          </cell>
        </row>
        <row r="111">
          <cell r="A111" t="str">
            <v>10001103</v>
          </cell>
        </row>
        <row r="112">
          <cell r="A112" t="str">
            <v>10001104</v>
          </cell>
        </row>
        <row r="113">
          <cell r="A113" t="str">
            <v>10001105</v>
          </cell>
        </row>
        <row r="114">
          <cell r="A114" t="str">
            <v>10001106</v>
          </cell>
        </row>
        <row r="115">
          <cell r="A115" t="str">
            <v>10001107</v>
          </cell>
        </row>
        <row r="116">
          <cell r="A116" t="str">
            <v>10001108</v>
          </cell>
        </row>
        <row r="117">
          <cell r="A117" t="str">
            <v>10001201</v>
          </cell>
        </row>
        <row r="118">
          <cell r="A118" t="str">
            <v>10001202</v>
          </cell>
        </row>
        <row r="119">
          <cell r="A119" t="str">
            <v>10001203</v>
          </cell>
        </row>
        <row r="120">
          <cell r="A120" t="str">
            <v>10001204</v>
          </cell>
        </row>
        <row r="121">
          <cell r="A121" t="str">
            <v>10001299</v>
          </cell>
        </row>
        <row r="122">
          <cell r="A122" t="str">
            <v>10001301</v>
          </cell>
        </row>
        <row r="123">
          <cell r="A123" t="str">
            <v>10001302</v>
          </cell>
        </row>
        <row r="124">
          <cell r="A124" t="str">
            <v>10001303</v>
          </cell>
        </row>
        <row r="125">
          <cell r="A125" t="str">
            <v>10001304</v>
          </cell>
        </row>
        <row r="126">
          <cell r="A126" t="str">
            <v>10001305</v>
          </cell>
        </row>
        <row r="127">
          <cell r="A127" t="str">
            <v>10001306</v>
          </cell>
        </row>
        <row r="128">
          <cell r="A128" t="str">
            <v>10001399</v>
          </cell>
        </row>
        <row r="129">
          <cell r="A129" t="str">
            <v>10001401</v>
          </cell>
        </row>
        <row r="130">
          <cell r="A130" t="str">
            <v>10001402</v>
          </cell>
        </row>
        <row r="131">
          <cell r="A131" t="str">
            <v>10001403</v>
          </cell>
        </row>
        <row r="132">
          <cell r="A132" t="str">
            <v>10001404</v>
          </cell>
        </row>
        <row r="133">
          <cell r="A133" t="str">
            <v>10001405</v>
          </cell>
        </row>
        <row r="134">
          <cell r="A134" t="str">
            <v>10001406</v>
          </cell>
        </row>
        <row r="135">
          <cell r="A135" t="str">
            <v>10002101</v>
          </cell>
        </row>
        <row r="136">
          <cell r="A136" t="str">
            <v>10002111</v>
          </cell>
        </row>
        <row r="137">
          <cell r="A137" t="str">
            <v>10002121</v>
          </cell>
        </row>
        <row r="138">
          <cell r="A138" t="str">
            <v>10002211</v>
          </cell>
        </row>
        <row r="139">
          <cell r="A139" t="str">
            <v>10002221</v>
          </cell>
        </row>
        <row r="140">
          <cell r="A140" t="str">
            <v>10003101</v>
          </cell>
        </row>
        <row r="141">
          <cell r="A141" t="str">
            <v>10003102</v>
          </cell>
        </row>
        <row r="142">
          <cell r="A142" t="str">
            <v>10003201</v>
          </cell>
        </row>
        <row r="143">
          <cell r="A143" t="str">
            <v>10003202</v>
          </cell>
        </row>
        <row r="144">
          <cell r="A144" t="str">
            <v>10003203</v>
          </cell>
        </row>
        <row r="145">
          <cell r="A145" t="str">
            <v>10003301</v>
          </cell>
        </row>
        <row r="146">
          <cell r="A146" t="str">
            <v>10003302</v>
          </cell>
        </row>
        <row r="147">
          <cell r="A147" t="str">
            <v>10003303</v>
          </cell>
        </row>
        <row r="148">
          <cell r="A148" t="str">
            <v>10004101</v>
          </cell>
        </row>
        <row r="149">
          <cell r="A149" t="str">
            <v>10004102</v>
          </cell>
        </row>
        <row r="150">
          <cell r="A150" t="str">
            <v>10004103</v>
          </cell>
        </row>
        <row r="151">
          <cell r="A151" t="str">
            <v>10004104</v>
          </cell>
        </row>
        <row r="152">
          <cell r="A152" t="str">
            <v>10004105</v>
          </cell>
        </row>
        <row r="153">
          <cell r="A153" t="str">
            <v>10004106</v>
          </cell>
        </row>
        <row r="154">
          <cell r="A154" t="str">
            <v>10004107</v>
          </cell>
        </row>
        <row r="155">
          <cell r="A155" t="str">
            <v>10004201</v>
          </cell>
        </row>
        <row r="156">
          <cell r="A156" t="str">
            <v>10004202</v>
          </cell>
        </row>
        <row r="157">
          <cell r="A157" t="str">
            <v>10004203</v>
          </cell>
        </row>
        <row r="158">
          <cell r="A158" t="str">
            <v>10004301</v>
          </cell>
        </row>
        <row r="159">
          <cell r="A159" t="str">
            <v>10004302</v>
          </cell>
        </row>
        <row r="160">
          <cell r="A160" t="str">
            <v>10004303</v>
          </cell>
        </row>
        <row r="161">
          <cell r="A161" t="str">
            <v>10004401</v>
          </cell>
        </row>
        <row r="162">
          <cell r="A162" t="str">
            <v>10004501</v>
          </cell>
        </row>
        <row r="163">
          <cell r="A163" t="str">
            <v>10004502</v>
          </cell>
        </row>
        <row r="164">
          <cell r="A164" t="str">
            <v>10004503</v>
          </cell>
        </row>
        <row r="165">
          <cell r="A165" t="str">
            <v>10004509</v>
          </cell>
        </row>
        <row r="166">
          <cell r="A166" t="str">
            <v>10005001</v>
          </cell>
        </row>
        <row r="167">
          <cell r="A167" t="str">
            <v>10005002</v>
          </cell>
        </row>
        <row r="168">
          <cell r="A168" t="str">
            <v>10005003</v>
          </cell>
        </row>
        <row r="169">
          <cell r="A169" t="str">
            <v>10005004</v>
          </cell>
        </row>
        <row r="170">
          <cell r="A170" t="str">
            <v>10005005</v>
          </cell>
        </row>
        <row r="171">
          <cell r="A171" t="str">
            <v>10005006</v>
          </cell>
        </row>
        <row r="172">
          <cell r="A172" t="str">
            <v>10005007</v>
          </cell>
        </row>
        <row r="173">
          <cell r="A173" t="str">
            <v>10005008</v>
          </cell>
        </row>
        <row r="174">
          <cell r="A174" t="str">
            <v>10005009</v>
          </cell>
        </row>
        <row r="175">
          <cell r="A175" t="str">
            <v>10006101</v>
          </cell>
        </row>
        <row r="176">
          <cell r="A176" t="str">
            <v>10006102</v>
          </cell>
        </row>
        <row r="177">
          <cell r="A177" t="str">
            <v>10006103</v>
          </cell>
        </row>
        <row r="178">
          <cell r="A178" t="str">
            <v>10006121</v>
          </cell>
        </row>
        <row r="179">
          <cell r="A179" t="str">
            <v>10006122</v>
          </cell>
        </row>
        <row r="180">
          <cell r="A180" t="str">
            <v>10006201</v>
          </cell>
        </row>
        <row r="181">
          <cell r="A181" t="str">
            <v>10006202</v>
          </cell>
        </row>
        <row r="182">
          <cell r="A182" t="str">
            <v>10006203</v>
          </cell>
        </row>
        <row r="183">
          <cell r="A183" t="str">
            <v>10006204</v>
          </cell>
        </row>
        <row r="184">
          <cell r="A184" t="str">
            <v>10006205</v>
          </cell>
        </row>
        <row r="185">
          <cell r="A185" t="str">
            <v>10006301</v>
          </cell>
        </row>
        <row r="186">
          <cell r="A186" t="str">
            <v>10006302</v>
          </cell>
        </row>
        <row r="187">
          <cell r="A187" t="str">
            <v>10006303</v>
          </cell>
        </row>
        <row r="188">
          <cell r="A188" t="str">
            <v>10006401</v>
          </cell>
        </row>
        <row r="189">
          <cell r="A189" t="str">
            <v>10006901</v>
          </cell>
        </row>
        <row r="190">
          <cell r="A190" t="str">
            <v>10006902</v>
          </cell>
        </row>
        <row r="191">
          <cell r="A191" t="str">
            <v>10006908</v>
          </cell>
        </row>
        <row r="192">
          <cell r="A192" t="str">
            <v>10006909</v>
          </cell>
        </row>
        <row r="193">
          <cell r="A193" t="str">
            <v>10007101</v>
          </cell>
        </row>
        <row r="194">
          <cell r="A194" t="str">
            <v>10007102</v>
          </cell>
        </row>
        <row r="195">
          <cell r="A195" t="str">
            <v>10007103</v>
          </cell>
        </row>
        <row r="196">
          <cell r="A196" t="str">
            <v>10007104</v>
          </cell>
        </row>
        <row r="197">
          <cell r="A197" t="str">
            <v>10007105</v>
          </cell>
        </row>
        <row r="198">
          <cell r="A198" t="str">
            <v>10007106</v>
          </cell>
        </row>
        <row r="199">
          <cell r="A199" t="str">
            <v>10007107</v>
          </cell>
        </row>
        <row r="200">
          <cell r="A200" t="str">
            <v>10007201</v>
          </cell>
        </row>
        <row r="201">
          <cell r="A201" t="str">
            <v>10007202</v>
          </cell>
        </row>
        <row r="202">
          <cell r="A202" t="str">
            <v>10007203</v>
          </cell>
        </row>
        <row r="203">
          <cell r="A203" t="str">
            <v>10007204</v>
          </cell>
        </row>
        <row r="204">
          <cell r="A204" t="str">
            <v>10007205</v>
          </cell>
        </row>
        <row r="205">
          <cell r="A205" t="str">
            <v>10007206</v>
          </cell>
        </row>
        <row r="206">
          <cell r="A206" t="str">
            <v>10007207</v>
          </cell>
        </row>
        <row r="207">
          <cell r="A207" t="str">
            <v>10007208</v>
          </cell>
        </row>
        <row r="208">
          <cell r="A208" t="str">
            <v>10007209</v>
          </cell>
        </row>
        <row r="209">
          <cell r="A209" t="str">
            <v>10007210</v>
          </cell>
        </row>
        <row r="210">
          <cell r="A210" t="str">
            <v>10007211</v>
          </cell>
        </row>
        <row r="211">
          <cell r="A211" t="str">
            <v>10007212</v>
          </cell>
        </row>
        <row r="212">
          <cell r="A212" t="str">
            <v>10007213</v>
          </cell>
        </row>
        <row r="213">
          <cell r="A213" t="str">
            <v>10007214</v>
          </cell>
        </row>
        <row r="214">
          <cell r="A214" t="str">
            <v>10007215</v>
          </cell>
        </row>
        <row r="215">
          <cell r="A215" t="str">
            <v>10007216</v>
          </cell>
        </row>
        <row r="216">
          <cell r="A216" t="str">
            <v>10007217</v>
          </cell>
        </row>
        <row r="217">
          <cell r="A217" t="str">
            <v>10007301</v>
          </cell>
        </row>
        <row r="218">
          <cell r="A218" t="str">
            <v>10007302</v>
          </cell>
        </row>
        <row r="219">
          <cell r="A219" t="str">
            <v>10007303</v>
          </cell>
        </row>
        <row r="220">
          <cell r="A220" t="str">
            <v>10007304</v>
          </cell>
        </row>
        <row r="221">
          <cell r="A221" t="str">
            <v>10007305</v>
          </cell>
        </row>
        <row r="222">
          <cell r="A222" t="str">
            <v>10007306</v>
          </cell>
        </row>
        <row r="223">
          <cell r="A223" t="str">
            <v>10007309</v>
          </cell>
        </row>
        <row r="224">
          <cell r="A224" t="str">
            <v>10008101</v>
          </cell>
        </row>
        <row r="225">
          <cell r="A225" t="str">
            <v>10008102</v>
          </cell>
        </row>
        <row r="226">
          <cell r="A226" t="str">
            <v>10008201</v>
          </cell>
        </row>
        <row r="227">
          <cell r="A227" t="str">
            <v>10008202</v>
          </cell>
        </row>
        <row r="228">
          <cell r="A228" t="str">
            <v>10008203</v>
          </cell>
        </row>
        <row r="229">
          <cell r="A229" t="str">
            <v>10008204</v>
          </cell>
        </row>
        <row r="230">
          <cell r="A230" t="str">
            <v>10008205</v>
          </cell>
        </row>
        <row r="231">
          <cell r="A231" t="str">
            <v>10008206</v>
          </cell>
        </row>
        <row r="232">
          <cell r="A232" t="str">
            <v>10008207</v>
          </cell>
        </row>
        <row r="233">
          <cell r="A233" t="str">
            <v>10008301</v>
          </cell>
        </row>
        <row r="234">
          <cell r="A234" t="str">
            <v>10008302</v>
          </cell>
        </row>
        <row r="235">
          <cell r="A235" t="str">
            <v>10009101</v>
          </cell>
        </row>
        <row r="236">
          <cell r="A236" t="str">
            <v>10009102</v>
          </cell>
        </row>
        <row r="237">
          <cell r="A237" t="str">
            <v>10009103</v>
          </cell>
        </row>
        <row r="238">
          <cell r="A238" t="str">
            <v>10009104</v>
          </cell>
        </row>
        <row r="239">
          <cell r="A239" t="str">
            <v>10009105</v>
          </cell>
        </row>
        <row r="240">
          <cell r="A240" t="str">
            <v>10009106</v>
          </cell>
        </row>
        <row r="241">
          <cell r="A241" t="str">
            <v>10009107</v>
          </cell>
        </row>
        <row r="242">
          <cell r="A242" t="str">
            <v>10009108</v>
          </cell>
        </row>
        <row r="243">
          <cell r="A243" t="str">
            <v>10009109</v>
          </cell>
        </row>
        <row r="244">
          <cell r="A244" t="str">
            <v>10009110</v>
          </cell>
        </row>
        <row r="245">
          <cell r="A245" t="str">
            <v>10009111</v>
          </cell>
        </row>
        <row r="246">
          <cell r="A246" t="str">
            <v>10009112</v>
          </cell>
        </row>
        <row r="247">
          <cell r="A247" t="str">
            <v>10009113</v>
          </cell>
        </row>
        <row r="248">
          <cell r="A248" t="str">
            <v>50000001</v>
          </cell>
        </row>
        <row r="249">
          <cell r="A249" t="str">
            <v>50000002</v>
          </cell>
        </row>
        <row r="250">
          <cell r="A250" t="str">
            <v>50000003</v>
          </cell>
        </row>
        <row r="251">
          <cell r="A251" t="str">
            <v>50000004</v>
          </cell>
        </row>
        <row r="252">
          <cell r="A252" t="str">
            <v>50000005</v>
          </cell>
        </row>
        <row r="253">
          <cell r="A253" t="str">
            <v>50000006</v>
          </cell>
        </row>
        <row r="254">
          <cell r="A254" t="str">
            <v>50000007</v>
          </cell>
        </row>
        <row r="255">
          <cell r="A255" t="str">
            <v>50000008</v>
          </cell>
        </row>
        <row r="256">
          <cell r="A256" t="str">
            <v>50000009</v>
          </cell>
        </row>
        <row r="257">
          <cell r="A257" t="str">
            <v>50000010</v>
          </cell>
        </row>
        <row r="258">
          <cell r="A258" t="str">
            <v>50000011</v>
          </cell>
        </row>
        <row r="259">
          <cell r="A259" t="str">
            <v>50000012</v>
          </cell>
        </row>
        <row r="260">
          <cell r="A260" t="str">
            <v>50000013</v>
          </cell>
        </row>
        <row r="261">
          <cell r="A261" t="str">
            <v>50000014</v>
          </cell>
        </row>
        <row r="262">
          <cell r="A262" t="str">
            <v>50000015</v>
          </cell>
        </row>
        <row r="263">
          <cell r="A263" t="str">
            <v>50000022</v>
          </cell>
        </row>
        <row r="264">
          <cell r="A264" t="str">
            <v>50000029</v>
          </cell>
        </row>
        <row r="265">
          <cell r="A265" t="str">
            <v>50000030</v>
          </cell>
        </row>
        <row r="266">
          <cell r="A266" t="str">
            <v>50000031</v>
          </cell>
        </row>
        <row r="267">
          <cell r="A267" t="str">
            <v>50000032</v>
          </cell>
        </row>
        <row r="268">
          <cell r="A268" t="str">
            <v>50000035</v>
          </cell>
        </row>
        <row r="269">
          <cell r="A269" t="str">
            <v>50000036</v>
          </cell>
        </row>
        <row r="270">
          <cell r="A270" t="str">
            <v>50000039</v>
          </cell>
        </row>
        <row r="271">
          <cell r="A271" t="str">
            <v>50000046</v>
          </cell>
        </row>
        <row r="272">
          <cell r="A272" t="str">
            <v>50000064</v>
          </cell>
        </row>
        <row r="273">
          <cell r="A273" t="str">
            <v>50000069</v>
          </cell>
        </row>
        <row r="274">
          <cell r="A274" t="str">
            <v>50000069</v>
          </cell>
        </row>
        <row r="275">
          <cell r="A275" t="str">
            <v>50000070</v>
          </cell>
        </row>
        <row r="276">
          <cell r="A276" t="str">
            <v>50000071</v>
          </cell>
        </row>
        <row r="277">
          <cell r="A277" t="str">
            <v>50000072</v>
          </cell>
        </row>
        <row r="278">
          <cell r="A278" t="str">
            <v>50000073</v>
          </cell>
        </row>
        <row r="279">
          <cell r="A279" t="str">
            <v>50000073</v>
          </cell>
        </row>
        <row r="280">
          <cell r="A280" t="str">
            <v>50000074</v>
          </cell>
        </row>
        <row r="281">
          <cell r="A281" t="str">
            <v>50000074</v>
          </cell>
        </row>
        <row r="282">
          <cell r="A282" t="str">
            <v>50000075</v>
          </cell>
        </row>
        <row r="283">
          <cell r="A283" t="str">
            <v>50000075</v>
          </cell>
        </row>
        <row r="284">
          <cell r="A284" t="str">
            <v>50000076</v>
          </cell>
        </row>
        <row r="285">
          <cell r="A285" t="str">
            <v>50000076</v>
          </cell>
        </row>
        <row r="286">
          <cell r="A286" t="str">
            <v>50000077</v>
          </cell>
        </row>
        <row r="287">
          <cell r="A287" t="str">
            <v>50000077</v>
          </cell>
        </row>
        <row r="288">
          <cell r="A288" t="str">
            <v>50000078</v>
          </cell>
        </row>
        <row r="289">
          <cell r="A289" t="str">
            <v>50000079</v>
          </cell>
        </row>
        <row r="290">
          <cell r="A290" t="str">
            <v>50000080</v>
          </cell>
        </row>
        <row r="291">
          <cell r="A291" t="str">
            <v>50000081</v>
          </cell>
        </row>
        <row r="292">
          <cell r="A292" t="str">
            <v>50000081</v>
          </cell>
        </row>
        <row r="293">
          <cell r="A293" t="str">
            <v>50000082</v>
          </cell>
        </row>
        <row r="294">
          <cell r="A294" t="str">
            <v>50000083</v>
          </cell>
        </row>
        <row r="295">
          <cell r="A295" t="str">
            <v>50000084</v>
          </cell>
        </row>
        <row r="296">
          <cell r="A296" t="str">
            <v>50000085</v>
          </cell>
        </row>
        <row r="297">
          <cell r="A297" t="str">
            <v>50000086</v>
          </cell>
        </row>
        <row r="298">
          <cell r="A298" t="str">
            <v>50000087</v>
          </cell>
        </row>
        <row r="299">
          <cell r="A299" t="str">
            <v>50000088</v>
          </cell>
        </row>
        <row r="300">
          <cell r="A300" t="str">
            <v>50000089</v>
          </cell>
        </row>
        <row r="301">
          <cell r="A301" t="str">
            <v>50000090</v>
          </cell>
        </row>
        <row r="302">
          <cell r="A302" t="str">
            <v>50000091</v>
          </cell>
        </row>
        <row r="303">
          <cell r="A303" t="str">
            <v>50000092</v>
          </cell>
        </row>
        <row r="304">
          <cell r="A304" t="str">
            <v>50000093</v>
          </cell>
        </row>
        <row r="305">
          <cell r="A305" t="str">
            <v>50000094</v>
          </cell>
        </row>
        <row r="306">
          <cell r="A306" t="str">
            <v>50000095</v>
          </cell>
        </row>
        <row r="307">
          <cell r="A307" t="str">
            <v>50000096</v>
          </cell>
        </row>
        <row r="308">
          <cell r="A308" t="str">
            <v>50000097</v>
          </cell>
        </row>
        <row r="309">
          <cell r="A309" t="str">
            <v>50000098</v>
          </cell>
        </row>
        <row r="310">
          <cell r="A310" t="str">
            <v>50000099</v>
          </cell>
        </row>
        <row r="311">
          <cell r="A311" t="str">
            <v>50000100</v>
          </cell>
        </row>
        <row r="312">
          <cell r="A312" t="str">
            <v>50000101</v>
          </cell>
        </row>
        <row r="313">
          <cell r="A313" t="str">
            <v>50000102</v>
          </cell>
        </row>
        <row r="314">
          <cell r="A314" t="str">
            <v>50000103</v>
          </cell>
        </row>
        <row r="315">
          <cell r="A315" t="str">
            <v>50000104</v>
          </cell>
        </row>
        <row r="316">
          <cell r="A316" t="str">
            <v>50000105</v>
          </cell>
        </row>
        <row r="317">
          <cell r="A317" t="str">
            <v>50000106</v>
          </cell>
        </row>
        <row r="318">
          <cell r="A318" t="str">
            <v>50000107</v>
          </cell>
        </row>
        <row r="319">
          <cell r="A319" t="str">
            <v>50000108</v>
          </cell>
        </row>
        <row r="320">
          <cell r="A320" t="str">
            <v>50000109</v>
          </cell>
        </row>
        <row r="321">
          <cell r="A321" t="str">
            <v>50000110</v>
          </cell>
        </row>
        <row r="322">
          <cell r="A322" t="str">
            <v>50000111</v>
          </cell>
        </row>
        <row r="323">
          <cell r="A323" t="str">
            <v>50000112</v>
          </cell>
        </row>
        <row r="324">
          <cell r="A324" t="str">
            <v>50000113</v>
          </cell>
        </row>
        <row r="325">
          <cell r="A325" t="str">
            <v>50000113</v>
          </cell>
        </row>
        <row r="326">
          <cell r="A326" t="str">
            <v>50000114</v>
          </cell>
        </row>
        <row r="327">
          <cell r="A327" t="str">
            <v>50000114</v>
          </cell>
        </row>
        <row r="328">
          <cell r="A328" t="str">
            <v>50000115</v>
          </cell>
        </row>
        <row r="329">
          <cell r="A329" t="str">
            <v>50000115</v>
          </cell>
        </row>
        <row r="330">
          <cell r="A330" t="str">
            <v>50000116</v>
          </cell>
        </row>
        <row r="331">
          <cell r="A331" t="str">
            <v>50000116</v>
          </cell>
        </row>
        <row r="332">
          <cell r="A332" t="str">
            <v>50000117</v>
          </cell>
        </row>
        <row r="333">
          <cell r="A333" t="str">
            <v>50000117</v>
          </cell>
        </row>
        <row r="334">
          <cell r="A334" t="str">
            <v>50000118</v>
          </cell>
        </row>
        <row r="335">
          <cell r="A335" t="str">
            <v>50000119</v>
          </cell>
        </row>
        <row r="336">
          <cell r="A336" t="str">
            <v>50000120</v>
          </cell>
        </row>
        <row r="337">
          <cell r="A337" t="str">
            <v>50000121</v>
          </cell>
        </row>
        <row r="338">
          <cell r="A338" t="str">
            <v>50000122</v>
          </cell>
        </row>
        <row r="339">
          <cell r="A339" t="str">
            <v>50000123</v>
          </cell>
        </row>
        <row r="340">
          <cell r="A340" t="str">
            <v>50000124</v>
          </cell>
        </row>
        <row r="341">
          <cell r="A341" t="str">
            <v>50000125</v>
          </cell>
        </row>
        <row r="342">
          <cell r="A342" t="str">
            <v>50000126</v>
          </cell>
        </row>
        <row r="343">
          <cell r="A343" t="str">
            <v>50000127</v>
          </cell>
        </row>
        <row r="344">
          <cell r="A344" t="str">
            <v>50000128</v>
          </cell>
        </row>
        <row r="345">
          <cell r="A345" t="str">
            <v>50000129</v>
          </cell>
        </row>
        <row r="346">
          <cell r="A346" t="str">
            <v>50000130</v>
          </cell>
        </row>
        <row r="347">
          <cell r="A347" t="str">
            <v>50000131</v>
          </cell>
        </row>
        <row r="348">
          <cell r="A348" t="str">
            <v>50000132</v>
          </cell>
        </row>
        <row r="349">
          <cell r="A349" t="str">
            <v>50000133</v>
          </cell>
        </row>
        <row r="350">
          <cell r="A350" t="str">
            <v>50000134</v>
          </cell>
        </row>
        <row r="351">
          <cell r="A351" t="str">
            <v>50000135</v>
          </cell>
        </row>
        <row r="352">
          <cell r="A352" t="str">
            <v>50000136</v>
          </cell>
        </row>
        <row r="353">
          <cell r="A353" t="str">
            <v>50000137</v>
          </cell>
        </row>
        <row r="354">
          <cell r="A354" t="str">
            <v>50000137</v>
          </cell>
        </row>
        <row r="355">
          <cell r="A355" t="str">
            <v>50000138</v>
          </cell>
        </row>
        <row r="356">
          <cell r="A356" t="str">
            <v>50000139</v>
          </cell>
        </row>
        <row r="357">
          <cell r="A357" t="str">
            <v>50000140</v>
          </cell>
        </row>
        <row r="358">
          <cell r="A358" t="str">
            <v>50000141</v>
          </cell>
        </row>
        <row r="359">
          <cell r="A359" t="str">
            <v>50000142</v>
          </cell>
        </row>
        <row r="360">
          <cell r="A360" t="str">
            <v>50000143</v>
          </cell>
        </row>
        <row r="361">
          <cell r="A361" t="str">
            <v>50000144</v>
          </cell>
        </row>
        <row r="362">
          <cell r="A362" t="str">
            <v>50000145</v>
          </cell>
        </row>
        <row r="363">
          <cell r="A363" t="str">
            <v>50000146</v>
          </cell>
        </row>
        <row r="364">
          <cell r="A364" t="str">
            <v>50000147</v>
          </cell>
        </row>
        <row r="365">
          <cell r="A365" t="str">
            <v>50000148</v>
          </cell>
        </row>
        <row r="366">
          <cell r="A366" t="str">
            <v>50000149</v>
          </cell>
        </row>
        <row r="367">
          <cell r="A367" t="str">
            <v>50000150</v>
          </cell>
        </row>
        <row r="368">
          <cell r="A368" t="str">
            <v>50000151</v>
          </cell>
        </row>
        <row r="369">
          <cell r="A369" t="str">
            <v>50000152</v>
          </cell>
        </row>
        <row r="370">
          <cell r="A370" t="str">
            <v>50000153</v>
          </cell>
        </row>
        <row r="371">
          <cell r="A371" t="str">
            <v>50000154</v>
          </cell>
        </row>
        <row r="372">
          <cell r="A372" t="str">
            <v>50000155</v>
          </cell>
        </row>
        <row r="373">
          <cell r="A373" t="str">
            <v>50000156</v>
          </cell>
        </row>
        <row r="374">
          <cell r="A374" t="str">
            <v>50000157</v>
          </cell>
        </row>
        <row r="375">
          <cell r="A375" t="str">
            <v>50000158</v>
          </cell>
        </row>
        <row r="376">
          <cell r="A376" t="str">
            <v>50000159</v>
          </cell>
        </row>
        <row r="377">
          <cell r="A377" t="str">
            <v>50000160</v>
          </cell>
        </row>
        <row r="378">
          <cell r="A378" t="str">
            <v>50000161</v>
          </cell>
        </row>
        <row r="379">
          <cell r="A379" t="str">
            <v>50000162</v>
          </cell>
        </row>
        <row r="380">
          <cell r="A380" t="str">
            <v>50000163</v>
          </cell>
        </row>
        <row r="381">
          <cell r="A381" t="str">
            <v>50000164</v>
          </cell>
        </row>
        <row r="382">
          <cell r="A382" t="str">
            <v>50000165</v>
          </cell>
        </row>
        <row r="383">
          <cell r="A383" t="str">
            <v>50000166</v>
          </cell>
        </row>
        <row r="384">
          <cell r="A384" t="str">
            <v>50000167</v>
          </cell>
        </row>
        <row r="385">
          <cell r="A385" t="str">
            <v>50000168</v>
          </cell>
        </row>
        <row r="386">
          <cell r="A386" t="str">
            <v>50000169</v>
          </cell>
        </row>
        <row r="387">
          <cell r="A387" t="str">
            <v>50000170</v>
          </cell>
        </row>
        <row r="388">
          <cell r="A388" t="str">
            <v>50000171</v>
          </cell>
        </row>
        <row r="389">
          <cell r="A389" t="str">
            <v>50000172</v>
          </cell>
        </row>
        <row r="390">
          <cell r="A390" t="str">
            <v>50000173</v>
          </cell>
        </row>
        <row r="391">
          <cell r="A391" t="str">
            <v>50000174</v>
          </cell>
        </row>
        <row r="392">
          <cell r="A392" t="str">
            <v>50000175</v>
          </cell>
        </row>
        <row r="393">
          <cell r="A393" t="str">
            <v>50000175</v>
          </cell>
        </row>
        <row r="394">
          <cell r="A394" t="str">
            <v>50000176</v>
          </cell>
        </row>
        <row r="395">
          <cell r="A395" t="str">
            <v>50000176</v>
          </cell>
        </row>
        <row r="396">
          <cell r="A396" t="str">
            <v>50000177</v>
          </cell>
        </row>
        <row r="397">
          <cell r="A397" t="str">
            <v>50000177</v>
          </cell>
        </row>
        <row r="398">
          <cell r="A398" t="str">
            <v>50000178</v>
          </cell>
        </row>
        <row r="399">
          <cell r="A399" t="str">
            <v>50000178</v>
          </cell>
        </row>
        <row r="400">
          <cell r="A400" t="str">
            <v>50000179</v>
          </cell>
        </row>
        <row r="401">
          <cell r="A401" t="str">
            <v>50000179</v>
          </cell>
        </row>
        <row r="402">
          <cell r="A402" t="str">
            <v>50000180</v>
          </cell>
        </row>
        <row r="403">
          <cell r="A403" t="str">
            <v>50000180</v>
          </cell>
        </row>
        <row r="404">
          <cell r="A404" t="str">
            <v>50000181</v>
          </cell>
        </row>
        <row r="405">
          <cell r="A405" t="str">
            <v>50000181</v>
          </cell>
        </row>
        <row r="406">
          <cell r="A406" t="str">
            <v>50000182</v>
          </cell>
        </row>
        <row r="407">
          <cell r="A407" t="str">
            <v>50000182</v>
          </cell>
        </row>
        <row r="408">
          <cell r="A408" t="str">
            <v>50000183</v>
          </cell>
        </row>
        <row r="409">
          <cell r="A409" t="str">
            <v>50000183</v>
          </cell>
        </row>
        <row r="410">
          <cell r="A410" t="str">
            <v>50000184</v>
          </cell>
        </row>
        <row r="411">
          <cell r="A411" t="str">
            <v>50000184</v>
          </cell>
        </row>
        <row r="412">
          <cell r="A412" t="str">
            <v>50000185</v>
          </cell>
        </row>
        <row r="413">
          <cell r="A413" t="str">
            <v>50000185</v>
          </cell>
        </row>
        <row r="414">
          <cell r="A414" t="str">
            <v>50000186</v>
          </cell>
        </row>
        <row r="415">
          <cell r="A415" t="str">
            <v>50000186</v>
          </cell>
        </row>
        <row r="416">
          <cell r="A416" t="str">
            <v>50000187</v>
          </cell>
        </row>
        <row r="417">
          <cell r="A417" t="str">
            <v>50000187</v>
          </cell>
        </row>
        <row r="418">
          <cell r="A418" t="str">
            <v>50000188</v>
          </cell>
        </row>
        <row r="419">
          <cell r="A419" t="str">
            <v>50000189</v>
          </cell>
        </row>
        <row r="420">
          <cell r="A420" t="str">
            <v>50000190</v>
          </cell>
        </row>
        <row r="421">
          <cell r="A421" t="str">
            <v>50000190</v>
          </cell>
        </row>
        <row r="422">
          <cell r="A422" t="str">
            <v>50000191</v>
          </cell>
        </row>
        <row r="423">
          <cell r="A423" t="str">
            <v>50000191</v>
          </cell>
        </row>
        <row r="424">
          <cell r="A424" t="str">
            <v>50000192</v>
          </cell>
        </row>
        <row r="425">
          <cell r="A425" t="str">
            <v>50000192</v>
          </cell>
        </row>
        <row r="426">
          <cell r="A426" t="str">
            <v>50000193</v>
          </cell>
        </row>
        <row r="427">
          <cell r="A427" t="str">
            <v>50000193</v>
          </cell>
        </row>
        <row r="428">
          <cell r="A428" t="str">
            <v>50000194</v>
          </cell>
        </row>
        <row r="429">
          <cell r="A429" t="str">
            <v>50000194</v>
          </cell>
        </row>
        <row r="430">
          <cell r="A430" t="str">
            <v>50000195</v>
          </cell>
        </row>
        <row r="431">
          <cell r="A431" t="str">
            <v>50000195</v>
          </cell>
        </row>
        <row r="432">
          <cell r="A432" t="str">
            <v>50000196</v>
          </cell>
        </row>
        <row r="433">
          <cell r="A433" t="str">
            <v>50000197</v>
          </cell>
        </row>
        <row r="434">
          <cell r="A434" t="str">
            <v>50000198</v>
          </cell>
        </row>
        <row r="435">
          <cell r="A435" t="str">
            <v>50000199</v>
          </cell>
        </row>
        <row r="436">
          <cell r="A436" t="str">
            <v>50000200</v>
          </cell>
        </row>
        <row r="437">
          <cell r="A437" t="str">
            <v>50000201</v>
          </cell>
        </row>
        <row r="438">
          <cell r="A438" t="str">
            <v>50000202</v>
          </cell>
        </row>
        <row r="439">
          <cell r="A439" t="str">
            <v>50000203</v>
          </cell>
        </row>
        <row r="440">
          <cell r="A440" t="str">
            <v>50000204</v>
          </cell>
        </row>
        <row r="441">
          <cell r="A441" t="str">
            <v>50000205</v>
          </cell>
        </row>
        <row r="442">
          <cell r="A442" t="str">
            <v>50000206</v>
          </cell>
        </row>
        <row r="443">
          <cell r="A443" t="str">
            <v>50000207</v>
          </cell>
        </row>
        <row r="444">
          <cell r="A444" t="str">
            <v>50000208</v>
          </cell>
        </row>
        <row r="445">
          <cell r="A445" t="str">
            <v>50000209</v>
          </cell>
        </row>
        <row r="446">
          <cell r="A446" t="str">
            <v>50000210</v>
          </cell>
        </row>
        <row r="447">
          <cell r="A447" t="str">
            <v>50000211</v>
          </cell>
        </row>
        <row r="448">
          <cell r="A448" t="str">
            <v>50000212</v>
          </cell>
        </row>
        <row r="449">
          <cell r="A449" t="str">
            <v>50000213</v>
          </cell>
        </row>
        <row r="450">
          <cell r="A450" t="str">
            <v>50000214</v>
          </cell>
        </row>
        <row r="451">
          <cell r="A451" t="str">
            <v>50000215</v>
          </cell>
        </row>
        <row r="452">
          <cell r="A452" t="str">
            <v>50000216</v>
          </cell>
        </row>
        <row r="453">
          <cell r="A453" t="str">
            <v>50000217</v>
          </cell>
        </row>
        <row r="454">
          <cell r="A454" t="str">
            <v>50000218</v>
          </cell>
        </row>
        <row r="455">
          <cell r="A455" t="str">
            <v>50000219</v>
          </cell>
        </row>
        <row r="456">
          <cell r="A456" t="str">
            <v>50000220</v>
          </cell>
        </row>
        <row r="457">
          <cell r="A457" t="str">
            <v>50000221</v>
          </cell>
        </row>
        <row r="458">
          <cell r="A458" t="str">
            <v>50000222</v>
          </cell>
        </row>
        <row r="459">
          <cell r="A459" t="str">
            <v>50000223</v>
          </cell>
        </row>
        <row r="460">
          <cell r="A460" t="str">
            <v>50000224</v>
          </cell>
        </row>
        <row r="461">
          <cell r="A461" t="str">
            <v>50000225</v>
          </cell>
        </row>
        <row r="462">
          <cell r="A462" t="str">
            <v>50000226</v>
          </cell>
        </row>
        <row r="463">
          <cell r="A463" t="str">
            <v>50000227</v>
          </cell>
        </row>
        <row r="464">
          <cell r="A464" t="str">
            <v>50000228</v>
          </cell>
        </row>
        <row r="465">
          <cell r="A465" t="str">
            <v>50000229</v>
          </cell>
        </row>
        <row r="466">
          <cell r="A466" t="str">
            <v>50000230</v>
          </cell>
        </row>
        <row r="467">
          <cell r="A467" t="str">
            <v>50000231</v>
          </cell>
        </row>
        <row r="468">
          <cell r="A468" t="str">
            <v>50000232</v>
          </cell>
        </row>
        <row r="469">
          <cell r="A469" t="str">
            <v>50000233</v>
          </cell>
        </row>
        <row r="470">
          <cell r="A470" t="str">
            <v>50000234</v>
          </cell>
        </row>
        <row r="471">
          <cell r="A471" t="str">
            <v>50000235</v>
          </cell>
        </row>
        <row r="472">
          <cell r="A472" t="str">
            <v>50000236</v>
          </cell>
        </row>
        <row r="473">
          <cell r="A473" t="str">
            <v>50000237</v>
          </cell>
        </row>
        <row r="474">
          <cell r="A474" t="str">
            <v>50000238</v>
          </cell>
        </row>
        <row r="475">
          <cell r="A475" t="str">
            <v>50000239</v>
          </cell>
        </row>
        <row r="476">
          <cell r="A476" t="str">
            <v>50000240</v>
          </cell>
        </row>
        <row r="477">
          <cell r="A477" t="str">
            <v>50000241</v>
          </cell>
        </row>
        <row r="478">
          <cell r="A478" t="str">
            <v>50000242</v>
          </cell>
        </row>
        <row r="479">
          <cell r="A479" t="str">
            <v>50000243</v>
          </cell>
        </row>
        <row r="480">
          <cell r="A480" t="str">
            <v>50000244</v>
          </cell>
        </row>
        <row r="481">
          <cell r="A481" t="str">
            <v>50000245</v>
          </cell>
        </row>
        <row r="482">
          <cell r="A482" t="str">
            <v>50000246</v>
          </cell>
        </row>
        <row r="483">
          <cell r="A483" t="str">
            <v>50000247</v>
          </cell>
        </row>
        <row r="484">
          <cell r="A484" t="str">
            <v>50000248</v>
          </cell>
        </row>
        <row r="485">
          <cell r="A485" t="str">
            <v>50000249</v>
          </cell>
        </row>
        <row r="486">
          <cell r="A486" t="str">
            <v>50000250</v>
          </cell>
        </row>
        <row r="487">
          <cell r="A487" t="str">
            <v>50000251</v>
          </cell>
        </row>
        <row r="488">
          <cell r="A488" t="str">
            <v>50000252</v>
          </cell>
        </row>
        <row r="489">
          <cell r="A489" t="str">
            <v>50000253</v>
          </cell>
        </row>
        <row r="490">
          <cell r="A490" t="str">
            <v>50000254</v>
          </cell>
        </row>
        <row r="491">
          <cell r="A491" t="str">
            <v>50000255</v>
          </cell>
        </row>
        <row r="492">
          <cell r="A492" t="str">
            <v>50000256</v>
          </cell>
        </row>
        <row r="493">
          <cell r="A493" t="str">
            <v>50000257</v>
          </cell>
        </row>
        <row r="494">
          <cell r="A494" t="str">
            <v>50000258</v>
          </cell>
        </row>
        <row r="495">
          <cell r="A495" t="str">
            <v>50000259</v>
          </cell>
        </row>
        <row r="496">
          <cell r="A496" t="str">
            <v>50000259</v>
          </cell>
        </row>
        <row r="497">
          <cell r="A497" t="str">
            <v>50000260</v>
          </cell>
        </row>
        <row r="498">
          <cell r="A498" t="str">
            <v>50000260</v>
          </cell>
        </row>
        <row r="499">
          <cell r="A499" t="str">
            <v>50000261</v>
          </cell>
        </row>
        <row r="500">
          <cell r="A500" t="str">
            <v>50000261</v>
          </cell>
        </row>
        <row r="501">
          <cell r="A501" t="str">
            <v>50000262</v>
          </cell>
        </row>
        <row r="502">
          <cell r="A502" t="str">
            <v>50000262</v>
          </cell>
        </row>
        <row r="503">
          <cell r="A503" t="str">
            <v>50000263</v>
          </cell>
        </row>
        <row r="504">
          <cell r="A504" t="str">
            <v>50000263</v>
          </cell>
        </row>
        <row r="505">
          <cell r="A505" t="str">
            <v>50000264</v>
          </cell>
        </row>
        <row r="506">
          <cell r="A506" t="str">
            <v>50000264</v>
          </cell>
        </row>
        <row r="507">
          <cell r="A507" t="str">
            <v>50000265</v>
          </cell>
        </row>
        <row r="508">
          <cell r="A508" t="str">
            <v>50000265</v>
          </cell>
        </row>
        <row r="509">
          <cell r="A509" t="str">
            <v>50000266</v>
          </cell>
        </row>
        <row r="510">
          <cell r="A510" t="str">
            <v>50000266</v>
          </cell>
        </row>
        <row r="511">
          <cell r="A511" t="str">
            <v>50000267</v>
          </cell>
        </row>
        <row r="512">
          <cell r="A512" t="str">
            <v>50000267</v>
          </cell>
        </row>
        <row r="513">
          <cell r="A513" t="str">
            <v>50000268</v>
          </cell>
        </row>
        <row r="514">
          <cell r="A514" t="str">
            <v>50000268</v>
          </cell>
        </row>
        <row r="515">
          <cell r="A515" t="str">
            <v>50000269</v>
          </cell>
        </row>
        <row r="516">
          <cell r="A516" t="str">
            <v>50000269</v>
          </cell>
        </row>
        <row r="517">
          <cell r="A517" t="str">
            <v>50000270</v>
          </cell>
        </row>
        <row r="518">
          <cell r="A518" t="str">
            <v>50000271</v>
          </cell>
        </row>
        <row r="519">
          <cell r="A519" t="str">
            <v>50000272</v>
          </cell>
        </row>
        <row r="520">
          <cell r="A520" t="str">
            <v>50000273</v>
          </cell>
        </row>
        <row r="521">
          <cell r="A521" t="str">
            <v>50000274</v>
          </cell>
        </row>
        <row r="522">
          <cell r="A522" t="str">
            <v>50000275</v>
          </cell>
        </row>
        <row r="523">
          <cell r="A523" t="str">
            <v>50000276</v>
          </cell>
        </row>
        <row r="524">
          <cell r="A524" t="str">
            <v>50000277</v>
          </cell>
        </row>
        <row r="525">
          <cell r="A525" t="str">
            <v>50000278</v>
          </cell>
        </row>
        <row r="526">
          <cell r="A526" t="str">
            <v>50000279</v>
          </cell>
        </row>
        <row r="527">
          <cell r="A527" t="str">
            <v>50000280</v>
          </cell>
        </row>
        <row r="528">
          <cell r="A528" t="str">
            <v>50000281</v>
          </cell>
        </row>
        <row r="529">
          <cell r="A529" t="str">
            <v>50000282</v>
          </cell>
        </row>
        <row r="530">
          <cell r="A530" t="str">
            <v>50000283</v>
          </cell>
        </row>
        <row r="531">
          <cell r="A531" t="str">
            <v>50000284</v>
          </cell>
        </row>
        <row r="532">
          <cell r="A532" t="str">
            <v>50000285</v>
          </cell>
        </row>
        <row r="533">
          <cell r="A533" t="str">
            <v>50000286</v>
          </cell>
        </row>
        <row r="534">
          <cell r="A534" t="str">
            <v>50000287</v>
          </cell>
        </row>
        <row r="535">
          <cell r="A535" t="str">
            <v>50000288</v>
          </cell>
        </row>
        <row r="536">
          <cell r="A536" t="str">
            <v>50000289</v>
          </cell>
        </row>
        <row r="537">
          <cell r="A537" t="str">
            <v>50000290</v>
          </cell>
        </row>
        <row r="538">
          <cell r="A538" t="str">
            <v>50000291</v>
          </cell>
        </row>
        <row r="539">
          <cell r="A539" t="str">
            <v>50000292</v>
          </cell>
        </row>
        <row r="540">
          <cell r="A540" t="str">
            <v>50000293</v>
          </cell>
        </row>
        <row r="541">
          <cell r="A541" t="str">
            <v>50000294</v>
          </cell>
        </row>
        <row r="542">
          <cell r="A542" t="str">
            <v>50000295</v>
          </cell>
        </row>
        <row r="543">
          <cell r="A543" t="str">
            <v>50000296</v>
          </cell>
        </row>
        <row r="544">
          <cell r="A544" t="str">
            <v>50000297</v>
          </cell>
        </row>
        <row r="545">
          <cell r="A545" t="str">
            <v>50000298</v>
          </cell>
        </row>
        <row r="546">
          <cell r="A546" t="str">
            <v>50000299</v>
          </cell>
        </row>
        <row r="547">
          <cell r="A547" t="str">
            <v>50000300</v>
          </cell>
        </row>
        <row r="548">
          <cell r="A548" t="str">
            <v>50000301</v>
          </cell>
        </row>
        <row r="549">
          <cell r="A549" t="str">
            <v>50000302</v>
          </cell>
        </row>
        <row r="550">
          <cell r="A550" t="str">
            <v>50000303</v>
          </cell>
        </row>
        <row r="551">
          <cell r="A551" t="str">
            <v>50000304</v>
          </cell>
        </row>
        <row r="552">
          <cell r="A552" t="str">
            <v>50000305</v>
          </cell>
        </row>
        <row r="553">
          <cell r="A553" t="str">
            <v>50000306</v>
          </cell>
        </row>
        <row r="554">
          <cell r="A554" t="str">
            <v>50001001</v>
          </cell>
        </row>
        <row r="555">
          <cell r="A555" t="str">
            <v>50001002</v>
          </cell>
        </row>
        <row r="556">
          <cell r="A556" t="str">
            <v>50001003</v>
          </cell>
        </row>
        <row r="557">
          <cell r="A557" t="str">
            <v>50001004</v>
          </cell>
        </row>
        <row r="558">
          <cell r="A558" t="str">
            <v>50001005</v>
          </cell>
        </row>
        <row r="559">
          <cell r="A559" t="str">
            <v>50001006</v>
          </cell>
        </row>
        <row r="560">
          <cell r="A560" t="str">
            <v>50001007</v>
          </cell>
        </row>
        <row r="561">
          <cell r="A561" t="str">
            <v>50001008</v>
          </cell>
        </row>
        <row r="562">
          <cell r="A562" t="str">
            <v>50001009</v>
          </cell>
        </row>
        <row r="563">
          <cell r="A563" t="str">
            <v>50001010</v>
          </cell>
        </row>
        <row r="564">
          <cell r="A564" t="str">
            <v>50001011</v>
          </cell>
        </row>
        <row r="565">
          <cell r="A565" t="str">
            <v>50001012</v>
          </cell>
        </row>
        <row r="566">
          <cell r="A566" t="str">
            <v>50001013</v>
          </cell>
        </row>
        <row r="567">
          <cell r="A567" t="str">
            <v>50001014</v>
          </cell>
        </row>
        <row r="568">
          <cell r="A568" t="str">
            <v>50001015</v>
          </cell>
        </row>
        <row r="569">
          <cell r="A569" t="str">
            <v>50001016</v>
          </cell>
        </row>
        <row r="570">
          <cell r="A570" t="str">
            <v>50001017</v>
          </cell>
        </row>
        <row r="571">
          <cell r="A571" t="str">
            <v>50001018</v>
          </cell>
        </row>
        <row r="572">
          <cell r="A572" t="str">
            <v>50001019</v>
          </cell>
        </row>
        <row r="573">
          <cell r="A573" t="str">
            <v>50001020</v>
          </cell>
        </row>
        <row r="574">
          <cell r="A574" t="str">
            <v>50001021</v>
          </cell>
        </row>
        <row r="575">
          <cell r="A575" t="str">
            <v>50001022</v>
          </cell>
        </row>
        <row r="576">
          <cell r="A576" t="str">
            <v>50001023</v>
          </cell>
        </row>
        <row r="577">
          <cell r="A577" t="str">
            <v>50001024</v>
          </cell>
        </row>
        <row r="578">
          <cell r="A578" t="str">
            <v>50001025</v>
          </cell>
        </row>
        <row r="579">
          <cell r="A579" t="str">
            <v>50001026</v>
          </cell>
        </row>
        <row r="580">
          <cell r="A580" t="str">
            <v>50001027</v>
          </cell>
        </row>
        <row r="581">
          <cell r="A581" t="str">
            <v>50001028</v>
          </cell>
        </row>
        <row r="582">
          <cell r="A582" t="str">
            <v>50001029</v>
          </cell>
        </row>
        <row r="583">
          <cell r="A583" t="str">
            <v>50001030</v>
          </cell>
        </row>
        <row r="584">
          <cell r="A584" t="str">
            <v>50001031</v>
          </cell>
        </row>
        <row r="585">
          <cell r="A585" t="str">
            <v>50001032</v>
          </cell>
        </row>
        <row r="586">
          <cell r="A586" t="str">
            <v>50001033</v>
          </cell>
        </row>
        <row r="587">
          <cell r="A587" t="str">
            <v>50001034</v>
          </cell>
        </row>
        <row r="588">
          <cell r="A588" t="str">
            <v>50001035</v>
          </cell>
        </row>
        <row r="589">
          <cell r="A589" t="str">
            <v>50001036</v>
          </cell>
        </row>
        <row r="590">
          <cell r="A590" t="str">
            <v>50001037</v>
          </cell>
        </row>
        <row r="591">
          <cell r="A591" t="str">
            <v>50001038</v>
          </cell>
        </row>
        <row r="592">
          <cell r="A592" t="str">
            <v>50001039</v>
          </cell>
        </row>
        <row r="593">
          <cell r="A593" t="str">
            <v>50001040</v>
          </cell>
        </row>
        <row r="594">
          <cell r="A594" t="str">
            <v>50001041</v>
          </cell>
        </row>
        <row r="595">
          <cell r="A595" t="str">
            <v>50001042</v>
          </cell>
        </row>
        <row r="596">
          <cell r="A596" t="str">
            <v>50001043</v>
          </cell>
        </row>
        <row r="597">
          <cell r="A597" t="str">
            <v>50001044</v>
          </cell>
        </row>
        <row r="598">
          <cell r="A598" t="str">
            <v>50001045</v>
          </cell>
        </row>
        <row r="599">
          <cell r="A599" t="str">
            <v>50001046</v>
          </cell>
        </row>
        <row r="600">
          <cell r="A600" t="str">
            <v>50001047</v>
          </cell>
        </row>
        <row r="601">
          <cell r="A601" t="str">
            <v>50001048</v>
          </cell>
        </row>
        <row r="602">
          <cell r="A602" t="str">
            <v>50001049</v>
          </cell>
        </row>
        <row r="603">
          <cell r="A603" t="str">
            <v>50001050</v>
          </cell>
        </row>
        <row r="604">
          <cell r="A604" t="str">
            <v>50001051</v>
          </cell>
        </row>
        <row r="605">
          <cell r="A605" t="str">
            <v>50001052</v>
          </cell>
        </row>
        <row r="606">
          <cell r="A606" t="str">
            <v>50001053</v>
          </cell>
        </row>
        <row r="607">
          <cell r="A607" t="str">
            <v>50001054</v>
          </cell>
        </row>
        <row r="608">
          <cell r="A608" t="str">
            <v>50001055</v>
          </cell>
        </row>
        <row r="609">
          <cell r="A609" t="str">
            <v>50001056</v>
          </cell>
        </row>
        <row r="610">
          <cell r="A610" t="str">
            <v>50001057</v>
          </cell>
        </row>
        <row r="611">
          <cell r="A611" t="str">
            <v>50001058</v>
          </cell>
        </row>
        <row r="612">
          <cell r="A612" t="str">
            <v>50001059</v>
          </cell>
        </row>
        <row r="613">
          <cell r="A613" t="str">
            <v>50001060</v>
          </cell>
        </row>
        <row r="614">
          <cell r="A614" t="str">
            <v>50001061</v>
          </cell>
        </row>
        <row r="615">
          <cell r="A615" t="str">
            <v>50001062</v>
          </cell>
        </row>
        <row r="616">
          <cell r="A616" t="str">
            <v>50001063</v>
          </cell>
        </row>
        <row r="617">
          <cell r="A617" t="str">
            <v>50001064</v>
          </cell>
        </row>
        <row r="618">
          <cell r="A618" t="str">
            <v>50001065</v>
          </cell>
        </row>
        <row r="619">
          <cell r="A619" t="str">
            <v>50001066</v>
          </cell>
        </row>
        <row r="620">
          <cell r="A620" t="str">
            <v>50001067</v>
          </cell>
        </row>
        <row r="621">
          <cell r="A621" t="str">
            <v>50001068</v>
          </cell>
        </row>
        <row r="622">
          <cell r="A622" t="str">
            <v>50001069</v>
          </cell>
        </row>
        <row r="623">
          <cell r="A623" t="str">
            <v>50001070</v>
          </cell>
        </row>
        <row r="624">
          <cell r="A624" t="str">
            <v>50001071</v>
          </cell>
        </row>
        <row r="625">
          <cell r="A625" t="str">
            <v>50001072</v>
          </cell>
        </row>
        <row r="626">
          <cell r="A626" t="str">
            <v>50001073</v>
          </cell>
        </row>
        <row r="627">
          <cell r="A627" t="str">
            <v>50001074</v>
          </cell>
        </row>
        <row r="628">
          <cell r="A628" t="str">
            <v>50001075</v>
          </cell>
        </row>
        <row r="629">
          <cell r="A629" t="str">
            <v>50001076</v>
          </cell>
        </row>
        <row r="630">
          <cell r="A630" t="str">
            <v>50001077</v>
          </cell>
        </row>
        <row r="631">
          <cell r="A631" t="str">
            <v>50001078</v>
          </cell>
        </row>
        <row r="632">
          <cell r="A632" t="str">
            <v>50001079</v>
          </cell>
        </row>
        <row r="633">
          <cell r="A633" t="str">
            <v>50001080</v>
          </cell>
        </row>
        <row r="634">
          <cell r="A634" t="str">
            <v>50001081</v>
          </cell>
        </row>
        <row r="635">
          <cell r="A635" t="str">
            <v>50001082</v>
          </cell>
        </row>
        <row r="636">
          <cell r="A636" t="str">
            <v>50001083</v>
          </cell>
        </row>
        <row r="637">
          <cell r="A637" t="str">
            <v>50001084</v>
          </cell>
        </row>
        <row r="638">
          <cell r="A638" t="str">
            <v>50001085</v>
          </cell>
        </row>
        <row r="639">
          <cell r="A639" t="str">
            <v>50001086</v>
          </cell>
        </row>
        <row r="640">
          <cell r="A640" t="str">
            <v>50001087</v>
          </cell>
        </row>
        <row r="641">
          <cell r="A641" t="str">
            <v>50001088</v>
          </cell>
        </row>
        <row r="642">
          <cell r="A642" t="str">
            <v>50001089</v>
          </cell>
        </row>
        <row r="643">
          <cell r="A643" t="str">
            <v>50001090</v>
          </cell>
        </row>
        <row r="644">
          <cell r="A644" t="str">
            <v>50001091</v>
          </cell>
        </row>
        <row r="645">
          <cell r="A645" t="str">
            <v>50001092</v>
          </cell>
        </row>
        <row r="646">
          <cell r="A646" t="str">
            <v>50001093</v>
          </cell>
        </row>
        <row r="647">
          <cell r="A647" t="str">
            <v>50001094</v>
          </cell>
        </row>
        <row r="648">
          <cell r="A648" t="str">
            <v>50001095</v>
          </cell>
        </row>
        <row r="649">
          <cell r="A649" t="str">
            <v>50001096</v>
          </cell>
        </row>
        <row r="650">
          <cell r="A650" t="str">
            <v>50001097</v>
          </cell>
        </row>
        <row r="651">
          <cell r="A651" t="str">
            <v>50001098</v>
          </cell>
        </row>
        <row r="652">
          <cell r="A652" t="str">
            <v>50001099</v>
          </cell>
        </row>
        <row r="653">
          <cell r="A653" t="str">
            <v>50001100</v>
          </cell>
        </row>
        <row r="654">
          <cell r="A654" t="str">
            <v>50001101</v>
          </cell>
        </row>
        <row r="655">
          <cell r="A655" t="str">
            <v>50001102</v>
          </cell>
        </row>
        <row r="656">
          <cell r="A656" t="str">
            <v>50001103</v>
          </cell>
        </row>
        <row r="657">
          <cell r="A657" t="str">
            <v>50001104</v>
          </cell>
        </row>
        <row r="658">
          <cell r="A658" t="str">
            <v>50001105</v>
          </cell>
        </row>
        <row r="659">
          <cell r="A659" t="str">
            <v>50001106</v>
          </cell>
        </row>
        <row r="660">
          <cell r="A660" t="str">
            <v>50001107</v>
          </cell>
        </row>
        <row r="661">
          <cell r="A661" t="str">
            <v>50001108</v>
          </cell>
        </row>
        <row r="662">
          <cell r="A662" t="str">
            <v>50001109</v>
          </cell>
        </row>
        <row r="663">
          <cell r="A663" t="str">
            <v>50001110</v>
          </cell>
        </row>
        <row r="664">
          <cell r="A664" t="str">
            <v>50001111</v>
          </cell>
        </row>
        <row r="665">
          <cell r="A665" t="str">
            <v>50001112</v>
          </cell>
        </row>
        <row r="666">
          <cell r="A666" t="str">
            <v>50001113</v>
          </cell>
        </row>
        <row r="667">
          <cell r="A667" t="str">
            <v>50001114</v>
          </cell>
        </row>
        <row r="668">
          <cell r="A668" t="str">
            <v>50001115</v>
          </cell>
        </row>
        <row r="669">
          <cell r="A669" t="str">
            <v>50001116</v>
          </cell>
        </row>
        <row r="670">
          <cell r="A670" t="str">
            <v>50001117</v>
          </cell>
        </row>
        <row r="671">
          <cell r="A671" t="str">
            <v>50001118</v>
          </cell>
        </row>
        <row r="672">
          <cell r="A672" t="str">
            <v>50001119</v>
          </cell>
        </row>
        <row r="673">
          <cell r="A673" t="str">
            <v>50001120</v>
          </cell>
        </row>
        <row r="674">
          <cell r="A674" t="str">
            <v>50001121</v>
          </cell>
        </row>
        <row r="675">
          <cell r="A675" t="str">
            <v>50001122</v>
          </cell>
        </row>
        <row r="676">
          <cell r="A676" t="str">
            <v>50001123</v>
          </cell>
        </row>
        <row r="677">
          <cell r="A677" t="str">
            <v>50001124</v>
          </cell>
        </row>
        <row r="678">
          <cell r="A678" t="str">
            <v>50001125</v>
          </cell>
        </row>
        <row r="679">
          <cell r="A679" t="str">
            <v>50001126</v>
          </cell>
        </row>
        <row r="680">
          <cell r="A680" t="str">
            <v>50001127</v>
          </cell>
        </row>
        <row r="681">
          <cell r="A681" t="str">
            <v>50001133</v>
          </cell>
        </row>
        <row r="682">
          <cell r="A682" t="str">
            <v>50001134</v>
          </cell>
        </row>
        <row r="683">
          <cell r="A683" t="str">
            <v>50001135</v>
          </cell>
        </row>
        <row r="684">
          <cell r="A684" t="str">
            <v>50001136</v>
          </cell>
        </row>
        <row r="685">
          <cell r="A685" t="str">
            <v>50001137</v>
          </cell>
        </row>
        <row r="686">
          <cell r="A686" t="str">
            <v>50001138</v>
          </cell>
        </row>
        <row r="687">
          <cell r="A687" t="str">
            <v>50001141</v>
          </cell>
        </row>
        <row r="688">
          <cell r="A688" t="str">
            <v>50001142</v>
          </cell>
        </row>
        <row r="689">
          <cell r="A689" t="str">
            <v>50001143</v>
          </cell>
        </row>
        <row r="690">
          <cell r="A690" t="str">
            <v>50001144</v>
          </cell>
        </row>
        <row r="691">
          <cell r="A691" t="str">
            <v>50001145</v>
          </cell>
        </row>
        <row r="692">
          <cell r="A692" t="str">
            <v>50001146</v>
          </cell>
        </row>
        <row r="693">
          <cell r="A693" t="str">
            <v>50001147</v>
          </cell>
        </row>
        <row r="694">
          <cell r="A694" t="str">
            <v>50001148</v>
          </cell>
        </row>
        <row r="695">
          <cell r="A695" t="str">
            <v>50001149</v>
          </cell>
        </row>
        <row r="696">
          <cell r="A696" t="str">
            <v>50001150</v>
          </cell>
        </row>
        <row r="697">
          <cell r="A697" t="str">
            <v>50001151</v>
          </cell>
        </row>
        <row r="698">
          <cell r="A698" t="str">
            <v>50001152</v>
          </cell>
        </row>
        <row r="699">
          <cell r="A699" t="str">
            <v>50001153</v>
          </cell>
        </row>
        <row r="700">
          <cell r="A700" t="str">
            <v>50001154</v>
          </cell>
        </row>
        <row r="701">
          <cell r="A701" t="str">
            <v>50001155</v>
          </cell>
        </row>
        <row r="702">
          <cell r="A702" t="str">
            <v>50001156</v>
          </cell>
        </row>
        <row r="703">
          <cell r="A703" t="str">
            <v>50001157</v>
          </cell>
        </row>
        <row r="704">
          <cell r="A704" t="str">
            <v>50001158</v>
          </cell>
        </row>
        <row r="705">
          <cell r="A705" t="str">
            <v>50001159</v>
          </cell>
        </row>
        <row r="706">
          <cell r="A706" t="str">
            <v>50001160</v>
          </cell>
        </row>
        <row r="707">
          <cell r="A707" t="str">
            <v>50001161</v>
          </cell>
        </row>
        <row r="708">
          <cell r="A708" t="str">
            <v>50001162</v>
          </cell>
        </row>
        <row r="709">
          <cell r="A709" t="str">
            <v>50001163</v>
          </cell>
        </row>
        <row r="710">
          <cell r="A710" t="str">
            <v>50001164</v>
          </cell>
        </row>
        <row r="711">
          <cell r="A711" t="str">
            <v>50001165</v>
          </cell>
        </row>
        <row r="712">
          <cell r="A712" t="str">
            <v>50001166</v>
          </cell>
        </row>
        <row r="713">
          <cell r="A713" t="str">
            <v>50001167</v>
          </cell>
        </row>
        <row r="714">
          <cell r="A714" t="str">
            <v>50001171</v>
          </cell>
        </row>
        <row r="715">
          <cell r="A715" t="str">
            <v>50001172</v>
          </cell>
        </row>
        <row r="716">
          <cell r="A716" t="str">
            <v>50001173</v>
          </cell>
        </row>
        <row r="717">
          <cell r="A717" t="str">
            <v>50001174</v>
          </cell>
        </row>
        <row r="718">
          <cell r="A718" t="str">
            <v>50001175</v>
          </cell>
        </row>
        <row r="719">
          <cell r="A719" t="str">
            <v>50001176</v>
          </cell>
        </row>
        <row r="720">
          <cell r="A720" t="str">
            <v>50001177</v>
          </cell>
        </row>
        <row r="721">
          <cell r="A721" t="str">
            <v>50001178</v>
          </cell>
        </row>
        <row r="722">
          <cell r="A722" t="str">
            <v>50001179</v>
          </cell>
        </row>
        <row r="723">
          <cell r="A723" t="str">
            <v>50001180</v>
          </cell>
        </row>
        <row r="724">
          <cell r="A724" t="str">
            <v>50001181</v>
          </cell>
        </row>
        <row r="725">
          <cell r="A725" t="str">
            <v>50001182</v>
          </cell>
        </row>
        <row r="726">
          <cell r="A726" t="str">
            <v>50001183</v>
          </cell>
        </row>
        <row r="727">
          <cell r="A727" t="str">
            <v>50001184</v>
          </cell>
        </row>
        <row r="728">
          <cell r="A728" t="str">
            <v>50001185</v>
          </cell>
        </row>
        <row r="729">
          <cell r="A729" t="str">
            <v>50001186</v>
          </cell>
        </row>
        <row r="730">
          <cell r="A730" t="str">
            <v>50001187</v>
          </cell>
        </row>
        <row r="731">
          <cell r="A731" t="str">
            <v>50001189</v>
          </cell>
        </row>
        <row r="732">
          <cell r="A732" t="str">
            <v>50001190</v>
          </cell>
        </row>
        <row r="733">
          <cell r="A733" t="str">
            <v>50001191</v>
          </cell>
        </row>
        <row r="734">
          <cell r="A734" t="str">
            <v>50001192</v>
          </cell>
        </row>
        <row r="735">
          <cell r="A735" t="str">
            <v>50001193</v>
          </cell>
        </row>
        <row r="736">
          <cell r="A736" t="str">
            <v>50001194</v>
          </cell>
        </row>
        <row r="737">
          <cell r="A737" t="str">
            <v>50001195</v>
          </cell>
        </row>
        <row r="738">
          <cell r="A738" t="str">
            <v>50001196</v>
          </cell>
        </row>
        <row r="739">
          <cell r="A739" t="str">
            <v>50001197</v>
          </cell>
        </row>
        <row r="740">
          <cell r="A740" t="str">
            <v>50001198</v>
          </cell>
        </row>
        <row r="741">
          <cell r="A741" t="str">
            <v>50001199</v>
          </cell>
        </row>
        <row r="742">
          <cell r="A742" t="str">
            <v>50100001</v>
          </cell>
        </row>
        <row r="743">
          <cell r="A743" t="str">
            <v>50100002</v>
          </cell>
        </row>
        <row r="744">
          <cell r="A744" t="str">
            <v>50100003</v>
          </cell>
        </row>
        <row r="745">
          <cell r="A745" t="str">
            <v>50100004</v>
          </cell>
        </row>
        <row r="746">
          <cell r="A746" t="str">
            <v>50100005</v>
          </cell>
        </row>
        <row r="747">
          <cell r="A747" t="str">
            <v>50100006</v>
          </cell>
        </row>
        <row r="748">
          <cell r="A748" t="str">
            <v>50100007</v>
          </cell>
        </row>
        <row r="749">
          <cell r="A749" t="str">
            <v>50200001</v>
          </cell>
        </row>
        <row r="750">
          <cell r="A750" t="str">
            <v>50200002</v>
          </cell>
        </row>
        <row r="751">
          <cell r="A751" t="str">
            <v>50200003</v>
          </cell>
        </row>
        <row r="752">
          <cell r="A752" t="str">
            <v>50200004</v>
          </cell>
        </row>
        <row r="753">
          <cell r="A753" t="str">
            <v>50200005</v>
          </cell>
        </row>
        <row r="754">
          <cell r="A754" t="str">
            <v>50200006</v>
          </cell>
        </row>
        <row r="755">
          <cell r="A755" t="str">
            <v>50200007</v>
          </cell>
        </row>
        <row r="756">
          <cell r="A756" t="str">
            <v>50200008</v>
          </cell>
        </row>
        <row r="757">
          <cell r="A757" t="str">
            <v>50200009</v>
          </cell>
        </row>
        <row r="758">
          <cell r="A758" t="str">
            <v>50200010</v>
          </cell>
        </row>
        <row r="759">
          <cell r="A759" t="str">
            <v>50200011</v>
          </cell>
        </row>
        <row r="760">
          <cell r="A760" t="str">
            <v>50200012</v>
          </cell>
        </row>
        <row r="761">
          <cell r="A761" t="str">
            <v>50200051</v>
          </cell>
        </row>
        <row r="762">
          <cell r="A762" t="str">
            <v>50200052</v>
          </cell>
        </row>
        <row r="763">
          <cell r="A763" t="str">
            <v>50200053</v>
          </cell>
        </row>
        <row r="764">
          <cell r="A764" t="str">
            <v>50200054</v>
          </cell>
        </row>
        <row r="765">
          <cell r="A765" t="str">
            <v>50200055</v>
          </cell>
        </row>
        <row r="766">
          <cell r="A766" t="str">
            <v>50200056</v>
          </cell>
        </row>
        <row r="767">
          <cell r="A767" t="str">
            <v>50200057</v>
          </cell>
        </row>
        <row r="768">
          <cell r="A768" t="str">
            <v>50200058</v>
          </cell>
        </row>
        <row r="769">
          <cell r="A769" t="str">
            <v>50200059</v>
          </cell>
        </row>
        <row r="770">
          <cell r="A770" t="str">
            <v>50200060</v>
          </cell>
        </row>
        <row r="771">
          <cell r="A771" t="str">
            <v>50200061</v>
          </cell>
        </row>
        <row r="772">
          <cell r="A772" t="str">
            <v>50200062</v>
          </cell>
        </row>
        <row r="773">
          <cell r="A773" t="str">
            <v>50200063</v>
          </cell>
        </row>
        <row r="774">
          <cell r="A774" t="str">
            <v>50200064</v>
          </cell>
        </row>
        <row r="775">
          <cell r="A775" t="str">
            <v>50200065</v>
          </cell>
        </row>
        <row r="776">
          <cell r="A776" t="str">
            <v>50200066</v>
          </cell>
        </row>
        <row r="777">
          <cell r="A777" t="str">
            <v>50200067</v>
          </cell>
        </row>
        <row r="778">
          <cell r="A778" t="str">
            <v>50200068</v>
          </cell>
        </row>
        <row r="779">
          <cell r="A779" t="str">
            <v>50200151</v>
          </cell>
        </row>
        <row r="780">
          <cell r="A780" t="str">
            <v>50200161</v>
          </cell>
        </row>
        <row r="781">
          <cell r="A781" t="str">
            <v>50200171</v>
          </cell>
        </row>
        <row r="782">
          <cell r="A782" t="str">
            <v>50200172</v>
          </cell>
        </row>
        <row r="783">
          <cell r="A783" t="str">
            <v>50200173</v>
          </cell>
        </row>
        <row r="784">
          <cell r="A784" t="str">
            <v>50300001</v>
          </cell>
        </row>
        <row r="785">
          <cell r="A785" t="str">
            <v>50300002</v>
          </cell>
        </row>
        <row r="786">
          <cell r="A786" t="str">
            <v>50300003</v>
          </cell>
        </row>
        <row r="787">
          <cell r="A787" t="str">
            <v>50300004</v>
          </cell>
        </row>
        <row r="788">
          <cell r="A788" t="str">
            <v>50300005</v>
          </cell>
        </row>
        <row r="789">
          <cell r="A789" t="str">
            <v>50300006</v>
          </cell>
        </row>
        <row r="790">
          <cell r="A790" t="str">
            <v>50300007</v>
          </cell>
        </row>
        <row r="791">
          <cell r="A791" t="str">
            <v>50300008</v>
          </cell>
        </row>
        <row r="792">
          <cell r="A792" t="str">
            <v>50300009</v>
          </cell>
        </row>
        <row r="793">
          <cell r="A793" t="str">
            <v>50300010</v>
          </cell>
        </row>
        <row r="794">
          <cell r="A794" t="str">
            <v>50300011</v>
          </cell>
        </row>
        <row r="795">
          <cell r="A795" t="str">
            <v>50300012</v>
          </cell>
        </row>
        <row r="796">
          <cell r="A796" t="str">
            <v>50300013</v>
          </cell>
        </row>
        <row r="797">
          <cell r="A797" t="str">
            <v>50300014</v>
          </cell>
        </row>
        <row r="798">
          <cell r="A798" t="str">
            <v>50300015</v>
          </cell>
        </row>
        <row r="799">
          <cell r="A799" t="str">
            <v>50300016</v>
          </cell>
        </row>
        <row r="800">
          <cell r="A800" t="str">
            <v>50300017</v>
          </cell>
        </row>
        <row r="801">
          <cell r="A801" t="str">
            <v>50300018</v>
          </cell>
        </row>
        <row r="802">
          <cell r="A802" t="str">
            <v>50300019</v>
          </cell>
        </row>
        <row r="803">
          <cell r="A803" t="str">
            <v>50300021</v>
          </cell>
        </row>
        <row r="804">
          <cell r="A804" t="str">
            <v>50300022</v>
          </cell>
        </row>
        <row r="805">
          <cell r="A805" t="str">
            <v>50300023</v>
          </cell>
        </row>
        <row r="806">
          <cell r="A806" t="str">
            <v>50300024</v>
          </cell>
        </row>
        <row r="807">
          <cell r="A807" t="str">
            <v>50300025</v>
          </cell>
        </row>
        <row r="808">
          <cell r="A808" t="str">
            <v>50300026</v>
          </cell>
        </row>
        <row r="809">
          <cell r="A809" t="str">
            <v>50300027</v>
          </cell>
        </row>
        <row r="810">
          <cell r="A810" t="str">
            <v>50300028</v>
          </cell>
        </row>
        <row r="811">
          <cell r="A811" t="str">
            <v>50300029</v>
          </cell>
        </row>
        <row r="812">
          <cell r="A812" t="str">
            <v>50300030</v>
          </cell>
        </row>
        <row r="813">
          <cell r="A813" t="str">
            <v>50300031</v>
          </cell>
        </row>
        <row r="814">
          <cell r="A814" t="str">
            <v>50300032</v>
          </cell>
        </row>
        <row r="815">
          <cell r="A815" t="str">
            <v>50300033</v>
          </cell>
        </row>
        <row r="816">
          <cell r="A816" t="str">
            <v>50300034</v>
          </cell>
        </row>
        <row r="817">
          <cell r="A817" t="str">
            <v>50300035</v>
          </cell>
        </row>
        <row r="818">
          <cell r="A818" t="str">
            <v>50300036</v>
          </cell>
        </row>
        <row r="819">
          <cell r="A819" t="str">
            <v>50300037</v>
          </cell>
        </row>
        <row r="820">
          <cell r="A820" t="str">
            <v>50300038</v>
          </cell>
        </row>
        <row r="821">
          <cell r="A821" t="str">
            <v>50300039</v>
          </cell>
        </row>
        <row r="822">
          <cell r="A822" t="str">
            <v>50300040</v>
          </cell>
        </row>
        <row r="823">
          <cell r="A823" t="str">
            <v>50300041</v>
          </cell>
        </row>
        <row r="824">
          <cell r="A824" t="str">
            <v>50300042</v>
          </cell>
        </row>
        <row r="825">
          <cell r="A825" t="str">
            <v>50300043</v>
          </cell>
        </row>
        <row r="826">
          <cell r="A826" t="str">
            <v>50300044</v>
          </cell>
        </row>
        <row r="827">
          <cell r="A827" t="str">
            <v>50300045</v>
          </cell>
        </row>
        <row r="828">
          <cell r="A828" t="str">
            <v>50300046</v>
          </cell>
        </row>
        <row r="829">
          <cell r="A829" t="str">
            <v>50300047</v>
          </cell>
        </row>
        <row r="830">
          <cell r="A830" t="str">
            <v>50300050</v>
          </cell>
        </row>
        <row r="831">
          <cell r="A831" t="str">
            <v>50300051</v>
          </cell>
        </row>
        <row r="832">
          <cell r="A832" t="str">
            <v>50300052</v>
          </cell>
        </row>
        <row r="833">
          <cell r="A833" t="str">
            <v>50300053</v>
          </cell>
        </row>
        <row r="834">
          <cell r="A834" t="str">
            <v>50300054</v>
          </cell>
        </row>
        <row r="835">
          <cell r="A835" t="str">
            <v>50300055</v>
          </cell>
        </row>
        <row r="836">
          <cell r="A836" t="str">
            <v>50300056</v>
          </cell>
        </row>
        <row r="837">
          <cell r="A837" t="str">
            <v>50300057</v>
          </cell>
        </row>
        <row r="838">
          <cell r="A838" t="str">
            <v>50300058</v>
          </cell>
        </row>
        <row r="839">
          <cell r="A839" t="str">
            <v>50300059</v>
          </cell>
        </row>
        <row r="840">
          <cell r="A840" t="str">
            <v>50300101</v>
          </cell>
        </row>
        <row r="841">
          <cell r="A841" t="str">
            <v>50300102</v>
          </cell>
        </row>
        <row r="842">
          <cell r="A842" t="str">
            <v>50300103</v>
          </cell>
        </row>
        <row r="843">
          <cell r="A843" t="str">
            <v>50300104</v>
          </cell>
        </row>
        <row r="844">
          <cell r="A844" t="str">
            <v>50300105</v>
          </cell>
        </row>
        <row r="845">
          <cell r="A845" t="str">
            <v>50300106</v>
          </cell>
        </row>
        <row r="846">
          <cell r="A846" t="str">
            <v>50300107</v>
          </cell>
        </row>
        <row r="847">
          <cell r="A847" t="str">
            <v>50300108</v>
          </cell>
        </row>
        <row r="848">
          <cell r="A848" t="str">
            <v>50300109</v>
          </cell>
        </row>
        <row r="849">
          <cell r="A849" t="str">
            <v>50300110</v>
          </cell>
        </row>
        <row r="850">
          <cell r="A850" t="str">
            <v>50300111</v>
          </cell>
        </row>
        <row r="851">
          <cell r="A851" t="str">
            <v>50300112</v>
          </cell>
        </row>
        <row r="852">
          <cell r="A852" t="str">
            <v>50300113</v>
          </cell>
        </row>
        <row r="853">
          <cell r="A853" t="str">
            <v>50300114</v>
          </cell>
        </row>
        <row r="854">
          <cell r="A854" t="str">
            <v>50300115</v>
          </cell>
        </row>
        <row r="855">
          <cell r="A855" t="str">
            <v>50300116</v>
          </cell>
        </row>
        <row r="856">
          <cell r="A856" t="str">
            <v>50300117</v>
          </cell>
        </row>
        <row r="857">
          <cell r="A857" t="str">
            <v>50300118</v>
          </cell>
        </row>
        <row r="858">
          <cell r="A858" t="str">
            <v>50300119</v>
          </cell>
        </row>
        <row r="859">
          <cell r="A859" t="str">
            <v>50300120</v>
          </cell>
        </row>
        <row r="860">
          <cell r="A860" t="str">
            <v>50300121</v>
          </cell>
        </row>
        <row r="861">
          <cell r="A861" t="str">
            <v>50300122</v>
          </cell>
        </row>
        <row r="862">
          <cell r="A862" t="str">
            <v>50300123</v>
          </cell>
        </row>
        <row r="863">
          <cell r="A863" t="str">
            <v>50300124</v>
          </cell>
        </row>
        <row r="864">
          <cell r="A864" t="str">
            <v>50300125</v>
          </cell>
        </row>
        <row r="865">
          <cell r="A865" t="str">
            <v>50300126</v>
          </cell>
        </row>
        <row r="866">
          <cell r="A866" t="str">
            <v>50300148</v>
          </cell>
        </row>
        <row r="867">
          <cell r="A867" t="str">
            <v>50300201</v>
          </cell>
        </row>
        <row r="868">
          <cell r="A868" t="str">
            <v>50300202</v>
          </cell>
        </row>
        <row r="869">
          <cell r="A869" t="str">
            <v>50300203</v>
          </cell>
        </row>
        <row r="870">
          <cell r="A870" t="str">
            <v>50300301</v>
          </cell>
        </row>
        <row r="871">
          <cell r="A871" t="str">
            <v>50300302</v>
          </cell>
        </row>
        <row r="872">
          <cell r="A872" t="str">
            <v>50300303</v>
          </cell>
        </row>
        <row r="873">
          <cell r="A873" t="str">
            <v>50300307</v>
          </cell>
        </row>
        <row r="874">
          <cell r="A874" t="str">
            <v>50300310</v>
          </cell>
        </row>
        <row r="875">
          <cell r="A875" t="str">
            <v>50400001</v>
          </cell>
        </row>
        <row r="876">
          <cell r="A876" t="str">
            <v>50400002</v>
          </cell>
        </row>
        <row r="877">
          <cell r="A877" t="str">
            <v>50400003</v>
          </cell>
        </row>
        <row r="878">
          <cell r="A878" t="str">
            <v>50400004</v>
          </cell>
        </row>
        <row r="879">
          <cell r="A879" t="str">
            <v>50400005</v>
          </cell>
        </row>
        <row r="880">
          <cell r="A880" t="str">
            <v>50400006</v>
          </cell>
        </row>
        <row r="881">
          <cell r="A881" t="str">
            <v>50400007</v>
          </cell>
        </row>
        <row r="882">
          <cell r="A882" t="str">
            <v>50400021</v>
          </cell>
        </row>
        <row r="883">
          <cell r="A883" t="str">
            <v>50400022</v>
          </cell>
        </row>
        <row r="884">
          <cell r="A884" t="str">
            <v>50400023</v>
          </cell>
        </row>
        <row r="885">
          <cell r="A885" t="str">
            <v>50400024</v>
          </cell>
        </row>
        <row r="886">
          <cell r="A886" t="str">
            <v>50400041</v>
          </cell>
        </row>
        <row r="887">
          <cell r="A887" t="str">
            <v>50400042</v>
          </cell>
        </row>
        <row r="888">
          <cell r="A888" t="str">
            <v>50400043</v>
          </cell>
        </row>
        <row r="889">
          <cell r="A889" t="str">
            <v>50400044</v>
          </cell>
        </row>
        <row r="890">
          <cell r="A890" t="str">
            <v>50400061</v>
          </cell>
        </row>
        <row r="891">
          <cell r="A891" t="str">
            <v>50400062</v>
          </cell>
        </row>
        <row r="892">
          <cell r="A892" t="str">
            <v>50400063</v>
          </cell>
        </row>
        <row r="893">
          <cell r="A893" t="str">
            <v>50400064</v>
          </cell>
        </row>
        <row r="894">
          <cell r="A894" t="str">
            <v>50400081</v>
          </cell>
        </row>
        <row r="895">
          <cell r="A895" t="str">
            <v>50400082</v>
          </cell>
        </row>
        <row r="896">
          <cell r="A896" t="str">
            <v>50400083</v>
          </cell>
        </row>
        <row r="897">
          <cell r="A897" t="str">
            <v>50400084</v>
          </cell>
        </row>
        <row r="898">
          <cell r="A898" t="str">
            <v>50400085</v>
          </cell>
        </row>
        <row r="899">
          <cell r="A899" t="str">
            <v>50400091</v>
          </cell>
        </row>
        <row r="900">
          <cell r="A900" t="str">
            <v>50400101</v>
          </cell>
        </row>
        <row r="901">
          <cell r="A901" t="str">
            <v>50400102</v>
          </cell>
        </row>
        <row r="902">
          <cell r="A902" t="str">
            <v>50400103</v>
          </cell>
        </row>
        <row r="903">
          <cell r="A903" t="str">
            <v>50400104</v>
          </cell>
        </row>
        <row r="904">
          <cell r="A904" t="str">
            <v>50400105</v>
          </cell>
        </row>
        <row r="905">
          <cell r="A905" t="str">
            <v>50400106</v>
          </cell>
        </row>
        <row r="906">
          <cell r="A906" t="str">
            <v>50400107</v>
          </cell>
        </row>
        <row r="907">
          <cell r="A907" t="str">
            <v>50400108</v>
          </cell>
        </row>
        <row r="908">
          <cell r="A908" t="str">
            <v>50400109</v>
          </cell>
        </row>
        <row r="909">
          <cell r="A909" t="str">
            <v>50400121</v>
          </cell>
        </row>
        <row r="910">
          <cell r="A910" t="str">
            <v>50400122</v>
          </cell>
        </row>
        <row r="911">
          <cell r="A911" t="str">
            <v>50400131</v>
          </cell>
        </row>
        <row r="912">
          <cell r="A912" t="str">
            <v>50400132</v>
          </cell>
        </row>
        <row r="913">
          <cell r="A913" t="str">
            <v>50400133</v>
          </cell>
        </row>
        <row r="914">
          <cell r="A914" t="str">
            <v>50400134</v>
          </cell>
        </row>
        <row r="915">
          <cell r="A915" t="str">
            <v>50400135</v>
          </cell>
        </row>
        <row r="916">
          <cell r="A916" t="str">
            <v>50400136</v>
          </cell>
        </row>
        <row r="917">
          <cell r="A917" t="str">
            <v>50400151</v>
          </cell>
        </row>
        <row r="918">
          <cell r="A918" t="str">
            <v>50400152</v>
          </cell>
        </row>
        <row r="919">
          <cell r="A919" t="str">
            <v>50400171</v>
          </cell>
        </row>
        <row r="920">
          <cell r="A920" t="str">
            <v>50400181</v>
          </cell>
        </row>
        <row r="921">
          <cell r="A921" t="str">
            <v>50400191</v>
          </cell>
        </row>
        <row r="922">
          <cell r="A922" t="str">
            <v>50400192</v>
          </cell>
        </row>
        <row r="923">
          <cell r="A923" t="str">
            <v>50400193</v>
          </cell>
        </row>
        <row r="924">
          <cell r="A924" t="str">
            <v>50400194</v>
          </cell>
        </row>
        <row r="925">
          <cell r="A925" t="str">
            <v>50400195</v>
          </cell>
        </row>
        <row r="926">
          <cell r="A926" t="str">
            <v>50400196</v>
          </cell>
        </row>
        <row r="927">
          <cell r="A927" t="str">
            <v>50400197</v>
          </cell>
        </row>
        <row r="928">
          <cell r="A928" t="str">
            <v>50400198</v>
          </cell>
        </row>
        <row r="929">
          <cell r="A929" t="str">
            <v>50400199</v>
          </cell>
        </row>
        <row r="930">
          <cell r="A930" t="str">
            <v>50400200</v>
          </cell>
        </row>
        <row r="931">
          <cell r="A931" t="str">
            <v>50400201</v>
          </cell>
        </row>
        <row r="932">
          <cell r="A932" t="str">
            <v>50400211</v>
          </cell>
        </row>
        <row r="933">
          <cell r="A933" t="str">
            <v>50400221</v>
          </cell>
        </row>
        <row r="934">
          <cell r="A934" t="str">
            <v>50400222</v>
          </cell>
        </row>
        <row r="935">
          <cell r="A935" t="str">
            <v>50400223</v>
          </cell>
        </row>
        <row r="936">
          <cell r="A936" t="str">
            <v>50400224</v>
          </cell>
        </row>
        <row r="937">
          <cell r="A937" t="str">
            <v>50400225</v>
          </cell>
        </row>
        <row r="938">
          <cell r="A938" t="str">
            <v>50400226</v>
          </cell>
        </row>
        <row r="939">
          <cell r="A939" t="str">
            <v>50400227</v>
          </cell>
        </row>
        <row r="940">
          <cell r="A940" t="str">
            <v>50400228</v>
          </cell>
        </row>
        <row r="941">
          <cell r="A941" t="str">
            <v>50400229</v>
          </cell>
        </row>
        <row r="942">
          <cell r="A942" t="str">
            <v>50400230</v>
          </cell>
        </row>
        <row r="943">
          <cell r="A943" t="str">
            <v>50400231</v>
          </cell>
        </row>
        <row r="944">
          <cell r="A944" t="str">
            <v>50400232</v>
          </cell>
        </row>
        <row r="945">
          <cell r="A945" t="str">
            <v>50400233</v>
          </cell>
        </row>
        <row r="946">
          <cell r="A946" t="str">
            <v>50400234</v>
          </cell>
        </row>
        <row r="947">
          <cell r="A947" t="str">
            <v>50400235</v>
          </cell>
        </row>
        <row r="948">
          <cell r="A948" t="str">
            <v>50400236</v>
          </cell>
        </row>
        <row r="949">
          <cell r="A949" t="str">
            <v>50500001</v>
          </cell>
        </row>
        <row r="950">
          <cell r="A950" t="str">
            <v>50500002</v>
          </cell>
        </row>
        <row r="951">
          <cell r="A951" t="str">
            <v>50500003</v>
          </cell>
        </row>
        <row r="952">
          <cell r="A952" t="str">
            <v>50500004</v>
          </cell>
        </row>
        <row r="953">
          <cell r="A953" t="str">
            <v>50500005</v>
          </cell>
        </row>
        <row r="954">
          <cell r="A954" t="str">
            <v>50500006</v>
          </cell>
        </row>
        <row r="955">
          <cell r="A955" t="str">
            <v>50500007</v>
          </cell>
        </row>
        <row r="956">
          <cell r="A956" t="str">
            <v>50600001</v>
          </cell>
        </row>
        <row r="957">
          <cell r="A957" t="str">
            <v>50600002</v>
          </cell>
        </row>
        <row r="958">
          <cell r="A958" t="str">
            <v>50600003</v>
          </cell>
        </row>
        <row r="959">
          <cell r="A959" t="str">
            <v>50600004</v>
          </cell>
        </row>
        <row r="960">
          <cell r="A960" t="str">
            <v>50600005</v>
          </cell>
        </row>
        <row r="961">
          <cell r="A961" t="str">
            <v>50600006</v>
          </cell>
        </row>
        <row r="962">
          <cell r="A962" t="str">
            <v>50600007</v>
          </cell>
        </row>
        <row r="963">
          <cell r="A963" t="str">
            <v>50600008</v>
          </cell>
        </row>
        <row r="964">
          <cell r="A964" t="str">
            <v>50600009</v>
          </cell>
        </row>
        <row r="965">
          <cell r="A965" t="str">
            <v>50600010</v>
          </cell>
        </row>
        <row r="966">
          <cell r="A966" t="str">
            <v>50600011</v>
          </cell>
        </row>
        <row r="967">
          <cell r="A967" t="str">
            <v>50600012</v>
          </cell>
        </row>
        <row r="968">
          <cell r="A968" t="str">
            <v>50600013</v>
          </cell>
        </row>
        <row r="969">
          <cell r="A969" t="str">
            <v>50600014</v>
          </cell>
        </row>
        <row r="970">
          <cell r="A970" t="str">
            <v>50600015</v>
          </cell>
        </row>
        <row r="971">
          <cell r="A971" t="str">
            <v>50600016</v>
          </cell>
        </row>
        <row r="972">
          <cell r="A972" t="str">
            <v>50600017</v>
          </cell>
        </row>
        <row r="973">
          <cell r="A973" t="str">
            <v>50600021</v>
          </cell>
        </row>
        <row r="974">
          <cell r="A974" t="str">
            <v>50600022</v>
          </cell>
        </row>
        <row r="975">
          <cell r="A975" t="str">
            <v>50600023</v>
          </cell>
        </row>
        <row r="976">
          <cell r="A976" t="str">
            <v>50600024</v>
          </cell>
        </row>
        <row r="977">
          <cell r="A977" t="str">
            <v>50600025</v>
          </cell>
        </row>
        <row r="978">
          <cell r="A978" t="str">
            <v>50600026</v>
          </cell>
        </row>
        <row r="979">
          <cell r="A979" t="str">
            <v>50600041</v>
          </cell>
        </row>
        <row r="980">
          <cell r="A980" t="str">
            <v>50600042</v>
          </cell>
        </row>
        <row r="981">
          <cell r="A981" t="str">
            <v>50600043</v>
          </cell>
        </row>
        <row r="982">
          <cell r="A982" t="str">
            <v>50600044</v>
          </cell>
        </row>
        <row r="983">
          <cell r="A983" t="str">
            <v>50600061</v>
          </cell>
        </row>
        <row r="984">
          <cell r="A984" t="str">
            <v>50600062</v>
          </cell>
        </row>
        <row r="985">
          <cell r="A985" t="str">
            <v>50600063</v>
          </cell>
        </row>
        <row r="986">
          <cell r="A986" t="str">
            <v>50600064</v>
          </cell>
        </row>
        <row r="987">
          <cell r="A987" t="str">
            <v>50600065</v>
          </cell>
        </row>
        <row r="988">
          <cell r="A988" t="str">
            <v>50600066</v>
          </cell>
        </row>
        <row r="989">
          <cell r="A989" t="str">
            <v>50600067</v>
          </cell>
        </row>
        <row r="990">
          <cell r="A990" t="str">
            <v>50600081</v>
          </cell>
        </row>
        <row r="991">
          <cell r="A991" t="str">
            <v>50600082</v>
          </cell>
        </row>
        <row r="992">
          <cell r="A992" t="str">
            <v>50600101</v>
          </cell>
        </row>
        <row r="993">
          <cell r="A993" t="str">
            <v>50600102</v>
          </cell>
        </row>
        <row r="994">
          <cell r="A994" t="str">
            <v>50600103</v>
          </cell>
        </row>
        <row r="995">
          <cell r="A995" t="str">
            <v>50600104</v>
          </cell>
        </row>
        <row r="996">
          <cell r="A996" t="str">
            <v>50600105</v>
          </cell>
        </row>
        <row r="997">
          <cell r="A997" t="str">
            <v>50600106</v>
          </cell>
        </row>
        <row r="998">
          <cell r="A998" t="str">
            <v>50600107</v>
          </cell>
        </row>
        <row r="999">
          <cell r="A999" t="str">
            <v>50600108</v>
          </cell>
        </row>
        <row r="1000">
          <cell r="A1000" t="str">
            <v>50600109</v>
          </cell>
        </row>
        <row r="1001">
          <cell r="A1001" t="str">
            <v>50600110</v>
          </cell>
        </row>
        <row r="1002">
          <cell r="A1002" t="str">
            <v>50600111</v>
          </cell>
        </row>
        <row r="1003">
          <cell r="A1003" t="str">
            <v>50600112</v>
          </cell>
        </row>
        <row r="1004">
          <cell r="A1004" t="str">
            <v>50600113</v>
          </cell>
        </row>
        <row r="1005">
          <cell r="A1005" t="str">
            <v>50600117</v>
          </cell>
        </row>
        <row r="1006">
          <cell r="A1006" t="str">
            <v>50600121</v>
          </cell>
        </row>
        <row r="1007">
          <cell r="A1007" t="str">
            <v>50600122</v>
          </cell>
        </row>
        <row r="1008">
          <cell r="A1008" t="str">
            <v>50600123</v>
          </cell>
        </row>
        <row r="1009">
          <cell r="A1009" t="str">
            <v>50600141</v>
          </cell>
        </row>
        <row r="1010">
          <cell r="A1010" t="str">
            <v>50600142</v>
          </cell>
        </row>
        <row r="1011">
          <cell r="A1011" t="str">
            <v>50600143</v>
          </cell>
        </row>
        <row r="1012">
          <cell r="A1012" t="str">
            <v>50600144</v>
          </cell>
        </row>
        <row r="1013">
          <cell r="A1013" t="str">
            <v>50600145</v>
          </cell>
        </row>
        <row r="1014">
          <cell r="A1014" t="str">
            <v>50600146</v>
          </cell>
        </row>
        <row r="1015">
          <cell r="A1015" t="str">
            <v>50600147</v>
          </cell>
        </row>
        <row r="1016">
          <cell r="A1016" t="str">
            <v>50600148</v>
          </cell>
        </row>
        <row r="1017">
          <cell r="A1017" t="str">
            <v>50600149</v>
          </cell>
        </row>
        <row r="1018">
          <cell r="A1018" t="str">
            <v>50600150</v>
          </cell>
        </row>
        <row r="1019">
          <cell r="A1019" t="str">
            <v>50600161</v>
          </cell>
        </row>
        <row r="1020">
          <cell r="A1020" t="str">
            <v>50600181</v>
          </cell>
        </row>
        <row r="1021">
          <cell r="A1021" t="str">
            <v>50600182</v>
          </cell>
        </row>
        <row r="1022">
          <cell r="A1022" t="str">
            <v>50600201</v>
          </cell>
        </row>
        <row r="1023">
          <cell r="A1023" t="str">
            <v>50600202</v>
          </cell>
        </row>
        <row r="1024">
          <cell r="A1024" t="str">
            <v>50600203</v>
          </cell>
        </row>
        <row r="1025">
          <cell r="A1025" t="str">
            <v>50600204</v>
          </cell>
        </row>
        <row r="1026">
          <cell r="A1026" t="str">
            <v>50600205</v>
          </cell>
        </row>
        <row r="1027">
          <cell r="A1027" t="str">
            <v>50600206</v>
          </cell>
        </row>
        <row r="1028">
          <cell r="A1028" t="str">
            <v>50600207</v>
          </cell>
        </row>
        <row r="1029">
          <cell r="A1029" t="str">
            <v>50600208</v>
          </cell>
        </row>
        <row r="1030">
          <cell r="A1030" t="str">
            <v>50600209</v>
          </cell>
        </row>
        <row r="1031">
          <cell r="A1031" t="str">
            <v>50600210</v>
          </cell>
        </row>
        <row r="1032">
          <cell r="A1032" t="str">
            <v>50600211</v>
          </cell>
        </row>
        <row r="1033">
          <cell r="A1033" t="str">
            <v>50600212</v>
          </cell>
        </row>
        <row r="1034">
          <cell r="A1034" t="str">
            <v>50600214</v>
          </cell>
        </row>
        <row r="1035">
          <cell r="A1035" t="str">
            <v>50600215</v>
          </cell>
        </row>
        <row r="1036">
          <cell r="A1036" t="str">
            <v>50600215</v>
          </cell>
        </row>
        <row r="1037">
          <cell r="A1037" t="str">
            <v>50600216</v>
          </cell>
        </row>
        <row r="1038">
          <cell r="A1038" t="str">
            <v>50600217</v>
          </cell>
        </row>
        <row r="1039">
          <cell r="A1039" t="str">
            <v>50600218</v>
          </cell>
        </row>
        <row r="1040">
          <cell r="A1040" t="str">
            <v>50600219</v>
          </cell>
        </row>
        <row r="1041">
          <cell r="A1041" t="str">
            <v>50600220</v>
          </cell>
        </row>
        <row r="1042">
          <cell r="A1042" t="str">
            <v>50600221</v>
          </cell>
        </row>
        <row r="1043">
          <cell r="A1043" t="str">
            <v>50600222</v>
          </cell>
        </row>
        <row r="1044">
          <cell r="A1044" t="str">
            <v>50600223</v>
          </cell>
        </row>
        <row r="1045">
          <cell r="A1045" t="str">
            <v>50600224</v>
          </cell>
        </row>
        <row r="1046">
          <cell r="A1046" t="str">
            <v>50600225</v>
          </cell>
        </row>
        <row r="1047">
          <cell r="A1047" t="str">
            <v>50600226</v>
          </cell>
        </row>
        <row r="1048">
          <cell r="A1048" t="str">
            <v>50600227</v>
          </cell>
        </row>
        <row r="1049">
          <cell r="A1049" t="str">
            <v>50600228</v>
          </cell>
        </row>
        <row r="1050">
          <cell r="A1050" t="str">
            <v>50600261</v>
          </cell>
        </row>
        <row r="1051">
          <cell r="A1051" t="str">
            <v>50600262</v>
          </cell>
        </row>
        <row r="1052">
          <cell r="A1052" t="str">
            <v>50600263</v>
          </cell>
        </row>
        <row r="1053">
          <cell r="A1053" t="str">
            <v>50600264</v>
          </cell>
        </row>
        <row r="1054">
          <cell r="A1054" t="str">
            <v>50600271</v>
          </cell>
        </row>
        <row r="1055">
          <cell r="A1055" t="str">
            <v>50600272</v>
          </cell>
        </row>
        <row r="1056">
          <cell r="A1056" t="str">
            <v>50600273</v>
          </cell>
        </row>
        <row r="1057">
          <cell r="A1057" t="str">
            <v>50600274</v>
          </cell>
        </row>
        <row r="1058">
          <cell r="A1058" t="str">
            <v>50600275</v>
          </cell>
        </row>
        <row r="1059">
          <cell r="A1059" t="str">
            <v>50600276</v>
          </cell>
        </row>
        <row r="1060">
          <cell r="A1060" t="str">
            <v>50600277</v>
          </cell>
        </row>
        <row r="1061">
          <cell r="A1061" t="str">
            <v>50600278</v>
          </cell>
        </row>
        <row r="1062">
          <cell r="A1062" t="str">
            <v>50600279</v>
          </cell>
        </row>
      </sheetData>
      <sheetData sheetId="10">
        <row r="3">
          <cell r="A3" t="str">
            <v>0000</v>
          </cell>
        </row>
        <row r="4">
          <cell r="A4" t="str">
            <v>0203</v>
          </cell>
        </row>
        <row r="5">
          <cell r="A5" t="str">
            <v>0240</v>
          </cell>
        </row>
        <row r="6">
          <cell r="A6" t="str">
            <v>0242</v>
          </cell>
        </row>
        <row r="7">
          <cell r="A7" t="str">
            <v>0243</v>
          </cell>
        </row>
        <row r="8">
          <cell r="A8" t="str">
            <v>0244</v>
          </cell>
        </row>
        <row r="9">
          <cell r="A9" t="str">
            <v>0245</v>
          </cell>
        </row>
        <row r="10">
          <cell r="A10" t="str">
            <v>0246</v>
          </cell>
        </row>
        <row r="11">
          <cell r="A11" t="str">
            <v>0247</v>
          </cell>
        </row>
        <row r="12">
          <cell r="A12" t="str">
            <v>0248</v>
          </cell>
        </row>
        <row r="13">
          <cell r="A13" t="str">
            <v>0249</v>
          </cell>
        </row>
        <row r="14">
          <cell r="A14" t="str">
            <v>0254</v>
          </cell>
        </row>
        <row r="15">
          <cell r="A15" t="str">
            <v>0269</v>
          </cell>
        </row>
        <row r="16">
          <cell r="A16" t="str">
            <v>0270</v>
          </cell>
        </row>
        <row r="17">
          <cell r="A17" t="str">
            <v>0271</v>
          </cell>
        </row>
        <row r="18">
          <cell r="A18" t="str">
            <v>0322</v>
          </cell>
        </row>
        <row r="19">
          <cell r="A19" t="str">
            <v>0801</v>
          </cell>
        </row>
        <row r="20">
          <cell r="A20" t="str">
            <v>0803</v>
          </cell>
        </row>
        <row r="21">
          <cell r="A21" t="str">
            <v>0804</v>
          </cell>
        </row>
        <row r="22">
          <cell r="A22" t="str">
            <v>0805</v>
          </cell>
        </row>
        <row r="23">
          <cell r="A23" t="str">
            <v>0806</v>
          </cell>
        </row>
        <row r="24">
          <cell r="A24" t="str">
            <v>0810</v>
          </cell>
        </row>
        <row r="25">
          <cell r="A25" t="str">
            <v>0811</v>
          </cell>
        </row>
        <row r="26">
          <cell r="A26" t="str">
            <v>0812</v>
          </cell>
        </row>
        <row r="27">
          <cell r="A27" t="str">
            <v>0813</v>
          </cell>
        </row>
        <row r="28">
          <cell r="A28" t="str">
            <v>0818</v>
          </cell>
        </row>
        <row r="29">
          <cell r="A29" t="str">
            <v>0820</v>
          </cell>
        </row>
        <row r="30">
          <cell r="A30" t="str">
            <v>0823</v>
          </cell>
        </row>
        <row r="31">
          <cell r="A31" t="str">
            <v>0824</v>
          </cell>
        </row>
        <row r="32">
          <cell r="A32" t="str">
            <v>0825</v>
          </cell>
        </row>
        <row r="33">
          <cell r="A33" t="str">
            <v>0828</v>
          </cell>
        </row>
        <row r="34">
          <cell r="A34" t="str">
            <v>0829</v>
          </cell>
        </row>
        <row r="35">
          <cell r="A35" t="str">
            <v>0830</v>
          </cell>
        </row>
        <row r="36">
          <cell r="A36" t="str">
            <v>0831</v>
          </cell>
        </row>
        <row r="37">
          <cell r="A37" t="str">
            <v>0832</v>
          </cell>
        </row>
        <row r="38">
          <cell r="A38" t="str">
            <v>1201</v>
          </cell>
        </row>
        <row r="39">
          <cell r="A39" t="str">
            <v>1202</v>
          </cell>
        </row>
        <row r="40">
          <cell r="A40" t="str">
            <v>1209</v>
          </cell>
        </row>
        <row r="41">
          <cell r="A41" t="str">
            <v>BH02</v>
          </cell>
        </row>
        <row r="42">
          <cell r="A42" t="str">
            <v>BH03</v>
          </cell>
        </row>
        <row r="43">
          <cell r="A43" t="str">
            <v>BH04</v>
          </cell>
        </row>
        <row r="44">
          <cell r="A44" t="str">
            <v>BU02</v>
          </cell>
        </row>
        <row r="45">
          <cell r="A45" t="str">
            <v>BW02</v>
          </cell>
        </row>
        <row r="46">
          <cell r="A46" t="str">
            <v>CF01</v>
          </cell>
        </row>
        <row r="47">
          <cell r="A47" t="str">
            <v>CN02</v>
          </cell>
        </row>
        <row r="48">
          <cell r="A48" t="str">
            <v>CN04</v>
          </cell>
        </row>
        <row r="49">
          <cell r="A49" t="str">
            <v>CR01</v>
          </cell>
        </row>
        <row r="50">
          <cell r="A50" t="str">
            <v>CR02</v>
          </cell>
        </row>
        <row r="51">
          <cell r="A51" t="str">
            <v>CU01</v>
          </cell>
        </row>
        <row r="52">
          <cell r="A52" t="str">
            <v>CU02</v>
          </cell>
        </row>
        <row r="53">
          <cell r="A53" t="str">
            <v>FL01</v>
          </cell>
        </row>
        <row r="54">
          <cell r="A54" t="str">
            <v>GD01</v>
          </cell>
        </row>
        <row r="55">
          <cell r="A55" t="str">
            <v>KB01</v>
          </cell>
        </row>
        <row r="56">
          <cell r="A56" t="str">
            <v>OL01</v>
          </cell>
        </row>
        <row r="57">
          <cell r="A57" t="str">
            <v>SC01</v>
          </cell>
        </row>
        <row r="58">
          <cell r="A58" t="str">
            <v>SC03</v>
          </cell>
        </row>
        <row r="59">
          <cell r="A59" t="str">
            <v>SC04</v>
          </cell>
        </row>
        <row r="60">
          <cell r="A60" t="str">
            <v>SC07</v>
          </cell>
        </row>
        <row r="61">
          <cell r="A61" t="str">
            <v>SC08</v>
          </cell>
        </row>
        <row r="62">
          <cell r="A62" t="str">
            <v>SC09</v>
          </cell>
        </row>
        <row r="63">
          <cell r="A63" t="str">
            <v>SC10</v>
          </cell>
        </row>
        <row r="64">
          <cell r="A64" t="str">
            <v>SC11</v>
          </cell>
        </row>
        <row r="65">
          <cell r="A65" t="str">
            <v>SH01</v>
          </cell>
        </row>
        <row r="66">
          <cell r="A66" t="str">
            <v>SH02</v>
          </cell>
        </row>
        <row r="67">
          <cell r="A67" t="str">
            <v>SH03</v>
          </cell>
        </row>
        <row r="68">
          <cell r="A68" t="str">
            <v>SH04</v>
          </cell>
        </row>
        <row r="69">
          <cell r="A69" t="str">
            <v>SH06</v>
          </cell>
        </row>
        <row r="70">
          <cell r="A70" t="str">
            <v>SH07</v>
          </cell>
        </row>
        <row r="71">
          <cell r="A71" t="str">
            <v>SP01</v>
          </cell>
        </row>
        <row r="72">
          <cell r="A72" t="str">
            <v>TC01</v>
          </cell>
        </row>
        <row r="73">
          <cell r="A73" t="str">
            <v>TR01</v>
          </cell>
        </row>
        <row r="74">
          <cell r="A74" t="str">
            <v>TR02</v>
          </cell>
        </row>
        <row r="75">
          <cell r="A75" t="str">
            <v>TR03</v>
          </cell>
        </row>
        <row r="76">
          <cell r="A76" t="str">
            <v>TR04</v>
          </cell>
        </row>
        <row r="77">
          <cell r="A77" t="str">
            <v>TR05</v>
          </cell>
        </row>
        <row r="78">
          <cell r="A78" t="str">
            <v>TR06</v>
          </cell>
        </row>
        <row r="79">
          <cell r="A79" t="str">
            <v>TR07</v>
          </cell>
        </row>
        <row r="80">
          <cell r="A80" t="str">
            <v>TR08</v>
          </cell>
        </row>
        <row r="81">
          <cell r="A81" t="str">
            <v>TR09</v>
          </cell>
        </row>
        <row r="82">
          <cell r="A82" t="str">
            <v>TR10</v>
          </cell>
        </row>
        <row r="83">
          <cell r="A83" t="str">
            <v>TR11</v>
          </cell>
        </row>
        <row r="84">
          <cell r="A84" t="str">
            <v>TR12</v>
          </cell>
        </row>
        <row r="85">
          <cell r="A85" t="str">
            <v>TR13</v>
          </cell>
        </row>
        <row r="86">
          <cell r="A86" t="str">
            <v>TR14</v>
          </cell>
        </row>
        <row r="87">
          <cell r="A87" t="str">
            <v>TR15</v>
          </cell>
        </row>
        <row r="88">
          <cell r="A88" t="str">
            <v>TR16</v>
          </cell>
        </row>
        <row r="89">
          <cell r="A89" t="str">
            <v>TR17</v>
          </cell>
        </row>
        <row r="90">
          <cell r="A90" t="str">
            <v>TR18</v>
          </cell>
        </row>
        <row r="91">
          <cell r="A91" t="str">
            <v>TR19</v>
          </cell>
        </row>
        <row r="92">
          <cell r="A92" t="str">
            <v>TR20</v>
          </cell>
        </row>
        <row r="93">
          <cell r="A93" t="str">
            <v>WD02</v>
          </cell>
        </row>
        <row r="94">
          <cell r="A94" t="str">
            <v>WD03</v>
          </cell>
        </row>
        <row r="95">
          <cell r="A95" t="str">
            <v>WD04</v>
          </cell>
        </row>
        <row r="96">
          <cell r="A96" t="str">
            <v>WD08</v>
          </cell>
        </row>
        <row r="97">
          <cell r="A97" t="str">
            <v>WD09</v>
          </cell>
        </row>
        <row r="98">
          <cell r="A98" t="str">
            <v>WD10</v>
          </cell>
        </row>
        <row r="99">
          <cell r="A99" t="str">
            <v>WD11</v>
          </cell>
        </row>
        <row r="100">
          <cell r="A100" t="str">
            <v>WL01</v>
          </cell>
        </row>
        <row r="101">
          <cell r="A101" t="str">
            <v>WT02</v>
          </cell>
        </row>
        <row r="102">
          <cell r="A102" t="str">
            <v>WT03</v>
          </cell>
        </row>
        <row r="103">
          <cell r="A103" t="str">
            <v>WT05</v>
          </cell>
        </row>
      </sheetData>
      <sheetData sheetId="11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2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3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4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5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6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7"/>
      <sheetData sheetId="18"/>
      <sheetData sheetId="19"/>
      <sheetData sheetId="20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  <row r="6">
          <cell r="A6" t="str">
            <v>33</v>
          </cell>
        </row>
        <row r="7">
          <cell r="A7" t="str">
            <v>33</v>
          </cell>
        </row>
        <row r="8">
          <cell r="A8" t="str">
            <v>33</v>
          </cell>
        </row>
        <row r="9">
          <cell r="A9" t="str">
            <v>33</v>
          </cell>
        </row>
        <row r="10">
          <cell r="A10" t="str">
            <v>33</v>
          </cell>
        </row>
        <row r="11">
          <cell r="A11" t="str">
            <v>33</v>
          </cell>
        </row>
        <row r="12">
          <cell r="A12" t="str">
            <v>33</v>
          </cell>
        </row>
        <row r="13">
          <cell r="A13" t="str">
            <v>33</v>
          </cell>
        </row>
        <row r="14">
          <cell r="A14" t="str">
            <v>33</v>
          </cell>
        </row>
        <row r="15">
          <cell r="A15" t="str">
            <v>33</v>
          </cell>
        </row>
        <row r="16">
          <cell r="A16" t="str">
            <v>33</v>
          </cell>
        </row>
        <row r="17">
          <cell r="A17" t="str">
            <v>33</v>
          </cell>
        </row>
        <row r="18">
          <cell r="A18" t="str">
            <v>33</v>
          </cell>
        </row>
        <row r="19">
          <cell r="A19" t="str">
            <v>33</v>
          </cell>
        </row>
        <row r="20">
          <cell r="A20" t="str">
            <v>33</v>
          </cell>
        </row>
        <row r="21">
          <cell r="A21" t="str">
            <v>33</v>
          </cell>
        </row>
        <row r="22">
          <cell r="A22" t="str">
            <v>33</v>
          </cell>
        </row>
        <row r="23">
          <cell r="A23" t="str">
            <v>33</v>
          </cell>
        </row>
        <row r="24">
          <cell r="A24" t="str">
            <v>33</v>
          </cell>
        </row>
        <row r="25">
          <cell r="A25" t="str">
            <v>33</v>
          </cell>
        </row>
        <row r="26">
          <cell r="A26" t="str">
            <v>33</v>
          </cell>
        </row>
        <row r="27">
          <cell r="A27" t="str">
            <v>33</v>
          </cell>
        </row>
        <row r="28">
          <cell r="A28" t="str">
            <v>33</v>
          </cell>
        </row>
        <row r="29">
          <cell r="A29" t="str">
            <v>33</v>
          </cell>
        </row>
        <row r="30">
          <cell r="A30" t="str">
            <v>33</v>
          </cell>
        </row>
        <row r="31">
          <cell r="A31" t="str">
            <v>33</v>
          </cell>
        </row>
        <row r="32">
          <cell r="A32" t="str">
            <v>33</v>
          </cell>
        </row>
        <row r="33">
          <cell r="A33" t="str">
            <v>33</v>
          </cell>
        </row>
        <row r="34">
          <cell r="A34" t="str">
            <v>33</v>
          </cell>
        </row>
        <row r="35">
          <cell r="A35" t="str">
            <v>33</v>
          </cell>
        </row>
        <row r="36">
          <cell r="A36" t="str">
            <v>33</v>
          </cell>
        </row>
        <row r="37">
          <cell r="A37" t="str">
            <v>33</v>
          </cell>
        </row>
        <row r="38">
          <cell r="A38" t="str">
            <v>33</v>
          </cell>
        </row>
        <row r="39">
          <cell r="A39" t="str">
            <v>33</v>
          </cell>
        </row>
        <row r="40">
          <cell r="A40" t="str">
            <v>33</v>
          </cell>
        </row>
        <row r="41">
          <cell r="A41" t="str">
            <v>33</v>
          </cell>
        </row>
        <row r="42">
          <cell r="A42" t="str">
            <v>33</v>
          </cell>
        </row>
        <row r="43">
          <cell r="A43" t="str">
            <v>33</v>
          </cell>
        </row>
        <row r="44">
          <cell r="A44" t="str">
            <v>33</v>
          </cell>
        </row>
        <row r="45">
          <cell r="A45" t="str">
            <v>33</v>
          </cell>
        </row>
        <row r="46">
          <cell r="A46" t="str">
            <v>33</v>
          </cell>
        </row>
        <row r="47">
          <cell r="A47" t="str">
            <v>33</v>
          </cell>
        </row>
        <row r="48">
          <cell r="A48" t="str">
            <v>33</v>
          </cell>
        </row>
        <row r="49">
          <cell r="A49" t="str">
            <v>33</v>
          </cell>
        </row>
        <row r="50">
          <cell r="A50" t="str">
            <v>33</v>
          </cell>
        </row>
        <row r="51">
          <cell r="A51" t="str">
            <v>33</v>
          </cell>
        </row>
        <row r="52">
          <cell r="A52" t="str">
            <v>33</v>
          </cell>
        </row>
        <row r="53">
          <cell r="A53" t="str">
            <v>33</v>
          </cell>
        </row>
        <row r="54">
          <cell r="A54" t="str">
            <v>33</v>
          </cell>
        </row>
        <row r="55">
          <cell r="A55" t="str">
            <v>33</v>
          </cell>
        </row>
        <row r="56">
          <cell r="A56" t="str">
            <v>33</v>
          </cell>
        </row>
        <row r="57">
          <cell r="A57" t="str">
            <v>33</v>
          </cell>
        </row>
        <row r="58">
          <cell r="A58" t="str">
            <v>33</v>
          </cell>
        </row>
        <row r="59">
          <cell r="A59" t="str">
            <v>33</v>
          </cell>
        </row>
        <row r="60">
          <cell r="A60" t="str">
            <v>33</v>
          </cell>
        </row>
        <row r="61">
          <cell r="A61" t="str">
            <v>33</v>
          </cell>
        </row>
        <row r="62">
          <cell r="A62" t="str">
            <v>33</v>
          </cell>
        </row>
        <row r="63">
          <cell r="A63" t="str">
            <v>33</v>
          </cell>
        </row>
        <row r="64">
          <cell r="A64" t="str">
            <v>33</v>
          </cell>
        </row>
        <row r="65">
          <cell r="A65" t="str">
            <v>33</v>
          </cell>
        </row>
        <row r="66">
          <cell r="A66" t="str">
            <v>33</v>
          </cell>
        </row>
        <row r="67">
          <cell r="A67" t="str">
            <v>33</v>
          </cell>
        </row>
        <row r="68">
          <cell r="A68" t="str">
            <v>33</v>
          </cell>
        </row>
        <row r="69">
          <cell r="A69" t="str">
            <v>33</v>
          </cell>
        </row>
      </sheetData>
      <sheetData sheetId="21">
        <row r="4">
          <cell r="A4" t="str">
            <v>01011716999</v>
          </cell>
        </row>
      </sheetData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 Page link to Sum PRM"/>
      <sheetName val="Link to Sum BOD"/>
      <sheetName val="Summ BOD _ CBM"/>
      <sheetName val="Summ PRM"/>
      <sheetName val="Summ TOTAL"/>
      <sheetName val="Coal Quality"/>
      <sheetName val="ITM Outlook link to Coal qty"/>
      <sheetName val="3_1_IMM Prod"/>
      <sheetName val="3_2_IMM Inv"/>
      <sheetName val="4_1_TM Mine"/>
      <sheetName val="4_2_TM mine inv"/>
      <sheetName val="5_1_EMB Prod"/>
      <sheetName val="5_2_EMB Inv"/>
      <sheetName val="6_1_ TCM Prod"/>
      <sheetName val="6_2 TCM Inv"/>
      <sheetName val="7_1_BE Prod"/>
      <sheetName val="7_2_BE Inv"/>
      <sheetName val="8_1 JBG Prod"/>
      <sheetName val="8_2 JBG Inv"/>
      <sheetName val="2013 BOD Report Act. AUG"/>
      <sheetName val="Assumptions"/>
      <sheetName val="SUMDRILL_PRE"/>
    </sheetNames>
    <sheetDataSet>
      <sheetData sheetId="0"/>
      <sheetData sheetId="1"/>
      <sheetData sheetId="2">
        <row r="7">
          <cell r="Q7">
            <v>343776.34713497089</v>
          </cell>
        </row>
      </sheetData>
      <sheetData sheetId="3">
        <row r="3">
          <cell r="C3">
            <v>41529</v>
          </cell>
        </row>
        <row r="6">
          <cell r="B6">
            <v>1</v>
          </cell>
          <cell r="Q6" t="str">
            <v>APRILPlan</v>
          </cell>
          <cell r="R6" t="str">
            <v>APRILActual</v>
          </cell>
          <cell r="T6" t="str">
            <v>MAYPlan</v>
          </cell>
          <cell r="U6" t="str">
            <v>MAYActual</v>
          </cell>
          <cell r="W6" t="str">
            <v>JUNEPlan</v>
          </cell>
          <cell r="X6" t="str">
            <v>JUNEActual</v>
          </cell>
          <cell r="Z6" t="str">
            <v>Q2Plan</v>
          </cell>
          <cell r="AA6" t="str">
            <v>Q2Actual</v>
          </cell>
          <cell r="AI6" t="str">
            <v>AUGPlan</v>
          </cell>
          <cell r="AJ6" t="str">
            <v>AUGActual</v>
          </cell>
          <cell r="AL6" t="str">
            <v>Jan-AugPlan</v>
          </cell>
          <cell r="AM6" t="str">
            <v>Jan-AugActual</v>
          </cell>
          <cell r="AO6" t="str">
            <v>SEPPlan</v>
          </cell>
          <cell r="AP6" t="str">
            <v>SEPEst.</v>
          </cell>
          <cell r="AR6" t="str">
            <v>Jan-SepPlan</v>
          </cell>
          <cell r="AS6" t="str">
            <v>Jan-SepEst.</v>
          </cell>
          <cell r="BM6" t="str">
            <v>YTD 2013Plan</v>
          </cell>
          <cell r="BN6" t="str">
            <v>YTD 2013Est.</v>
          </cell>
        </row>
        <row r="7">
          <cell r="B7">
            <v>2</v>
          </cell>
          <cell r="C7" t="str">
            <v>OB Removal</v>
          </cell>
          <cell r="D7" t="str">
            <v>KBCM</v>
          </cell>
          <cell r="E7">
            <v>27278.190601945582</v>
          </cell>
          <cell r="F7">
            <v>28973.207270868661</v>
          </cell>
          <cell r="G7">
            <v>6.2138163548215113</v>
          </cell>
          <cell r="H7">
            <v>26293.565956464106</v>
          </cell>
          <cell r="I7">
            <v>26272.130392036117</v>
          </cell>
          <cell r="J7">
            <v>-8.1523991319707806E-2</v>
          </cell>
          <cell r="K7">
            <v>28630.151390493658</v>
          </cell>
          <cell r="L7">
            <v>31608.847429615806</v>
          </cell>
          <cell r="M7">
            <v>10.404052701276292</v>
          </cell>
          <cell r="N7">
            <v>82201.907948903347</v>
          </cell>
          <cell r="O7">
            <v>86854.18509252058</v>
          </cell>
          <cell r="P7">
            <v>5.6595731896017378</v>
          </cell>
          <cell r="Q7">
            <v>26945.350549144521</v>
          </cell>
          <cell r="R7">
            <v>26703.02969280769</v>
          </cell>
          <cell r="S7">
            <v>-0.89930489453040352</v>
          </cell>
          <cell r="T7">
            <v>29251.265633195741</v>
          </cell>
          <cell r="U7">
            <v>28868.685281175611</v>
          </cell>
          <cell r="V7">
            <v>-1.3079104228090535</v>
          </cell>
          <cell r="W7">
            <v>29472.78116395804</v>
          </cell>
          <cell r="X7">
            <v>31908.316602958519</v>
          </cell>
          <cell r="Y7">
            <v>8.2636770023552124</v>
          </cell>
          <cell r="Z7">
            <v>85669.397346298312</v>
          </cell>
          <cell r="AA7">
            <v>87480.031576941823</v>
          </cell>
          <cell r="AB7">
            <v>2.1135134443918751</v>
          </cell>
          <cell r="AC7">
            <v>167871.30529520166</v>
          </cell>
          <cell r="AD7">
            <v>174334.21666946242</v>
          </cell>
          <cell r="AE7">
            <v>3.8499202486665189</v>
          </cell>
          <cell r="AF7">
            <v>28686.084162126135</v>
          </cell>
          <cell r="AG7">
            <v>31802.093480033396</v>
          </cell>
          <cell r="AH7">
            <v>10.86244222214647</v>
          </cell>
          <cell r="AI7">
            <v>26643.190895209595</v>
          </cell>
          <cell r="AJ7">
            <v>29058.876711109191</v>
          </cell>
          <cell r="AK7">
            <v>9.0668036925484508</v>
          </cell>
          <cell r="AL7">
            <v>223200.58035253742</v>
          </cell>
          <cell r="AM7">
            <v>235195.18686060503</v>
          </cell>
          <cell r="AN7">
            <v>5.3739136740247488</v>
          </cell>
          <cell r="AO7">
            <v>27992.629449503424</v>
          </cell>
          <cell r="AP7">
            <v>29266.175245141592</v>
          </cell>
          <cell r="AQ7">
            <v>4.5495754442631</v>
          </cell>
          <cell r="AR7">
            <v>251193.20980204083</v>
          </cell>
          <cell r="AS7">
            <v>264461.36210574664</v>
          </cell>
          <cell r="AT7">
            <v>5.2820505435485732</v>
          </cell>
          <cell r="AU7">
            <v>83321.904506839157</v>
          </cell>
          <cell r="AV7">
            <v>90127.145436284176</v>
          </cell>
          <cell r="AW7">
            <v>8.1674092421716509</v>
          </cell>
          <cell r="AX7">
            <v>27818.682529231177</v>
          </cell>
          <cell r="AY7">
            <v>27837.520493453172</v>
          </cell>
          <cell r="AZ7">
            <v>6.7716953174186967E-2</v>
          </cell>
          <cell r="BA7">
            <v>26025.284528931683</v>
          </cell>
          <cell r="BB7">
            <v>26483.307923918179</v>
          </cell>
          <cell r="BC7">
            <v>1.7599169549033071</v>
          </cell>
          <cell r="BD7">
            <v>24322.827863343529</v>
          </cell>
          <cell r="BE7">
            <v>24994.156611852934</v>
          </cell>
          <cell r="BF7">
            <v>2.7600768803743869</v>
          </cell>
          <cell r="BG7">
            <v>78166.794921506385</v>
          </cell>
          <cell r="BH7">
            <v>79314.985029224277</v>
          </cell>
          <cell r="BI7">
            <v>1.4688975144380456</v>
          </cell>
          <cell r="BJ7">
            <v>161488.69942834557</v>
          </cell>
          <cell r="BK7">
            <v>169442.13046550847</v>
          </cell>
          <cell r="BL7">
            <v>4.9250697202449931</v>
          </cell>
          <cell r="BM7">
            <v>329360.00472354732</v>
          </cell>
          <cell r="BN7">
            <v>343776.34713497089</v>
          </cell>
          <cell r="BO7">
            <v>4.3770774242987143</v>
          </cell>
        </row>
        <row r="8">
          <cell r="B8">
            <v>3</v>
          </cell>
          <cell r="C8" t="str">
            <v>ROM production</v>
          </cell>
          <cell r="D8" t="str">
            <v>KTON</v>
          </cell>
          <cell r="E8">
            <v>2132.4107828626084</v>
          </cell>
          <cell r="F8">
            <v>2467.1660000200554</v>
          </cell>
          <cell r="G8">
            <v>15.69843952430508</v>
          </cell>
          <cell r="H8">
            <v>2108.3476208864668</v>
          </cell>
          <cell r="I8">
            <v>2151.7533986956073</v>
          </cell>
          <cell r="J8">
            <v>2.0587581184022365</v>
          </cell>
          <cell r="K8">
            <v>2270.6287955120151</v>
          </cell>
          <cell r="L8">
            <v>2497.5432607641483</v>
          </cell>
          <cell r="M8">
            <v>9.9934637357122522</v>
          </cell>
          <cell r="N8">
            <v>6511.3871992610902</v>
          </cell>
          <cell r="O8">
            <v>7116.462659479811</v>
          </cell>
          <cell r="P8">
            <v>9.2925737896125202</v>
          </cell>
          <cell r="Q8">
            <v>2251.0031165846449</v>
          </cell>
          <cell r="R8">
            <v>2149.5465810047676</v>
          </cell>
          <cell r="S8">
            <v>-4.5071699293696721</v>
          </cell>
          <cell r="T8">
            <v>2344.0898076511089</v>
          </cell>
          <cell r="U8">
            <v>2228.261442268682</v>
          </cell>
          <cell r="V8">
            <v>-4.9412938448161468</v>
          </cell>
          <cell r="W8">
            <v>2547.6172308626383</v>
          </cell>
          <cell r="X8">
            <v>2668.7597400623695</v>
          </cell>
          <cell r="Y8">
            <v>4.7551299203103445</v>
          </cell>
          <cell r="Z8">
            <v>7142.7101550983916</v>
          </cell>
          <cell r="AA8">
            <v>7046.56776333582</v>
          </cell>
          <cell r="AB8">
            <v>-1.3460211834851814</v>
          </cell>
          <cell r="AC8">
            <v>13654.097354359481</v>
          </cell>
          <cell r="AD8">
            <v>14163.030422815633</v>
          </cell>
          <cell r="AE8">
            <v>3.7273285465015356</v>
          </cell>
          <cell r="AF8">
            <v>2550.2387993604348</v>
          </cell>
          <cell r="AG8">
            <v>2589.3776998114904</v>
          </cell>
          <cell r="AH8">
            <v>1.5347151200456655</v>
          </cell>
          <cell r="AI8">
            <v>2556.2349672304244</v>
          </cell>
          <cell r="AJ8">
            <v>2478.8746222516952</v>
          </cell>
          <cell r="AK8">
            <v>-3.0263393612264839</v>
          </cell>
          <cell r="AL8">
            <v>18760.571120950342</v>
          </cell>
          <cell r="AM8">
            <v>19231.282744878816</v>
          </cell>
          <cell r="AN8">
            <v>2.509047410623972</v>
          </cell>
          <cell r="AO8">
            <v>2606.0293066973863</v>
          </cell>
          <cell r="AP8">
            <v>2556.7801543373903</v>
          </cell>
          <cell r="AQ8">
            <v>-1.8898157527786736</v>
          </cell>
          <cell r="AR8">
            <v>21366.600427647725</v>
          </cell>
          <cell r="AS8">
            <v>21788.062899216206</v>
          </cell>
          <cell r="AT8">
            <v>1.9725293829294479</v>
          </cell>
          <cell r="AU8">
            <v>7712.503073288246</v>
          </cell>
          <cell r="AV8">
            <v>7625.0324764005754</v>
          </cell>
          <cell r="AW8">
            <v>-1.1341401884249396</v>
          </cell>
          <cell r="AX8">
            <v>2592.9112408951523</v>
          </cell>
          <cell r="AY8">
            <v>2644.5799471964419</v>
          </cell>
          <cell r="AZ8">
            <v>1.9926908984147094</v>
          </cell>
          <cell r="BA8">
            <v>2566.3489765986624</v>
          </cell>
          <cell r="BB8">
            <v>2654.7223810484538</v>
          </cell>
          <cell r="BC8">
            <v>3.4435458799885459</v>
          </cell>
          <cell r="BD8">
            <v>2476.9469653167603</v>
          </cell>
          <cell r="BE8">
            <v>2609.3016728972648</v>
          </cell>
          <cell r="BF8">
            <v>5.3434615045776139</v>
          </cell>
          <cell r="BG8">
            <v>7636.2071828105754</v>
          </cell>
          <cell r="BH8">
            <v>7908.6040011421601</v>
          </cell>
          <cell r="BI8">
            <v>3.5671742765801504</v>
          </cell>
          <cell r="BJ8">
            <v>15348.710256098819</v>
          </cell>
          <cell r="BK8">
            <v>15533.636477542737</v>
          </cell>
          <cell r="BL8">
            <v>1.2048323172328963</v>
          </cell>
          <cell r="BM8">
            <v>29002.807610458301</v>
          </cell>
          <cell r="BN8">
            <v>29696.66690035837</v>
          </cell>
          <cell r="BO8">
            <v>2.3923866241482967</v>
          </cell>
        </row>
        <row r="9">
          <cell r="B9">
            <v>4</v>
          </cell>
          <cell r="C9" t="str">
            <v>F/C production</v>
          </cell>
          <cell r="D9" t="str">
            <v>KTON</v>
          </cell>
          <cell r="E9">
            <v>2099.0251096036873</v>
          </cell>
          <cell r="F9">
            <v>2410.8120486599996</v>
          </cell>
          <cell r="G9">
            <v>14.853892772877797</v>
          </cell>
          <cell r="H9">
            <v>2123.0867035444171</v>
          </cell>
          <cell r="I9">
            <v>2163.0777090000001</v>
          </cell>
          <cell r="J9">
            <v>1.8836256375596667</v>
          </cell>
          <cell r="K9">
            <v>2137.3224204522671</v>
          </cell>
          <cell r="L9">
            <v>2449.6277800000003</v>
          </cell>
          <cell r="M9">
            <v>14.611990992058555</v>
          </cell>
          <cell r="N9">
            <v>6359.434233600372</v>
          </cell>
          <cell r="O9">
            <v>7023.51753766</v>
          </cell>
          <cell r="P9">
            <v>10.442490316998837</v>
          </cell>
          <cell r="Q9">
            <v>2245.8376535080274</v>
          </cell>
          <cell r="R9">
            <v>2168.9603390000007</v>
          </cell>
          <cell r="S9">
            <v>-3.4231020389182363</v>
          </cell>
          <cell r="T9">
            <v>2349.7656306430554</v>
          </cell>
          <cell r="U9">
            <v>2239.8315409999996</v>
          </cell>
          <cell r="V9">
            <v>-4.6785129635660896</v>
          </cell>
          <cell r="W9">
            <v>2433.5193182240073</v>
          </cell>
          <cell r="X9">
            <v>2743.3074969999998</v>
          </cell>
          <cell r="Y9">
            <v>12.730048060685922</v>
          </cell>
          <cell r="Z9">
            <v>7029.1226023750896</v>
          </cell>
          <cell r="AA9">
            <v>7152.0993769999995</v>
          </cell>
          <cell r="AB9">
            <v>1.7495323610283446</v>
          </cell>
          <cell r="AC9">
            <v>13388.556835975462</v>
          </cell>
          <cell r="AD9">
            <v>14175.61691466</v>
          </cell>
          <cell r="AE9">
            <v>5.8786028122888077</v>
          </cell>
          <cell r="AF9">
            <v>2480.0150012873728</v>
          </cell>
          <cell r="AG9">
            <v>2586.7136780000005</v>
          </cell>
          <cell r="AH9">
            <v>4.3023399720259992</v>
          </cell>
          <cell r="AI9">
            <v>2477.7490605593871</v>
          </cell>
          <cell r="AJ9">
            <v>2462.3939920000003</v>
          </cell>
          <cell r="AK9">
            <v>-0.6197184696306659</v>
          </cell>
          <cell r="AL9">
            <v>18346.320897822221</v>
          </cell>
          <cell r="AM9">
            <v>19224.724584660002</v>
          </cell>
          <cell r="AN9">
            <v>4.7879010278406859</v>
          </cell>
          <cell r="AO9">
            <v>2554.9299412374994</v>
          </cell>
          <cell r="AP9">
            <v>2617.3275100000001</v>
          </cell>
          <cell r="AQ9">
            <v>2.4422418695472308</v>
          </cell>
          <cell r="AR9">
            <v>20901.250839059718</v>
          </cell>
          <cell r="AS9">
            <v>21842.052094660001</v>
          </cell>
          <cell r="AT9">
            <v>4.5011720247964213</v>
          </cell>
          <cell r="AU9">
            <v>7512.6940030842597</v>
          </cell>
          <cell r="AV9">
            <v>7666.4351800000013</v>
          </cell>
          <cell r="AW9">
            <v>2.0464187261270683</v>
          </cell>
          <cell r="AX9">
            <v>2553.1428016773098</v>
          </cell>
          <cell r="AY9">
            <v>2587.332396873308</v>
          </cell>
          <cell r="AZ9">
            <v>1.3391180146107398</v>
          </cell>
          <cell r="BA9">
            <v>2550.5319285217956</v>
          </cell>
          <cell r="BB9">
            <v>2594.2757120782298</v>
          </cell>
          <cell r="BC9">
            <v>1.7150847267294032</v>
          </cell>
          <cell r="BD9">
            <v>2487.4003385509059</v>
          </cell>
          <cell r="BE9">
            <v>2541.2747444484621</v>
          </cell>
          <cell r="BF9">
            <v>2.1658920384702554</v>
          </cell>
          <cell r="BG9">
            <v>7591.0750687500113</v>
          </cell>
          <cell r="BH9">
            <v>7722.8828534000004</v>
          </cell>
          <cell r="BI9">
            <v>1.7363520114904267</v>
          </cell>
          <cell r="BJ9">
            <v>15103.769071834271</v>
          </cell>
          <cell r="BK9">
            <v>15389.318033399999</v>
          </cell>
          <cell r="BL9">
            <v>1.8905808226254188</v>
          </cell>
          <cell r="BM9">
            <v>28492.325907809729</v>
          </cell>
          <cell r="BN9">
            <v>29564.934948059999</v>
          </cell>
          <cell r="BO9">
            <v>3.764554160024784</v>
          </cell>
        </row>
        <row r="10">
          <cell r="B10">
            <v>5</v>
          </cell>
          <cell r="C10" t="str">
            <v>Wasplant</v>
          </cell>
          <cell r="D10" t="str">
            <v>KTON</v>
          </cell>
          <cell r="E10">
            <v>30</v>
          </cell>
          <cell r="F10">
            <v>24.057352999999999</v>
          </cell>
          <cell r="G10">
            <v>-19.808823333333336</v>
          </cell>
          <cell r="H10">
            <v>30</v>
          </cell>
          <cell r="I10">
            <v>24.131049999999998</v>
          </cell>
          <cell r="J10">
            <v>-19.563166666666675</v>
          </cell>
          <cell r="K10">
            <v>30</v>
          </cell>
          <cell r="L10">
            <v>24.318576</v>
          </cell>
          <cell r="M10">
            <v>-18.938079999999999</v>
          </cell>
          <cell r="N10">
            <v>90</v>
          </cell>
          <cell r="O10">
            <v>72.506979000000001</v>
          </cell>
          <cell r="P10">
            <v>-19.436689999999999</v>
          </cell>
          <cell r="Q10">
            <v>30</v>
          </cell>
          <cell r="R10">
            <v>27.651539999999997</v>
          </cell>
          <cell r="S10">
            <v>-7.8282000000000105</v>
          </cell>
          <cell r="T10">
            <v>30</v>
          </cell>
          <cell r="U10">
            <v>27.339660000000002</v>
          </cell>
          <cell r="V10">
            <v>-8.8677999999999937</v>
          </cell>
          <cell r="W10">
            <v>30</v>
          </cell>
          <cell r="X10">
            <v>20.173628999999998</v>
          </cell>
          <cell r="Y10">
            <v>-32.754570000000008</v>
          </cell>
          <cell r="Z10">
            <v>90</v>
          </cell>
          <cell r="AA10">
            <v>75.164828999999997</v>
          </cell>
          <cell r="AB10">
            <v>-16.483523333333334</v>
          </cell>
          <cell r="AC10">
            <v>180</v>
          </cell>
          <cell r="AD10">
            <v>147.671808</v>
          </cell>
          <cell r="AE10">
            <v>-17.960106666666668</v>
          </cell>
          <cell r="AF10">
            <v>30</v>
          </cell>
          <cell r="AG10">
            <v>25.899820999999999</v>
          </cell>
          <cell r="AH10">
            <v>-13.667263333333334</v>
          </cell>
          <cell r="AI10">
            <v>30</v>
          </cell>
          <cell r="AJ10">
            <v>18.464399999999994</v>
          </cell>
          <cell r="AK10">
            <v>-38.452000000000019</v>
          </cell>
          <cell r="AL10">
            <v>240</v>
          </cell>
          <cell r="AM10">
            <v>192.03602899999996</v>
          </cell>
          <cell r="AN10">
            <v>-19.984987916666686</v>
          </cell>
          <cell r="AO10">
            <v>30</v>
          </cell>
          <cell r="AP10">
            <v>25</v>
          </cell>
          <cell r="AQ10">
            <v>-16.666666666666664</v>
          </cell>
          <cell r="AR10">
            <v>270</v>
          </cell>
          <cell r="AS10">
            <v>217.03602899999996</v>
          </cell>
          <cell r="AT10">
            <v>-19.616285555555571</v>
          </cell>
          <cell r="AU10">
            <v>90</v>
          </cell>
          <cell r="AV10">
            <v>69.364220999999986</v>
          </cell>
          <cell r="AW10">
            <v>-22.928643333333348</v>
          </cell>
          <cell r="AX10">
            <v>30</v>
          </cell>
          <cell r="AY10">
            <v>30</v>
          </cell>
          <cell r="AZ10">
            <v>0</v>
          </cell>
          <cell r="BA10">
            <v>30</v>
          </cell>
          <cell r="BB10">
            <v>30</v>
          </cell>
          <cell r="BC10">
            <v>0</v>
          </cell>
          <cell r="BD10">
            <v>30</v>
          </cell>
          <cell r="BE10">
            <v>30</v>
          </cell>
          <cell r="BF10">
            <v>0</v>
          </cell>
          <cell r="BG10">
            <v>90</v>
          </cell>
          <cell r="BH10">
            <v>90</v>
          </cell>
          <cell r="BI10">
            <v>0</v>
          </cell>
          <cell r="BJ10">
            <v>180</v>
          </cell>
          <cell r="BK10">
            <v>159.36422099999999</v>
          </cell>
          <cell r="BL10">
            <v>-11.464321666666674</v>
          </cell>
          <cell r="BM10">
            <v>360</v>
          </cell>
          <cell r="BN10">
            <v>307.03602899999998</v>
          </cell>
          <cell r="BO10">
            <v>-14.712214166666671</v>
          </cell>
        </row>
        <row r="11">
          <cell r="B11">
            <v>6</v>
          </cell>
          <cell r="C11" t="str">
            <v>Total FC + WP</v>
          </cell>
          <cell r="D11" t="str">
            <v>KTON</v>
          </cell>
          <cell r="E11">
            <v>2129.0251096036873</v>
          </cell>
          <cell r="F11">
            <v>2434.8694016599998</v>
          </cell>
          <cell r="G11">
            <v>14.365461951420791</v>
          </cell>
          <cell r="H11">
            <v>2153.0867035444171</v>
          </cell>
          <cell r="I11">
            <v>2187.2087590000001</v>
          </cell>
          <cell r="J11">
            <v>1.584797091515691</v>
          </cell>
          <cell r="K11">
            <v>2167.3224204522671</v>
          </cell>
          <cell r="L11">
            <v>2473.9463560000004</v>
          </cell>
          <cell r="M11">
            <v>14.147592100475217</v>
          </cell>
          <cell r="N11">
            <v>6449.434233600372</v>
          </cell>
          <cell r="O11">
            <v>7096.0245166599998</v>
          </cell>
          <cell r="P11">
            <v>10.025534948337187</v>
          </cell>
          <cell r="Q11">
            <v>2275.8376535080274</v>
          </cell>
          <cell r="R11">
            <v>2196.6118790000005</v>
          </cell>
          <cell r="S11">
            <v>-3.4811698622661646</v>
          </cell>
          <cell r="T11">
            <v>2379.7656306430554</v>
          </cell>
          <cell r="U11">
            <v>2267.1712009999997</v>
          </cell>
          <cell r="V11">
            <v>-4.7313243032521104</v>
          </cell>
          <cell r="W11">
            <v>2463.5193182240073</v>
          </cell>
          <cell r="X11">
            <v>2763.4811259999997</v>
          </cell>
          <cell r="Y11">
            <v>12.176150012586055</v>
          </cell>
          <cell r="Z11">
            <v>7119.1226023750896</v>
          </cell>
          <cell r="AA11">
            <v>7227.2642059999998</v>
          </cell>
          <cell r="AB11">
            <v>1.5190299376053993</v>
          </cell>
          <cell r="AC11">
            <v>13568.556835975462</v>
          </cell>
          <cell r="AD11">
            <v>14323.28872266</v>
          </cell>
          <cell r="AE11">
            <v>5.5623593268478899</v>
          </cell>
          <cell r="AF11">
            <v>2510.0150012873728</v>
          </cell>
          <cell r="AG11">
            <v>2612.6134990000005</v>
          </cell>
          <cell r="AH11">
            <v>4.0875651205273877</v>
          </cell>
          <cell r="AI11">
            <v>2507.7490605593871</v>
          </cell>
          <cell r="AJ11">
            <v>2480.8583920000001</v>
          </cell>
          <cell r="AK11">
            <v>-1.0723030060028682</v>
          </cell>
          <cell r="AL11">
            <v>18586.320897822221</v>
          </cell>
          <cell r="AM11">
            <v>19416.760613660001</v>
          </cell>
          <cell r="AN11">
            <v>4.4680155927743783</v>
          </cell>
          <cell r="AO11">
            <v>2584.9299412374994</v>
          </cell>
          <cell r="AP11">
            <v>2642.3275100000001</v>
          </cell>
          <cell r="AQ11">
            <v>2.2204690288442546</v>
          </cell>
          <cell r="AR11">
            <v>21171.250839059718</v>
          </cell>
          <cell r="AS11">
            <v>22059.08812366</v>
          </cell>
          <cell r="AT11">
            <v>4.1935986274475301</v>
          </cell>
          <cell r="AU11">
            <v>7602.6940030842597</v>
          </cell>
          <cell r="AV11">
            <v>7735.7994010000011</v>
          </cell>
          <cell r="AW11">
            <v>1.7507662134204429</v>
          </cell>
          <cell r="AX11">
            <v>2583.1428016773098</v>
          </cell>
          <cell r="AY11">
            <v>2617.332396873308</v>
          </cell>
          <cell r="AZ11">
            <v>1.3235658196595987</v>
          </cell>
          <cell r="BA11">
            <v>2580.5319285217956</v>
          </cell>
          <cell r="BB11">
            <v>2624.2757120782298</v>
          </cell>
          <cell r="BC11">
            <v>1.6951459919153928</v>
          </cell>
          <cell r="BD11">
            <v>2517.4003385509059</v>
          </cell>
          <cell r="BE11">
            <v>2571.2747444484621</v>
          </cell>
          <cell r="BF11">
            <v>2.1400809824538292</v>
          </cell>
          <cell r="BG11">
            <v>7681.0750687500113</v>
          </cell>
          <cell r="BH11">
            <v>7812.8828534000004</v>
          </cell>
          <cell r="BI11">
            <v>1.7160069843118848</v>
          </cell>
          <cell r="BJ11">
            <v>15283.769071834271</v>
          </cell>
          <cell r="BK11">
            <v>15548.682254399999</v>
          </cell>
          <cell r="BL11">
            <v>1.7332974694960788</v>
          </cell>
          <cell r="BM11">
            <v>28852.325907809729</v>
          </cell>
          <cell r="BN11">
            <v>29871.970977059998</v>
          </cell>
          <cell r="BO11">
            <v>3.5340134189121732</v>
          </cell>
        </row>
        <row r="12">
          <cell r="B12">
            <v>7</v>
          </cell>
          <cell r="C12" t="str">
            <v>Stripping Ratio</v>
          </cell>
          <cell r="D12" t="str">
            <v>OB: F/C</v>
          </cell>
          <cell r="E12">
            <v>12.995647587606001</v>
          </cell>
          <cell r="F12">
            <v>12.018028235329595</v>
          </cell>
          <cell r="G12">
            <v>-7.5226674599022321</v>
          </cell>
          <cell r="H12">
            <v>12.38459357904128</v>
          </cell>
          <cell r="I12">
            <v>12.145717318765136</v>
          </cell>
          <cell r="J12">
            <v>-1.9288179200357347</v>
          </cell>
          <cell r="K12">
            <v>13.395335732470063</v>
          </cell>
          <cell r="L12">
            <v>12.903530768097268</v>
          </cell>
          <cell r="M12">
            <v>-3.6714642633455488</v>
          </cell>
          <cell r="N12">
            <v>12.925978149846362</v>
          </cell>
          <cell r="O12">
            <v>12.366194663401876</v>
          </cell>
          <cell r="P12">
            <v>-4.3306856932226792</v>
          </cell>
          <cell r="Q12">
            <v>11.997906663936966</v>
          </cell>
          <cell r="R12">
            <v>12.311442128591029</v>
          </cell>
          <cell r="S12">
            <v>2.6132514065681174</v>
          </cell>
          <cell r="T12">
            <v>12.44858859612761</v>
          </cell>
          <cell r="U12">
            <v>12.888775228286518</v>
          </cell>
          <cell r="V12">
            <v>3.5360364651767533</v>
          </cell>
          <cell r="W12">
            <v>12.111176165006736</v>
          </cell>
          <cell r="X12">
            <v>11.631330661200947</v>
          </cell>
          <cell r="Y12">
            <v>-3.9620058140366607</v>
          </cell>
          <cell r="Z12">
            <v>12.187779640854641</v>
          </cell>
          <cell r="AA12">
            <v>12.231378084351501</v>
          </cell>
          <cell r="AB12">
            <v>0.3577226105295967</v>
          </cell>
          <cell r="AC12">
            <v>12.538416750349548</v>
          </cell>
          <cell r="AD12">
            <v>12.298174937922537</v>
          </cell>
          <cell r="AE12">
            <v>-1.916045839043536</v>
          </cell>
          <cell r="AF12">
            <v>11.56689945312235</v>
          </cell>
          <cell r="AG12">
            <v>12.294400323665583</v>
          </cell>
          <cell r="AH12">
            <v>6.2895063062630205</v>
          </cell>
          <cell r="AI12">
            <v>10.75298193804764</v>
          </cell>
          <cell r="AJ12">
            <v>11.801067093859766</v>
          </cell>
          <cell r="AK12">
            <v>9.746925660719759</v>
          </cell>
          <cell r="AL12">
            <v>12.165958591677757</v>
          </cell>
          <cell r="AM12">
            <v>12.233995125645363</v>
          </cell>
          <cell r="AN12">
            <v>0.55923693521484208</v>
          </cell>
          <cell r="AO12">
            <v>10.956319779142353</v>
          </cell>
          <cell r="AP12">
            <v>11.181701614843606</v>
          </cell>
          <cell r="AQ12">
            <v>2.0570943550800167</v>
          </cell>
          <cell r="AR12">
            <v>12.01809459808106</v>
          </cell>
          <cell r="AS12">
            <v>12.107899063678307</v>
          </cell>
          <cell r="AT12">
            <v>0.74724379030587873</v>
          </cell>
          <cell r="AU12">
            <v>11.090815687772215</v>
          </cell>
          <cell r="AV12">
            <v>11.75606958386677</v>
          </cell>
          <cell r="AW12">
            <v>5.9982413811817912</v>
          </cell>
          <cell r="AX12">
            <v>10.895858434144555</v>
          </cell>
          <cell r="AY12">
            <v>10.759158941886922</v>
          </cell>
          <cell r="AZ12">
            <v>-1.2546004803922208</v>
          </cell>
          <cell r="BA12">
            <v>10.203865412504395</v>
          </cell>
          <cell r="BB12">
            <v>10.208362897058022</v>
          </cell>
          <cell r="BC12">
            <v>4.4076282583214346E-2</v>
          </cell>
          <cell r="BD12">
            <v>9.7784130227759682</v>
          </cell>
          <cell r="BE12">
            <v>9.8352831257044837</v>
          </cell>
          <cell r="BF12">
            <v>0.58158826791272888</v>
          </cell>
          <cell r="BG12">
            <v>10.297196933711493</v>
          </cell>
          <cell r="BH12">
            <v>10.27012665280891</v>
          </cell>
          <cell r="BI12">
            <v>-0.26288980464148493</v>
          </cell>
          <cell r="BJ12">
            <v>10.691947067006742</v>
          </cell>
          <cell r="BK12">
            <v>11.0103729156654</v>
          </cell>
          <cell r="BL12">
            <v>2.978183923499373</v>
          </cell>
          <cell r="BM12">
            <v>11.559604006679915</v>
          </cell>
          <cell r="BN12">
            <v>11.627840471792714</v>
          </cell>
          <cell r="BO12">
            <v>0.59030106112084002</v>
          </cell>
        </row>
        <row r="13">
          <cell r="B13">
            <v>8</v>
          </cell>
          <cell r="C13" t="str">
            <v>S/R                          (OB/ (FC+WP)</v>
          </cell>
          <cell r="E13">
            <v>12.812526484022234</v>
          </cell>
          <cell r="F13">
            <v>11.899285953947201</v>
          </cell>
          <cell r="G13">
            <v>-7.1277162331245343</v>
          </cell>
          <cell r="H13">
            <v>12.21203303758254</v>
          </cell>
          <cell r="I13">
            <v>12.011715975409604</v>
          </cell>
          <cell r="J13">
            <v>-1.6403252558886749</v>
          </cell>
          <cell r="K13">
            <v>13.209917970820072</v>
          </cell>
          <cell r="L13">
            <v>12.776690712373636</v>
          </cell>
          <cell r="M13">
            <v>-3.2795605499096188</v>
          </cell>
          <cell r="N13">
            <v>12.745599842021251</v>
          </cell>
          <cell r="O13">
            <v>12.239837234018131</v>
          </cell>
          <cell r="P13">
            <v>-3.9681349977398521</v>
          </cell>
          <cell r="Q13">
            <v>11.839750743033164</v>
          </cell>
          <cell r="R13">
            <v>12.156462390144291</v>
          </cell>
          <cell r="S13">
            <v>2.6749857660431657</v>
          </cell>
          <cell r="T13">
            <v>12.291658160174169</v>
          </cell>
          <cell r="U13">
            <v>12.733350383262747</v>
          </cell>
          <cell r="V13">
            <v>3.5934307424826715</v>
          </cell>
          <cell r="W13">
            <v>11.96368989109672</v>
          </cell>
          <cell r="X13">
            <v>11.546421034958978</v>
          </cell>
          <cell r="Y13">
            <v>-3.4877939827600355</v>
          </cell>
          <cell r="Z13">
            <v>12.033701641508069</v>
          </cell>
          <cell r="AA13">
            <v>12.104169583881658</v>
          </cell>
          <cell r="AB13">
            <v>0.58558824601835979</v>
          </cell>
          <cell r="AC13">
            <v>12.372082552663985</v>
          </cell>
          <cell r="AD13">
            <v>12.171381869420737</v>
          </cell>
          <cell r="AE13">
            <v>-1.6222061434599204</v>
          </cell>
          <cell r="AF13">
            <v>11.428650485121882</v>
          </cell>
          <cell r="AG13">
            <v>12.172521305660371</v>
          </cell>
          <cell r="AH13">
            <v>6.508824655254621</v>
          </cell>
          <cell r="AI13">
            <v>10.624344881328147</v>
          </cell>
          <cell r="AJ13">
            <v>11.713234743593214</v>
          </cell>
          <cell r="AK13">
            <v>10.249007109875979</v>
          </cell>
          <cell r="AL13">
            <v>12.008862947087612</v>
          </cell>
          <cell r="AM13">
            <v>12.112998225622736</v>
          </cell>
          <cell r="AN13">
            <v>0.86715352647419586</v>
          </cell>
          <cell r="AO13">
            <v>10.829163685613212</v>
          </cell>
          <cell r="AP13">
            <v>11.075907560430156</v>
          </cell>
          <cell r="AQ13">
            <v>2.2785127455848637</v>
          </cell>
          <cell r="AR13">
            <v>11.864826113089363</v>
          </cell>
          <cell r="AS13">
            <v>11.988771277543984</v>
          </cell>
          <cell r="AT13">
            <v>1.0446437501337187</v>
          </cell>
          <cell r="AU13">
            <v>10.959523620579381</v>
          </cell>
          <cell r="AV13">
            <v>11.650656999279674</v>
          </cell>
          <cell r="AW13">
            <v>6.3062355867595272</v>
          </cell>
          <cell r="AX13">
            <v>10.769316551592771</v>
          </cell>
          <cell r="AY13">
            <v>10.635836902759527</v>
          </cell>
          <cell r="AZ13">
            <v>-1.2394440092254773</v>
          </cell>
          <cell r="BA13">
            <v>10.085240272085969</v>
          </cell>
          <cell r="BB13">
            <v>10.091663692968215</v>
          </cell>
          <cell r="BC13">
            <v>6.3691302427618335E-2</v>
          </cell>
          <cell r="BD13">
            <v>9.6618831303345694</v>
          </cell>
          <cell r="BE13">
            <v>9.7205312912658712</v>
          </cell>
          <cell r="BF13">
            <v>0.60700548889035277</v>
          </cell>
          <cell r="BG13">
            <v>10.176543546556816</v>
          </cell>
          <cell r="BH13">
            <v>10.151820591384919</v>
          </cell>
          <cell r="BI13">
            <v>-0.24294059234151855</v>
          </cell>
          <cell r="BJ13">
            <v>10.566025871585916</v>
          </cell>
          <cell r="BK13">
            <v>10.897523513129826</v>
          </cell>
          <cell r="BL13">
            <v>3.137391916059673</v>
          </cell>
          <cell r="BM13">
            <v>11.415371009461541</v>
          </cell>
          <cell r="BN13">
            <v>11.508324890880882</v>
          </cell>
          <cell r="BO13">
            <v>0.81428699375864866</v>
          </cell>
        </row>
        <row r="14">
          <cell r="B14">
            <v>9</v>
          </cell>
          <cell r="C14" t="str">
            <v>Hauling</v>
          </cell>
          <cell r="D14" t="str">
            <v>KTON</v>
          </cell>
          <cell r="E14">
            <v>1952.9311739350464</v>
          </cell>
          <cell r="F14">
            <v>2367.081623</v>
          </cell>
          <cell r="G14">
            <v>21.206607513487725</v>
          </cell>
          <cell r="H14">
            <v>1990.9542754547565</v>
          </cell>
          <cell r="I14">
            <v>1928.8139430461442</v>
          </cell>
          <cell r="J14">
            <v>-3.121133075465468</v>
          </cell>
          <cell r="K14">
            <v>2000.3581623526625</v>
          </cell>
          <cell r="L14">
            <v>2239.7888219538559</v>
          </cell>
          <cell r="M14">
            <v>11.969389487710243</v>
          </cell>
          <cell r="N14">
            <v>5944.243611742465</v>
          </cell>
          <cell r="O14">
            <v>6535.6843879999997</v>
          </cell>
          <cell r="P14">
            <v>9.9498071561061536</v>
          </cell>
          <cell r="Q14">
            <v>2087.4766616957786</v>
          </cell>
          <cell r="R14">
            <v>1997.1121540000004</v>
          </cell>
          <cell r="S14">
            <v>-4.3288870890834241</v>
          </cell>
          <cell r="T14">
            <v>2191.4485348314024</v>
          </cell>
          <cell r="U14">
            <v>2188.3336759999997</v>
          </cell>
          <cell r="V14">
            <v>-0.14213698299979974</v>
          </cell>
          <cell r="W14">
            <v>2242.2302170405001</v>
          </cell>
          <cell r="X14">
            <v>2444.2225840000001</v>
          </cell>
          <cell r="Y14">
            <v>9.0085471788043243</v>
          </cell>
          <cell r="Z14">
            <v>6521.1554135676806</v>
          </cell>
          <cell r="AA14">
            <v>6629.6684139999998</v>
          </cell>
          <cell r="AB14">
            <v>1.6640149413791137</v>
          </cell>
          <cell r="AC14">
            <v>12465.399025310146</v>
          </cell>
          <cell r="AD14">
            <v>13165.352801999998</v>
          </cell>
          <cell r="AE14">
            <v>5.6151734514767115</v>
          </cell>
          <cell r="AF14">
            <v>2272.2315802846233</v>
          </cell>
          <cell r="AG14">
            <v>2422.669187</v>
          </cell>
          <cell r="AH14">
            <v>6.6206987008134366</v>
          </cell>
          <cell r="AI14">
            <v>2280.6102962010118</v>
          </cell>
          <cell r="AJ14">
            <v>2280.6332630000002</v>
          </cell>
          <cell r="AK14">
            <v>1.0070461852523117E-3</v>
          </cell>
          <cell r="AL14">
            <v>17018.240901795783</v>
          </cell>
          <cell r="AM14">
            <v>17868.655252</v>
          </cell>
          <cell r="AN14">
            <v>4.9970755209751454</v>
          </cell>
          <cell r="AO14">
            <v>2336.8136215698541</v>
          </cell>
          <cell r="AP14">
            <v>2421.04</v>
          </cell>
          <cell r="AQ14">
            <v>3.6043258928610302</v>
          </cell>
          <cell r="AR14">
            <v>19355.054523365634</v>
          </cell>
          <cell r="AS14">
            <v>20289.695252000001</v>
          </cell>
          <cell r="AT14">
            <v>4.8289232536444615</v>
          </cell>
          <cell r="AU14">
            <v>6889.6554980554893</v>
          </cell>
          <cell r="AV14">
            <v>7124.3424500000001</v>
          </cell>
          <cell r="AW14">
            <v>3.4063670093627763</v>
          </cell>
          <cell r="AX14">
            <v>2358.3399758791329</v>
          </cell>
          <cell r="AY14">
            <v>2463.6835876373652</v>
          </cell>
          <cell r="AZ14">
            <v>4.466854348214266</v>
          </cell>
          <cell r="BA14">
            <v>2349.0629793508469</v>
          </cell>
          <cell r="BB14">
            <v>2448.9548804754695</v>
          </cell>
          <cell r="BC14">
            <v>4.2524147714518596</v>
          </cell>
          <cell r="BD14">
            <v>2284.5218060812863</v>
          </cell>
          <cell r="BE14">
            <v>2406.1115318871653</v>
          </cell>
          <cell r="BF14">
            <v>5.322327214483705</v>
          </cell>
          <cell r="BG14">
            <v>6991.9247613112657</v>
          </cell>
          <cell r="BH14">
            <v>7318.75</v>
          </cell>
          <cell r="BI14">
            <v>4.6743243076237206</v>
          </cell>
          <cell r="BJ14">
            <v>13881.580259366756</v>
          </cell>
          <cell r="BK14">
            <v>14443.092449999998</v>
          </cell>
          <cell r="BL14">
            <v>4.0450163464232078</v>
          </cell>
          <cell r="BM14">
            <v>26346.979284676898</v>
          </cell>
          <cell r="BN14">
            <v>27608.445251999998</v>
          </cell>
          <cell r="BO14">
            <v>4.7878960001185185</v>
          </cell>
        </row>
        <row r="15">
          <cell r="B15">
            <v>10</v>
          </cell>
          <cell r="C15" t="str">
            <v>ROM stock</v>
          </cell>
          <cell r="D15" t="str">
            <v>KTON</v>
          </cell>
          <cell r="E15">
            <v>897.14349821173914</v>
          </cell>
          <cell r="F15">
            <v>1503.4891509419817</v>
          </cell>
          <cell r="G15">
            <v>67.586250576285849</v>
          </cell>
          <cell r="H15">
            <v>871.42839885931176</v>
          </cell>
          <cell r="I15">
            <v>1497.1248023666476</v>
          </cell>
          <cell r="J15">
            <v>71.801240850810473</v>
          </cell>
          <cell r="K15">
            <v>992.34640187049331</v>
          </cell>
          <cell r="L15">
            <v>1494.3445505761581</v>
          </cell>
          <cell r="M15">
            <v>50.586987342266632</v>
          </cell>
          <cell r="N15">
            <v>992.34640187049331</v>
          </cell>
          <cell r="O15">
            <v>1494.3445505761581</v>
          </cell>
          <cell r="P15">
            <v>50.586987342266632</v>
          </cell>
          <cell r="Q15">
            <v>985.01479553245429</v>
          </cell>
          <cell r="R15">
            <v>1492.2488671792642</v>
          </cell>
          <cell r="S15">
            <v>51.495071337747987</v>
          </cell>
          <cell r="T15">
            <v>966.50214068187029</v>
          </cell>
          <cell r="U15">
            <v>1481.0372987735793</v>
          </cell>
          <cell r="V15">
            <v>53.236835846913166</v>
          </cell>
          <cell r="W15">
            <v>1067.4415899195053</v>
          </cell>
          <cell r="X15">
            <v>1464.6875166970426</v>
          </cell>
          <cell r="Y15">
            <v>37.214769457080379</v>
          </cell>
          <cell r="Z15">
            <v>1067.4415899195053</v>
          </cell>
          <cell r="AA15">
            <v>1464.6875166970426</v>
          </cell>
          <cell r="AB15">
            <v>37.214769457080379</v>
          </cell>
          <cell r="AC15">
            <v>1067.4415899195053</v>
          </cell>
          <cell r="AD15">
            <v>1464.6875166970426</v>
          </cell>
          <cell r="AE15">
            <v>37.214769457080379</v>
          </cell>
          <cell r="AF15">
            <v>1124.9215048742199</v>
          </cell>
          <cell r="AG15">
            <v>1505.6356214884677</v>
          </cell>
          <cell r="AH15">
            <v>33.843616195853272</v>
          </cell>
          <cell r="AI15">
            <v>1190.4567872607417</v>
          </cell>
          <cell r="AJ15">
            <v>1525.3107986834639</v>
          </cell>
          <cell r="AK15">
            <v>28.128195412554707</v>
          </cell>
          <cell r="AL15">
            <v>1190.4567872607417</v>
          </cell>
          <cell r="AM15">
            <v>1525.3107986834639</v>
          </cell>
          <cell r="AN15">
            <v>28.128195412554707</v>
          </cell>
          <cell r="AO15">
            <v>1227.6702736060824</v>
          </cell>
          <cell r="AP15">
            <v>1474.0714823973933</v>
          </cell>
          <cell r="AQ15">
            <v>20.070634118031322</v>
          </cell>
          <cell r="AR15">
            <v>1227.6702736060824</v>
          </cell>
          <cell r="AS15">
            <v>1474.0714823973933</v>
          </cell>
          <cell r="AT15">
            <v>20.070634118031322</v>
          </cell>
          <cell r="AU15">
            <v>1227.6702736060824</v>
          </cell>
          <cell r="AV15">
            <v>1474.0714823973933</v>
          </cell>
          <cell r="AW15">
            <v>20.070634118031322</v>
          </cell>
          <cell r="AX15">
            <v>1253.3603778336824</v>
          </cell>
          <cell r="AY15">
            <v>1540.7170720970648</v>
          </cell>
          <cell r="AZ15">
            <v>22.926901100867088</v>
          </cell>
          <cell r="BA15">
            <v>1255.8686987280487</v>
          </cell>
          <cell r="BB15">
            <v>1610.3979658416943</v>
          </cell>
          <cell r="BC15">
            <v>28.229803599111509</v>
          </cell>
          <cell r="BD15">
            <v>1232.8937722892724</v>
          </cell>
          <cell r="BE15">
            <v>1687.7431424649021</v>
          </cell>
          <cell r="BF15">
            <v>36.892827297768918</v>
          </cell>
          <cell r="BG15">
            <v>1232.8937722892724</v>
          </cell>
          <cell r="BH15">
            <v>1687.7431424649021</v>
          </cell>
          <cell r="BI15">
            <v>36.892827297768918</v>
          </cell>
          <cell r="BJ15">
            <v>1232.8937722892724</v>
          </cell>
          <cell r="BK15">
            <v>1687.7431424649021</v>
          </cell>
          <cell r="BL15">
            <v>36.892827297768918</v>
          </cell>
          <cell r="BM15">
            <v>1232.8937722892724</v>
          </cell>
          <cell r="BN15">
            <v>1687.7431424649021</v>
          </cell>
          <cell r="BO15">
            <v>36.892827297768918</v>
          </cell>
        </row>
        <row r="16">
          <cell r="B16">
            <v>11</v>
          </cell>
          <cell r="C16" t="str">
            <v>F/C stock</v>
          </cell>
          <cell r="D16" t="str">
            <v>KTON</v>
          </cell>
          <cell r="E16">
            <v>617.78531468522669</v>
          </cell>
          <cell r="F16">
            <v>771.63256450279994</v>
          </cell>
          <cell r="G16">
            <v>24.903027987313251</v>
          </cell>
          <cell r="H16">
            <v>623.89381822964367</v>
          </cell>
          <cell r="I16">
            <v>829.6057050068099</v>
          </cell>
          <cell r="J16">
            <v>32.972259183604784</v>
          </cell>
          <cell r="K16">
            <v>595.98071168191086</v>
          </cell>
          <cell r="L16">
            <v>718.42589763365345</v>
          </cell>
          <cell r="M16">
            <v>20.545159189160891</v>
          </cell>
          <cell r="N16">
            <v>595.98071168191086</v>
          </cell>
          <cell r="O16">
            <v>718.42589763365345</v>
          </cell>
          <cell r="P16">
            <v>20.545159189160891</v>
          </cell>
          <cell r="Q16">
            <v>580.08137109493794</v>
          </cell>
          <cell r="R16">
            <v>800.04216050126206</v>
          </cell>
          <cell r="S16">
            <v>37.918954196225116</v>
          </cell>
          <cell r="T16">
            <v>650.51781255441824</v>
          </cell>
          <cell r="U16">
            <v>650.04303500842241</v>
          </cell>
          <cell r="V16">
            <v>-7.29845573530883E-2</v>
          </cell>
          <cell r="W16">
            <v>689.59384243260411</v>
          </cell>
          <cell r="X16">
            <v>960.42550950929149</v>
          </cell>
          <cell r="Y16">
            <v>39.274084310455031</v>
          </cell>
          <cell r="Z16">
            <v>689.59384243260411</v>
          </cell>
          <cell r="AA16">
            <v>960.42550950929149</v>
          </cell>
          <cell r="AB16">
            <v>39.274084310455031</v>
          </cell>
          <cell r="AC16">
            <v>689.59384243260411</v>
          </cell>
          <cell r="AD16">
            <v>960.42550950929149</v>
          </cell>
          <cell r="AE16">
            <v>39.274084310455031</v>
          </cell>
          <cell r="AF16">
            <v>711.24222389434317</v>
          </cell>
          <cell r="AG16">
            <v>1371.7590293188746</v>
          </cell>
          <cell r="AH16">
            <v>92.868052997181564</v>
          </cell>
          <cell r="AI16">
            <v>811.93382116048053</v>
          </cell>
          <cell r="AJ16">
            <v>1020.7202817657152</v>
          </cell>
          <cell r="AK16">
            <v>25.714714076920753</v>
          </cell>
          <cell r="AL16">
            <v>811.93382116048053</v>
          </cell>
          <cell r="AM16">
            <v>1020.7202817657152</v>
          </cell>
          <cell r="AN16">
            <v>25.714714076920753</v>
          </cell>
          <cell r="AO16">
            <v>859.59193605412918</v>
          </cell>
          <cell r="AP16">
            <v>1018.348479115715</v>
          </cell>
          <cell r="AQ16">
            <v>18.468826474843617</v>
          </cell>
          <cell r="AR16">
            <v>859.59193605412918</v>
          </cell>
          <cell r="AS16">
            <v>1018.348479115715</v>
          </cell>
          <cell r="AT16">
            <v>18.468826474843617</v>
          </cell>
          <cell r="AU16">
            <v>859.59193605412918</v>
          </cell>
          <cell r="AV16">
            <v>1018.348479115715</v>
          </cell>
          <cell r="AW16">
            <v>18.468826474843617</v>
          </cell>
          <cell r="AX16">
            <v>873.12373878274639</v>
          </cell>
          <cell r="AY16">
            <v>1026.0208759890231</v>
          </cell>
          <cell r="AZ16">
            <v>17.511508439735728</v>
          </cell>
          <cell r="BA16">
            <v>899.05533334007919</v>
          </cell>
          <cell r="BB16">
            <v>1116.1365880672527</v>
          </cell>
          <cell r="BC16">
            <v>24.145483228567834</v>
          </cell>
          <cell r="BD16">
            <v>1033.3258429359889</v>
          </cell>
          <cell r="BE16">
            <v>1335.9166881157148</v>
          </cell>
          <cell r="BF16">
            <v>29.283197284602352</v>
          </cell>
          <cell r="BG16">
            <v>1033.3258429359889</v>
          </cell>
          <cell r="BH16">
            <v>1335.9166881157148</v>
          </cell>
          <cell r="BI16">
            <v>29.283197284602352</v>
          </cell>
          <cell r="BJ16">
            <v>1033.3258429359889</v>
          </cell>
          <cell r="BK16">
            <v>1335.9166881157148</v>
          </cell>
          <cell r="BL16">
            <v>29.283197284602352</v>
          </cell>
          <cell r="BM16">
            <v>1033.3258429359889</v>
          </cell>
          <cell r="BN16">
            <v>1335.9166881157148</v>
          </cell>
          <cell r="BO16">
            <v>29.283197284602352</v>
          </cell>
        </row>
        <row r="17">
          <cell r="B17">
            <v>12</v>
          </cell>
          <cell r="C17" t="str">
            <v>Coal barging</v>
          </cell>
          <cell r="D17" t="str">
            <v>KTON</v>
          </cell>
          <cell r="E17">
            <v>918.3</v>
          </cell>
          <cell r="F17">
            <v>994.99796200000003</v>
          </cell>
          <cell r="G17">
            <v>8.3521683545682315</v>
          </cell>
          <cell r="H17">
            <v>898.6</v>
          </cell>
          <cell r="I17">
            <v>951.58797500000003</v>
          </cell>
          <cell r="J17">
            <v>5.8967254618295133</v>
          </cell>
          <cell r="K17">
            <v>913.5</v>
          </cell>
          <cell r="L17">
            <v>864.35708800000009</v>
          </cell>
          <cell r="M17">
            <v>-5.3796291187739369</v>
          </cell>
          <cell r="N17">
            <v>2730.4</v>
          </cell>
          <cell r="O17">
            <v>2810.943025</v>
          </cell>
          <cell r="P17">
            <v>2.9498617418693209</v>
          </cell>
          <cell r="Q17">
            <v>956.4</v>
          </cell>
          <cell r="R17">
            <v>878.97013100000004</v>
          </cell>
          <cell r="S17">
            <v>-8.0959712463404365</v>
          </cell>
          <cell r="T17">
            <v>974.4</v>
          </cell>
          <cell r="U17">
            <v>973.01742400000012</v>
          </cell>
          <cell r="V17">
            <v>-0.14188998357962421</v>
          </cell>
          <cell r="W17">
            <v>980.7</v>
          </cell>
          <cell r="X17">
            <v>1076.88411</v>
          </cell>
          <cell r="Y17">
            <v>9.8076996023248615</v>
          </cell>
          <cell r="Z17">
            <v>2911.5</v>
          </cell>
          <cell r="AA17">
            <v>2928.8716649999997</v>
          </cell>
          <cell r="AB17">
            <v>0.59665687789797928</v>
          </cell>
          <cell r="AC17">
            <v>5641.9</v>
          </cell>
          <cell r="AD17">
            <v>5739.8146900000002</v>
          </cell>
          <cell r="AE17">
            <v>1.7354914124674405</v>
          </cell>
          <cell r="AF17">
            <v>995.6</v>
          </cell>
          <cell r="AG17">
            <v>998.21308699999997</v>
          </cell>
          <cell r="AH17">
            <v>0.26246353957412116</v>
          </cell>
          <cell r="AI17">
            <v>1040.7</v>
          </cell>
          <cell r="AJ17">
            <v>1064.408009</v>
          </cell>
          <cell r="AK17">
            <v>2.2780829249543522</v>
          </cell>
          <cell r="AL17">
            <v>7678.2</v>
          </cell>
          <cell r="AM17">
            <v>7802.4357860000009</v>
          </cell>
          <cell r="AN17">
            <v>1.6180326899533886</v>
          </cell>
          <cell r="AO17">
            <v>1065.5999999999999</v>
          </cell>
          <cell r="AP17">
            <v>1064.04</v>
          </cell>
          <cell r="AQ17">
            <v>-0.14639639639639129</v>
          </cell>
          <cell r="AR17">
            <v>8743.7999999999993</v>
          </cell>
          <cell r="AS17">
            <v>8866.4757860000009</v>
          </cell>
          <cell r="AT17">
            <v>1.4030031107756538</v>
          </cell>
          <cell r="AU17">
            <v>3101.9</v>
          </cell>
          <cell r="AV17">
            <v>3126.6610959999998</v>
          </cell>
          <cell r="AW17">
            <v>0.79825577871626174</v>
          </cell>
          <cell r="AX17">
            <v>1089.0999999999999</v>
          </cell>
          <cell r="AY17">
            <v>1098</v>
          </cell>
          <cell r="AZ17">
            <v>0.81718850426958889</v>
          </cell>
          <cell r="BA17">
            <v>1089.0999999999999</v>
          </cell>
          <cell r="BB17">
            <v>1121</v>
          </cell>
          <cell r="BC17">
            <v>2.9290239647415386</v>
          </cell>
          <cell r="BD17">
            <v>1042.1399999999999</v>
          </cell>
          <cell r="BE17">
            <v>1109.9346444</v>
          </cell>
          <cell r="BF17">
            <v>6.5053298405204822</v>
          </cell>
          <cell r="BG17">
            <v>3220.34</v>
          </cell>
          <cell r="BH17">
            <v>3328.9346443999998</v>
          </cell>
          <cell r="BI17">
            <v>3.3721484191110145</v>
          </cell>
          <cell r="BJ17">
            <v>6322.24</v>
          </cell>
          <cell r="BK17">
            <v>6455.5957404000001</v>
          </cell>
          <cell r="BL17">
            <v>2.1093115794402029</v>
          </cell>
          <cell r="BM17">
            <v>11964.14</v>
          </cell>
          <cell r="BN17">
            <v>12195.410430400001</v>
          </cell>
          <cell r="BO17">
            <v>1.9330301250236266</v>
          </cell>
        </row>
        <row r="18">
          <cell r="B18">
            <v>13</v>
          </cell>
          <cell r="C18" t="str">
            <v>Coal sales</v>
          </cell>
          <cell r="D18" t="str">
            <v>KTON</v>
          </cell>
          <cell r="E18">
            <v>2460.4999999999995</v>
          </cell>
          <cell r="F18">
            <v>2335.5414049999999</v>
          </cell>
          <cell r="G18">
            <v>-5.0785854501117509</v>
          </cell>
          <cell r="H18">
            <v>2346.5</v>
          </cell>
          <cell r="I18">
            <v>2216.8127729999997</v>
          </cell>
          <cell r="J18">
            <v>-5.5268368634136094</v>
          </cell>
          <cell r="K18">
            <v>2260</v>
          </cell>
          <cell r="L18">
            <v>2559.6031589999998</v>
          </cell>
          <cell r="M18">
            <v>13.256776946902646</v>
          </cell>
          <cell r="N18">
            <v>7067</v>
          </cell>
          <cell r="O18">
            <v>7111.9573369999998</v>
          </cell>
          <cell r="P18">
            <v>0.63615872364510861</v>
          </cell>
          <cell r="Q18">
            <v>2448.9999999999995</v>
          </cell>
          <cell r="R18">
            <v>2067.1137269999999</v>
          </cell>
          <cell r="S18">
            <v>-15.593559534503868</v>
          </cell>
          <cell r="T18">
            <v>2279</v>
          </cell>
          <cell r="U18">
            <v>2398.4505610000001</v>
          </cell>
          <cell r="V18">
            <v>5.2413585344449363</v>
          </cell>
          <cell r="W18">
            <v>2368</v>
          </cell>
          <cell r="X18">
            <v>2438.2177980000001</v>
          </cell>
          <cell r="Y18">
            <v>2.9652786317567621</v>
          </cell>
          <cell r="Z18">
            <v>7096</v>
          </cell>
          <cell r="AA18">
            <v>6903.7820860000002</v>
          </cell>
          <cell r="AB18">
            <v>-2.7088206595264914</v>
          </cell>
          <cell r="AC18">
            <v>14162.999999999998</v>
          </cell>
          <cell r="AD18">
            <v>14015.739422999999</v>
          </cell>
          <cell r="AE18">
            <v>-1.0397555390806972</v>
          </cell>
          <cell r="AF18">
            <v>2448</v>
          </cell>
          <cell r="AG18">
            <v>2298.502829</v>
          </cell>
          <cell r="AH18">
            <v>-6.1069105800653585</v>
          </cell>
          <cell r="AI18">
            <v>2346.5</v>
          </cell>
          <cell r="AJ18">
            <v>2518.6382269999999</v>
          </cell>
          <cell r="AK18">
            <v>7.3359568293202599</v>
          </cell>
          <cell r="AL18">
            <v>18957.5</v>
          </cell>
          <cell r="AM18">
            <v>18832.880479000003</v>
          </cell>
          <cell r="AN18">
            <v>-0.65736263220359703</v>
          </cell>
          <cell r="AO18">
            <v>2435</v>
          </cell>
          <cell r="AP18">
            <v>2772.89</v>
          </cell>
          <cell r="AQ18">
            <v>13.87638603696098</v>
          </cell>
          <cell r="AR18">
            <v>21392.5</v>
          </cell>
          <cell r="AS18">
            <v>21605.770479000003</v>
          </cell>
          <cell r="AT18">
            <v>0.99694041837093617</v>
          </cell>
          <cell r="AU18">
            <v>7229.5</v>
          </cell>
          <cell r="AV18">
            <v>7590.0310560000007</v>
          </cell>
          <cell r="AW18">
            <v>4.9869431634276333</v>
          </cell>
          <cell r="AX18">
            <v>2468.5</v>
          </cell>
          <cell r="AY18">
            <v>2651.3999999999996</v>
          </cell>
          <cell r="AZ18">
            <v>7.4093579096617237</v>
          </cell>
          <cell r="BA18">
            <v>2427.5</v>
          </cell>
          <cell r="BB18">
            <v>2537.6</v>
          </cell>
          <cell r="BC18">
            <v>4.5355303810504592</v>
          </cell>
          <cell r="BD18">
            <v>2211.5</v>
          </cell>
          <cell r="BE18">
            <v>2326.6000000000004</v>
          </cell>
          <cell r="BF18">
            <v>5.2046122541261752</v>
          </cell>
          <cell r="BG18">
            <v>7107.4999999999991</v>
          </cell>
          <cell r="BH18">
            <v>7515.5999999999995</v>
          </cell>
          <cell r="BI18">
            <v>5.7418220189940268</v>
          </cell>
          <cell r="BJ18">
            <v>14337</v>
          </cell>
          <cell r="BK18">
            <v>15105.631056</v>
          </cell>
          <cell r="BL18">
            <v>5.3611707888679652</v>
          </cell>
          <cell r="BM18">
            <v>28500.000000000004</v>
          </cell>
          <cell r="BN18">
            <v>29121.370479000001</v>
          </cell>
          <cell r="BO18">
            <v>2.1802472947368328</v>
          </cell>
        </row>
        <row r="19">
          <cell r="B19">
            <v>14</v>
          </cell>
        </row>
        <row r="20">
          <cell r="B20">
            <v>15</v>
          </cell>
          <cell r="C20" t="str">
            <v>INDOMINCO</v>
          </cell>
          <cell r="E20" t="str">
            <v>JANUARY</v>
          </cell>
          <cell r="H20" t="str">
            <v>FEBRUARY</v>
          </cell>
          <cell r="K20" t="str">
            <v>MARCH</v>
          </cell>
          <cell r="N20" t="str">
            <v>Q1</v>
          </cell>
          <cell r="Q20" t="str">
            <v>APRIL</v>
          </cell>
          <cell r="R20" t="str">
            <v>APRIL</v>
          </cell>
          <cell r="T20" t="str">
            <v>MAY</v>
          </cell>
          <cell r="U20" t="str">
            <v>MAY</v>
          </cell>
          <cell r="W20" t="str">
            <v>JUNE</v>
          </cell>
          <cell r="X20" t="str">
            <v>JUNE</v>
          </cell>
          <cell r="Z20" t="str">
            <v>Q2</v>
          </cell>
          <cell r="AC20" t="str">
            <v>1st HALF</v>
          </cell>
          <cell r="AF20" t="str">
            <v>JULY</v>
          </cell>
          <cell r="AG20" t="str">
            <v>JULY</v>
          </cell>
          <cell r="AI20" t="str">
            <v>AUG</v>
          </cell>
          <cell r="AL20" t="str">
            <v>Jan-Aug</v>
          </cell>
          <cell r="AO20" t="str">
            <v>SEP</v>
          </cell>
          <cell r="AR20" t="str">
            <v>Jan-Sep</v>
          </cell>
          <cell r="AU20" t="str">
            <v>Q3</v>
          </cell>
          <cell r="AX20" t="str">
            <v>OCTOBER</v>
          </cell>
          <cell r="BA20" t="str">
            <v>NOVEMBER</v>
          </cell>
          <cell r="BD20" t="str">
            <v>DECEMBER</v>
          </cell>
          <cell r="BG20" t="str">
            <v>Q4</v>
          </cell>
          <cell r="BJ20" t="str">
            <v>2nd HALF</v>
          </cell>
          <cell r="BM20" t="str">
            <v>YTD 2013</v>
          </cell>
        </row>
        <row r="21">
          <cell r="B21">
            <v>16</v>
          </cell>
          <cell r="E21" t="str">
            <v>Plan</v>
          </cell>
          <cell r="F21" t="str">
            <v>Actual</v>
          </cell>
          <cell r="G21" t="str">
            <v>% var</v>
          </cell>
          <cell r="H21" t="str">
            <v>Plan</v>
          </cell>
          <cell r="I21" t="str">
            <v>Actual</v>
          </cell>
          <cell r="J21" t="str">
            <v>% var</v>
          </cell>
          <cell r="K21" t="str">
            <v>Plan</v>
          </cell>
          <cell r="L21" t="str">
            <v>Actual</v>
          </cell>
          <cell r="M21" t="str">
            <v>% var</v>
          </cell>
          <cell r="N21" t="str">
            <v>Plan</v>
          </cell>
          <cell r="O21" t="str">
            <v>Actual</v>
          </cell>
          <cell r="P21" t="str">
            <v>% var</v>
          </cell>
          <cell r="Q21" t="str">
            <v>Plan</v>
          </cell>
          <cell r="R21" t="str">
            <v>Actual</v>
          </cell>
          <cell r="S21" t="str">
            <v>% var</v>
          </cell>
          <cell r="T21" t="str">
            <v>Plan</v>
          </cell>
          <cell r="U21" t="str">
            <v>Actual</v>
          </cell>
          <cell r="V21" t="str">
            <v>% var</v>
          </cell>
          <cell r="W21" t="str">
            <v>Plan</v>
          </cell>
          <cell r="X21" t="str">
            <v>Actual</v>
          </cell>
          <cell r="Y21" t="str">
            <v>% var</v>
          </cell>
          <cell r="Z21" t="str">
            <v>Plan</v>
          </cell>
          <cell r="AA21" t="str">
            <v>Actual</v>
          </cell>
          <cell r="AB21" t="str">
            <v>% var</v>
          </cell>
          <cell r="AC21" t="str">
            <v>Plan</v>
          </cell>
          <cell r="AD21" t="str">
            <v>Actual</v>
          </cell>
          <cell r="AE21" t="str">
            <v>% var</v>
          </cell>
          <cell r="AF21" t="str">
            <v>Plan</v>
          </cell>
          <cell r="AG21" t="str">
            <v>Actual</v>
          </cell>
          <cell r="AH21" t="str">
            <v>% var</v>
          </cell>
          <cell r="AI21" t="str">
            <v>Plan</v>
          </cell>
          <cell r="AJ21" t="str">
            <v>Actual</v>
          </cell>
          <cell r="AK21" t="str">
            <v>% var</v>
          </cell>
          <cell r="AL21" t="str">
            <v>Plan</v>
          </cell>
          <cell r="AM21" t="str">
            <v>Actual</v>
          </cell>
          <cell r="AN21" t="str">
            <v>% var</v>
          </cell>
          <cell r="AO21" t="str">
            <v>Plan</v>
          </cell>
          <cell r="AP21" t="str">
            <v>Est.</v>
          </cell>
          <cell r="AQ21" t="str">
            <v>% var</v>
          </cell>
          <cell r="AR21" t="str">
            <v>Plan</v>
          </cell>
          <cell r="AS21" t="str">
            <v>Est.</v>
          </cell>
          <cell r="AT21" t="str">
            <v>% var</v>
          </cell>
          <cell r="AU21" t="str">
            <v>Plan</v>
          </cell>
          <cell r="AV21" t="str">
            <v>Est.</v>
          </cell>
          <cell r="AW21" t="str">
            <v>% var</v>
          </cell>
          <cell r="AX21" t="str">
            <v>Plan</v>
          </cell>
          <cell r="AY21" t="str">
            <v>Est.</v>
          </cell>
          <cell r="AZ21" t="str">
            <v>% var</v>
          </cell>
          <cell r="BA21" t="str">
            <v>Plan</v>
          </cell>
          <cell r="BB21" t="str">
            <v>Est.</v>
          </cell>
          <cell r="BC21" t="str">
            <v>% var</v>
          </cell>
          <cell r="BD21" t="str">
            <v>Plan</v>
          </cell>
          <cell r="BE21" t="str">
            <v>Est.</v>
          </cell>
          <cell r="BF21" t="str">
            <v>% var</v>
          </cell>
          <cell r="BG21" t="str">
            <v>Plan</v>
          </cell>
          <cell r="BH21" t="str">
            <v>Est.</v>
          </cell>
          <cell r="BI21" t="str">
            <v>% var</v>
          </cell>
          <cell r="BJ21" t="str">
            <v>Plan</v>
          </cell>
          <cell r="BK21" t="str">
            <v>Est.</v>
          </cell>
          <cell r="BL21" t="str">
            <v>% var</v>
          </cell>
          <cell r="BM21" t="str">
            <v>Plan</v>
          </cell>
          <cell r="BN21" t="str">
            <v>Est.</v>
          </cell>
          <cell r="BO21" t="str">
            <v>% var</v>
          </cell>
        </row>
        <row r="22">
          <cell r="B22">
            <v>17</v>
          </cell>
          <cell r="C22" t="str">
            <v>OB Removal</v>
          </cell>
          <cell r="D22" t="str">
            <v>KBCM</v>
          </cell>
          <cell r="E22">
            <v>13582.494670599915</v>
          </cell>
          <cell r="F22">
            <v>14934.118472938797</v>
          </cell>
          <cell r="G22">
            <v>9.9512190883796059</v>
          </cell>
          <cell r="H22">
            <v>13553.866033892822</v>
          </cell>
          <cell r="I22">
            <v>13672.606725000001</v>
          </cell>
          <cell r="J22">
            <v>0.87606510799395665</v>
          </cell>
          <cell r="K22">
            <v>13993.878194010527</v>
          </cell>
          <cell r="L22">
            <v>17638.252049000002</v>
          </cell>
          <cell r="M22">
            <v>26.042629530313416</v>
          </cell>
          <cell r="N22">
            <v>41130.238898503267</v>
          </cell>
          <cell r="O22">
            <v>46244.977246938797</v>
          </cell>
          <cell r="P22">
            <v>12.435469584937559</v>
          </cell>
          <cell r="Q22">
            <v>13655.637658835254</v>
          </cell>
          <cell r="R22">
            <v>13592.629881999997</v>
          </cell>
          <cell r="S22">
            <v>-0.46140486742111503</v>
          </cell>
          <cell r="T22">
            <v>14627.019932911508</v>
          </cell>
          <cell r="U22">
            <v>14986.322354791</v>
          </cell>
          <cell r="V22">
            <v>2.4564294266875555</v>
          </cell>
          <cell r="W22">
            <v>14195.040036459966</v>
          </cell>
          <cell r="X22">
            <v>16616.282709999999</v>
          </cell>
          <cell r="Y22">
            <v>17.056962624417192</v>
          </cell>
          <cell r="Z22">
            <v>42477.697628206733</v>
          </cell>
          <cell r="AA22">
            <v>45195.234946790995</v>
          </cell>
          <cell r="AB22">
            <v>6.3975626512763686</v>
          </cell>
          <cell r="AC22">
            <v>83607.936526709993</v>
          </cell>
          <cell r="AD22">
            <v>91440.212193729792</v>
          </cell>
          <cell r="AE22">
            <v>9.3678614643451272</v>
          </cell>
          <cell r="AF22">
            <v>13712.019183264123</v>
          </cell>
          <cell r="AG22">
            <v>17165.249648999998</v>
          </cell>
          <cell r="AH22">
            <v>25.183967580432153</v>
          </cell>
          <cell r="AI22">
            <v>12616.189619789537</v>
          </cell>
          <cell r="AJ22">
            <v>14228.88214246154</v>
          </cell>
          <cell r="AK22">
            <v>12.782722607009342</v>
          </cell>
          <cell r="AL22">
            <v>109936.14532976366</v>
          </cell>
          <cell r="AM22">
            <v>122834.34398519134</v>
          </cell>
          <cell r="AN22">
            <v>11.732445790907384</v>
          </cell>
          <cell r="AO22">
            <v>13177.673615996766</v>
          </cell>
          <cell r="AP22">
            <v>14339.567398010176</v>
          </cell>
          <cell r="AQ22">
            <v>8.8171388658689622</v>
          </cell>
          <cell r="AR22">
            <v>123113.81894576043</v>
          </cell>
          <cell r="AS22">
            <v>137173.91138320151</v>
          </cell>
          <cell r="AT22">
            <v>11.420401509627006</v>
          </cell>
          <cell r="AU22">
            <v>39505.882419050424</v>
          </cell>
          <cell r="AV22">
            <v>45733.699189471714</v>
          </cell>
          <cell r="AW22">
            <v>15.764277087551214</v>
          </cell>
          <cell r="AX22">
            <v>13423.65408607159</v>
          </cell>
          <cell r="AY22">
            <v>13098.135705205697</v>
          </cell>
          <cell r="AZ22">
            <v>-2.4249610335508538</v>
          </cell>
          <cell r="BA22">
            <v>12557.926666215284</v>
          </cell>
          <cell r="BB22">
            <v>12380.275679591359</v>
          </cell>
          <cell r="BC22">
            <v>-1.4146522060991251</v>
          </cell>
          <cell r="BD22">
            <v>11934.009072002942</v>
          </cell>
          <cell r="BE22">
            <v>11907.152617080459</v>
          </cell>
          <cell r="BF22">
            <v>-0.22504134830505459</v>
          </cell>
          <cell r="BG22">
            <v>37915.589824289818</v>
          </cell>
          <cell r="BH22">
            <v>37385.564001877516</v>
          </cell>
          <cell r="BI22">
            <v>-1.3979100018450799</v>
          </cell>
          <cell r="BJ22">
            <v>77421.472243340249</v>
          </cell>
          <cell r="BK22">
            <v>83119.263191349222</v>
          </cell>
          <cell r="BL22">
            <v>7.3594453617472935</v>
          </cell>
          <cell r="BM22">
            <v>161029.40877005027</v>
          </cell>
          <cell r="BN22">
            <v>174559.47538507901</v>
          </cell>
          <cell r="BO22">
            <v>8.4022333053148426</v>
          </cell>
        </row>
        <row r="23">
          <cell r="B23">
            <v>18</v>
          </cell>
          <cell r="C23" t="str">
            <v>ROM Production</v>
          </cell>
          <cell r="D23" t="str">
            <v>KTON</v>
          </cell>
          <cell r="E23">
            <v>1048.0291990745116</v>
          </cell>
          <cell r="F23">
            <v>1214.8542109999999</v>
          </cell>
          <cell r="G23">
            <v>15.917973666459609</v>
          </cell>
          <cell r="H23">
            <v>1049.3161481548627</v>
          </cell>
          <cell r="I23">
            <v>1139.3777410184016</v>
          </cell>
          <cell r="J23">
            <v>8.582884483566259</v>
          </cell>
          <cell r="K23">
            <v>1049.9101871525709</v>
          </cell>
          <cell r="L23">
            <v>1317.2793240000001</v>
          </cell>
          <cell r="M23">
            <v>25.465905571652069</v>
          </cell>
          <cell r="N23">
            <v>3147.2555343819449</v>
          </cell>
          <cell r="O23">
            <v>3671.5112760184015</v>
          </cell>
          <cell r="P23">
            <v>16.657552458301083</v>
          </cell>
          <cell r="Q23">
            <v>1107.7312854083445</v>
          </cell>
          <cell r="R23">
            <v>996.02311364663888</v>
          </cell>
          <cell r="S23">
            <v>-10.08441065384612</v>
          </cell>
          <cell r="T23">
            <v>1172.822480642458</v>
          </cell>
          <cell r="U23">
            <v>1100.7076605783532</v>
          </cell>
          <cell r="V23">
            <v>-6.1488265491467393</v>
          </cell>
          <cell r="W23">
            <v>1236.1599778649147</v>
          </cell>
          <cell r="X23">
            <v>1365.7352809999998</v>
          </cell>
          <cell r="Y23">
            <v>10.482082048869309</v>
          </cell>
          <cell r="Z23">
            <v>3516.7137439157173</v>
          </cell>
          <cell r="AA23">
            <v>3462.466055224992</v>
          </cell>
          <cell r="AB23">
            <v>-1.5425676538097366</v>
          </cell>
          <cell r="AC23">
            <v>6663.9692782976617</v>
          </cell>
          <cell r="AD23">
            <v>7133.9773312433936</v>
          </cell>
          <cell r="AE23">
            <v>7.0529744858877459</v>
          </cell>
          <cell r="AF23">
            <v>1274.363086577848</v>
          </cell>
          <cell r="AG23">
            <v>1453.3879378998392</v>
          </cell>
          <cell r="AH23">
            <v>14.048182437765162</v>
          </cell>
          <cell r="AI23">
            <v>1251.5374813164112</v>
          </cell>
          <cell r="AJ23">
            <v>1325.5544583881849</v>
          </cell>
          <cell r="AK23">
            <v>5.9140839309039324</v>
          </cell>
          <cell r="AL23">
            <v>9189.8698461919212</v>
          </cell>
          <cell r="AM23">
            <v>9912.9197275314182</v>
          </cell>
          <cell r="AN23">
            <v>7.8679012155880841</v>
          </cell>
          <cell r="AO23">
            <v>1262.5610462631357</v>
          </cell>
          <cell r="AP23">
            <v>1352.9563869678827</v>
          </cell>
          <cell r="AQ23">
            <v>7.1596807910630984</v>
          </cell>
          <cell r="AR23">
            <v>10452.430892455057</v>
          </cell>
          <cell r="AS23">
            <v>11265.8761144993</v>
          </cell>
          <cell r="AT23">
            <v>7.7823544629356771</v>
          </cell>
          <cell r="AU23">
            <v>3788.4616141573952</v>
          </cell>
          <cell r="AV23">
            <v>4131.8987832559069</v>
          </cell>
          <cell r="AW23">
            <v>9.0653464143623577</v>
          </cell>
          <cell r="AX23">
            <v>1270.9784991225551</v>
          </cell>
          <cell r="AY23">
            <v>1363.0966492473676</v>
          </cell>
          <cell r="AZ23">
            <v>7.2478134121393891</v>
          </cell>
          <cell r="BA23">
            <v>1279.5670819918757</v>
          </cell>
          <cell r="BB23">
            <v>1349.3114293525111</v>
          </cell>
          <cell r="BC23">
            <v>5.450620631164238</v>
          </cell>
          <cell r="BD23">
            <v>1247.4154482293147</v>
          </cell>
          <cell r="BE23">
            <v>1337.591921400121</v>
          </cell>
          <cell r="BF23">
            <v>7.229064967794832</v>
          </cell>
          <cell r="BG23">
            <v>3797.9610293437458</v>
          </cell>
          <cell r="BH23">
            <v>4049.9999999999995</v>
          </cell>
          <cell r="BI23">
            <v>6.6361652662824664</v>
          </cell>
          <cell r="BJ23">
            <v>7586.4226435011406</v>
          </cell>
          <cell r="BK23">
            <v>8181.8987832559069</v>
          </cell>
          <cell r="BL23">
            <v>7.8492349785557636</v>
          </cell>
          <cell r="BM23">
            <v>14250.391921798802</v>
          </cell>
          <cell r="BN23">
            <v>15315.876114499299</v>
          </cell>
          <cell r="BO23">
            <v>7.4768764153821401</v>
          </cell>
        </row>
        <row r="24">
          <cell r="B24">
            <v>19</v>
          </cell>
          <cell r="C24" t="str">
            <v>F/C Production</v>
          </cell>
          <cell r="D24" t="str">
            <v>KTON</v>
          </cell>
          <cell r="E24">
            <v>1029.7838139195342</v>
          </cell>
          <cell r="F24">
            <v>1142.04937</v>
          </cell>
          <cell r="G24">
            <v>10.901856735654427</v>
          </cell>
          <cell r="H24">
            <v>1037.9803146249888</v>
          </cell>
          <cell r="I24">
            <v>1059.361856</v>
          </cell>
          <cell r="J24">
            <v>2.0599178109400045</v>
          </cell>
          <cell r="K24">
            <v>1038.5595026477542</v>
          </cell>
          <cell r="L24">
            <v>1256.7959000000001</v>
          </cell>
          <cell r="M24">
            <v>21.013374466832506</v>
          </cell>
          <cell r="N24">
            <v>3106.3236311922774</v>
          </cell>
          <cell r="O24">
            <v>3458.2071260000002</v>
          </cell>
          <cell r="P24">
            <v>11.327972760927747</v>
          </cell>
          <cell r="Q24">
            <v>1106.8651842172085</v>
          </cell>
          <cell r="R24">
            <v>1133.914079646639</v>
          </cell>
          <cell r="S24">
            <v>2.4437389318157967</v>
          </cell>
          <cell r="T24">
            <v>1165.4721444182883</v>
          </cell>
          <cell r="U24">
            <v>1087.9564600000001</v>
          </cell>
          <cell r="V24">
            <v>-6.6510113338640018</v>
          </cell>
          <cell r="W24">
            <v>1230.2221545065261</v>
          </cell>
          <cell r="X24">
            <v>1321.3087599999999</v>
          </cell>
          <cell r="Y24">
            <v>7.4040778049563754</v>
          </cell>
          <cell r="Z24">
            <v>3502.5594831420231</v>
          </cell>
          <cell r="AA24">
            <v>3543.1792996466393</v>
          </cell>
          <cell r="AB24">
            <v>1.1597181061484101</v>
          </cell>
          <cell r="AC24">
            <v>6608.8831143343004</v>
          </cell>
          <cell r="AD24">
            <v>7001.3864256466395</v>
          </cell>
          <cell r="AE24">
            <v>5.9390263758943043</v>
          </cell>
          <cell r="AF24">
            <v>1254.7060932201971</v>
          </cell>
          <cell r="AG24">
            <v>1333.85448</v>
          </cell>
          <cell r="AH24">
            <v>6.3081216555399777</v>
          </cell>
          <cell r="AI24">
            <v>1223.2338903009882</v>
          </cell>
          <cell r="AJ24">
            <v>1268.09817</v>
          </cell>
          <cell r="AK24">
            <v>3.6676779522493903</v>
          </cell>
          <cell r="AL24">
            <v>9086.8230978554839</v>
          </cell>
          <cell r="AM24">
            <v>9603.3390756466379</v>
          </cell>
          <cell r="AN24">
            <v>5.6842305856383755</v>
          </cell>
          <cell r="AO24">
            <v>1243.1016039133528</v>
          </cell>
          <cell r="AP24">
            <v>1360</v>
          </cell>
          <cell r="AQ24">
            <v>9.4037684223594038</v>
          </cell>
          <cell r="AR24">
            <v>10329.924701768836</v>
          </cell>
          <cell r="AS24">
            <v>10963.339075646638</v>
          </cell>
          <cell r="AT24">
            <v>6.1318392163046447</v>
          </cell>
          <cell r="AU24">
            <v>3721.0415874345381</v>
          </cell>
          <cell r="AV24">
            <v>3961.9526500000002</v>
          </cell>
          <cell r="AW24">
            <v>6.4742910527790576</v>
          </cell>
          <cell r="AX24">
            <v>1234.1300511564962</v>
          </cell>
          <cell r="AY24">
            <v>1378.332396873308</v>
          </cell>
          <cell r="AZ24">
            <v>11.684534023110499</v>
          </cell>
          <cell r="BA24">
            <v>1246.0184078536461</v>
          </cell>
          <cell r="BB24">
            <v>1384.2757120782296</v>
          </cell>
          <cell r="BC24">
            <v>11.095927905490694</v>
          </cell>
          <cell r="BD24">
            <v>1261.8977470307516</v>
          </cell>
          <cell r="BE24">
            <v>1362.3918910484622</v>
          </cell>
          <cell r="BF24">
            <v>7.9637311544595075</v>
          </cell>
          <cell r="BG24">
            <v>3742.0462060408936</v>
          </cell>
          <cell r="BH24">
            <v>4125</v>
          </cell>
          <cell r="BI24">
            <v>10.233807197273325</v>
          </cell>
          <cell r="BJ24">
            <v>7463.0877934754317</v>
          </cell>
          <cell r="BK24">
            <v>8086.9526500000002</v>
          </cell>
          <cell r="BL24">
            <v>8.3593396431699407</v>
          </cell>
          <cell r="BM24">
            <v>14071.970907809729</v>
          </cell>
          <cell r="BN24">
            <v>15088.339075646638</v>
          </cell>
          <cell r="BO24">
            <v>7.2226426169829532</v>
          </cell>
        </row>
        <row r="25">
          <cell r="B25">
            <v>20</v>
          </cell>
          <cell r="C25" t="str">
            <v>Washplant</v>
          </cell>
          <cell r="D25" t="str">
            <v>KTON</v>
          </cell>
          <cell r="E25">
            <v>25</v>
          </cell>
          <cell r="F25">
            <v>16.863253</v>
          </cell>
          <cell r="G25">
            <v>-32.546987999999999</v>
          </cell>
          <cell r="H25">
            <v>25</v>
          </cell>
          <cell r="I25">
            <v>16.840149999999998</v>
          </cell>
          <cell r="J25">
            <v>-32.639400000000009</v>
          </cell>
          <cell r="K25">
            <v>25</v>
          </cell>
          <cell r="L25">
            <v>17.288076</v>
          </cell>
          <cell r="M25">
            <v>-30.847695999999996</v>
          </cell>
          <cell r="N25">
            <v>75</v>
          </cell>
          <cell r="O25">
            <v>50.991478999999998</v>
          </cell>
          <cell r="P25">
            <v>-32.01136133333334</v>
          </cell>
          <cell r="Q25">
            <v>25</v>
          </cell>
          <cell r="R25">
            <v>22.7788</v>
          </cell>
          <cell r="S25">
            <v>-8.8847999999999985</v>
          </cell>
          <cell r="T25">
            <v>25</v>
          </cell>
          <cell r="U25">
            <v>25.091000000000001</v>
          </cell>
          <cell r="V25">
            <v>0.36400000000000432</v>
          </cell>
          <cell r="W25">
            <v>25</v>
          </cell>
          <cell r="X25">
            <v>19.847528999999998</v>
          </cell>
          <cell r="Y25">
            <v>-20.609884000000008</v>
          </cell>
          <cell r="Z25">
            <v>75</v>
          </cell>
          <cell r="AA25">
            <v>67.717328999999992</v>
          </cell>
          <cell r="AB25">
            <v>-9.7102280000000096</v>
          </cell>
          <cell r="AC25">
            <v>150</v>
          </cell>
          <cell r="AD25">
            <v>118.70880799999999</v>
          </cell>
          <cell r="AE25">
            <v>-20.860794666666674</v>
          </cell>
          <cell r="AF25">
            <v>25</v>
          </cell>
          <cell r="AG25">
            <v>19.093321</v>
          </cell>
          <cell r="AH25">
            <v>-23.626716000000002</v>
          </cell>
          <cell r="AI25">
            <v>25</v>
          </cell>
          <cell r="AJ25">
            <v>18.464399999999994</v>
          </cell>
          <cell r="AK25">
            <v>-26.14240000000002</v>
          </cell>
          <cell r="AL25">
            <v>200</v>
          </cell>
          <cell r="AM25">
            <v>156.26652899999996</v>
          </cell>
          <cell r="AN25">
            <v>-21.866735500000019</v>
          </cell>
          <cell r="AO25">
            <v>25</v>
          </cell>
          <cell r="AP25">
            <v>20</v>
          </cell>
          <cell r="AQ25">
            <v>-20</v>
          </cell>
          <cell r="AR25">
            <v>225</v>
          </cell>
          <cell r="AS25">
            <v>176.26652899999996</v>
          </cell>
          <cell r="AT25">
            <v>-21.659320444444461</v>
          </cell>
          <cell r="AU25">
            <v>75</v>
          </cell>
          <cell r="AV25">
            <v>57.557720999999994</v>
          </cell>
          <cell r="AW25">
            <v>-23.25637200000001</v>
          </cell>
          <cell r="AX25">
            <v>25</v>
          </cell>
          <cell r="AY25">
            <v>25</v>
          </cell>
          <cell r="AZ25">
            <v>0</v>
          </cell>
          <cell r="BA25">
            <v>25</v>
          </cell>
          <cell r="BB25">
            <v>25</v>
          </cell>
          <cell r="BC25">
            <v>0</v>
          </cell>
          <cell r="BD25">
            <v>25</v>
          </cell>
          <cell r="BE25">
            <v>25</v>
          </cell>
          <cell r="BF25">
            <v>0</v>
          </cell>
          <cell r="BG25">
            <v>75</v>
          </cell>
          <cell r="BH25">
            <v>75</v>
          </cell>
          <cell r="BI25">
            <v>0</v>
          </cell>
          <cell r="BJ25">
            <v>150</v>
          </cell>
          <cell r="BK25">
            <v>132.55772099999999</v>
          </cell>
          <cell r="BL25">
            <v>-11.628186000000008</v>
          </cell>
          <cell r="BM25">
            <v>300</v>
          </cell>
          <cell r="BN25">
            <v>251.26652899999996</v>
          </cell>
          <cell r="BO25">
            <v>-16.244490333333346</v>
          </cell>
        </row>
        <row r="26">
          <cell r="B26">
            <v>21</v>
          </cell>
          <cell r="C26" t="str">
            <v>Total FC + WP</v>
          </cell>
          <cell r="D26" t="str">
            <v>KTON</v>
          </cell>
          <cell r="E26">
            <v>1054.7838139195342</v>
          </cell>
          <cell r="F26">
            <v>1158.9126229999999</v>
          </cell>
          <cell r="G26">
            <v>9.8720522353796198</v>
          </cell>
          <cell r="H26">
            <v>1062.9803146249888</v>
          </cell>
          <cell r="I26">
            <v>1076.202006</v>
          </cell>
          <cell r="J26">
            <v>1.2438321945478119</v>
          </cell>
          <cell r="K26">
            <v>1063.5595026477542</v>
          </cell>
          <cell r="L26">
            <v>1274.0839760000001</v>
          </cell>
          <cell r="M26">
            <v>19.794329591164448</v>
          </cell>
          <cell r="N26">
            <v>3181.3236311922774</v>
          </cell>
          <cell r="O26">
            <v>3509.1986049999996</v>
          </cell>
          <cell r="P26">
            <v>10.306243935479245</v>
          </cell>
          <cell r="Q26">
            <v>1131.8651842172085</v>
          </cell>
          <cell r="R26">
            <v>1156.6928796466391</v>
          </cell>
          <cell r="S26">
            <v>2.1935205513544704</v>
          </cell>
          <cell r="T26">
            <v>1190.4721444182883</v>
          </cell>
          <cell r="U26">
            <v>1113.04746</v>
          </cell>
          <cell r="V26">
            <v>-6.5036955951725384</v>
          </cell>
          <cell r="W26">
            <v>1255.2221545065261</v>
          </cell>
          <cell r="X26">
            <v>1341.1562889999998</v>
          </cell>
          <cell r="Y26">
            <v>6.84612952256707</v>
          </cell>
          <cell r="Z26">
            <v>3577.5594831420231</v>
          </cell>
          <cell r="AA26">
            <v>3610.8966286466384</v>
          </cell>
          <cell r="AB26">
            <v>0.93184042534316491</v>
          </cell>
          <cell r="AC26">
            <v>6758.8831143343004</v>
          </cell>
          <cell r="AD26">
            <v>7120.095233646638</v>
          </cell>
          <cell r="AE26">
            <v>5.3442575230554832</v>
          </cell>
          <cell r="AF26">
            <v>1279.7060932201971</v>
          </cell>
          <cell r="AG26">
            <v>1352.947801</v>
          </cell>
          <cell r="AH26">
            <v>5.7233225791322653</v>
          </cell>
          <cell r="AI26">
            <v>1248.2338903009882</v>
          </cell>
          <cell r="AJ26">
            <v>1286.5625700000001</v>
          </cell>
          <cell r="AK26">
            <v>3.0706328354672103</v>
          </cell>
          <cell r="AL26">
            <v>9286.8230978554839</v>
          </cell>
          <cell r="AM26">
            <v>9759.6056046466383</v>
          </cell>
          <cell r="AN26">
            <v>5.0908960126561427</v>
          </cell>
          <cell r="AO26">
            <v>1268.1016039133528</v>
          </cell>
          <cell r="AP26">
            <v>1380</v>
          </cell>
          <cell r="AQ26">
            <v>8.824087576368445</v>
          </cell>
          <cell r="AR26">
            <v>10554.924701768836</v>
          </cell>
          <cell r="AS26">
            <v>11139.605604646638</v>
          </cell>
          <cell r="AT26">
            <v>5.5394133013551432</v>
          </cell>
          <cell r="AU26">
            <v>3796.0415874345381</v>
          </cell>
          <cell r="AV26">
            <v>4019.5103710000003</v>
          </cell>
          <cell r="AW26">
            <v>5.8868897618291935</v>
          </cell>
          <cell r="AX26">
            <v>1259.1300511564962</v>
          </cell>
          <cell r="AY26">
            <v>1403.332396873308</v>
          </cell>
          <cell r="AZ26">
            <v>11.452537852175288</v>
          </cell>
          <cell r="BA26">
            <v>1271.0184078536461</v>
          </cell>
          <cell r="BB26">
            <v>1409.2757120782296</v>
          </cell>
          <cell r="BC26">
            <v>10.877679140623703</v>
          </cell>
          <cell r="BD26">
            <v>1286.8977470307516</v>
          </cell>
          <cell r="BE26">
            <v>1387.3918910484622</v>
          </cell>
          <cell r="BF26">
            <v>7.8090232304454572</v>
          </cell>
          <cell r="BG26">
            <v>3817.0462060408936</v>
          </cell>
          <cell r="BH26">
            <v>4200</v>
          </cell>
          <cell r="BI26">
            <v>10.032726178505257</v>
          </cell>
          <cell r="BJ26">
            <v>7613.0877934754317</v>
          </cell>
          <cell r="BK26">
            <v>8219.5103710000003</v>
          </cell>
          <cell r="BL26">
            <v>7.9655271812875306</v>
          </cell>
          <cell r="BM26">
            <v>14371.970907809729</v>
          </cell>
          <cell r="BN26">
            <v>15339.605604646638</v>
          </cell>
          <cell r="BO26">
            <v>6.7327905340463516</v>
          </cell>
        </row>
        <row r="27">
          <cell r="B27">
            <v>22</v>
          </cell>
          <cell r="C27" t="str">
            <v>Stripping Ratio</v>
          </cell>
          <cell r="D27" t="str">
            <v>OB: F/C</v>
          </cell>
          <cell r="E27">
            <v>13.189656398756751</v>
          </cell>
          <cell r="F27">
            <v>13.076596218374339</v>
          </cell>
          <cell r="G27">
            <v>-0.8571882160104568</v>
          </cell>
          <cell r="H27">
            <v>13.057922046228487</v>
          </cell>
          <cell r="I27">
            <v>12.906455568096273</v>
          </cell>
          <cell r="J27">
            <v>-1.1599585109788728</v>
          </cell>
          <cell r="K27">
            <v>13.474315297615449</v>
          </cell>
          <cell r="L27">
            <v>14.034301073865693</v>
          </cell>
          <cell r="M27">
            <v>4.1559497746749665</v>
          </cell>
          <cell r="N27">
            <v>13.240809323758887</v>
          </cell>
          <cell r="O27">
            <v>13.372529626479867</v>
          </cell>
          <cell r="P27">
            <v>0.99480552510204656</v>
          </cell>
          <cell r="Q27">
            <v>12.337218528101708</v>
          </cell>
          <cell r="R27">
            <v>11.987354356015986</v>
          </cell>
          <cell r="S27">
            <v>-2.8358431950346139</v>
          </cell>
          <cell r="T27">
            <v>12.550295605917</v>
          </cell>
          <cell r="U27">
            <v>13.774744583796119</v>
          </cell>
          <cell r="V27">
            <v>9.7563357575564691</v>
          </cell>
          <cell r="W27">
            <v>11.538598930657336</v>
          </cell>
          <cell r="X27">
            <v>12.575624421047507</v>
          </cell>
          <cell r="Y27">
            <v>8.9874472336052786</v>
          </cell>
          <cell r="Z27">
            <v>12.127616342464364</v>
          </cell>
          <cell r="AA27">
            <v>12.755559661149045</v>
          </cell>
          <cell r="AB27">
            <v>5.1777966993065414</v>
          </cell>
          <cell r="AC27">
            <v>12.650842068211045</v>
          </cell>
          <cell r="AD27">
            <v>13.060300722550746</v>
          </cell>
          <cell r="AE27">
            <v>3.2366118566019133</v>
          </cell>
          <cell r="AF27">
            <v>10.928471023897153</v>
          </cell>
          <cell r="AG27">
            <v>12.868907295644423</v>
          </cell>
          <cell r="AH27">
            <v>17.75578914474076</v>
          </cell>
          <cell r="AI27">
            <v>10.313799936237219</v>
          </cell>
          <cell r="AJ27">
            <v>11.220647169975445</v>
          </cell>
          <cell r="AK27">
            <v>8.7925618040354472</v>
          </cell>
          <cell r="AL27">
            <v>12.098413730064681</v>
          </cell>
          <cell r="AM27">
            <v>12.79079526585604</v>
          </cell>
          <cell r="AN27">
            <v>5.7229117075967055</v>
          </cell>
          <cell r="AO27">
            <v>10.600640828161366</v>
          </cell>
          <cell r="AP27">
            <v>10.543799557360424</v>
          </cell>
          <cell r="AQ27">
            <v>-0.53620598718841805</v>
          </cell>
          <cell r="AR27">
            <v>11.918171961570943</v>
          </cell>
          <cell r="AS27">
            <v>12.512055901646985</v>
          </cell>
          <cell r="AT27">
            <v>4.983012008812814</v>
          </cell>
          <cell r="AU27">
            <v>10.616888172509688</v>
          </cell>
          <cell r="AV27">
            <v>11.543222049731391</v>
          </cell>
          <cell r="AW27">
            <v>8.7250978080400206</v>
          </cell>
          <cell r="AX27">
            <v>10.877017437094544</v>
          </cell>
          <cell r="AY27">
            <v>9.5028860490534033</v>
          </cell>
          <cell r="AZ27">
            <v>-12.633347293853351</v>
          </cell>
          <cell r="BA27">
            <v>10.078443935549227</v>
          </cell>
          <cell r="BB27">
            <v>8.9435042250396091</v>
          </cell>
          <cell r="BC27">
            <v>-11.261060911460728</v>
          </cell>
          <cell r="BD27">
            <v>9.4571918367266239</v>
          </cell>
          <cell r="BE27">
            <v>8.7398880566714308</v>
          </cell>
          <cell r="BF27">
            <v>-7.584743890565619</v>
          </cell>
          <cell r="BG27">
            <v>10.132314711422211</v>
          </cell>
          <cell r="BH27">
            <v>9.0631670307581853</v>
          </cell>
          <cell r="BI27">
            <v>-10.551860173261002</v>
          </cell>
          <cell r="BJ27">
            <v>10.37391953381891</v>
          </cell>
          <cell r="BK27">
            <v>10.278193379968561</v>
          </cell>
          <cell r="BL27">
            <v>-0.92275782107506998</v>
          </cell>
          <cell r="BM27">
            <v>11.443273285953243</v>
          </cell>
          <cell r="BN27">
            <v>11.569164406361139</v>
          </cell>
          <cell r="BO27">
            <v>1.1001320798868726</v>
          </cell>
        </row>
        <row r="28">
          <cell r="B28">
            <v>23</v>
          </cell>
          <cell r="C28" t="str">
            <v>S/R                          (OB/ (FC+WP)</v>
          </cell>
          <cell r="E28">
            <v>12.877041239500929</v>
          </cell>
          <cell r="F28">
            <v>12.886319621128846</v>
          </cell>
          <cell r="G28">
            <v>7.2053676425723245E-2</v>
          </cell>
          <cell r="H28">
            <v>12.750815652380657</v>
          </cell>
          <cell r="I28">
            <v>12.704498457327723</v>
          </cell>
          <cell r="J28">
            <v>-0.36324888003761746</v>
          </cell>
          <cell r="K28">
            <v>13.157588418111509</v>
          </cell>
          <cell r="L28">
            <v>13.843869306303873</v>
          </cell>
          <cell r="M28">
            <v>5.2158561765596332</v>
          </cell>
          <cell r="N28">
            <v>12.928656014505737</v>
          </cell>
          <cell r="O28">
            <v>13.178216012353282</v>
          </cell>
          <cell r="P28">
            <v>1.9302856968856044</v>
          </cell>
          <cell r="Q28">
            <v>12.064721001449847</v>
          </cell>
          <cell r="R28">
            <v>11.751286898344565</v>
          </cell>
          <cell r="S28">
            <v>-2.5979390909049243</v>
          </cell>
          <cell r="T28">
            <v>12.28673850244421</v>
          </cell>
          <cell r="U28">
            <v>13.464225824468437</v>
          </cell>
          <cell r="V28">
            <v>9.583400198433365</v>
          </cell>
          <cell r="W28">
            <v>11.308787042593714</v>
          </cell>
          <cell r="X28">
            <v>12.389520033037702</v>
          </cell>
          <cell r="Y28">
            <v>9.5565774328713253</v>
          </cell>
          <cell r="Z28">
            <v>11.873372847710227</v>
          </cell>
          <cell r="AA28">
            <v>12.516346933955331</v>
          </cell>
          <cell r="AB28">
            <v>5.4152606381690545</v>
          </cell>
          <cell r="AC28">
            <v>12.370081729833961</v>
          </cell>
          <cell r="AD28">
            <v>12.842554655957549</v>
          </cell>
          <cell r="AE28">
            <v>3.8194810385454914</v>
          </cell>
          <cell r="AF28">
            <v>10.714975302461669</v>
          </cell>
          <cell r="AG28">
            <v>12.687296314250041</v>
          </cell>
          <cell r="AH28">
            <v>18.407144730751259</v>
          </cell>
          <cell r="AI28">
            <v>10.107232080317399</v>
          </cell>
          <cell r="AJ28">
            <v>11.059611459442303</v>
          </cell>
          <cell r="AK28">
            <v>9.42275166491474</v>
          </cell>
          <cell r="AL28">
            <v>11.837863623691739</v>
          </cell>
          <cell r="AM28">
            <v>12.585994656045196</v>
          </cell>
          <cell r="AN28">
            <v>6.3198145893164677</v>
          </cell>
          <cell r="AO28">
            <v>10.391654403188637</v>
          </cell>
          <cell r="AP28">
            <v>10.390990868123316</v>
          </cell>
          <cell r="AQ28">
            <v>-6.3852687895166937E-3</v>
          </cell>
          <cell r="AR28">
            <v>11.664111533181144</v>
          </cell>
          <cell r="AS28">
            <v>12.314072531076187</v>
          </cell>
          <cell r="AT28">
            <v>5.572314668340451</v>
          </cell>
          <cell r="AU28">
            <v>10.407125820175619</v>
          </cell>
          <cell r="AV28">
            <v>11.377927898739015</v>
          </cell>
          <cell r="AW28">
            <v>9.3282438911362604</v>
          </cell>
          <cell r="AX28">
            <v>10.661054490552521</v>
          </cell>
          <cell r="AY28">
            <v>9.3335946169196795</v>
          </cell>
          <cell r="AZ28">
            <v>-12.451487559783073</v>
          </cell>
          <cell r="BA28">
            <v>9.8802083342142204</v>
          </cell>
          <cell r="BB28">
            <v>8.7848499576668519</v>
          </cell>
          <cell r="BC28">
            <v>-11.086389471710294</v>
          </cell>
          <cell r="BD28">
            <v>9.2734711048629794</v>
          </cell>
          <cell r="BE28">
            <v>8.5824003253198615</v>
          </cell>
          <cell r="BF28">
            <v>-7.4521263044721469</v>
          </cell>
          <cell r="BG28">
            <v>9.933227888172862</v>
          </cell>
          <cell r="BH28">
            <v>8.9013247623517895</v>
          </cell>
          <cell r="BI28">
            <v>-10.388396777342866</v>
          </cell>
          <cell r="BJ28">
            <v>10.169523108572582</v>
          </cell>
          <cell r="BK28">
            <v>10.112434857994684</v>
          </cell>
          <cell r="BL28">
            <v>-0.56136605392808114</v>
          </cell>
          <cell r="BM28">
            <v>11.299998600299816</v>
          </cell>
          <cell r="BN28">
            <v>11.397289588927029</v>
          </cell>
          <cell r="BO28">
            <v>0.8609823068883542</v>
          </cell>
        </row>
        <row r="29">
          <cell r="B29">
            <v>24</v>
          </cell>
          <cell r="C29" t="str">
            <v>Hauling</v>
          </cell>
          <cell r="D29" t="str">
            <v>KTON</v>
          </cell>
          <cell r="E29">
            <v>1054.7838139195339</v>
          </cell>
          <cell r="F29">
            <v>1323.4159790717208</v>
          </cell>
          <cell r="G29">
            <v>25.467983259428355</v>
          </cell>
          <cell r="H29">
            <v>1062.980314624989</v>
          </cell>
          <cell r="I29">
            <v>991.43672471764205</v>
          </cell>
          <cell r="J29">
            <v>-6.7304717616136598</v>
          </cell>
          <cell r="K29">
            <v>1063.559502647754</v>
          </cell>
          <cell r="L29">
            <v>1300.9861235998919</v>
          </cell>
          <cell r="M29">
            <v>22.323774115229028</v>
          </cell>
          <cell r="N29">
            <v>3181.3236311922769</v>
          </cell>
          <cell r="O29">
            <v>3615.8388273892547</v>
          </cell>
          <cell r="P29">
            <v>13.658314795031803</v>
          </cell>
          <cell r="Q29">
            <v>1125.0464868297017</v>
          </cell>
          <cell r="R29">
            <v>1080.4199388439245</v>
          </cell>
          <cell r="S29">
            <v>-3.9666403573715083</v>
          </cell>
          <cell r="T29">
            <v>1185.3744343150661</v>
          </cell>
          <cell r="U29">
            <v>1131.3844499679483</v>
          </cell>
          <cell r="V29">
            <v>-4.5546776431292217</v>
          </cell>
          <cell r="W29">
            <v>1236.9087827721667</v>
          </cell>
          <cell r="X29">
            <v>1261.8900953243874</v>
          </cell>
          <cell r="Y29">
            <v>2.0196568170720313</v>
          </cell>
          <cell r="Z29">
            <v>3547.3297039169347</v>
          </cell>
          <cell r="AA29">
            <v>3473.6944841362601</v>
          </cell>
          <cell r="AB29">
            <v>-2.0757929464342464</v>
          </cell>
          <cell r="AC29">
            <v>6728.6533351092112</v>
          </cell>
          <cell r="AD29">
            <v>7089.5333115255144</v>
          </cell>
          <cell r="AE29">
            <v>5.363331389555765</v>
          </cell>
          <cell r="AF29">
            <v>1259.7993500877967</v>
          </cell>
          <cell r="AG29">
            <v>1338.3073295554732</v>
          </cell>
          <cell r="AH29">
            <v>6.2317844077475657</v>
          </cell>
          <cell r="AI29">
            <v>1233.2004719940044</v>
          </cell>
          <cell r="AJ29">
            <v>1273.9908210137789</v>
          </cell>
          <cell r="AK29">
            <v>3.3076819175895418</v>
          </cell>
          <cell r="AL29">
            <v>9221.6531571910127</v>
          </cell>
          <cell r="AM29">
            <v>9701.8314620947658</v>
          </cell>
          <cell r="AN29">
            <v>5.2070740106865951</v>
          </cell>
          <cell r="AO29">
            <v>1248.2193724509566</v>
          </cell>
          <cell r="AP29">
            <v>1390</v>
          </cell>
          <cell r="AQ29">
            <v>11.358630596370917</v>
          </cell>
          <cell r="AR29">
            <v>10469.872529641969</v>
          </cell>
          <cell r="AS29">
            <v>11091.831462094766</v>
          </cell>
          <cell r="AT29">
            <v>5.9404632739503436</v>
          </cell>
          <cell r="AU29">
            <v>3741.2191945327577</v>
          </cell>
          <cell r="AV29">
            <v>4002.2981505692524</v>
          </cell>
          <cell r="AW29">
            <v>6.9784458611252518</v>
          </cell>
          <cell r="AX29">
            <v>1272.3421341855178</v>
          </cell>
          <cell r="AY29">
            <v>1455.7735876373652</v>
          </cell>
          <cell r="AZ29">
            <v>14.416834004264889</v>
          </cell>
          <cell r="BA29">
            <v>1276.769485873303</v>
          </cell>
          <cell r="BB29">
            <v>1440.0348804754694</v>
          </cell>
          <cell r="BC29">
            <v>12.787382249388099</v>
          </cell>
          <cell r="BD29">
            <v>1287.5221349761118</v>
          </cell>
          <cell r="BE29">
            <v>1424.1915318871652</v>
          </cell>
          <cell r="BF29">
            <v>10.614916295290648</v>
          </cell>
          <cell r="BG29">
            <v>3836.6337550349326</v>
          </cell>
          <cell r="BH29">
            <v>4320</v>
          </cell>
          <cell r="BI29">
            <v>12.598706987101153</v>
          </cell>
          <cell r="BJ29">
            <v>7577.8529495676903</v>
          </cell>
          <cell r="BK29">
            <v>8322.2981505692514</v>
          </cell>
          <cell r="BL29">
            <v>9.8239594507311079</v>
          </cell>
          <cell r="BM29">
            <v>14306.506284676901</v>
          </cell>
          <cell r="BN29">
            <v>15411.831462094764</v>
          </cell>
          <cell r="BO29">
            <v>7.7260314672473882</v>
          </cell>
        </row>
        <row r="30">
          <cell r="B30">
            <v>25</v>
          </cell>
          <cell r="C30" t="str">
            <v>ROM stock</v>
          </cell>
          <cell r="D30" t="str">
            <v>KTON</v>
          </cell>
          <cell r="E30">
            <v>193.28493050970502</v>
          </cell>
          <cell r="F30">
            <v>47.777940999999998</v>
          </cell>
          <cell r="G30">
            <v>-75.281083282588838</v>
          </cell>
          <cell r="H30">
            <v>204.62076403957886</v>
          </cell>
          <cell r="I30">
            <v>129.87534699999998</v>
          </cell>
          <cell r="J30">
            <v>-36.528754738263622</v>
          </cell>
          <cell r="K30">
            <v>215.9714485443954</v>
          </cell>
          <cell r="L30">
            <v>180.67277599999994</v>
          </cell>
          <cell r="M30">
            <v>-16.344138441586374</v>
          </cell>
          <cell r="N30">
            <v>215.9714485443954</v>
          </cell>
          <cell r="O30">
            <v>180.67277599999994</v>
          </cell>
          <cell r="P30">
            <v>-16.344138441586374</v>
          </cell>
          <cell r="Q30">
            <v>216.83754973553155</v>
          </cell>
          <cell r="R30">
            <v>77.100939999999994</v>
          </cell>
          <cell r="S30">
            <v>-64.442994262738594</v>
          </cell>
          <cell r="T30">
            <v>224.1878859597013</v>
          </cell>
          <cell r="U30">
            <v>89.852140000000006</v>
          </cell>
          <cell r="V30">
            <v>-59.921054781634673</v>
          </cell>
          <cell r="W30">
            <v>230.1257093180898</v>
          </cell>
          <cell r="X30">
            <v>134.27867499999999</v>
          </cell>
          <cell r="Y30">
            <v>-41.649859375601473</v>
          </cell>
          <cell r="Z30">
            <v>230.1257093180898</v>
          </cell>
          <cell r="AA30">
            <v>134.27867499999999</v>
          </cell>
          <cell r="AB30">
            <v>-41.649859375601473</v>
          </cell>
          <cell r="AC30">
            <v>230.1257093180898</v>
          </cell>
          <cell r="AD30">
            <v>134.27867499999999</v>
          </cell>
          <cell r="AE30">
            <v>-41.649859375601473</v>
          </cell>
          <cell r="AF30">
            <v>249.78270267574055</v>
          </cell>
          <cell r="AG30">
            <v>253.975527</v>
          </cell>
          <cell r="AH30">
            <v>1.6785887410716467</v>
          </cell>
          <cell r="AI30">
            <v>278.08629369116363</v>
          </cell>
          <cell r="AJ30">
            <v>311.43148000000002</v>
          </cell>
          <cell r="AK30">
            <v>11.99094923601981</v>
          </cell>
          <cell r="AL30">
            <v>278.08629369116363</v>
          </cell>
          <cell r="AM30">
            <v>311.43148000000002</v>
          </cell>
          <cell r="AN30">
            <v>11.99094923601981</v>
          </cell>
          <cell r="AO30">
            <v>297.54573604094645</v>
          </cell>
          <cell r="AP30">
            <v>324.38786696788293</v>
          </cell>
          <cell r="AQ30">
            <v>9.021178150320603</v>
          </cell>
          <cell r="AR30">
            <v>297.54573604094645</v>
          </cell>
          <cell r="AS30">
            <v>324.38786696788293</v>
          </cell>
          <cell r="AT30">
            <v>9.021178150320603</v>
          </cell>
          <cell r="AU30">
            <v>297.54573604094645</v>
          </cell>
          <cell r="AV30">
            <v>324.38786696788293</v>
          </cell>
          <cell r="AW30">
            <v>9.021178150320603</v>
          </cell>
          <cell r="AX30">
            <v>334.39418400700538</v>
          </cell>
          <cell r="AY30">
            <v>329.15211934194252</v>
          </cell>
          <cell r="AZ30">
            <v>-1.567630334429811</v>
          </cell>
          <cell r="BA30">
            <v>367.94285814523511</v>
          </cell>
          <cell r="BB30">
            <v>314.18783661622405</v>
          </cell>
          <cell r="BC30">
            <v>-14.60961134019152</v>
          </cell>
          <cell r="BD30">
            <v>353.46055934379859</v>
          </cell>
          <cell r="BE30">
            <v>309.38786696788293</v>
          </cell>
          <cell r="BF30">
            <v>-12.468913775765209</v>
          </cell>
          <cell r="BG30">
            <v>353.46055934379859</v>
          </cell>
          <cell r="BH30">
            <v>309.38786696788293</v>
          </cell>
          <cell r="BI30">
            <v>-12.468913775765209</v>
          </cell>
          <cell r="BJ30">
            <v>353.46055934379859</v>
          </cell>
          <cell r="BK30">
            <v>309.38786696788293</v>
          </cell>
          <cell r="BL30">
            <v>-12.468913775765209</v>
          </cell>
          <cell r="BM30">
            <v>353.46055934379859</v>
          </cell>
          <cell r="BN30">
            <v>309.38786696788293</v>
          </cell>
          <cell r="BO30">
            <v>-12.468913775765209</v>
          </cell>
        </row>
        <row r="31">
          <cell r="B31">
            <v>26</v>
          </cell>
          <cell r="C31" t="str">
            <v>F/C stock</v>
          </cell>
          <cell r="D31" t="str">
            <v>KTON</v>
          </cell>
          <cell r="E31">
            <v>160.96107837431947</v>
          </cell>
          <cell r="F31">
            <v>331.34342299999997</v>
          </cell>
          <cell r="G31">
            <v>105.85313315896879</v>
          </cell>
          <cell r="H31">
            <v>173.94139299930822</v>
          </cell>
          <cell r="I31">
            <v>306.01014793722197</v>
          </cell>
          <cell r="J31">
            <v>75.927157222685352</v>
          </cell>
          <cell r="K31">
            <v>146.20089564706257</v>
          </cell>
          <cell r="L31">
            <v>273.10515000000004</v>
          </cell>
          <cell r="M31">
            <v>86.801283802865129</v>
          </cell>
          <cell r="N31">
            <v>146.20089564706257</v>
          </cell>
          <cell r="O31">
            <v>273.10515000000004</v>
          </cell>
          <cell r="P31">
            <v>86.801283802865129</v>
          </cell>
          <cell r="Q31">
            <v>143.76607986427086</v>
          </cell>
          <cell r="R31">
            <v>371.20855560307427</v>
          </cell>
          <cell r="S31">
            <v>158.20315609463037</v>
          </cell>
          <cell r="T31">
            <v>181.73822428255914</v>
          </cell>
          <cell r="U31">
            <v>269.89278655559582</v>
          </cell>
          <cell r="V31">
            <v>48.506340711229562</v>
          </cell>
          <cell r="W31">
            <v>235.96037878908515</v>
          </cell>
          <cell r="X31">
            <v>285.71981610633765</v>
          </cell>
          <cell r="Y31">
            <v>21.088047736069417</v>
          </cell>
          <cell r="Z31">
            <v>235.96037878908515</v>
          </cell>
          <cell r="AA31">
            <v>285.71981610633765</v>
          </cell>
          <cell r="AB31">
            <v>21.088047736069417</v>
          </cell>
          <cell r="AC31">
            <v>235.96037878908515</v>
          </cell>
          <cell r="AD31">
            <v>285.71981610633765</v>
          </cell>
          <cell r="AE31">
            <v>21.088047736069417</v>
          </cell>
          <cell r="AF31">
            <v>223.16647200928236</v>
          </cell>
          <cell r="AG31">
            <v>551.60660060307418</v>
          </cell>
          <cell r="AH31">
            <v>147.17270279745728</v>
          </cell>
          <cell r="AI31">
            <v>306.40036231027045</v>
          </cell>
          <cell r="AJ31">
            <v>461.82923000000005</v>
          </cell>
          <cell r="AK31">
            <v>50.727377251707537</v>
          </cell>
          <cell r="AL31">
            <v>306.40036231027045</v>
          </cell>
          <cell r="AM31">
            <v>461.82923000000005</v>
          </cell>
          <cell r="AN31">
            <v>50.727377251707537</v>
          </cell>
          <cell r="AO31">
            <v>334.50196622362319</v>
          </cell>
          <cell r="AP31">
            <v>417.23922999999996</v>
          </cell>
          <cell r="AQ31">
            <v>24.734462613312349</v>
          </cell>
          <cell r="AR31">
            <v>334.50196622362319</v>
          </cell>
          <cell r="AS31">
            <v>417.23922999999996</v>
          </cell>
          <cell r="AT31">
            <v>24.734462613312349</v>
          </cell>
          <cell r="AU31">
            <v>334.50196622362319</v>
          </cell>
          <cell r="AV31">
            <v>417.23922999999996</v>
          </cell>
          <cell r="AW31">
            <v>24.734462613312349</v>
          </cell>
          <cell r="AX31">
            <v>344.63201738011924</v>
          </cell>
          <cell r="AY31">
            <v>465.57162687330799</v>
          </cell>
          <cell r="AZ31">
            <v>35.092389387546611</v>
          </cell>
          <cell r="BA31">
            <v>377.65042523376542</v>
          </cell>
          <cell r="BB31">
            <v>622.84733895153761</v>
          </cell>
          <cell r="BC31">
            <v>64.926952899892925</v>
          </cell>
          <cell r="BD31">
            <v>501.54817226451706</v>
          </cell>
          <cell r="BE31">
            <v>849.8392299999997</v>
          </cell>
          <cell r="BF31">
            <v>69.443191501013686</v>
          </cell>
          <cell r="BG31">
            <v>501.54817226451706</v>
          </cell>
          <cell r="BH31">
            <v>849.8392299999997</v>
          </cell>
          <cell r="BI31">
            <v>69.443191501013686</v>
          </cell>
          <cell r="BJ31">
            <v>501.54817226451706</v>
          </cell>
          <cell r="BK31">
            <v>849.8392299999997</v>
          </cell>
          <cell r="BL31">
            <v>69.443191501013686</v>
          </cell>
          <cell r="BM31">
            <v>501.54817226451706</v>
          </cell>
          <cell r="BN31">
            <v>849.8392299999997</v>
          </cell>
          <cell r="BO31">
            <v>69.443191501013686</v>
          </cell>
        </row>
        <row r="32">
          <cell r="B32">
            <v>27</v>
          </cell>
          <cell r="C32" t="str">
            <v>Coal Sales</v>
          </cell>
          <cell r="D32" t="str">
            <v>KTON</v>
          </cell>
          <cell r="E32">
            <v>1184.0999999999999</v>
          </cell>
          <cell r="F32">
            <v>1286.21</v>
          </cell>
          <cell r="G32">
            <v>8.6234270754159397</v>
          </cell>
          <cell r="H32">
            <v>1050</v>
          </cell>
          <cell r="I32">
            <v>1068.021</v>
          </cell>
          <cell r="J32">
            <v>1.7162857142857104</v>
          </cell>
          <cell r="K32">
            <v>1091.3</v>
          </cell>
          <cell r="L32">
            <v>1290.5070000000001</v>
          </cell>
          <cell r="M32">
            <v>18.254100613946679</v>
          </cell>
          <cell r="N32">
            <v>3325.3999999999996</v>
          </cell>
          <cell r="O32">
            <v>3644.7379999999998</v>
          </cell>
          <cell r="P32">
            <v>9.6029951284056132</v>
          </cell>
          <cell r="Q32">
            <v>1134.3</v>
          </cell>
          <cell r="R32">
            <v>1061.2940000000001</v>
          </cell>
          <cell r="S32">
            <v>-6.4362161685620967</v>
          </cell>
          <cell r="T32">
            <v>1152.5</v>
          </cell>
          <cell r="U32">
            <v>1181.03</v>
          </cell>
          <cell r="V32">
            <v>2.4754880694143142</v>
          </cell>
          <cell r="W32">
            <v>1201</v>
          </cell>
          <cell r="X32">
            <v>1316.768</v>
          </cell>
          <cell r="Y32">
            <v>9.6393005828476284</v>
          </cell>
          <cell r="Z32">
            <v>3487.8</v>
          </cell>
          <cell r="AA32">
            <v>3559.0920000000001</v>
          </cell>
          <cell r="AB32">
            <v>2.0440392224324766</v>
          </cell>
          <cell r="AC32">
            <v>6813.2</v>
          </cell>
          <cell r="AD32">
            <v>7203.83</v>
          </cell>
          <cell r="AE32">
            <v>5.7334292256208554</v>
          </cell>
          <cell r="AF32">
            <v>1292.5</v>
          </cell>
          <cell r="AG32">
            <v>1072.836</v>
          </cell>
          <cell r="AH32">
            <v>-16.995280464216634</v>
          </cell>
          <cell r="AI32">
            <v>1165</v>
          </cell>
          <cell r="AJ32">
            <v>1370.8710000000001</v>
          </cell>
          <cell r="AK32">
            <v>17.671330472103012</v>
          </cell>
          <cell r="AL32">
            <v>9270.7000000000007</v>
          </cell>
          <cell r="AM32">
            <v>9647.5370000000003</v>
          </cell>
          <cell r="AN32">
            <v>4.0648171119764367</v>
          </cell>
          <cell r="AO32">
            <v>1240</v>
          </cell>
          <cell r="AP32">
            <v>1424.59</v>
          </cell>
          <cell r="AQ32">
            <v>14.886290322580638</v>
          </cell>
          <cell r="AR32">
            <v>10510.7</v>
          </cell>
          <cell r="AS32">
            <v>11072.127</v>
          </cell>
          <cell r="AT32">
            <v>5.341480586449995</v>
          </cell>
          <cell r="AU32">
            <v>3697.5</v>
          </cell>
          <cell r="AV32">
            <v>3868.2970000000005</v>
          </cell>
          <cell r="AW32">
            <v>4.6192562542258413</v>
          </cell>
          <cell r="AX32">
            <v>1249</v>
          </cell>
          <cell r="AY32">
            <v>1355</v>
          </cell>
          <cell r="AZ32">
            <v>8.486789431545235</v>
          </cell>
          <cell r="BA32">
            <v>1238</v>
          </cell>
          <cell r="BB32">
            <v>1252</v>
          </cell>
          <cell r="BC32">
            <v>1.1308562197092082</v>
          </cell>
          <cell r="BD32">
            <v>1163</v>
          </cell>
          <cell r="BE32">
            <v>1160.4000000000001</v>
          </cell>
          <cell r="BF32">
            <v>-0.22355975924332835</v>
          </cell>
          <cell r="BG32">
            <v>3650</v>
          </cell>
          <cell r="BH32">
            <v>3767.4</v>
          </cell>
          <cell r="BI32">
            <v>3.2164383561643861</v>
          </cell>
          <cell r="BJ32">
            <v>7347.5</v>
          </cell>
          <cell r="BK32">
            <v>7635.6970000000001</v>
          </cell>
          <cell r="BL32">
            <v>3.9223817625042545</v>
          </cell>
          <cell r="BM32">
            <v>14160.7</v>
          </cell>
          <cell r="BN32">
            <v>14839.527</v>
          </cell>
          <cell r="BO32">
            <v>4.7937390100771804</v>
          </cell>
        </row>
        <row r="33">
          <cell r="B33">
            <v>28</v>
          </cell>
          <cell r="AL33" t="str">
            <v xml:space="preserve"> </v>
          </cell>
        </row>
        <row r="34">
          <cell r="B34">
            <v>29</v>
          </cell>
          <cell r="C34" t="str">
            <v xml:space="preserve">TOTAL TDM  </v>
          </cell>
          <cell r="E34" t="str">
            <v>JANUARY</v>
          </cell>
          <cell r="H34" t="str">
            <v>FEBRUARY</v>
          </cell>
          <cell r="K34" t="str">
            <v>MARCH</v>
          </cell>
          <cell r="N34" t="str">
            <v>Q1</v>
          </cell>
          <cell r="Q34" t="str">
            <v>APRIL</v>
          </cell>
          <cell r="T34" t="str">
            <v>MAY</v>
          </cell>
          <cell r="W34" t="str">
            <v>JUNE</v>
          </cell>
          <cell r="Z34" t="str">
            <v>Q2</v>
          </cell>
          <cell r="AC34" t="str">
            <v>1st HALF</v>
          </cell>
          <cell r="AF34" t="str">
            <v>JULY</v>
          </cell>
          <cell r="AI34" t="str">
            <v>AUG</v>
          </cell>
          <cell r="AL34" t="str">
            <v>Jan-Aug</v>
          </cell>
          <cell r="AO34" t="str">
            <v>SEP</v>
          </cell>
          <cell r="AR34" t="str">
            <v>Jan-Sep</v>
          </cell>
          <cell r="AU34" t="str">
            <v>Q3</v>
          </cell>
          <cell r="AX34" t="str">
            <v>OCTOBER</v>
          </cell>
          <cell r="BA34" t="str">
            <v>NOVEMBER</v>
          </cell>
          <cell r="BD34" t="str">
            <v>DECEMBER</v>
          </cell>
          <cell r="BG34" t="str">
            <v>Q4</v>
          </cell>
          <cell r="BJ34" t="str">
            <v>2nd HALF</v>
          </cell>
          <cell r="BM34" t="str">
            <v>YTD 2013</v>
          </cell>
        </row>
        <row r="35">
          <cell r="B35">
            <v>30</v>
          </cell>
          <cell r="E35" t="str">
            <v>Plan</v>
          </cell>
          <cell r="F35" t="str">
            <v>Actual</v>
          </cell>
          <cell r="G35" t="str">
            <v>% var</v>
          </cell>
          <cell r="H35" t="str">
            <v>Plan</v>
          </cell>
          <cell r="I35" t="str">
            <v>Actual</v>
          </cell>
          <cell r="J35" t="str">
            <v>% var</v>
          </cell>
          <cell r="K35" t="str">
            <v>Plan</v>
          </cell>
          <cell r="L35" t="str">
            <v>Actual</v>
          </cell>
          <cell r="M35" t="str">
            <v>% var</v>
          </cell>
          <cell r="N35" t="str">
            <v>Plan</v>
          </cell>
          <cell r="O35" t="str">
            <v>Actual</v>
          </cell>
          <cell r="P35" t="str">
            <v>% var</v>
          </cell>
          <cell r="Q35" t="str">
            <v>Plan</v>
          </cell>
          <cell r="R35" t="str">
            <v>Actual</v>
          </cell>
          <cell r="S35" t="str">
            <v>% var</v>
          </cell>
          <cell r="T35" t="str">
            <v>Plan</v>
          </cell>
          <cell r="U35" t="str">
            <v>Actual</v>
          </cell>
          <cell r="V35" t="str">
            <v>% var</v>
          </cell>
          <cell r="W35" t="str">
            <v>Plan</v>
          </cell>
          <cell r="X35" t="str">
            <v>Actual</v>
          </cell>
          <cell r="Y35" t="str">
            <v>% var</v>
          </cell>
          <cell r="Z35" t="str">
            <v>Plan</v>
          </cell>
          <cell r="AA35" t="str">
            <v>Actual</v>
          </cell>
          <cell r="AB35" t="str">
            <v>% var</v>
          </cell>
          <cell r="AC35" t="str">
            <v>Plan</v>
          </cell>
          <cell r="AD35" t="str">
            <v>Actual</v>
          </cell>
          <cell r="AE35" t="str">
            <v>% var</v>
          </cell>
          <cell r="AF35" t="str">
            <v>Plan</v>
          </cell>
          <cell r="AG35" t="str">
            <v>Actual</v>
          </cell>
          <cell r="AH35" t="str">
            <v>% var</v>
          </cell>
          <cell r="AI35" t="str">
            <v>Plan</v>
          </cell>
          <cell r="AJ35" t="str">
            <v>Actual</v>
          </cell>
          <cell r="AK35" t="str">
            <v>% var</v>
          </cell>
          <cell r="AL35" t="str">
            <v>Plan</v>
          </cell>
          <cell r="AM35" t="str">
            <v>Actual</v>
          </cell>
          <cell r="AN35" t="str">
            <v>% var</v>
          </cell>
          <cell r="AO35" t="str">
            <v>Plan</v>
          </cell>
          <cell r="AP35" t="str">
            <v>Est.</v>
          </cell>
          <cell r="AQ35" t="str">
            <v>% var</v>
          </cell>
          <cell r="AR35" t="str">
            <v>Plan</v>
          </cell>
          <cell r="AS35" t="str">
            <v>Est.</v>
          </cell>
          <cell r="AT35" t="str">
            <v>% var</v>
          </cell>
          <cell r="AU35" t="str">
            <v>Plan</v>
          </cell>
          <cell r="AV35" t="str">
            <v>Est.</v>
          </cell>
          <cell r="AW35" t="str">
            <v>% var</v>
          </cell>
          <cell r="AX35" t="str">
            <v>Plan</v>
          </cell>
          <cell r="AY35" t="str">
            <v>Est.</v>
          </cell>
          <cell r="AZ35" t="str">
            <v>% var</v>
          </cell>
          <cell r="BA35" t="str">
            <v>Plan</v>
          </cell>
          <cell r="BB35" t="str">
            <v>Est.</v>
          </cell>
          <cell r="BC35" t="str">
            <v>% var</v>
          </cell>
          <cell r="BD35" t="str">
            <v>Plan</v>
          </cell>
          <cell r="BE35" t="str">
            <v>Est.</v>
          </cell>
          <cell r="BF35" t="str">
            <v>% var</v>
          </cell>
          <cell r="BG35" t="str">
            <v>Plan</v>
          </cell>
          <cell r="BH35" t="str">
            <v>Est.</v>
          </cell>
          <cell r="BI35" t="str">
            <v>% var</v>
          </cell>
          <cell r="BJ35" t="str">
            <v>Plan</v>
          </cell>
          <cell r="BK35" t="str">
            <v>Est.</v>
          </cell>
          <cell r="BL35" t="str">
            <v>% var</v>
          </cell>
          <cell r="BM35" t="str">
            <v>Plan</v>
          </cell>
          <cell r="BN35" t="str">
            <v>Est.</v>
          </cell>
          <cell r="BO35" t="str">
            <v>% var</v>
          </cell>
        </row>
        <row r="36">
          <cell r="B36">
            <v>31</v>
          </cell>
          <cell r="C36" t="str">
            <v>OB Removal</v>
          </cell>
          <cell r="D36" t="str">
            <v>KBCM</v>
          </cell>
          <cell r="E36" t="e">
            <v>#REF!</v>
          </cell>
          <cell r="F36" t="e">
            <v>#REF!</v>
          </cell>
          <cell r="G36" t="e">
            <v>#REF!</v>
          </cell>
          <cell r="H36" t="e">
            <v>#REF!</v>
          </cell>
          <cell r="I36" t="e">
            <v>#REF!</v>
          </cell>
          <cell r="J36" t="e">
            <v>#REF!</v>
          </cell>
          <cell r="K36" t="e">
            <v>#REF!</v>
          </cell>
          <cell r="L36" t="e">
            <v>#REF!</v>
          </cell>
          <cell r="M36" t="e">
            <v>#REF!</v>
          </cell>
          <cell r="N36" t="e">
            <v>#REF!</v>
          </cell>
          <cell r="O36" t="e">
            <v>#REF!</v>
          </cell>
          <cell r="P36" t="e">
            <v>#REF!</v>
          </cell>
          <cell r="Q36" t="e">
            <v>#REF!</v>
          </cell>
          <cell r="R36" t="e">
            <v>#REF!</v>
          </cell>
          <cell r="S36" t="e">
            <v>#REF!</v>
          </cell>
          <cell r="T36" t="e">
            <v>#REF!</v>
          </cell>
          <cell r="U36" t="e">
            <v>#REF!</v>
          </cell>
          <cell r="V36" t="e">
            <v>#REF!</v>
          </cell>
          <cell r="W36" t="e">
            <v>#REF!</v>
          </cell>
          <cell r="X36" t="e">
            <v>#REF!</v>
          </cell>
          <cell r="Y36" t="e">
            <v>#REF!</v>
          </cell>
          <cell r="Z36" t="e">
            <v>#REF!</v>
          </cell>
          <cell r="AA36" t="e">
            <v>#REF!</v>
          </cell>
          <cell r="AB36" t="e">
            <v>#REF!</v>
          </cell>
          <cell r="AC36" t="e">
            <v>#REF!</v>
          </cell>
          <cell r="AD36" t="e">
            <v>#REF!</v>
          </cell>
          <cell r="AE36" t="e">
            <v>#REF!</v>
          </cell>
          <cell r="AF36" t="e">
            <v>#REF!</v>
          </cell>
          <cell r="AG36" t="e">
            <v>#REF!</v>
          </cell>
          <cell r="AH36" t="e">
            <v>#REF!</v>
          </cell>
          <cell r="AI36" t="e">
            <v>#REF!</v>
          </cell>
          <cell r="AJ36" t="e">
            <v>#REF!</v>
          </cell>
          <cell r="AK36" t="e">
            <v>#REF!</v>
          </cell>
          <cell r="AL36" t="e">
            <v>#REF!</v>
          </cell>
          <cell r="AM36" t="e">
            <v>#REF!</v>
          </cell>
          <cell r="AN36" t="e">
            <v>#REF!</v>
          </cell>
          <cell r="AO36" t="e">
            <v>#REF!</v>
          </cell>
          <cell r="AP36" t="e">
            <v>#REF!</v>
          </cell>
          <cell r="AQ36" t="e">
            <v>#REF!</v>
          </cell>
          <cell r="AR36" t="e">
            <v>#REF!</v>
          </cell>
          <cell r="AS36" t="e">
            <v>#REF!</v>
          </cell>
          <cell r="AT36" t="e">
            <v>#REF!</v>
          </cell>
          <cell r="AU36" t="e">
            <v>#REF!</v>
          </cell>
          <cell r="AV36" t="e">
            <v>#REF!</v>
          </cell>
          <cell r="AW36" t="e">
            <v>#REF!</v>
          </cell>
          <cell r="AX36" t="e">
            <v>#REF!</v>
          </cell>
          <cell r="AY36" t="e">
            <v>#REF!</v>
          </cell>
          <cell r="AZ36" t="e">
            <v>#REF!</v>
          </cell>
          <cell r="BA36" t="e">
            <v>#REF!</v>
          </cell>
          <cell r="BB36" t="e">
            <v>#REF!</v>
          </cell>
          <cell r="BC36" t="e">
            <v>#REF!</v>
          </cell>
          <cell r="BD36" t="e">
            <v>#REF!</v>
          </cell>
          <cell r="BE36" t="e">
            <v>#REF!</v>
          </cell>
          <cell r="BF36" t="e">
            <v>#REF!</v>
          </cell>
          <cell r="BG36" t="e">
            <v>#REF!</v>
          </cell>
          <cell r="BH36" t="e">
            <v>#REF!</v>
          </cell>
          <cell r="BI36" t="e">
            <v>#REF!</v>
          </cell>
          <cell r="BJ36" t="e">
            <v>#REF!</v>
          </cell>
          <cell r="BK36" t="e">
            <v>#REF!</v>
          </cell>
          <cell r="BL36" t="e">
            <v>#REF!</v>
          </cell>
          <cell r="BM36" t="e">
            <v>#REF!</v>
          </cell>
          <cell r="BN36" t="e">
            <v>#REF!</v>
          </cell>
          <cell r="BO36" t="e">
            <v>#REF!</v>
          </cell>
        </row>
        <row r="37">
          <cell r="B37">
            <v>32</v>
          </cell>
          <cell r="C37" t="str">
            <v>ROM Production</v>
          </cell>
          <cell r="D37" t="str">
            <v>KTON</v>
          </cell>
          <cell r="E37" t="e">
            <v>#REF!</v>
          </cell>
          <cell r="F37" t="e">
            <v>#REF!</v>
          </cell>
          <cell r="G37" t="e">
            <v>#REF!</v>
          </cell>
          <cell r="H37" t="e">
            <v>#REF!</v>
          </cell>
          <cell r="I37" t="e">
            <v>#REF!</v>
          </cell>
          <cell r="J37" t="e">
            <v>#REF!</v>
          </cell>
          <cell r="K37" t="e">
            <v>#REF!</v>
          </cell>
          <cell r="L37" t="e">
            <v>#REF!</v>
          </cell>
          <cell r="M37" t="e">
            <v>#REF!</v>
          </cell>
          <cell r="N37" t="e">
            <v>#REF!</v>
          </cell>
          <cell r="O37" t="e">
            <v>#REF!</v>
          </cell>
          <cell r="P37" t="e">
            <v>#REF!</v>
          </cell>
          <cell r="Q37" t="e">
            <v>#REF!</v>
          </cell>
          <cell r="R37" t="e">
            <v>#REF!</v>
          </cell>
          <cell r="S37" t="e">
            <v>#REF!</v>
          </cell>
          <cell r="T37" t="e">
            <v>#REF!</v>
          </cell>
          <cell r="U37" t="e">
            <v>#REF!</v>
          </cell>
          <cell r="V37" t="e">
            <v>#REF!</v>
          </cell>
          <cell r="W37" t="e">
            <v>#REF!</v>
          </cell>
          <cell r="X37" t="e">
            <v>#REF!</v>
          </cell>
          <cell r="Y37" t="e">
            <v>#REF!</v>
          </cell>
          <cell r="Z37" t="e">
            <v>#REF!</v>
          </cell>
          <cell r="AA37" t="e">
            <v>#REF!</v>
          </cell>
          <cell r="AB37" t="e">
            <v>#REF!</v>
          </cell>
          <cell r="AC37" t="e">
            <v>#REF!</v>
          </cell>
          <cell r="AD37" t="e">
            <v>#REF!</v>
          </cell>
          <cell r="AE37" t="e">
            <v>#REF!</v>
          </cell>
          <cell r="AF37" t="e">
            <v>#REF!</v>
          </cell>
          <cell r="AG37" t="e">
            <v>#REF!</v>
          </cell>
          <cell r="AH37" t="e">
            <v>#REF!</v>
          </cell>
          <cell r="AI37" t="e">
            <v>#REF!</v>
          </cell>
          <cell r="AJ37" t="e">
            <v>#REF!</v>
          </cell>
          <cell r="AK37" t="e">
            <v>#REF!</v>
          </cell>
          <cell r="AL37" t="e">
            <v>#REF!</v>
          </cell>
          <cell r="AM37" t="e">
            <v>#REF!</v>
          </cell>
          <cell r="AN37" t="e">
            <v>#REF!</v>
          </cell>
          <cell r="AO37" t="e">
            <v>#REF!</v>
          </cell>
          <cell r="AP37" t="e">
            <v>#REF!</v>
          </cell>
          <cell r="AQ37" t="e">
            <v>#REF!</v>
          </cell>
          <cell r="AR37" t="e">
            <v>#REF!</v>
          </cell>
          <cell r="AS37" t="e">
            <v>#REF!</v>
          </cell>
          <cell r="AT37" t="e">
            <v>#REF!</v>
          </cell>
          <cell r="AU37" t="e">
            <v>#REF!</v>
          </cell>
          <cell r="AV37" t="e">
            <v>#REF!</v>
          </cell>
          <cell r="AW37" t="e">
            <v>#REF!</v>
          </cell>
          <cell r="AX37" t="e">
            <v>#REF!</v>
          </cell>
          <cell r="AY37" t="e">
            <v>#REF!</v>
          </cell>
          <cell r="AZ37" t="e">
            <v>#REF!</v>
          </cell>
          <cell r="BA37" t="e">
            <v>#REF!</v>
          </cell>
          <cell r="BB37" t="e">
            <v>#REF!</v>
          </cell>
          <cell r="BC37" t="e">
            <v>#REF!</v>
          </cell>
          <cell r="BD37" t="e">
            <v>#REF!</v>
          </cell>
          <cell r="BE37" t="e">
            <v>#REF!</v>
          </cell>
          <cell r="BF37" t="e">
            <v>#REF!</v>
          </cell>
          <cell r="BG37" t="e">
            <v>#REF!</v>
          </cell>
          <cell r="BH37" t="e">
            <v>#REF!</v>
          </cell>
          <cell r="BI37" t="e">
            <v>#REF!</v>
          </cell>
          <cell r="BJ37" t="e">
            <v>#REF!</v>
          </cell>
          <cell r="BK37" t="e">
            <v>#REF!</v>
          </cell>
          <cell r="BL37" t="e">
            <v>#REF!</v>
          </cell>
          <cell r="BM37" t="e">
            <v>#REF!</v>
          </cell>
          <cell r="BN37" t="e">
            <v>#REF!</v>
          </cell>
          <cell r="BO37" t="e">
            <v>#REF!</v>
          </cell>
        </row>
        <row r="38">
          <cell r="B38">
            <v>33</v>
          </cell>
          <cell r="C38" t="str">
            <v>F/C Production</v>
          </cell>
          <cell r="D38" t="str">
            <v>KTON</v>
          </cell>
          <cell r="E38">
            <v>182.9412956841532</v>
          </cell>
          <cell r="F38">
            <v>269.29479599999996</v>
          </cell>
          <cell r="G38">
            <v>47.202847226432375</v>
          </cell>
          <cell r="H38">
            <v>197.50638891942819</v>
          </cell>
          <cell r="I38">
            <v>239.813401</v>
          </cell>
          <cell r="J38">
            <v>21.42057900609522</v>
          </cell>
          <cell r="K38">
            <v>196.26291780451285</v>
          </cell>
          <cell r="L38">
            <v>280.61119999999994</v>
          </cell>
          <cell r="M38">
            <v>42.977187509003592</v>
          </cell>
          <cell r="N38">
            <v>576.71060240809425</v>
          </cell>
          <cell r="O38">
            <v>789.71939699999984</v>
          </cell>
          <cell r="P38">
            <v>36.935127202876608</v>
          </cell>
          <cell r="Q38">
            <v>190.57246929081879</v>
          </cell>
          <cell r="R38">
            <v>189.00686035336113</v>
          </cell>
          <cell r="S38">
            <v>-0.82152943879238505</v>
          </cell>
          <cell r="T38">
            <v>221.893486224767</v>
          </cell>
          <cell r="U38">
            <v>116.10862</v>
          </cell>
          <cell r="V38">
            <v>-47.673714097948874</v>
          </cell>
          <cell r="W38">
            <v>221.09716371748121</v>
          </cell>
          <cell r="X38">
            <v>205.36227000000002</v>
          </cell>
          <cell r="Y38">
            <v>-7.1167325048037657</v>
          </cell>
          <cell r="Z38">
            <v>633.56311923306703</v>
          </cell>
          <cell r="AA38">
            <v>510.47775035336116</v>
          </cell>
          <cell r="AB38">
            <v>-19.427483251976795</v>
          </cell>
          <cell r="AC38">
            <v>1210.2737216411613</v>
          </cell>
          <cell r="AD38">
            <v>1300.1971473533611</v>
          </cell>
          <cell r="AE38">
            <v>7.430007287133475</v>
          </cell>
          <cell r="AF38">
            <v>222.20890806717588</v>
          </cell>
          <cell r="AG38">
            <v>187.79373000000004</v>
          </cell>
          <cell r="AH38">
            <v>-15.487758059083664</v>
          </cell>
          <cell r="AI38">
            <v>206.31517025839881</v>
          </cell>
          <cell r="AJ38">
            <v>213.39352000000002</v>
          </cell>
          <cell r="AK38">
            <v>3.4308430799034109</v>
          </cell>
          <cell r="AL38">
            <v>1210.2737216411613</v>
          </cell>
          <cell r="AM38">
            <v>1300.1971473533611</v>
          </cell>
          <cell r="AN38">
            <v>7.430007287133475</v>
          </cell>
          <cell r="AO38">
            <v>228.72833732414682</v>
          </cell>
          <cell r="AP38">
            <v>175</v>
          </cell>
          <cell r="AQ38">
            <v>-23.490022247660843</v>
          </cell>
          <cell r="AR38">
            <v>1432.4826297083371</v>
          </cell>
          <cell r="AS38">
            <v>1487.9908773533612</v>
          </cell>
          <cell r="AT38">
            <v>3.8749682888877985</v>
          </cell>
          <cell r="AU38">
            <v>657.25241564972157</v>
          </cell>
          <cell r="AV38">
            <v>576.18725000000006</v>
          </cell>
          <cell r="AW38">
            <v>-12.33394715933987</v>
          </cell>
          <cell r="AX38">
            <v>224.91275052081397</v>
          </cell>
          <cell r="AY38">
            <v>175</v>
          </cell>
          <cell r="AZ38">
            <v>-22.192050208462916</v>
          </cell>
          <cell r="BA38">
            <v>210.4135206681494</v>
          </cell>
          <cell r="BB38">
            <v>175</v>
          </cell>
          <cell r="BC38">
            <v>-16.83043967692614</v>
          </cell>
          <cell r="BD38">
            <v>178.3625915201539</v>
          </cell>
          <cell r="BE38">
            <v>175</v>
          </cell>
          <cell r="BF38">
            <v>-1.8852560346287333</v>
          </cell>
          <cell r="BG38">
            <v>613.6888627091173</v>
          </cell>
          <cell r="BH38">
            <v>525</v>
          </cell>
          <cell r="BI38">
            <v>-14.451763442080745</v>
          </cell>
          <cell r="BJ38">
            <v>1270.9412783588389</v>
          </cell>
          <cell r="BK38">
            <v>1101.1872499999999</v>
          </cell>
          <cell r="BL38">
            <v>-13.356559523980652</v>
          </cell>
          <cell r="BM38">
            <v>2481.2150000000001</v>
          </cell>
          <cell r="BN38">
            <v>2401.3843973533612</v>
          </cell>
          <cell r="BO38">
            <v>-3.2173996468116992</v>
          </cell>
        </row>
        <row r="39">
          <cell r="B39">
            <v>34</v>
          </cell>
          <cell r="C39" t="str">
            <v>Stripping Ratio</v>
          </cell>
          <cell r="D39" t="str">
            <v>OB: ROM</v>
          </cell>
          <cell r="E39" t="e">
            <v>#REF!</v>
          </cell>
          <cell r="F39" t="e">
            <v>#REF!</v>
          </cell>
          <cell r="G39" t="e">
            <v>#REF!</v>
          </cell>
          <cell r="H39" t="e">
            <v>#REF!</v>
          </cell>
          <cell r="I39" t="e">
            <v>#REF!</v>
          </cell>
          <cell r="J39" t="e">
            <v>#REF!</v>
          </cell>
          <cell r="K39" t="e">
            <v>#REF!</v>
          </cell>
          <cell r="L39" t="e">
            <v>#REF!</v>
          </cell>
          <cell r="M39" t="e">
            <v>#REF!</v>
          </cell>
          <cell r="N39" t="e">
            <v>#REF!</v>
          </cell>
          <cell r="O39" t="e">
            <v>#REF!</v>
          </cell>
          <cell r="P39" t="e">
            <v>#REF!</v>
          </cell>
          <cell r="Q39" t="e">
            <v>#REF!</v>
          </cell>
          <cell r="R39" t="e">
            <v>#REF!</v>
          </cell>
          <cell r="S39" t="e">
            <v>#REF!</v>
          </cell>
          <cell r="T39" t="e">
            <v>#REF!</v>
          </cell>
          <cell r="U39" t="e">
            <v>#REF!</v>
          </cell>
          <cell r="V39" t="e">
            <v>#REF!</v>
          </cell>
          <cell r="W39" t="e">
            <v>#REF!</v>
          </cell>
          <cell r="X39" t="e">
            <v>#REF!</v>
          </cell>
          <cell r="Y39" t="e">
            <v>#REF!</v>
          </cell>
          <cell r="Z39" t="e">
            <v>#REF!</v>
          </cell>
          <cell r="AA39" t="e">
            <v>#REF!</v>
          </cell>
          <cell r="AB39" t="e">
            <v>#REF!</v>
          </cell>
          <cell r="AC39" t="e">
            <v>#REF!</v>
          </cell>
          <cell r="AD39" t="e">
            <v>#REF!</v>
          </cell>
          <cell r="AE39" t="e">
            <v>#REF!</v>
          </cell>
          <cell r="AF39" t="e">
            <v>#REF!</v>
          </cell>
          <cell r="AG39" t="e">
            <v>#REF!</v>
          </cell>
          <cell r="AH39" t="e">
            <v>#REF!</v>
          </cell>
          <cell r="AI39" t="e">
            <v>#REF!</v>
          </cell>
          <cell r="AJ39" t="e">
            <v>#REF!</v>
          </cell>
          <cell r="AK39" t="e">
            <v>#REF!</v>
          </cell>
          <cell r="AL39" t="e">
            <v>#REF!</v>
          </cell>
          <cell r="AM39" t="e">
            <v>#REF!</v>
          </cell>
          <cell r="AN39" t="e">
            <v>#REF!</v>
          </cell>
          <cell r="AO39" t="e">
            <v>#REF!</v>
          </cell>
          <cell r="AP39" t="e">
            <v>#REF!</v>
          </cell>
          <cell r="AQ39" t="e">
            <v>#REF!</v>
          </cell>
          <cell r="AR39" t="e">
            <v>#REF!</v>
          </cell>
          <cell r="AS39" t="e">
            <v>#REF!</v>
          </cell>
          <cell r="AT39" t="e">
            <v>#REF!</v>
          </cell>
          <cell r="AU39" t="e">
            <v>#REF!</v>
          </cell>
          <cell r="AV39" t="e">
            <v>#REF!</v>
          </cell>
          <cell r="AW39" t="e">
            <v>#REF!</v>
          </cell>
          <cell r="AX39" t="e">
            <v>#REF!</v>
          </cell>
          <cell r="AY39" t="e">
            <v>#REF!</v>
          </cell>
          <cell r="AZ39" t="e">
            <v>#REF!</v>
          </cell>
          <cell r="BA39" t="e">
            <v>#REF!</v>
          </cell>
          <cell r="BB39" t="e">
            <v>#REF!</v>
          </cell>
          <cell r="BC39" t="e">
            <v>#REF!</v>
          </cell>
          <cell r="BD39" t="e">
            <v>#REF!</v>
          </cell>
          <cell r="BE39" t="e">
            <v>#REF!</v>
          </cell>
          <cell r="BF39" t="e">
            <v>#REF!</v>
          </cell>
          <cell r="BG39" t="e">
            <v>#REF!</v>
          </cell>
          <cell r="BH39" t="e">
            <v>#REF!</v>
          </cell>
          <cell r="BI39" t="e">
            <v>#REF!</v>
          </cell>
          <cell r="BJ39" t="e">
            <v>#REF!</v>
          </cell>
          <cell r="BK39" t="e">
            <v>#REF!</v>
          </cell>
          <cell r="BL39" t="e">
            <v>#REF!</v>
          </cell>
          <cell r="BM39" t="e">
            <v>#REF!</v>
          </cell>
          <cell r="BN39" t="e">
            <v>#REF!</v>
          </cell>
          <cell r="BO39" t="e">
            <v>#REF!</v>
          </cell>
        </row>
        <row r="40">
          <cell r="B40">
            <v>35</v>
          </cell>
          <cell r="C40" t="str">
            <v>Hauling</v>
          </cell>
          <cell r="D40" t="str">
            <v>KTON</v>
          </cell>
          <cell r="E40">
            <v>168.56736001551263</v>
          </cell>
          <cell r="F40">
            <v>192.29906392827937</v>
          </cell>
          <cell r="G40">
            <v>14.078469230687835</v>
          </cell>
          <cell r="H40">
            <v>182.33396082976745</v>
          </cell>
          <cell r="I40">
            <v>247.37767832850216</v>
          </cell>
          <cell r="J40">
            <v>35.672848438509767</v>
          </cell>
          <cell r="K40">
            <v>181.15865970490844</v>
          </cell>
          <cell r="L40">
            <v>255.61235835396388</v>
          </cell>
          <cell r="M40">
            <v>41.098614203888445</v>
          </cell>
          <cell r="N40">
            <v>532.05998055018858</v>
          </cell>
          <cell r="O40">
            <v>695.28910061074544</v>
          </cell>
          <cell r="P40">
            <v>30.678706542026728</v>
          </cell>
          <cell r="Q40">
            <v>175.78017486607675</v>
          </cell>
          <cell r="R40">
            <v>209.8438751560756</v>
          </cell>
          <cell r="S40">
            <v>19.378579134962902</v>
          </cell>
          <cell r="T40">
            <v>205.38410051633645</v>
          </cell>
          <cell r="U40">
            <v>157.86832403205142</v>
          </cell>
          <cell r="V40">
            <v>-23.135080254425819</v>
          </cell>
          <cell r="W40">
            <v>204.63143426833335</v>
          </cell>
          <cell r="X40">
            <v>175.57536867561262</v>
          </cell>
          <cell r="Y40">
            <v>-14.199219047949146</v>
          </cell>
          <cell r="Z40">
            <v>585.79570965074652</v>
          </cell>
          <cell r="AA40">
            <v>543.28756786373958</v>
          </cell>
          <cell r="AB40">
            <v>-7.2564788520473185</v>
          </cell>
          <cell r="AC40">
            <v>1117.855690200935</v>
          </cell>
          <cell r="AD40">
            <v>1238.5766684744849</v>
          </cell>
          <cell r="AE40">
            <v>10.799334773869628</v>
          </cell>
          <cell r="AF40">
            <v>205.68223019682645</v>
          </cell>
          <cell r="AG40">
            <v>168.1235774445266</v>
          </cell>
          <cell r="AH40">
            <v>-18.260523875279993</v>
          </cell>
          <cell r="AI40">
            <v>190.65982420700772</v>
          </cell>
          <cell r="AJ40">
            <v>204.38602198622135</v>
          </cell>
          <cell r="AK40">
            <v>7.1993131412470515</v>
          </cell>
          <cell r="AL40">
            <v>1117.8556902009352</v>
          </cell>
          <cell r="AM40">
            <v>1238.5766684744851</v>
          </cell>
          <cell r="AN40">
            <v>10.799334773869626</v>
          </cell>
          <cell r="AO40">
            <v>211.84424911889744</v>
          </cell>
          <cell r="AP40">
            <v>175</v>
          </cell>
          <cell r="AQ40">
            <v>-17.392140344682488</v>
          </cell>
          <cell r="AR40">
            <v>1323.5379203977616</v>
          </cell>
          <cell r="AS40">
            <v>1406.7002459190116</v>
          </cell>
          <cell r="AT40">
            <v>6.2833353120896884</v>
          </cell>
          <cell r="AU40">
            <v>608.18630352273158</v>
          </cell>
          <cell r="AV40">
            <v>547.50959943074793</v>
          </cell>
          <cell r="AW40">
            <v>-9.9766640157025179</v>
          </cell>
          <cell r="AX40">
            <v>208.23784169361537</v>
          </cell>
          <cell r="AY40">
            <v>175</v>
          </cell>
          <cell r="AZ40">
            <v>-15.961480114896162</v>
          </cell>
          <cell r="BA40">
            <v>194.53349347754357</v>
          </cell>
          <cell r="BB40">
            <v>175</v>
          </cell>
          <cell r="BC40">
            <v>-10.041198113680339</v>
          </cell>
          <cell r="BD40">
            <v>164.23967110517421</v>
          </cell>
          <cell r="BE40">
            <v>175</v>
          </cell>
          <cell r="BF40">
            <v>6.5516015846958151</v>
          </cell>
          <cell r="BG40">
            <v>567.01100627633321</v>
          </cell>
          <cell r="BH40">
            <v>525</v>
          </cell>
          <cell r="BI40">
            <v>-7.409204726417447</v>
          </cell>
          <cell r="BJ40">
            <v>1175.1973097990649</v>
          </cell>
          <cell r="BK40">
            <v>1072.509599430748</v>
          </cell>
          <cell r="BL40">
            <v>-8.7379123073277274</v>
          </cell>
          <cell r="BM40">
            <v>2293.0529999999999</v>
          </cell>
          <cell r="BN40">
            <v>2311.0862679052329</v>
          </cell>
          <cell r="BO40">
            <v>0.786430488315493</v>
          </cell>
        </row>
        <row r="41">
          <cell r="B41">
            <v>36</v>
          </cell>
          <cell r="C41" t="str">
            <v>ROM Stock</v>
          </cell>
          <cell r="D41" t="str">
            <v>KTON</v>
          </cell>
          <cell r="E41">
            <v>71.611238935902804</v>
          </cell>
          <cell r="F41">
            <v>398.10576599999996</v>
          </cell>
          <cell r="G41">
            <v>455.92637680285515</v>
          </cell>
          <cell r="H41">
            <v>53.285460939265619</v>
          </cell>
          <cell r="I41">
            <v>327.45264299999997</v>
          </cell>
          <cell r="J41">
            <v>514.52530808212043</v>
          </cell>
          <cell r="K41">
            <v>125.73231602595777</v>
          </cell>
          <cell r="L41">
            <v>315.55144589120482</v>
          </cell>
          <cell r="M41">
            <v>150.97083698518557</v>
          </cell>
          <cell r="N41">
            <v>125.73231602595777</v>
          </cell>
          <cell r="O41">
            <v>315.55144589120482</v>
          </cell>
          <cell r="P41">
            <v>150.97083698518557</v>
          </cell>
          <cell r="Q41">
            <v>105.84106979434301</v>
          </cell>
          <cell r="R41">
            <v>313.27196299999997</v>
          </cell>
          <cell r="S41">
            <v>195.98336790124139</v>
          </cell>
          <cell r="T41">
            <v>47.558533622257016</v>
          </cell>
          <cell r="U41">
            <v>338.09529199614713</v>
          </cell>
          <cell r="V41">
            <v>610.90352507824423</v>
          </cell>
          <cell r="W41">
            <v>63.861369904775842</v>
          </cell>
          <cell r="X41">
            <v>379.55715199999997</v>
          </cell>
          <cell r="Y41">
            <v>494.34545886810827</v>
          </cell>
          <cell r="Z41">
            <v>63.861369904775842</v>
          </cell>
          <cell r="AA41">
            <v>379.55715199999997</v>
          </cell>
          <cell r="AB41">
            <v>494.34545886810827</v>
          </cell>
          <cell r="AC41">
            <v>63.861369904775842</v>
          </cell>
          <cell r="AD41">
            <v>379.55715199999997</v>
          </cell>
          <cell r="AE41">
            <v>494.34545886810827</v>
          </cell>
          <cell r="AF41">
            <v>57.552461837599964</v>
          </cell>
          <cell r="AG41">
            <v>425.79294501144409</v>
          </cell>
          <cell r="AH41">
            <v>639.83445958043558</v>
          </cell>
          <cell r="AI41">
            <v>64.737291579201127</v>
          </cell>
          <cell r="AJ41">
            <v>439.97206601144404</v>
          </cell>
          <cell r="AK41">
            <v>579.62692797113993</v>
          </cell>
          <cell r="AL41">
            <v>63.861369904775842</v>
          </cell>
          <cell r="AM41">
            <v>379.55715199999997</v>
          </cell>
          <cell r="AN41">
            <v>494.34545886810827</v>
          </cell>
          <cell r="AO41">
            <v>60.208954255054266</v>
          </cell>
          <cell r="AP41">
            <v>470.13806601144404</v>
          </cell>
          <cell r="AQ41">
            <v>680.84409840414742</v>
          </cell>
          <cell r="AR41">
            <v>57.552461837599964</v>
          </cell>
          <cell r="AS41">
            <v>425.79294501144409</v>
          </cell>
          <cell r="AT41">
            <v>639.83445958043558</v>
          </cell>
          <cell r="AU41">
            <v>60.208954255054266</v>
          </cell>
          <cell r="AV41">
            <v>470.13806601144404</v>
          </cell>
          <cell r="AW41">
            <v>680.84409840414742</v>
          </cell>
          <cell r="AX41">
            <v>31.996203734240282</v>
          </cell>
          <cell r="AY41">
            <v>491.82806601144398</v>
          </cell>
          <cell r="AZ41">
            <v>1437.1450628848233</v>
          </cell>
          <cell r="BA41">
            <v>30.282683066090868</v>
          </cell>
          <cell r="BB41">
            <v>525.52806601144403</v>
          </cell>
          <cell r="BC41">
            <v>1635.4078727584933</v>
          </cell>
          <cell r="BD41">
            <v>61.410091545936979</v>
          </cell>
          <cell r="BE41">
            <v>560.01706601144406</v>
          </cell>
          <cell r="BF41">
            <v>811.93002959868727</v>
          </cell>
          <cell r="BG41">
            <v>61.410091545936979</v>
          </cell>
          <cell r="BH41">
            <v>560.01706601144406</v>
          </cell>
          <cell r="BI41">
            <v>811.93002959868727</v>
          </cell>
          <cell r="BJ41">
            <v>61.410091545936979</v>
          </cell>
          <cell r="BK41">
            <v>560.01706601144406</v>
          </cell>
          <cell r="BL41">
            <v>811.93002959868727</v>
          </cell>
          <cell r="BM41">
            <v>61.410091545936979</v>
          </cell>
          <cell r="BN41">
            <v>560.01706601144406</v>
          </cell>
          <cell r="BO41">
            <v>811.93002959868727</v>
          </cell>
        </row>
        <row r="42">
          <cell r="B42">
            <v>37</v>
          </cell>
          <cell r="C42" t="str">
            <v>FC Stock</v>
          </cell>
          <cell r="D42" t="str">
            <v>KTON</v>
          </cell>
          <cell r="E42">
            <v>180.64531078090698</v>
          </cell>
          <cell r="F42">
            <v>145.11597499999999</v>
          </cell>
          <cell r="G42">
            <v>-19.668008888422364</v>
          </cell>
          <cell r="H42">
            <v>181.15169970033514</v>
          </cell>
          <cell r="I42">
            <v>167.06237610892231</v>
          </cell>
          <cell r="J42">
            <v>-7.7776380871499882</v>
          </cell>
          <cell r="K42">
            <v>188.41461750484802</v>
          </cell>
          <cell r="L42">
            <v>121.65334610892228</v>
          </cell>
          <cell r="M42">
            <v>-35.43316982516388</v>
          </cell>
          <cell r="N42">
            <v>188.41461750484802</v>
          </cell>
          <cell r="O42">
            <v>121.65334610892228</v>
          </cell>
          <cell r="P42">
            <v>-35.43316982516388</v>
          </cell>
          <cell r="Q42">
            <v>179.48708679566684</v>
          </cell>
          <cell r="R42">
            <v>94.006206999999989</v>
          </cell>
          <cell r="S42">
            <v>-47.62508619518723</v>
          </cell>
          <cell r="T42">
            <v>220.38057302043387</v>
          </cell>
          <cell r="U42">
            <v>30.890831999999996</v>
          </cell>
          <cell r="V42">
            <v>-85.982960486659692</v>
          </cell>
          <cell r="W42">
            <v>200.47773673791511</v>
          </cell>
          <cell r="X42">
            <v>72.262098999999992</v>
          </cell>
          <cell r="Y42">
            <v>-63.955050483002843</v>
          </cell>
          <cell r="Z42">
            <v>200.47773673791511</v>
          </cell>
          <cell r="AA42">
            <v>72.262098999999992</v>
          </cell>
          <cell r="AB42">
            <v>-63.955050483002843</v>
          </cell>
          <cell r="AC42">
            <v>200.47773673791511</v>
          </cell>
          <cell r="AD42">
            <v>72.262098999999992</v>
          </cell>
          <cell r="AE42">
            <v>-63.955050483002843</v>
          </cell>
          <cell r="AF42">
            <v>223.68664480509099</v>
          </cell>
          <cell r="AG42">
            <v>79.156847999999997</v>
          </cell>
          <cell r="AH42">
            <v>-64.61261776760378</v>
          </cell>
          <cell r="AI42">
            <v>231.0018150634898</v>
          </cell>
          <cell r="AJ42">
            <v>73.289923999999999</v>
          </cell>
          <cell r="AK42">
            <v>-68.273009465377328</v>
          </cell>
          <cell r="AL42">
            <v>200.47773673791511</v>
          </cell>
          <cell r="AM42">
            <v>72.262098999999992</v>
          </cell>
          <cell r="AN42">
            <v>-63.955050483002843</v>
          </cell>
          <cell r="AO42">
            <v>230.73015238763662</v>
          </cell>
          <cell r="AP42">
            <v>94.289923999999985</v>
          </cell>
          <cell r="AQ42">
            <v>-59.134112718138013</v>
          </cell>
          <cell r="AR42">
            <v>223.68664480509099</v>
          </cell>
          <cell r="AS42">
            <v>79.156847999999997</v>
          </cell>
          <cell r="AT42">
            <v>-64.61261776760378</v>
          </cell>
          <cell r="AU42">
            <v>230.73015238763662</v>
          </cell>
          <cell r="AV42">
            <v>94.289923999999985</v>
          </cell>
          <cell r="AW42">
            <v>-59.134112718138013</v>
          </cell>
          <cell r="AX42">
            <v>226.64290290845062</v>
          </cell>
          <cell r="AY42">
            <v>114.28992399999998</v>
          </cell>
          <cell r="AZ42">
            <v>-49.572687900946157</v>
          </cell>
          <cell r="BA42">
            <v>212.05642357660003</v>
          </cell>
          <cell r="BB42">
            <v>129.78992399999998</v>
          </cell>
          <cell r="BC42">
            <v>-38.794627481248334</v>
          </cell>
          <cell r="BD42">
            <v>214.91901509675392</v>
          </cell>
          <cell r="BE42">
            <v>225.28992399999998</v>
          </cell>
          <cell r="BF42">
            <v>4.8254961984528011</v>
          </cell>
          <cell r="BG42">
            <v>214.91901509675392</v>
          </cell>
          <cell r="BH42">
            <v>225.28992399999998</v>
          </cell>
          <cell r="BI42">
            <v>4.8254961984528011</v>
          </cell>
          <cell r="BJ42">
            <v>214.91901509675392</v>
          </cell>
          <cell r="BK42">
            <v>225.28992399999998</v>
          </cell>
          <cell r="BL42">
            <v>4.8254961984528011</v>
          </cell>
          <cell r="BM42">
            <v>214.91901509675392</v>
          </cell>
          <cell r="BN42">
            <v>225.28992399999998</v>
          </cell>
          <cell r="BO42">
            <v>4.8254961984528011</v>
          </cell>
        </row>
        <row r="43">
          <cell r="B43">
            <v>38</v>
          </cell>
          <cell r="C43" t="str">
            <v>Sales</v>
          </cell>
          <cell r="D43" t="str">
            <v>KTON</v>
          </cell>
          <cell r="E43">
            <v>123.5</v>
          </cell>
          <cell r="F43">
            <v>70.682000000000002</v>
          </cell>
          <cell r="G43">
            <v>-42.767611336032388</v>
          </cell>
          <cell r="H43">
            <v>197</v>
          </cell>
          <cell r="I43">
            <v>217.86699999999999</v>
          </cell>
          <cell r="J43">
            <v>10.592385786802025</v>
          </cell>
          <cell r="K43">
            <v>189</v>
          </cell>
          <cell r="L43">
            <v>326.44099999999997</v>
          </cell>
          <cell r="M43">
            <v>72.7201058201058</v>
          </cell>
          <cell r="N43">
            <v>509.5</v>
          </cell>
          <cell r="O43">
            <v>614.99</v>
          </cell>
          <cell r="P43">
            <v>20.704612365063792</v>
          </cell>
          <cell r="Q43">
            <v>199.5</v>
          </cell>
          <cell r="R43">
            <v>216.654</v>
          </cell>
          <cell r="S43">
            <v>8.5984962406015022</v>
          </cell>
          <cell r="T43">
            <v>181</v>
          </cell>
          <cell r="U43">
            <v>179.22399999999999</v>
          </cell>
          <cell r="V43">
            <v>-0.98121546961326556</v>
          </cell>
          <cell r="W43">
            <v>241</v>
          </cell>
          <cell r="X43">
            <v>163.97900000000001</v>
          </cell>
          <cell r="Y43">
            <v>-31.958921161825721</v>
          </cell>
          <cell r="Z43">
            <v>621.5</v>
          </cell>
          <cell r="AA43">
            <v>559.85699999999997</v>
          </cell>
          <cell r="AB43">
            <v>-9.9184231697506071</v>
          </cell>
          <cell r="AC43">
            <v>1131</v>
          </cell>
          <cell r="AD43">
            <v>1174.847</v>
          </cell>
          <cell r="AE43">
            <v>3.8768346595932783</v>
          </cell>
          <cell r="AF43">
            <v>199</v>
          </cell>
          <cell r="AG43">
            <v>180.911</v>
          </cell>
          <cell r="AH43">
            <v>-9.0899497487437184</v>
          </cell>
          <cell r="AI43">
            <v>199</v>
          </cell>
          <cell r="AJ43">
            <v>0</v>
          </cell>
          <cell r="AK43">
            <v>-100</v>
          </cell>
          <cell r="AL43">
            <v>1131</v>
          </cell>
          <cell r="AM43">
            <v>1174.847</v>
          </cell>
          <cell r="AN43">
            <v>3.8768346595932783</v>
          </cell>
          <cell r="AO43">
            <v>229</v>
          </cell>
          <cell r="AP43">
            <v>154</v>
          </cell>
          <cell r="AQ43">
            <v>-32.751091703056765</v>
          </cell>
          <cell r="AR43">
            <v>1330</v>
          </cell>
          <cell r="AS43">
            <v>1355.758</v>
          </cell>
          <cell r="AT43">
            <v>1.9366917293233112</v>
          </cell>
          <cell r="AU43">
            <v>627</v>
          </cell>
          <cell r="AV43">
            <v>334.911</v>
          </cell>
          <cell r="AW43">
            <v>-46.585167464114832</v>
          </cell>
          <cell r="AX43">
            <v>229</v>
          </cell>
          <cell r="AY43">
            <v>155</v>
          </cell>
          <cell r="AZ43">
            <v>-32.314410480349345</v>
          </cell>
          <cell r="BA43">
            <v>225</v>
          </cell>
          <cell r="BB43">
            <v>159.5</v>
          </cell>
          <cell r="BC43">
            <v>-29.111111111111111</v>
          </cell>
          <cell r="BD43">
            <v>175.5</v>
          </cell>
          <cell r="BE43">
            <v>79.5</v>
          </cell>
          <cell r="BF43">
            <v>-54.700854700854705</v>
          </cell>
          <cell r="BG43">
            <v>629.5</v>
          </cell>
          <cell r="BH43">
            <v>394</v>
          </cell>
          <cell r="BI43">
            <v>-37.410643367752186</v>
          </cell>
          <cell r="BJ43">
            <v>1256.5</v>
          </cell>
          <cell r="BK43">
            <v>728.91100000000006</v>
          </cell>
          <cell r="BL43">
            <v>-41.988778352566648</v>
          </cell>
          <cell r="BM43">
            <v>2387.5</v>
          </cell>
          <cell r="BN43">
            <v>1903.758</v>
          </cell>
          <cell r="BO43">
            <v>-20.261445026178009</v>
          </cell>
        </row>
        <row r="44">
          <cell r="B44">
            <v>39</v>
          </cell>
          <cell r="L44" t="str">
            <v xml:space="preserve"> </v>
          </cell>
          <cell r="AM44" t="str">
            <v xml:space="preserve"> </v>
          </cell>
          <cell r="AS44" t="str">
            <v xml:space="preserve"> </v>
          </cell>
        </row>
        <row r="45">
          <cell r="B45">
            <v>40</v>
          </cell>
          <cell r="C45" t="str">
            <v>TDM</v>
          </cell>
          <cell r="E45" t="str">
            <v>JANUARY</v>
          </cell>
          <cell r="H45" t="str">
            <v>FEBRUARY</v>
          </cell>
          <cell r="K45" t="str">
            <v>MARCH</v>
          </cell>
          <cell r="N45" t="str">
            <v>Q1</v>
          </cell>
          <cell r="Q45" t="str">
            <v>APRIL</v>
          </cell>
          <cell r="T45" t="str">
            <v>MAY</v>
          </cell>
          <cell r="W45" t="str">
            <v>JUNE</v>
          </cell>
          <cell r="Z45" t="str">
            <v>Q2</v>
          </cell>
          <cell r="AC45" t="str">
            <v>1st HALF</v>
          </cell>
          <cell r="AF45" t="str">
            <v>JULY</v>
          </cell>
          <cell r="AI45" t="str">
            <v>AUG</v>
          </cell>
          <cell r="AL45" t="str">
            <v>Jan-Aug</v>
          </cell>
          <cell r="AO45" t="str">
            <v>SEP</v>
          </cell>
          <cell r="AR45" t="str">
            <v>Jan-Sep</v>
          </cell>
          <cell r="AU45" t="str">
            <v>Q3</v>
          </cell>
          <cell r="AX45" t="str">
            <v>OCTOBER</v>
          </cell>
          <cell r="BA45" t="str">
            <v>NOVEMBER</v>
          </cell>
          <cell r="BD45" t="str">
            <v>DECEMBER</v>
          </cell>
          <cell r="BG45" t="str">
            <v>Q4</v>
          </cell>
          <cell r="BJ45" t="str">
            <v>2nd HALF</v>
          </cell>
          <cell r="BM45" t="str">
            <v>YTD 2013</v>
          </cell>
        </row>
        <row r="46">
          <cell r="B46">
            <v>41</v>
          </cell>
          <cell r="C46" t="str">
            <v>(as contractor)</v>
          </cell>
          <cell r="E46" t="str">
            <v>Plan</v>
          </cell>
          <cell r="F46" t="str">
            <v>Actual</v>
          </cell>
          <cell r="G46" t="str">
            <v>% var</v>
          </cell>
          <cell r="H46" t="str">
            <v>Plan</v>
          </cell>
          <cell r="I46" t="str">
            <v>Actual</v>
          </cell>
          <cell r="J46" t="str">
            <v>% var</v>
          </cell>
          <cell r="K46" t="str">
            <v>Plan</v>
          </cell>
          <cell r="L46" t="str">
            <v>Actual</v>
          </cell>
          <cell r="M46" t="str">
            <v>% var</v>
          </cell>
          <cell r="N46" t="str">
            <v>Plan</v>
          </cell>
          <cell r="O46" t="str">
            <v>Actual</v>
          </cell>
          <cell r="P46" t="str">
            <v>% var</v>
          </cell>
          <cell r="Q46" t="str">
            <v>Plan</v>
          </cell>
          <cell r="R46" t="str">
            <v>Actual</v>
          </cell>
          <cell r="S46" t="str">
            <v>% var</v>
          </cell>
          <cell r="T46" t="str">
            <v>Plan</v>
          </cell>
          <cell r="U46" t="str">
            <v>Actual</v>
          </cell>
          <cell r="V46" t="str">
            <v>% var</v>
          </cell>
          <cell r="W46" t="str">
            <v>Plan</v>
          </cell>
          <cell r="X46" t="str">
            <v>Actual</v>
          </cell>
          <cell r="Y46" t="str">
            <v>% var</v>
          </cell>
          <cell r="Z46" t="str">
            <v>Plan</v>
          </cell>
          <cell r="AA46" t="str">
            <v>Actual</v>
          </cell>
          <cell r="AB46" t="str">
            <v>% var</v>
          </cell>
          <cell r="AC46" t="str">
            <v>Plan</v>
          </cell>
          <cell r="AD46" t="str">
            <v>Actual</v>
          </cell>
          <cell r="AE46" t="str">
            <v>% var</v>
          </cell>
          <cell r="AF46" t="str">
            <v>Plan</v>
          </cell>
          <cell r="AG46" t="str">
            <v>Actual</v>
          </cell>
          <cell r="AH46" t="str">
            <v>% var</v>
          </cell>
          <cell r="AI46" t="str">
            <v>Plan</v>
          </cell>
          <cell r="AJ46" t="str">
            <v>Actual</v>
          </cell>
          <cell r="AK46" t="str">
            <v>% var</v>
          </cell>
          <cell r="AL46" t="str">
            <v>Plan</v>
          </cell>
          <cell r="AM46" t="str">
            <v>Actual</v>
          </cell>
          <cell r="AN46" t="str">
            <v>% var</v>
          </cell>
          <cell r="AO46" t="str">
            <v>Plan</v>
          </cell>
          <cell r="AP46" t="str">
            <v>Est.</v>
          </cell>
          <cell r="AQ46" t="str">
            <v>% var</v>
          </cell>
          <cell r="AR46" t="str">
            <v>Plan</v>
          </cell>
          <cell r="AS46" t="str">
            <v>Est.</v>
          </cell>
          <cell r="AT46" t="str">
            <v>% var</v>
          </cell>
          <cell r="AU46" t="str">
            <v>Plan</v>
          </cell>
          <cell r="AV46" t="str">
            <v>Est.</v>
          </cell>
          <cell r="AW46" t="str">
            <v>% var</v>
          </cell>
          <cell r="AX46" t="str">
            <v>Plan</v>
          </cell>
          <cell r="AY46" t="str">
            <v>Est.</v>
          </cell>
          <cell r="AZ46" t="str">
            <v>% var</v>
          </cell>
          <cell r="BA46" t="str">
            <v>Plan</v>
          </cell>
          <cell r="BB46" t="str">
            <v>Est.</v>
          </cell>
          <cell r="BC46" t="str">
            <v>% var</v>
          </cell>
          <cell r="BD46" t="str">
            <v>Plan</v>
          </cell>
          <cell r="BE46" t="str">
            <v>Est.</v>
          </cell>
          <cell r="BF46" t="str">
            <v>% var</v>
          </cell>
          <cell r="BG46" t="str">
            <v>Plan</v>
          </cell>
          <cell r="BH46" t="str">
            <v>Est.</v>
          </cell>
          <cell r="BI46" t="str">
            <v>% var</v>
          </cell>
          <cell r="BJ46" t="str">
            <v>Plan</v>
          </cell>
          <cell r="BK46" t="str">
            <v>Est.</v>
          </cell>
          <cell r="BL46" t="str">
            <v>% var</v>
          </cell>
          <cell r="BM46" t="str">
            <v>Plan</v>
          </cell>
          <cell r="BN46" t="str">
            <v>Est.</v>
          </cell>
          <cell r="BO46" t="str">
            <v>% var</v>
          </cell>
        </row>
        <row r="47">
          <cell r="B47">
            <v>42</v>
          </cell>
          <cell r="C47" t="str">
            <v>OB Removal</v>
          </cell>
          <cell r="D47" t="str">
            <v>KBCM</v>
          </cell>
          <cell r="E47" t="e">
            <v>#REF!</v>
          </cell>
          <cell r="F47" t="e">
            <v>#REF!</v>
          </cell>
          <cell r="G47" t="e">
            <v>#REF!</v>
          </cell>
          <cell r="H47" t="e">
            <v>#REF!</v>
          </cell>
          <cell r="I47" t="e">
            <v>#REF!</v>
          </cell>
          <cell r="J47" t="e">
            <v>#REF!</v>
          </cell>
          <cell r="K47" t="e">
            <v>#REF!</v>
          </cell>
          <cell r="L47" t="e">
            <v>#REF!</v>
          </cell>
          <cell r="M47" t="e">
            <v>#REF!</v>
          </cell>
          <cell r="N47" t="e">
            <v>#REF!</v>
          </cell>
          <cell r="O47" t="e">
            <v>#REF!</v>
          </cell>
          <cell r="P47" t="e">
            <v>#REF!</v>
          </cell>
          <cell r="Q47" t="e">
            <v>#REF!</v>
          </cell>
          <cell r="R47" t="e">
            <v>#REF!</v>
          </cell>
          <cell r="S47" t="e">
            <v>#REF!</v>
          </cell>
          <cell r="T47" t="e">
            <v>#REF!</v>
          </cell>
          <cell r="U47" t="e">
            <v>#REF!</v>
          </cell>
          <cell r="V47" t="e">
            <v>#REF!</v>
          </cell>
          <cell r="W47" t="e">
            <v>#REF!</v>
          </cell>
          <cell r="X47" t="e">
            <v>#REF!</v>
          </cell>
          <cell r="Y47" t="e">
            <v>#REF!</v>
          </cell>
          <cell r="Z47" t="e">
            <v>#REF!</v>
          </cell>
          <cell r="AA47" t="e">
            <v>#REF!</v>
          </cell>
          <cell r="AB47" t="e">
            <v>#REF!</v>
          </cell>
          <cell r="AC47" t="e">
            <v>#REF!</v>
          </cell>
          <cell r="AD47" t="e">
            <v>#REF!</v>
          </cell>
          <cell r="AE47" t="e">
            <v>#REF!</v>
          </cell>
          <cell r="AF47" t="e">
            <v>#REF!</v>
          </cell>
          <cell r="AG47" t="e">
            <v>#REF!</v>
          </cell>
          <cell r="AH47" t="e">
            <v>#REF!</v>
          </cell>
          <cell r="AI47" t="e">
            <v>#REF!</v>
          </cell>
          <cell r="AJ47" t="e">
            <v>#REF!</v>
          </cell>
          <cell r="AK47" t="e">
            <v>#REF!</v>
          </cell>
          <cell r="AL47" t="e">
            <v>#REF!</v>
          </cell>
          <cell r="AM47" t="e">
            <v>#REF!</v>
          </cell>
          <cell r="AN47" t="e">
            <v>#REF!</v>
          </cell>
          <cell r="AO47" t="e">
            <v>#REF!</v>
          </cell>
          <cell r="AP47" t="e">
            <v>#REF!</v>
          </cell>
          <cell r="AQ47" t="e">
            <v>#REF!</v>
          </cell>
          <cell r="AR47" t="e">
            <v>#REF!</v>
          </cell>
          <cell r="AS47" t="e">
            <v>#REF!</v>
          </cell>
          <cell r="AT47" t="e">
            <v>#REF!</v>
          </cell>
          <cell r="AU47" t="e">
            <v>#REF!</v>
          </cell>
          <cell r="AV47" t="e">
            <v>#REF!</v>
          </cell>
          <cell r="AW47" t="e">
            <v>#REF!</v>
          </cell>
          <cell r="AX47" t="e">
            <v>#REF!</v>
          </cell>
          <cell r="AY47" t="e">
            <v>#REF!</v>
          </cell>
          <cell r="AZ47" t="e">
            <v>#REF!</v>
          </cell>
          <cell r="BA47" t="e">
            <v>#REF!</v>
          </cell>
          <cell r="BB47" t="e">
            <v>#REF!</v>
          </cell>
          <cell r="BC47" t="e">
            <v>#REF!</v>
          </cell>
          <cell r="BD47" t="e">
            <v>#REF!</v>
          </cell>
          <cell r="BE47" t="e">
            <v>#REF!</v>
          </cell>
          <cell r="BF47" t="e">
            <v>#REF!</v>
          </cell>
          <cell r="BG47" t="e">
            <v>#REF!</v>
          </cell>
          <cell r="BH47" t="e">
            <v>#REF!</v>
          </cell>
          <cell r="BI47" t="e">
            <v>#REF!</v>
          </cell>
          <cell r="BJ47" t="e">
            <v>#REF!</v>
          </cell>
          <cell r="BK47" t="e">
            <v>#REF!</v>
          </cell>
          <cell r="BL47" t="e">
            <v>#REF!</v>
          </cell>
          <cell r="BM47" t="e">
            <v>#REF!</v>
          </cell>
          <cell r="BN47" t="e">
            <v>#REF!</v>
          </cell>
          <cell r="BO47" t="e">
            <v>#REF!</v>
          </cell>
        </row>
        <row r="48">
          <cell r="B48">
            <v>43</v>
          </cell>
          <cell r="C48" t="str">
            <v>ROM Production</v>
          </cell>
          <cell r="D48" t="str">
            <v>KTON</v>
          </cell>
          <cell r="E48" t="e">
            <v>#REF!</v>
          </cell>
          <cell r="F48" t="e">
            <v>#REF!</v>
          </cell>
          <cell r="G48" t="e">
            <v>#REF!</v>
          </cell>
          <cell r="H48" t="e">
            <v>#REF!</v>
          </cell>
          <cell r="I48" t="e">
            <v>#REF!</v>
          </cell>
          <cell r="J48" t="e">
            <v>#REF!</v>
          </cell>
          <cell r="K48" t="e">
            <v>#REF!</v>
          </cell>
          <cell r="L48" t="e">
            <v>#REF!</v>
          </cell>
          <cell r="M48" t="e">
            <v>#REF!</v>
          </cell>
          <cell r="N48" t="e">
            <v>#REF!</v>
          </cell>
          <cell r="O48" t="e">
            <v>#REF!</v>
          </cell>
          <cell r="P48" t="e">
            <v>#REF!</v>
          </cell>
          <cell r="Q48" t="e">
            <v>#REF!</v>
          </cell>
          <cell r="R48" t="e">
            <v>#REF!</v>
          </cell>
          <cell r="S48" t="e">
            <v>#REF!</v>
          </cell>
          <cell r="T48" t="e">
            <v>#REF!</v>
          </cell>
          <cell r="U48" t="e">
            <v>#REF!</v>
          </cell>
          <cell r="V48" t="e">
            <v>#REF!</v>
          </cell>
          <cell r="W48" t="e">
            <v>#REF!</v>
          </cell>
          <cell r="X48" t="e">
            <v>#REF!</v>
          </cell>
          <cell r="Y48" t="e">
            <v>#REF!</v>
          </cell>
          <cell r="Z48" t="e">
            <v>#REF!</v>
          </cell>
          <cell r="AA48" t="e">
            <v>#REF!</v>
          </cell>
          <cell r="AB48" t="e">
            <v>#REF!</v>
          </cell>
          <cell r="AC48" t="e">
            <v>#REF!</v>
          </cell>
          <cell r="AD48" t="e">
            <v>#REF!</v>
          </cell>
          <cell r="AE48" t="e">
            <v>#REF!</v>
          </cell>
          <cell r="AF48" t="e">
            <v>#REF!</v>
          </cell>
          <cell r="AG48" t="e">
            <v>#REF!</v>
          </cell>
          <cell r="AH48" t="e">
            <v>#REF!</v>
          </cell>
          <cell r="AI48" t="e">
            <v>#REF!</v>
          </cell>
          <cell r="AJ48" t="e">
            <v>#REF!</v>
          </cell>
          <cell r="AK48" t="e">
            <v>#REF!</v>
          </cell>
          <cell r="AL48" t="e">
            <v>#REF!</v>
          </cell>
          <cell r="AM48" t="e">
            <v>#REF!</v>
          </cell>
          <cell r="AN48" t="e">
            <v>#REF!</v>
          </cell>
          <cell r="AO48" t="e">
            <v>#REF!</v>
          </cell>
          <cell r="AP48" t="e">
            <v>#REF!</v>
          </cell>
          <cell r="AQ48" t="e">
            <v>#REF!</v>
          </cell>
          <cell r="AR48" t="e">
            <v>#REF!</v>
          </cell>
          <cell r="AS48" t="e">
            <v>#REF!</v>
          </cell>
          <cell r="AT48" t="e">
            <v>#REF!</v>
          </cell>
          <cell r="AU48" t="e">
            <v>#REF!</v>
          </cell>
          <cell r="AV48" t="e">
            <v>#REF!</v>
          </cell>
          <cell r="AW48" t="e">
            <v>#REF!</v>
          </cell>
          <cell r="AX48" t="e">
            <v>#REF!</v>
          </cell>
          <cell r="AY48" t="e">
            <v>#REF!</v>
          </cell>
          <cell r="AZ48" t="e">
            <v>#REF!</v>
          </cell>
          <cell r="BA48" t="e">
            <v>#REF!</v>
          </cell>
          <cell r="BB48" t="e">
            <v>#REF!</v>
          </cell>
          <cell r="BC48" t="e">
            <v>#REF!</v>
          </cell>
          <cell r="BD48" t="e">
            <v>#REF!</v>
          </cell>
          <cell r="BE48" t="e">
            <v>#REF!</v>
          </cell>
          <cell r="BF48" t="e">
            <v>#REF!</v>
          </cell>
          <cell r="BG48" t="e">
            <v>#REF!</v>
          </cell>
          <cell r="BH48" t="e">
            <v>#REF!</v>
          </cell>
          <cell r="BI48" t="e">
            <v>#REF!</v>
          </cell>
          <cell r="BJ48" t="e">
            <v>#REF!</v>
          </cell>
          <cell r="BK48" t="e">
            <v>#REF!</v>
          </cell>
          <cell r="BL48" t="e">
            <v>#REF!</v>
          </cell>
          <cell r="BM48" t="e">
            <v>#REF!</v>
          </cell>
          <cell r="BN48" t="e">
            <v>#REF!</v>
          </cell>
          <cell r="BO48" t="e">
            <v>#REF!</v>
          </cell>
        </row>
        <row r="49">
          <cell r="B49">
            <v>44</v>
          </cell>
          <cell r="C49" t="str">
            <v>Stripping Ratio</v>
          </cell>
          <cell r="D49" t="str">
            <v>OB: ROM</v>
          </cell>
          <cell r="E49" t="e">
            <v>#REF!</v>
          </cell>
          <cell r="F49" t="e">
            <v>#REF!</v>
          </cell>
          <cell r="G49" t="e">
            <v>#REF!</v>
          </cell>
          <cell r="H49" t="e">
            <v>#REF!</v>
          </cell>
          <cell r="I49" t="e">
            <v>#REF!</v>
          </cell>
          <cell r="J49" t="e">
            <v>#REF!</v>
          </cell>
          <cell r="K49" t="e">
            <v>#REF!</v>
          </cell>
          <cell r="L49" t="e">
            <v>#REF!</v>
          </cell>
          <cell r="M49" t="e">
            <v>#REF!</v>
          </cell>
          <cell r="N49" t="e">
            <v>#REF!</v>
          </cell>
          <cell r="O49" t="e">
            <v>#REF!</v>
          </cell>
          <cell r="P49" t="e">
            <v>#REF!</v>
          </cell>
          <cell r="Q49" t="e">
            <v>#REF!</v>
          </cell>
          <cell r="R49" t="e">
            <v>#REF!</v>
          </cell>
          <cell r="S49" t="e">
            <v>#REF!</v>
          </cell>
          <cell r="T49" t="e">
            <v>#REF!</v>
          </cell>
          <cell r="U49" t="e">
            <v>#REF!</v>
          </cell>
          <cell r="V49" t="e">
            <v>#REF!</v>
          </cell>
          <cell r="W49" t="e">
            <v>#REF!</v>
          </cell>
          <cell r="X49" t="e">
            <v>#REF!</v>
          </cell>
          <cell r="Y49" t="e">
            <v>#REF!</v>
          </cell>
          <cell r="Z49" t="e">
            <v>#REF!</v>
          </cell>
          <cell r="AA49" t="e">
            <v>#REF!</v>
          </cell>
          <cell r="AB49" t="e">
            <v>#REF!</v>
          </cell>
          <cell r="AC49" t="e">
            <v>#REF!</v>
          </cell>
          <cell r="AD49" t="e">
            <v>#REF!</v>
          </cell>
          <cell r="AE49" t="e">
            <v>#REF!</v>
          </cell>
          <cell r="AF49" t="e">
            <v>#REF!</v>
          </cell>
          <cell r="AG49" t="e">
            <v>#REF!</v>
          </cell>
          <cell r="AH49" t="e">
            <v>#REF!</v>
          </cell>
          <cell r="AI49" t="e">
            <v>#REF!</v>
          </cell>
          <cell r="AJ49" t="e">
            <v>#REF!</v>
          </cell>
          <cell r="AK49" t="e">
            <v>#REF!</v>
          </cell>
          <cell r="AL49" t="e">
            <v>#REF!</v>
          </cell>
          <cell r="AM49" t="e">
            <v>#REF!</v>
          </cell>
          <cell r="AN49" t="e">
            <v>#REF!</v>
          </cell>
          <cell r="AO49" t="e">
            <v>#REF!</v>
          </cell>
          <cell r="AP49" t="e">
            <v>#REF!</v>
          </cell>
          <cell r="AQ49" t="e">
            <v>#REF!</v>
          </cell>
          <cell r="AR49" t="e">
            <v>#REF!</v>
          </cell>
          <cell r="AS49" t="e">
            <v>#REF!</v>
          </cell>
          <cell r="AT49" t="e">
            <v>#REF!</v>
          </cell>
          <cell r="AU49" t="e">
            <v>#REF!</v>
          </cell>
          <cell r="AV49" t="e">
            <v>#REF!</v>
          </cell>
          <cell r="AW49" t="e">
            <v>#REF!</v>
          </cell>
          <cell r="AX49" t="e">
            <v>#REF!</v>
          </cell>
          <cell r="AY49" t="e">
            <v>#REF!</v>
          </cell>
          <cell r="AZ49" t="e">
            <v>#REF!</v>
          </cell>
          <cell r="BA49" t="e">
            <v>#REF!</v>
          </cell>
          <cell r="BB49" t="e">
            <v>#REF!</v>
          </cell>
          <cell r="BC49" t="e">
            <v>#REF!</v>
          </cell>
          <cell r="BD49" t="e">
            <v>#REF!</v>
          </cell>
          <cell r="BE49" t="e">
            <v>#REF!</v>
          </cell>
          <cell r="BF49" t="e">
            <v>#REF!</v>
          </cell>
          <cell r="BG49" t="e">
            <v>#REF!</v>
          </cell>
          <cell r="BH49" t="e">
            <v>#REF!</v>
          </cell>
          <cell r="BI49" t="e">
            <v>#REF!</v>
          </cell>
          <cell r="BJ49" t="e">
            <v>#REF!</v>
          </cell>
          <cell r="BK49" t="e">
            <v>#REF!</v>
          </cell>
          <cell r="BL49" t="e">
            <v>#REF!</v>
          </cell>
          <cell r="BM49" t="e">
            <v>#REF!</v>
          </cell>
          <cell r="BN49" t="e">
            <v>#REF!</v>
          </cell>
          <cell r="BO49" t="e">
            <v>#REF!</v>
          </cell>
        </row>
        <row r="50">
          <cell r="B50">
            <v>45</v>
          </cell>
        </row>
        <row r="51">
          <cell r="B51">
            <v>46</v>
          </cell>
          <cell r="C51" t="str">
            <v>TDM (as owner)</v>
          </cell>
          <cell r="E51" t="str">
            <v>JANUARY</v>
          </cell>
          <cell r="H51" t="str">
            <v>FEBRUARY</v>
          </cell>
          <cell r="K51" t="str">
            <v>MARCH</v>
          </cell>
          <cell r="N51" t="str">
            <v>Q1</v>
          </cell>
          <cell r="Q51" t="str">
            <v>APRIL</v>
          </cell>
          <cell r="T51" t="str">
            <v>MAY</v>
          </cell>
          <cell r="W51" t="str">
            <v>JUNE</v>
          </cell>
          <cell r="Z51" t="str">
            <v>Q2</v>
          </cell>
          <cell r="AC51" t="str">
            <v>1st HALF</v>
          </cell>
          <cell r="AF51" t="str">
            <v>JULY</v>
          </cell>
          <cell r="AI51" t="str">
            <v>AUG</v>
          </cell>
          <cell r="AL51" t="str">
            <v>Jan-Aug</v>
          </cell>
          <cell r="AO51" t="str">
            <v>SEP</v>
          </cell>
          <cell r="AR51" t="str">
            <v>Jan-Sep</v>
          </cell>
          <cell r="AU51" t="str">
            <v>Q3</v>
          </cell>
          <cell r="AX51" t="str">
            <v>OCTOBER</v>
          </cell>
          <cell r="BA51" t="str">
            <v>NOVEMBER</v>
          </cell>
          <cell r="BD51" t="str">
            <v>DECEMBER</v>
          </cell>
          <cell r="BG51" t="str">
            <v>Q4</v>
          </cell>
          <cell r="BJ51" t="str">
            <v>2nd HALF</v>
          </cell>
          <cell r="BM51" t="str">
            <v>YTD 2013</v>
          </cell>
        </row>
        <row r="52">
          <cell r="B52">
            <v>47</v>
          </cell>
          <cell r="E52" t="str">
            <v>Plan</v>
          </cell>
          <cell r="F52" t="str">
            <v>Actual</v>
          </cell>
          <cell r="G52" t="str">
            <v>% var</v>
          </cell>
          <cell r="H52" t="str">
            <v>Plan</v>
          </cell>
          <cell r="I52" t="str">
            <v>Actual</v>
          </cell>
          <cell r="J52" t="str">
            <v>% var</v>
          </cell>
          <cell r="K52" t="str">
            <v>Plan</v>
          </cell>
          <cell r="L52" t="str">
            <v>Actual</v>
          </cell>
          <cell r="M52" t="str">
            <v>% var</v>
          </cell>
          <cell r="N52" t="str">
            <v>Plan</v>
          </cell>
          <cell r="O52" t="str">
            <v>Actual</v>
          </cell>
          <cell r="P52" t="str">
            <v>% var</v>
          </cell>
          <cell r="Q52" t="str">
            <v>Plan</v>
          </cell>
          <cell r="R52" t="str">
            <v>Actual</v>
          </cell>
          <cell r="S52" t="str">
            <v>% var</v>
          </cell>
          <cell r="T52" t="str">
            <v>Plan</v>
          </cell>
          <cell r="U52" t="str">
            <v>Actual</v>
          </cell>
          <cell r="V52" t="str">
            <v>% var</v>
          </cell>
          <cell r="W52" t="str">
            <v>Plan</v>
          </cell>
          <cell r="X52" t="str">
            <v>Actual</v>
          </cell>
          <cell r="Y52" t="str">
            <v>% var</v>
          </cell>
          <cell r="Z52" t="str">
            <v>Plan</v>
          </cell>
          <cell r="AA52" t="str">
            <v>Actual</v>
          </cell>
          <cell r="AB52" t="str">
            <v>% var</v>
          </cell>
          <cell r="AC52" t="str">
            <v>Plan</v>
          </cell>
          <cell r="AD52" t="str">
            <v>Actual</v>
          </cell>
          <cell r="AE52" t="str">
            <v>% var</v>
          </cell>
          <cell r="AF52" t="str">
            <v>Plan</v>
          </cell>
          <cell r="AG52" t="str">
            <v>Actual</v>
          </cell>
          <cell r="AH52" t="str">
            <v>% var</v>
          </cell>
          <cell r="AI52" t="str">
            <v>Plan</v>
          </cell>
          <cell r="AJ52" t="str">
            <v>Actual</v>
          </cell>
          <cell r="AK52" t="str">
            <v>% var</v>
          </cell>
          <cell r="AL52" t="str">
            <v>Plan</v>
          </cell>
          <cell r="AM52" t="str">
            <v>Actual</v>
          </cell>
          <cell r="AN52" t="str">
            <v>% var</v>
          </cell>
          <cell r="AO52" t="str">
            <v>Plan</v>
          </cell>
          <cell r="AP52" t="str">
            <v>Est.</v>
          </cell>
          <cell r="AQ52" t="str">
            <v>% var</v>
          </cell>
          <cell r="AR52" t="str">
            <v>Plan</v>
          </cell>
          <cell r="AS52" t="str">
            <v>Est.</v>
          </cell>
          <cell r="AT52" t="str">
            <v>% var</v>
          </cell>
          <cell r="AU52" t="str">
            <v>Plan</v>
          </cell>
          <cell r="AV52" t="str">
            <v>Est.</v>
          </cell>
          <cell r="AW52" t="str">
            <v>% var</v>
          </cell>
          <cell r="AX52" t="str">
            <v>Plan</v>
          </cell>
          <cell r="AY52" t="str">
            <v>Est.</v>
          </cell>
          <cell r="AZ52" t="str">
            <v>% var</v>
          </cell>
          <cell r="BA52" t="str">
            <v>Plan</v>
          </cell>
          <cell r="BB52" t="str">
            <v>Est.</v>
          </cell>
          <cell r="BC52" t="str">
            <v>% var</v>
          </cell>
          <cell r="BD52" t="str">
            <v>Plan</v>
          </cell>
          <cell r="BE52" t="str">
            <v>Est.</v>
          </cell>
          <cell r="BF52" t="str">
            <v>% var</v>
          </cell>
          <cell r="BG52" t="str">
            <v>Plan</v>
          </cell>
          <cell r="BH52" t="str">
            <v>Est.</v>
          </cell>
          <cell r="BI52" t="str">
            <v>% var</v>
          </cell>
          <cell r="BJ52" t="str">
            <v>Plan</v>
          </cell>
          <cell r="BK52" t="str">
            <v>Est.</v>
          </cell>
          <cell r="BL52" t="str">
            <v>% var</v>
          </cell>
          <cell r="BM52" t="str">
            <v>Plan</v>
          </cell>
          <cell r="BN52" t="str">
            <v>Est.</v>
          </cell>
          <cell r="BO52" t="str">
            <v>% var</v>
          </cell>
        </row>
        <row r="53">
          <cell r="B53">
            <v>48</v>
          </cell>
          <cell r="C53" t="str">
            <v>OB Removal</v>
          </cell>
          <cell r="D53" t="str">
            <v>KBCM</v>
          </cell>
          <cell r="E53">
            <v>4217.6266459999997</v>
          </cell>
          <cell r="F53">
            <v>4217.6266459999997</v>
          </cell>
          <cell r="G53">
            <v>0</v>
          </cell>
          <cell r="H53">
            <v>3562.2179729999998</v>
          </cell>
          <cell r="I53">
            <v>3562.2179729999998</v>
          </cell>
          <cell r="J53">
            <v>0</v>
          </cell>
          <cell r="K53">
            <v>4494.965792</v>
          </cell>
          <cell r="L53">
            <v>4494.965792</v>
          </cell>
          <cell r="M53">
            <v>0</v>
          </cell>
          <cell r="N53">
            <v>12274.810410999999</v>
          </cell>
          <cell r="O53">
            <v>12274.810410999999</v>
          </cell>
          <cell r="P53">
            <v>0</v>
          </cell>
          <cell r="Q53">
            <v>3283.8046690000001</v>
          </cell>
          <cell r="R53">
            <v>3283.8046690000001</v>
          </cell>
          <cell r="S53">
            <v>0</v>
          </cell>
          <cell r="T53">
            <v>3987.8398179999999</v>
          </cell>
          <cell r="U53">
            <v>3987.8398179999999</v>
          </cell>
          <cell r="V53">
            <v>0</v>
          </cell>
          <cell r="W53">
            <v>4355</v>
          </cell>
          <cell r="X53">
            <v>3965.5941769999999</v>
          </cell>
          <cell r="Y53">
            <v>-8.9415803214695764</v>
          </cell>
          <cell r="Z53">
            <v>11626.644487</v>
          </cell>
          <cell r="AA53">
            <v>11237.238664</v>
          </cell>
          <cell r="AB53">
            <v>-3.3492537200686074</v>
          </cell>
          <cell r="AC53">
            <v>23901.454897999996</v>
          </cell>
          <cell r="AD53">
            <v>23512.049074999999</v>
          </cell>
          <cell r="AE53">
            <v>-1.6292138895385051</v>
          </cell>
          <cell r="AF53">
            <v>3815</v>
          </cell>
          <cell r="AG53">
            <v>4196.6120529999989</v>
          </cell>
          <cell r="AH53">
            <v>10.002937169069433</v>
          </cell>
          <cell r="AI53">
            <v>3543</v>
          </cell>
          <cell r="AJ53">
            <v>3487.87</v>
          </cell>
          <cell r="AK53">
            <v>-1.5560259666948943</v>
          </cell>
          <cell r="AL53">
            <v>31259.454898</v>
          </cell>
          <cell r="AM53">
            <v>31196.531127999999</v>
          </cell>
          <cell r="AN53">
            <v>-0.2012951607931818</v>
          </cell>
          <cell r="AO53">
            <v>3856</v>
          </cell>
          <cell r="AP53">
            <v>3706.1709999999994</v>
          </cell>
          <cell r="AQ53">
            <v>-3.8856068464730456</v>
          </cell>
          <cell r="AR53">
            <v>35115.454897999996</v>
          </cell>
          <cell r="AS53">
            <v>34902.702127999997</v>
          </cell>
          <cell r="AT53">
            <v>-0.60586647850065734</v>
          </cell>
          <cell r="AU53">
            <v>11214</v>
          </cell>
          <cell r="AV53">
            <v>11390.653052999998</v>
          </cell>
          <cell r="AW53">
            <v>1.5752902889245424</v>
          </cell>
          <cell r="AX53">
            <v>3485.3</v>
          </cell>
          <cell r="AY53">
            <v>3563.8746076666689</v>
          </cell>
          <cell r="AZ53">
            <v>2.2544575120267618</v>
          </cell>
          <cell r="BA53">
            <v>3393.3</v>
          </cell>
          <cell r="BB53">
            <v>3471.9946076666688</v>
          </cell>
          <cell r="BC53">
            <v>2.3191173096003483</v>
          </cell>
          <cell r="BD53">
            <v>3058.3</v>
          </cell>
          <cell r="BE53">
            <v>3137.2936076666688</v>
          </cell>
          <cell r="BF53">
            <v>2.5829254051815909</v>
          </cell>
          <cell r="BG53">
            <v>9936.9000000000015</v>
          </cell>
          <cell r="BH53">
            <v>10173.162823000006</v>
          </cell>
          <cell r="BI53">
            <v>2.3776310821282749</v>
          </cell>
          <cell r="BJ53">
            <v>21150.9</v>
          </cell>
          <cell r="BK53">
            <v>21563.815876000004</v>
          </cell>
          <cell r="BL53">
            <v>1.9522378527627795</v>
          </cell>
          <cell r="BM53">
            <v>45052.354898000005</v>
          </cell>
          <cell r="BN53">
            <v>45075.864951000003</v>
          </cell>
          <cell r="BO53">
            <v>5.2183849330907736E-2</v>
          </cell>
        </row>
        <row r="54">
          <cell r="B54">
            <v>49</v>
          </cell>
          <cell r="C54" t="str">
            <v>ROM Production</v>
          </cell>
          <cell r="D54" t="str">
            <v>KTON</v>
          </cell>
          <cell r="E54">
            <v>228.427311620056</v>
          </cell>
          <cell r="F54">
            <v>228.427311620056</v>
          </cell>
          <cell r="G54">
            <v>0</v>
          </cell>
          <cell r="H54">
            <v>179.180610922791</v>
          </cell>
          <cell r="I54">
            <v>179.180610922791</v>
          </cell>
          <cell r="J54">
            <v>0</v>
          </cell>
          <cell r="K54">
            <v>268.70977289120498</v>
          </cell>
          <cell r="L54">
            <v>268.70977289120498</v>
          </cell>
          <cell r="M54">
            <v>0</v>
          </cell>
          <cell r="N54">
            <v>676.31769543405198</v>
          </cell>
          <cell r="O54">
            <v>676.31769543405198</v>
          </cell>
          <cell r="P54">
            <v>0</v>
          </cell>
          <cell r="Q54">
            <v>170.681223059204</v>
          </cell>
          <cell r="R54">
            <v>170.681223059204</v>
          </cell>
          <cell r="S54">
            <v>0</v>
          </cell>
          <cell r="T54">
            <v>163.61095005268101</v>
          </cell>
          <cell r="U54">
            <v>163.61095005268101</v>
          </cell>
          <cell r="V54">
            <v>0</v>
          </cell>
          <cell r="W54">
            <v>237.4</v>
          </cell>
          <cell r="X54">
            <v>235.19531706237001</v>
          </cell>
          <cell r="Y54">
            <v>-0.92867857524431208</v>
          </cell>
          <cell r="Z54">
            <v>571.69217311188504</v>
          </cell>
          <cell r="AA54">
            <v>569.48749017425507</v>
          </cell>
          <cell r="AB54">
            <v>-0.38564161647154355</v>
          </cell>
          <cell r="AC54">
            <v>1248.009868545937</v>
          </cell>
          <cell r="AD54">
            <v>1245.8051856083071</v>
          </cell>
          <cell r="AE54">
            <v>-0.1766558897646103</v>
          </cell>
          <cell r="AF54">
            <v>215.9</v>
          </cell>
          <cell r="AG54">
            <v>237.3702039116516</v>
          </cell>
          <cell r="AH54">
            <v>9.9445131596348286</v>
          </cell>
          <cell r="AI54">
            <v>213.5</v>
          </cell>
          <cell r="AJ54">
            <v>235.52408586351012</v>
          </cell>
          <cell r="AK54">
            <v>10.315731083611299</v>
          </cell>
          <cell r="AL54">
            <v>1677.4098685459371</v>
          </cell>
          <cell r="AM54">
            <v>1718.6994753834688</v>
          </cell>
          <cell r="AN54">
            <v>2.4615097127885366</v>
          </cell>
          <cell r="AO54">
            <v>224.2</v>
          </cell>
          <cell r="AP54">
            <v>205.166</v>
          </cell>
          <cell r="AQ54">
            <v>-8.4897413024085608</v>
          </cell>
          <cell r="AR54">
            <v>1901.6098685459372</v>
          </cell>
          <cell r="AS54">
            <v>1923.8654753834687</v>
          </cell>
          <cell r="AT54">
            <v>1.1703560864747338</v>
          </cell>
          <cell r="AU54">
            <v>653.59999999999991</v>
          </cell>
          <cell r="AV54">
            <v>678.06028977516166</v>
          </cell>
          <cell r="AW54">
            <v>3.7423943964445776</v>
          </cell>
          <cell r="AX54">
            <v>196.7</v>
          </cell>
          <cell r="AY54">
            <v>196.69</v>
          </cell>
          <cell r="AZ54">
            <v>-5.0838840874381829E-3</v>
          </cell>
          <cell r="BA54">
            <v>208.7</v>
          </cell>
          <cell r="BB54">
            <v>208.7</v>
          </cell>
          <cell r="BC54">
            <v>0</v>
          </cell>
          <cell r="BD54">
            <v>209.49</v>
          </cell>
          <cell r="BE54">
            <v>209.489</v>
          </cell>
          <cell r="BF54">
            <v>-4.7734975416715588E-4</v>
          </cell>
          <cell r="BG54">
            <v>614.89</v>
          </cell>
          <cell r="BH54">
            <v>614.87900000000002</v>
          </cell>
          <cell r="BI54">
            <v>-1.7889378587986888E-3</v>
          </cell>
          <cell r="BJ54">
            <v>1268.4899999999998</v>
          </cell>
          <cell r="BK54">
            <v>1292.9392897751618</v>
          </cell>
          <cell r="BL54">
            <v>1.9274325990084287</v>
          </cell>
          <cell r="BM54">
            <v>2516.4998685459368</v>
          </cell>
          <cell r="BN54">
            <v>2538.7444753834684</v>
          </cell>
          <cell r="BO54">
            <v>0.88395024834174896</v>
          </cell>
        </row>
        <row r="55">
          <cell r="B55">
            <v>50</v>
          </cell>
          <cell r="C55" t="str">
            <v>F/C Production</v>
          </cell>
          <cell r="D55" t="str">
            <v>KTON</v>
          </cell>
          <cell r="E55">
            <v>182.9412956841532</v>
          </cell>
          <cell r="F55">
            <v>269.29479599999996</v>
          </cell>
          <cell r="G55">
            <v>47.202847226432375</v>
          </cell>
          <cell r="H55">
            <v>197.50638891942819</v>
          </cell>
          <cell r="I55">
            <v>239.813401</v>
          </cell>
          <cell r="J55">
            <v>21.42057900609522</v>
          </cell>
          <cell r="K55">
            <v>196.26291780451285</v>
          </cell>
          <cell r="L55">
            <v>280.61119999999994</v>
          </cell>
          <cell r="M55">
            <v>42.977187509003592</v>
          </cell>
          <cell r="N55">
            <v>576.71060240809425</v>
          </cell>
          <cell r="O55">
            <v>789.71939699999984</v>
          </cell>
          <cell r="P55">
            <v>36.935127202876608</v>
          </cell>
          <cell r="Q55">
            <v>190.57246929081879</v>
          </cell>
          <cell r="R55">
            <v>189.00686035336113</v>
          </cell>
          <cell r="S55">
            <v>-0.82152943879238505</v>
          </cell>
          <cell r="T55">
            <v>221.893486224767</v>
          </cell>
          <cell r="U55">
            <v>116.10862</v>
          </cell>
          <cell r="V55">
            <v>-47.673714097948874</v>
          </cell>
          <cell r="W55">
            <v>221.09716371748121</v>
          </cell>
          <cell r="X55">
            <v>205.36227000000002</v>
          </cell>
          <cell r="Y55">
            <v>-7.1167325048037657</v>
          </cell>
          <cell r="Z55">
            <v>633.56311923306703</v>
          </cell>
          <cell r="AA55">
            <v>510.47775035336116</v>
          </cell>
          <cell r="AB55">
            <v>-19.427483251976795</v>
          </cell>
          <cell r="AC55">
            <v>1210.2737216411613</v>
          </cell>
          <cell r="AD55">
            <v>1300.1971473533611</v>
          </cell>
          <cell r="AE55">
            <v>7.430007287133475</v>
          </cell>
          <cell r="AF55">
            <v>222.20890806717588</v>
          </cell>
          <cell r="AG55">
            <v>187.79373000000004</v>
          </cell>
          <cell r="AH55">
            <v>-15.487758059083664</v>
          </cell>
          <cell r="AI55">
            <v>206.31517025839881</v>
          </cell>
          <cell r="AJ55">
            <v>213.39352000000002</v>
          </cell>
          <cell r="AK55">
            <v>3.4308430799034109</v>
          </cell>
          <cell r="AL55">
            <v>1638.797799966736</v>
          </cell>
          <cell r="AM55">
            <v>1701.3843973533612</v>
          </cell>
          <cell r="AN55">
            <v>3.8190554922575344</v>
          </cell>
          <cell r="AO55">
            <v>228.72833732414682</v>
          </cell>
          <cell r="AP55">
            <v>175</v>
          </cell>
          <cell r="AQ55">
            <v>-23.490022247660843</v>
          </cell>
          <cell r="AR55">
            <v>1867.5261372908828</v>
          </cell>
          <cell r="AS55">
            <v>1876.3843973533612</v>
          </cell>
          <cell r="AT55">
            <v>0.47433124953895334</v>
          </cell>
          <cell r="AU55">
            <v>657.25241564972157</v>
          </cell>
          <cell r="AV55">
            <v>576.18725000000006</v>
          </cell>
          <cell r="AW55">
            <v>-12.33394715933987</v>
          </cell>
          <cell r="AX55">
            <v>224.91275052081397</v>
          </cell>
          <cell r="AY55">
            <v>175</v>
          </cell>
          <cell r="AZ55">
            <v>-22.192050208462916</v>
          </cell>
          <cell r="BA55">
            <v>210.4135206681494</v>
          </cell>
          <cell r="BB55">
            <v>175</v>
          </cell>
          <cell r="BC55">
            <v>-16.83043967692614</v>
          </cell>
          <cell r="BD55">
            <v>178.3625915201539</v>
          </cell>
          <cell r="BE55">
            <v>175</v>
          </cell>
          <cell r="BF55">
            <v>-1.8852560346287333</v>
          </cell>
          <cell r="BG55">
            <v>613.6888627091173</v>
          </cell>
          <cell r="BH55">
            <v>525</v>
          </cell>
          <cell r="BI55">
            <v>-14.451763442080745</v>
          </cell>
          <cell r="BJ55">
            <v>1270.9412783588389</v>
          </cell>
          <cell r="BK55">
            <v>1101.1872499999999</v>
          </cell>
          <cell r="BL55">
            <v>-13.356559523980652</v>
          </cell>
          <cell r="BM55">
            <v>2481.2150000000001</v>
          </cell>
          <cell r="BN55">
            <v>2401.3843973533612</v>
          </cell>
          <cell r="BO55">
            <v>-3.2173996468116992</v>
          </cell>
        </row>
        <row r="56">
          <cell r="B56">
            <v>51</v>
          </cell>
          <cell r="C56" t="str">
            <v>Stripping Ratio</v>
          </cell>
          <cell r="D56" t="str">
            <v>OB: ROM</v>
          </cell>
          <cell r="E56">
            <v>18.463758191118554</v>
          </cell>
          <cell r="F56">
            <v>18.463758191118554</v>
          </cell>
          <cell r="G56">
            <v>0</v>
          </cell>
          <cell r="H56">
            <v>19.880599550667682</v>
          </cell>
          <cell r="I56">
            <v>19.880599550667682</v>
          </cell>
          <cell r="J56">
            <v>0</v>
          </cell>
          <cell r="K56">
            <v>16.727957988412719</v>
          </cell>
          <cell r="L56">
            <v>16.727957988412719</v>
          </cell>
          <cell r="M56">
            <v>0</v>
          </cell>
          <cell r="N56">
            <v>18.149473973355352</v>
          </cell>
          <cell r="O56">
            <v>18.149473973355352</v>
          </cell>
          <cell r="P56">
            <v>0</v>
          </cell>
          <cell r="Q56">
            <v>19.239402027608804</v>
          </cell>
          <cell r="R56">
            <v>19.239402027608804</v>
          </cell>
          <cell r="S56">
            <v>0</v>
          </cell>
          <cell r="T56">
            <v>24.373917618080927</v>
          </cell>
          <cell r="U56">
            <v>24.373917618080927</v>
          </cell>
          <cell r="V56">
            <v>0</v>
          </cell>
          <cell r="W56">
            <v>18.344566133108678</v>
          </cell>
          <cell r="X56">
            <v>16.860855167232724</v>
          </cell>
          <cell r="Y56">
            <v>-8.0880133937761514</v>
          </cell>
          <cell r="Z56">
            <v>20.337246220658972</v>
          </cell>
          <cell r="AA56">
            <v>19.732195803917598</v>
          </cell>
          <cell r="AB56">
            <v>-2.9750852705257218</v>
          </cell>
          <cell r="AC56">
            <v>19.151655367795858</v>
          </cell>
          <cell r="AD56">
            <v>18.872974158892617</v>
          </cell>
          <cell r="AE56">
            <v>-1.4551285700966188</v>
          </cell>
          <cell r="AF56">
            <v>17.670217693376564</v>
          </cell>
          <cell r="AG56">
            <v>17.679607565918275</v>
          </cell>
          <cell r="AH56">
            <v>5.3139540806167854E-2</v>
          </cell>
          <cell r="AI56">
            <v>16.594847775175644</v>
          </cell>
          <cell r="AJ56">
            <v>14.808973728577699</v>
          </cell>
          <cell r="AK56">
            <v>-10.761617526070031</v>
          </cell>
          <cell r="AL56">
            <v>114.37242522070599</v>
          </cell>
          <cell r="AM56">
            <v>111.11223008077378</v>
          </cell>
          <cell r="AN56">
            <v>-2.8505080080631022</v>
          </cell>
          <cell r="AO56">
            <v>17.198929527207852</v>
          </cell>
          <cell r="AP56">
            <v>18.064255285963558</v>
          </cell>
          <cell r="AQ56">
            <v>5.0312768442175626</v>
          </cell>
          <cell r="AR56">
            <v>18.466171993970018</v>
          </cell>
          <cell r="AS56">
            <v>18.1419660441919</v>
          </cell>
          <cell r="AT56">
            <v>-1.7556749167287369</v>
          </cell>
          <cell r="AU56">
            <v>17.157282741738069</v>
          </cell>
          <cell r="AV56">
            <v>16.798879428224634</v>
          </cell>
          <cell r="AW56">
            <v>-2.0889281764970655</v>
          </cell>
          <cell r="AX56">
            <v>17.718861209964416</v>
          </cell>
          <cell r="AY56">
            <v>18.119246569051143</v>
          </cell>
          <cell r="AZ56">
            <v>2.2596562744199669</v>
          </cell>
          <cell r="BA56">
            <v>16.259223766171541</v>
          </cell>
          <cell r="BB56">
            <v>16.636294238939477</v>
          </cell>
          <cell r="BC56">
            <v>2.3191173096003403</v>
          </cell>
          <cell r="BD56">
            <v>14.598787531624421</v>
          </cell>
          <cell r="BE56">
            <v>14.975934811215236</v>
          </cell>
          <cell r="BF56">
            <v>2.5834150868613248</v>
          </cell>
          <cell r="BG56">
            <v>16.160451462863278</v>
          </cell>
          <cell r="BH56">
            <v>16.544983359327617</v>
          </cell>
          <cell r="BI56">
            <v>2.3794625870941335</v>
          </cell>
          <cell r="BJ56">
            <v>16.674077052243224</v>
          </cell>
          <cell r="BK56">
            <v>16.678134887330934</v>
          </cell>
          <cell r="BL56">
            <v>2.4336190093139819E-2</v>
          </cell>
          <cell r="BM56">
            <v>17.902784522707638</v>
          </cell>
          <cell r="BN56">
            <v>17.755179927744187</v>
          </cell>
          <cell r="BO56">
            <v>-0.82447841996998172</v>
          </cell>
        </row>
        <row r="57">
          <cell r="B57">
            <v>52</v>
          </cell>
          <cell r="C57" t="str">
            <v>Hauling</v>
          </cell>
          <cell r="D57" t="str">
            <v>KTON</v>
          </cell>
          <cell r="E57">
            <v>168.56736001551263</v>
          </cell>
          <cell r="F57">
            <v>192.29906392827937</v>
          </cell>
          <cell r="G57">
            <v>14.078469230687835</v>
          </cell>
          <cell r="H57">
            <v>182.33396082976745</v>
          </cell>
          <cell r="I57">
            <v>247.37767832850216</v>
          </cell>
          <cell r="J57">
            <v>35.672848438509767</v>
          </cell>
          <cell r="K57">
            <v>181.15865970490844</v>
          </cell>
          <cell r="L57">
            <v>255.61235835396388</v>
          </cell>
          <cell r="M57">
            <v>41.098614203888445</v>
          </cell>
          <cell r="N57">
            <v>532.05998055018858</v>
          </cell>
          <cell r="O57">
            <v>695.28910061074544</v>
          </cell>
          <cell r="P57">
            <v>30.678706542026728</v>
          </cell>
          <cell r="Q57">
            <v>175.78017486607675</v>
          </cell>
          <cell r="R57">
            <v>209.8438751560756</v>
          </cell>
          <cell r="S57">
            <v>19.378579134962902</v>
          </cell>
          <cell r="T57">
            <v>205.38410051633645</v>
          </cell>
          <cell r="U57">
            <v>157.86832403205142</v>
          </cell>
          <cell r="V57">
            <v>-23.135080254425819</v>
          </cell>
          <cell r="W57">
            <v>204.63143426833335</v>
          </cell>
          <cell r="X57">
            <v>175.57536867561262</v>
          </cell>
          <cell r="Y57">
            <v>-14.199219047949146</v>
          </cell>
          <cell r="Z57">
            <v>585.79570965074652</v>
          </cell>
          <cell r="AA57">
            <v>543.28756786373958</v>
          </cell>
          <cell r="AB57">
            <v>-7.2564788520473185</v>
          </cell>
          <cell r="AC57">
            <v>1117.855690200935</v>
          </cell>
          <cell r="AD57">
            <v>1238.5766684744849</v>
          </cell>
          <cell r="AE57">
            <v>10.799334773869628</v>
          </cell>
          <cell r="AF57">
            <v>205.68223019682645</v>
          </cell>
          <cell r="AG57">
            <v>168.1235774445266</v>
          </cell>
          <cell r="AH57">
            <v>-18.260523875279993</v>
          </cell>
          <cell r="AI57">
            <v>190.65982420700772</v>
          </cell>
          <cell r="AJ57">
            <v>204.38602198622135</v>
          </cell>
          <cell r="AK57">
            <v>7.1993131412470515</v>
          </cell>
          <cell r="AL57">
            <v>1514.1977446047692</v>
          </cell>
          <cell r="AM57">
            <v>1611.0862679052329</v>
          </cell>
          <cell r="AN57">
            <v>6.3986704276694866</v>
          </cell>
          <cell r="AO57">
            <v>211.84424911889744</v>
          </cell>
          <cell r="AP57">
            <v>175</v>
          </cell>
          <cell r="AQ57">
            <v>-17.392140344682488</v>
          </cell>
          <cell r="AR57">
            <v>1726.0419937236666</v>
          </cell>
          <cell r="AS57">
            <v>1786.0862679052329</v>
          </cell>
          <cell r="AT57">
            <v>3.4787261491842512</v>
          </cell>
          <cell r="AU57">
            <v>608.18630352273158</v>
          </cell>
          <cell r="AV57">
            <v>547.50959943074793</v>
          </cell>
          <cell r="AW57">
            <v>-9.9766640157025179</v>
          </cell>
          <cell r="AX57">
            <v>208.23784169361537</v>
          </cell>
          <cell r="AY57">
            <v>175</v>
          </cell>
          <cell r="AZ57">
            <v>-15.961480114896162</v>
          </cell>
          <cell r="BA57">
            <v>194.53349347754357</v>
          </cell>
          <cell r="BB57">
            <v>175</v>
          </cell>
          <cell r="BC57">
            <v>-10.041198113680339</v>
          </cell>
          <cell r="BD57">
            <v>164.23967110517421</v>
          </cell>
          <cell r="BE57">
            <v>175</v>
          </cell>
          <cell r="BF57">
            <v>6.5516015846958151</v>
          </cell>
          <cell r="BG57">
            <v>567.01100627633321</v>
          </cell>
          <cell r="BH57">
            <v>525</v>
          </cell>
          <cell r="BI57">
            <v>-7.409204726417447</v>
          </cell>
          <cell r="BJ57">
            <v>1175.1973097990649</v>
          </cell>
          <cell r="BK57">
            <v>1072.509599430748</v>
          </cell>
          <cell r="BL57">
            <v>-8.7379123073277274</v>
          </cell>
          <cell r="BM57">
            <v>2293.0529999999999</v>
          </cell>
          <cell r="BN57">
            <v>2311.0862679052329</v>
          </cell>
          <cell r="BO57">
            <v>0.786430488315493</v>
          </cell>
        </row>
        <row r="58">
          <cell r="B58">
            <v>53</v>
          </cell>
          <cell r="C58" t="str">
            <v>ROM Stock</v>
          </cell>
          <cell r="D58" t="str">
            <v>KTON</v>
          </cell>
          <cell r="E58">
            <v>71.611238935902804</v>
          </cell>
          <cell r="F58">
            <v>398.10576599999996</v>
          </cell>
          <cell r="G58">
            <v>455.92637680285515</v>
          </cell>
          <cell r="H58">
            <v>53.285460939265619</v>
          </cell>
          <cell r="I58">
            <v>327.45264299999997</v>
          </cell>
          <cell r="J58">
            <v>514.52530808212043</v>
          </cell>
          <cell r="K58">
            <v>125.73231602595777</v>
          </cell>
          <cell r="L58">
            <v>315.55144589120482</v>
          </cell>
          <cell r="M58">
            <v>150.97083698518557</v>
          </cell>
          <cell r="N58">
            <v>125.73231602595777</v>
          </cell>
          <cell r="O58">
            <v>315.55144589120482</v>
          </cell>
          <cell r="P58">
            <v>150.97083698518557</v>
          </cell>
          <cell r="Q58">
            <v>105.84106979434301</v>
          </cell>
          <cell r="R58">
            <v>313.27196299999997</v>
          </cell>
          <cell r="S58">
            <v>195.98336790124139</v>
          </cell>
          <cell r="T58">
            <v>47.558533622257016</v>
          </cell>
          <cell r="U58">
            <v>338.09529199614713</v>
          </cell>
          <cell r="V58">
            <v>610.90352507824423</v>
          </cell>
          <cell r="W58">
            <v>63.861369904775842</v>
          </cell>
          <cell r="X58">
            <v>379.55715199999997</v>
          </cell>
          <cell r="Y58">
            <v>494.34545886810827</v>
          </cell>
          <cell r="Z58">
            <v>63.861369904775842</v>
          </cell>
          <cell r="AA58">
            <v>379.55715199999997</v>
          </cell>
          <cell r="AB58">
            <v>494.34545886810827</v>
          </cell>
          <cell r="AC58">
            <v>63.861369904775842</v>
          </cell>
          <cell r="AD58">
            <v>379.55715199999997</v>
          </cell>
          <cell r="AE58">
            <v>494.34545886810827</v>
          </cell>
          <cell r="AF58">
            <v>57.552461837599964</v>
          </cell>
          <cell r="AG58">
            <v>425.79294501144409</v>
          </cell>
          <cell r="AH58">
            <v>639.83445958043558</v>
          </cell>
          <cell r="AI58">
            <v>64.737291579201127</v>
          </cell>
          <cell r="AJ58">
            <v>439.97206601144404</v>
          </cell>
          <cell r="AK58">
            <v>579.62692797113993</v>
          </cell>
          <cell r="AL58">
            <v>64.737291579201127</v>
          </cell>
          <cell r="AM58">
            <v>439.97206601144404</v>
          </cell>
          <cell r="AN58">
            <v>579.62692797113993</v>
          </cell>
          <cell r="AO58">
            <v>60.208954255054266</v>
          </cell>
          <cell r="AP58">
            <v>470.13806601144404</v>
          </cell>
          <cell r="AQ58">
            <v>680.84409840414742</v>
          </cell>
          <cell r="AR58">
            <v>60.208954255054266</v>
          </cell>
          <cell r="AS58">
            <v>470.13806601144404</v>
          </cell>
          <cell r="AT58">
            <v>680.84409840414742</v>
          </cell>
          <cell r="AU58">
            <v>60.208954255054266</v>
          </cell>
          <cell r="AV58">
            <v>470.13806601144404</v>
          </cell>
          <cell r="AW58">
            <v>680.84409840414742</v>
          </cell>
          <cell r="AX58">
            <v>31.996203734240282</v>
          </cell>
          <cell r="AY58">
            <v>491.82806601144398</v>
          </cell>
          <cell r="AZ58">
            <v>1437.1450628848233</v>
          </cell>
          <cell r="BA58">
            <v>30.282683066090868</v>
          </cell>
          <cell r="BB58">
            <v>525.52806601144403</v>
          </cell>
          <cell r="BC58">
            <v>1635.4078727584933</v>
          </cell>
          <cell r="BD58">
            <v>61.410091545936979</v>
          </cell>
          <cell r="BE58">
            <v>560.01706601144406</v>
          </cell>
          <cell r="BF58">
            <v>811.93002959868727</v>
          </cell>
          <cell r="BG58">
            <v>61.410091545936979</v>
          </cell>
          <cell r="BH58">
            <v>560.01706601144406</v>
          </cell>
          <cell r="BI58">
            <v>811.93002959868727</v>
          </cell>
          <cell r="BJ58">
            <v>61.410091545936979</v>
          </cell>
          <cell r="BK58">
            <v>560.01706601144406</v>
          </cell>
          <cell r="BL58">
            <v>811.93002959868727</v>
          </cell>
          <cell r="BM58">
            <v>61.410091545936979</v>
          </cell>
          <cell r="BN58">
            <v>560.01706601144406</v>
          </cell>
          <cell r="BO58">
            <v>811.93002959868727</v>
          </cell>
        </row>
        <row r="59">
          <cell r="B59">
            <v>54</v>
          </cell>
          <cell r="C59" t="str">
            <v>FC Stock</v>
          </cell>
          <cell r="D59" t="str">
            <v>KTON</v>
          </cell>
          <cell r="E59">
            <v>180.64531078090698</v>
          </cell>
          <cell r="F59">
            <v>145.11597499999999</v>
          </cell>
          <cell r="G59">
            <v>-19.668008888422364</v>
          </cell>
          <cell r="H59">
            <v>181.15169970033514</v>
          </cell>
          <cell r="I59">
            <v>167.06237610892231</v>
          </cell>
          <cell r="J59">
            <v>-7.7776380871499882</v>
          </cell>
          <cell r="K59">
            <v>188.41461750484802</v>
          </cell>
          <cell r="L59">
            <v>121.65334610892228</v>
          </cell>
          <cell r="M59">
            <v>-35.43316982516388</v>
          </cell>
          <cell r="N59">
            <v>188.41461750484802</v>
          </cell>
          <cell r="O59">
            <v>121.65334610892228</v>
          </cell>
          <cell r="P59">
            <v>-35.43316982516388</v>
          </cell>
          <cell r="Q59">
            <v>179.48708679566684</v>
          </cell>
          <cell r="R59">
            <v>94.006206999999989</v>
          </cell>
          <cell r="S59">
            <v>-47.62508619518723</v>
          </cell>
          <cell r="T59">
            <v>220.38057302043387</v>
          </cell>
          <cell r="U59">
            <v>30.890831999999996</v>
          </cell>
          <cell r="V59">
            <v>-85.982960486659692</v>
          </cell>
          <cell r="W59">
            <v>200.47773673791511</v>
          </cell>
          <cell r="X59">
            <v>72.262098999999992</v>
          </cell>
          <cell r="Y59">
            <v>-63.955050483002843</v>
          </cell>
          <cell r="Z59">
            <v>200.47773673791511</v>
          </cell>
          <cell r="AA59">
            <v>72.262098999999992</v>
          </cell>
          <cell r="AB59">
            <v>-63.955050483002843</v>
          </cell>
          <cell r="AC59">
            <v>200.47773673791511</v>
          </cell>
          <cell r="AD59">
            <v>72.262098999999992</v>
          </cell>
          <cell r="AE59">
            <v>-63.955050483002843</v>
          </cell>
          <cell r="AF59">
            <v>223.68664480509099</v>
          </cell>
          <cell r="AG59">
            <v>79.156847999999997</v>
          </cell>
          <cell r="AH59">
            <v>-64.61261776760378</v>
          </cell>
          <cell r="AI59">
            <v>231.0018150634898</v>
          </cell>
          <cell r="AJ59">
            <v>73.289923999999999</v>
          </cell>
          <cell r="AK59">
            <v>-68.273009465377328</v>
          </cell>
          <cell r="AL59">
            <v>231.0018150634898</v>
          </cell>
          <cell r="AM59">
            <v>73.289923999999999</v>
          </cell>
          <cell r="AN59">
            <v>-68.273009465377328</v>
          </cell>
          <cell r="AO59">
            <v>230.73015238763662</v>
          </cell>
          <cell r="AP59">
            <v>94.289923999999985</v>
          </cell>
          <cell r="AQ59">
            <v>-59.134112718138013</v>
          </cell>
          <cell r="AR59">
            <v>230.73015238763662</v>
          </cell>
          <cell r="AS59">
            <v>94.289923999999985</v>
          </cell>
          <cell r="AT59">
            <v>-59.134112718138013</v>
          </cell>
          <cell r="AU59">
            <v>230.73015238763662</v>
          </cell>
          <cell r="AV59">
            <v>94.289923999999985</v>
          </cell>
          <cell r="AW59">
            <v>-59.134112718138013</v>
          </cell>
          <cell r="AX59">
            <v>226.64290290845062</v>
          </cell>
          <cell r="AY59">
            <v>114.28992399999998</v>
          </cell>
          <cell r="AZ59">
            <v>-49.572687900946157</v>
          </cell>
          <cell r="BA59">
            <v>212.05642357660003</v>
          </cell>
          <cell r="BB59">
            <v>129.78992399999998</v>
          </cell>
          <cell r="BC59">
            <v>-38.794627481248334</v>
          </cell>
          <cell r="BD59">
            <v>214.91901509675392</v>
          </cell>
          <cell r="BE59">
            <v>225.28992399999998</v>
          </cell>
          <cell r="BF59">
            <v>4.8254961984528011</v>
          </cell>
          <cell r="BG59">
            <v>214.91901509675392</v>
          </cell>
          <cell r="BH59">
            <v>225.28992399999998</v>
          </cell>
          <cell r="BI59">
            <v>4.8254961984528011</v>
          </cell>
          <cell r="BJ59">
            <v>214.91901509675392</v>
          </cell>
          <cell r="BK59">
            <v>225.28992399999998</v>
          </cell>
          <cell r="BL59">
            <v>4.8254961984528011</v>
          </cell>
          <cell r="BM59">
            <v>214.91901509675392</v>
          </cell>
          <cell r="BN59">
            <v>225.28992399999998</v>
          </cell>
          <cell r="BO59">
            <v>4.8254961984528011</v>
          </cell>
        </row>
        <row r="60">
          <cell r="B60">
            <v>55</v>
          </cell>
          <cell r="C60" t="str">
            <v>Sales</v>
          </cell>
          <cell r="D60" t="str">
            <v>KTON</v>
          </cell>
          <cell r="E60">
            <v>123.5</v>
          </cell>
          <cell r="F60">
            <v>70.682000000000002</v>
          </cell>
          <cell r="G60">
            <v>-42.767611336032388</v>
          </cell>
          <cell r="H60">
            <v>197</v>
          </cell>
          <cell r="I60">
            <v>217.86699999999999</v>
          </cell>
          <cell r="J60">
            <v>10.592385786802025</v>
          </cell>
          <cell r="K60">
            <v>189</v>
          </cell>
          <cell r="L60">
            <v>326.44099999999997</v>
          </cell>
          <cell r="M60">
            <v>72.7201058201058</v>
          </cell>
          <cell r="N60">
            <v>509.5</v>
          </cell>
          <cell r="O60">
            <v>614.99</v>
          </cell>
          <cell r="P60">
            <v>20.704612365063792</v>
          </cell>
          <cell r="Q60">
            <v>199.5</v>
          </cell>
          <cell r="R60">
            <v>216.654</v>
          </cell>
          <cell r="S60">
            <v>8.5984962406015022</v>
          </cell>
          <cell r="T60">
            <v>181</v>
          </cell>
          <cell r="U60">
            <v>179.22399999999999</v>
          </cell>
          <cell r="V60">
            <v>-0.98121546961326556</v>
          </cell>
          <cell r="W60">
            <v>241</v>
          </cell>
          <cell r="X60">
            <v>163.97900000000001</v>
          </cell>
          <cell r="Y60">
            <v>-31.958921161825721</v>
          </cell>
          <cell r="Z60">
            <v>621.5</v>
          </cell>
          <cell r="AA60">
            <v>559.85699999999997</v>
          </cell>
          <cell r="AB60">
            <v>-9.9184231697506071</v>
          </cell>
          <cell r="AC60">
            <v>1131</v>
          </cell>
          <cell r="AD60">
            <v>1174.847</v>
          </cell>
          <cell r="AE60">
            <v>3.8768346595932783</v>
          </cell>
          <cell r="AF60">
            <v>199</v>
          </cell>
          <cell r="AG60">
            <v>180.911</v>
          </cell>
          <cell r="AH60">
            <v>-9.0899497487437184</v>
          </cell>
          <cell r="AI60">
            <v>199</v>
          </cell>
          <cell r="AJ60">
            <v>0</v>
          </cell>
          <cell r="AK60">
            <v>-100</v>
          </cell>
          <cell r="AL60">
            <v>1529</v>
          </cell>
          <cell r="AM60">
            <v>1355.758</v>
          </cell>
          <cell r="AN60">
            <v>-11.330412034009154</v>
          </cell>
          <cell r="AO60">
            <v>229</v>
          </cell>
          <cell r="AP60">
            <v>154</v>
          </cell>
          <cell r="AQ60">
            <v>-32.751091703056765</v>
          </cell>
          <cell r="AR60">
            <v>1758</v>
          </cell>
          <cell r="AS60">
            <v>1509.758</v>
          </cell>
          <cell r="AT60">
            <v>-14.120705346985208</v>
          </cell>
          <cell r="AU60">
            <v>627</v>
          </cell>
          <cell r="AV60">
            <v>334.911</v>
          </cell>
          <cell r="AW60">
            <v>-46.585167464114832</v>
          </cell>
          <cell r="AX60">
            <v>229</v>
          </cell>
          <cell r="AY60">
            <v>155</v>
          </cell>
          <cell r="AZ60">
            <v>-32.314410480349345</v>
          </cell>
          <cell r="BA60">
            <v>225</v>
          </cell>
          <cell r="BB60">
            <v>159.5</v>
          </cell>
          <cell r="BC60">
            <v>-29.111111111111111</v>
          </cell>
          <cell r="BD60">
            <v>175.5</v>
          </cell>
          <cell r="BE60">
            <v>79.5</v>
          </cell>
          <cell r="BF60">
            <v>-54.700854700854705</v>
          </cell>
          <cell r="BG60">
            <v>629.5</v>
          </cell>
          <cell r="BH60">
            <v>394</v>
          </cell>
          <cell r="BI60">
            <v>-37.410643367752186</v>
          </cell>
          <cell r="BJ60">
            <v>1256.5</v>
          </cell>
          <cell r="BK60">
            <v>728.91100000000006</v>
          </cell>
          <cell r="BL60">
            <v>-41.988778352566648</v>
          </cell>
          <cell r="BM60">
            <v>2387.5</v>
          </cell>
          <cell r="BN60">
            <v>1903.758</v>
          </cell>
          <cell r="BO60">
            <v>-20.261445026178009</v>
          </cell>
        </row>
        <row r="61">
          <cell r="B61">
            <v>56</v>
          </cell>
        </row>
        <row r="62">
          <cell r="B62">
            <v>57</v>
          </cell>
          <cell r="C62" t="str">
            <v>EMBALUT</v>
          </cell>
          <cell r="E62" t="str">
            <v>JANUARY</v>
          </cell>
          <cell r="H62" t="str">
            <v>FEBRUARY</v>
          </cell>
          <cell r="K62" t="str">
            <v>MARCH</v>
          </cell>
          <cell r="N62" t="str">
            <v>Q1</v>
          </cell>
          <cell r="Q62" t="str">
            <v>APRIL</v>
          </cell>
          <cell r="T62" t="str">
            <v>MAY</v>
          </cell>
          <cell r="W62" t="str">
            <v>JUNE</v>
          </cell>
          <cell r="Z62" t="str">
            <v>Q2</v>
          </cell>
          <cell r="AC62" t="str">
            <v>1st HALF</v>
          </cell>
          <cell r="AF62" t="str">
            <v>JULY</v>
          </cell>
          <cell r="AI62" t="str">
            <v>AUG</v>
          </cell>
          <cell r="AL62" t="str">
            <v>Jan-Aug</v>
          </cell>
          <cell r="AO62" t="str">
            <v>SEP</v>
          </cell>
          <cell r="AR62" t="str">
            <v>Jan-Sep</v>
          </cell>
          <cell r="AU62" t="str">
            <v>Q3</v>
          </cell>
          <cell r="AX62" t="str">
            <v>OCTOBER</v>
          </cell>
          <cell r="BA62" t="str">
            <v>NOVEMBER</v>
          </cell>
          <cell r="BD62" t="str">
            <v>DECEMBER</v>
          </cell>
          <cell r="BG62" t="str">
            <v>Q4</v>
          </cell>
          <cell r="BJ62" t="str">
            <v>2nd HALF</v>
          </cell>
          <cell r="BM62" t="str">
            <v>YTD 2013</v>
          </cell>
        </row>
        <row r="63">
          <cell r="B63">
            <v>58</v>
          </cell>
          <cell r="E63" t="str">
            <v>Plan</v>
          </cell>
          <cell r="F63" t="str">
            <v>Actual</v>
          </cell>
          <cell r="G63" t="str">
            <v>% var</v>
          </cell>
          <cell r="H63" t="str">
            <v>Plan</v>
          </cell>
          <cell r="I63" t="str">
            <v>Actual</v>
          </cell>
          <cell r="J63" t="str">
            <v>% var</v>
          </cell>
          <cell r="K63" t="str">
            <v>Plan</v>
          </cell>
          <cell r="L63" t="str">
            <v>Actual</v>
          </cell>
          <cell r="M63" t="str">
            <v>% var</v>
          </cell>
          <cell r="N63" t="str">
            <v>Plan</v>
          </cell>
          <cell r="O63" t="str">
            <v>Actual</v>
          </cell>
          <cell r="P63" t="str">
            <v>% var</v>
          </cell>
          <cell r="Q63" t="str">
            <v>Plan</v>
          </cell>
          <cell r="R63" t="str">
            <v>Actual</v>
          </cell>
          <cell r="S63" t="str">
            <v>% var</v>
          </cell>
          <cell r="T63" t="str">
            <v>Plan</v>
          </cell>
          <cell r="U63" t="str">
            <v>Actual</v>
          </cell>
          <cell r="V63" t="str">
            <v>% var</v>
          </cell>
          <cell r="W63" t="str">
            <v>Plan</v>
          </cell>
          <cell r="X63" t="str">
            <v>Actual</v>
          </cell>
          <cell r="Y63" t="str">
            <v>% var</v>
          </cell>
          <cell r="Z63" t="str">
            <v>Plan</v>
          </cell>
          <cell r="AA63" t="str">
            <v>Actual</v>
          </cell>
          <cell r="AB63" t="str">
            <v>% var</v>
          </cell>
          <cell r="AC63" t="str">
            <v>Plan</v>
          </cell>
          <cell r="AD63" t="str">
            <v>Actual</v>
          </cell>
          <cell r="AE63" t="str">
            <v>% var</v>
          </cell>
          <cell r="AF63" t="str">
            <v>Plan</v>
          </cell>
          <cell r="AG63" t="str">
            <v>Actual</v>
          </cell>
          <cell r="AH63" t="str">
            <v>% var</v>
          </cell>
          <cell r="AI63" t="str">
            <v>Plan</v>
          </cell>
          <cell r="AJ63" t="str">
            <v>Actual</v>
          </cell>
          <cell r="AK63" t="str">
            <v>% var</v>
          </cell>
          <cell r="AL63" t="str">
            <v>Plan</v>
          </cell>
          <cell r="AM63" t="str">
            <v>Actual</v>
          </cell>
          <cell r="AN63" t="str">
            <v>% var</v>
          </cell>
          <cell r="AO63" t="str">
            <v>Plan</v>
          </cell>
          <cell r="AP63" t="str">
            <v>Est.</v>
          </cell>
          <cell r="AQ63" t="str">
            <v>% var</v>
          </cell>
          <cell r="AR63" t="str">
            <v>Plan</v>
          </cell>
          <cell r="AS63" t="str">
            <v>Est.</v>
          </cell>
          <cell r="AT63" t="str">
            <v>% var</v>
          </cell>
          <cell r="AU63" t="str">
            <v>Plan</v>
          </cell>
          <cell r="AV63" t="str">
            <v>Est.</v>
          </cell>
          <cell r="AW63" t="str">
            <v>% var</v>
          </cell>
          <cell r="AX63" t="str">
            <v>Plan</v>
          </cell>
          <cell r="AY63" t="str">
            <v>Est.</v>
          </cell>
          <cell r="AZ63" t="str">
            <v>% var</v>
          </cell>
          <cell r="BA63" t="str">
            <v>Plan</v>
          </cell>
          <cell r="BB63" t="str">
            <v>Est.</v>
          </cell>
          <cell r="BC63" t="str">
            <v>% var</v>
          </cell>
          <cell r="BD63" t="str">
            <v>Plan</v>
          </cell>
          <cell r="BE63" t="str">
            <v>Est.</v>
          </cell>
          <cell r="BF63" t="str">
            <v>% var</v>
          </cell>
          <cell r="BG63" t="str">
            <v>Plan</v>
          </cell>
          <cell r="BH63" t="str">
            <v>Est.</v>
          </cell>
          <cell r="BI63" t="str">
            <v>% var</v>
          </cell>
          <cell r="BJ63" t="str">
            <v>Plan</v>
          </cell>
          <cell r="BK63" t="str">
            <v>Est.</v>
          </cell>
          <cell r="BL63" t="str">
            <v>% var</v>
          </cell>
          <cell r="BM63" t="str">
            <v>Plan</v>
          </cell>
          <cell r="BN63" t="str">
            <v>Est.</v>
          </cell>
          <cell r="BO63" t="str">
            <v>% var</v>
          </cell>
        </row>
        <row r="64">
          <cell r="B64">
            <v>59</v>
          </cell>
          <cell r="C64" t="str">
            <v>OB Removal</v>
          </cell>
          <cell r="D64" t="str">
            <v>KTON</v>
          </cell>
          <cell r="E64">
            <v>995</v>
          </cell>
          <cell r="F64">
            <v>1318.45218</v>
          </cell>
          <cell r="G64">
            <v>32.507756783919604</v>
          </cell>
          <cell r="H64">
            <v>931</v>
          </cell>
          <cell r="I64">
            <v>1134.707975</v>
          </cell>
          <cell r="J64">
            <v>21.880555853920519</v>
          </cell>
          <cell r="K64">
            <v>1029</v>
          </cell>
          <cell r="L64">
            <v>408.76806699999997</v>
          </cell>
          <cell r="M64">
            <v>-60.275212147716232</v>
          </cell>
          <cell r="N64">
            <v>2955</v>
          </cell>
          <cell r="O64">
            <v>2861.928222</v>
          </cell>
          <cell r="P64">
            <v>-3.1496371573604063</v>
          </cell>
          <cell r="Q64">
            <v>1021</v>
          </cell>
          <cell r="R64">
            <v>1117.2450103076922</v>
          </cell>
          <cell r="S64">
            <v>9.4265436148572128</v>
          </cell>
          <cell r="T64">
            <v>1039</v>
          </cell>
          <cell r="U64">
            <v>733.80893300000002</v>
          </cell>
          <cell r="V64">
            <v>-29.373538691049085</v>
          </cell>
          <cell r="W64">
            <v>1019</v>
          </cell>
          <cell r="X64">
            <v>1170.0892920000001</v>
          </cell>
          <cell r="Y64">
            <v>14.827212168792943</v>
          </cell>
          <cell r="Z64">
            <v>3079</v>
          </cell>
          <cell r="AA64">
            <v>3021.1432353076925</v>
          </cell>
          <cell r="AB64">
            <v>-1.879076475878775</v>
          </cell>
          <cell r="AC64">
            <v>6034</v>
          </cell>
          <cell r="AD64">
            <v>5883.071457307693</v>
          </cell>
          <cell r="AE64">
            <v>-2.5013016687488734</v>
          </cell>
          <cell r="AF64">
            <v>1065</v>
          </cell>
          <cell r="AG64">
            <v>1073.6147639999999</v>
          </cell>
          <cell r="AH64">
            <v>0.8088980281690068</v>
          </cell>
          <cell r="AI64">
            <v>947</v>
          </cell>
          <cell r="AJ64">
            <v>1144.9606240000003</v>
          </cell>
          <cell r="AK64">
            <v>20.903972967265076</v>
          </cell>
          <cell r="AL64">
            <v>8046</v>
          </cell>
          <cell r="AM64">
            <v>8101.6468453076932</v>
          </cell>
          <cell r="AN64">
            <v>0.69160881565614196</v>
          </cell>
          <cell r="AO64">
            <v>952</v>
          </cell>
          <cell r="AP64">
            <v>1002</v>
          </cell>
          <cell r="AQ64">
            <v>5.2521008403361344</v>
          </cell>
          <cell r="AR64">
            <v>8998</v>
          </cell>
          <cell r="AS64">
            <v>9103.6468453076923</v>
          </cell>
          <cell r="AT64">
            <v>1.1741147511412788</v>
          </cell>
          <cell r="AU64">
            <v>2964</v>
          </cell>
          <cell r="AV64">
            <v>3220.5753880000002</v>
          </cell>
          <cell r="AW64">
            <v>8.6563896086369851</v>
          </cell>
          <cell r="AX64">
            <v>958</v>
          </cell>
          <cell r="AY64">
            <v>1008</v>
          </cell>
          <cell r="AZ64">
            <v>5.2192066805845512</v>
          </cell>
          <cell r="BA64">
            <v>892</v>
          </cell>
          <cell r="BB64">
            <v>997</v>
          </cell>
          <cell r="BC64">
            <v>11.771300448430495</v>
          </cell>
          <cell r="BD64">
            <v>815</v>
          </cell>
          <cell r="BE64">
            <v>975</v>
          </cell>
          <cell r="BF64">
            <v>19.631901840490798</v>
          </cell>
          <cell r="BG64">
            <v>2665</v>
          </cell>
          <cell r="BH64">
            <v>2980</v>
          </cell>
          <cell r="BI64">
            <v>11.819887429643527</v>
          </cell>
          <cell r="BJ64">
            <v>5629</v>
          </cell>
          <cell r="BK64">
            <v>6200.5753880000002</v>
          </cell>
          <cell r="BL64">
            <v>10.154119523894122</v>
          </cell>
          <cell r="BM64">
            <v>11663</v>
          </cell>
          <cell r="BN64">
            <v>12083.646845307692</v>
          </cell>
          <cell r="BO64">
            <v>3.6066779156965816</v>
          </cell>
        </row>
        <row r="65">
          <cell r="B65">
            <v>60</v>
          </cell>
          <cell r="C65" t="str">
            <v>ROM Production</v>
          </cell>
          <cell r="D65" t="str">
            <v>KTON</v>
          </cell>
          <cell r="E65">
            <v>75</v>
          </cell>
          <cell r="F65">
            <v>100.30617000000001</v>
          </cell>
          <cell r="G65">
            <v>33.741560000000007</v>
          </cell>
          <cell r="H65">
            <v>70</v>
          </cell>
          <cell r="I65">
            <v>75.64694999999999</v>
          </cell>
          <cell r="J65">
            <v>8.0670714285714133</v>
          </cell>
          <cell r="K65">
            <v>75</v>
          </cell>
          <cell r="L65">
            <v>32.126739999999998</v>
          </cell>
          <cell r="M65">
            <v>-57.164346666666667</v>
          </cell>
          <cell r="N65">
            <v>220</v>
          </cell>
          <cell r="O65">
            <v>208.07986</v>
          </cell>
          <cell r="P65">
            <v>-5.4182454545454561</v>
          </cell>
          <cell r="Q65">
            <v>80</v>
          </cell>
          <cell r="R65">
            <v>104.19136</v>
          </cell>
          <cell r="S65">
            <v>30.239200000000004</v>
          </cell>
          <cell r="T65">
            <v>80</v>
          </cell>
          <cell r="U65">
            <v>85.232349999999997</v>
          </cell>
          <cell r="V65">
            <v>6.5404374999999959</v>
          </cell>
          <cell r="W65">
            <v>90</v>
          </cell>
          <cell r="X65">
            <v>98.448205000000002</v>
          </cell>
          <cell r="Y65">
            <v>9.3868944444444455</v>
          </cell>
          <cell r="Z65">
            <v>250</v>
          </cell>
          <cell r="AA65">
            <v>287.871915</v>
          </cell>
          <cell r="AB65">
            <v>15.148766</v>
          </cell>
          <cell r="AC65">
            <v>470</v>
          </cell>
          <cell r="AD65">
            <v>495.951775</v>
          </cell>
          <cell r="AE65">
            <v>5.5216542553191488</v>
          </cell>
          <cell r="AF65">
            <v>95</v>
          </cell>
          <cell r="AG65">
            <v>76.757540000000006</v>
          </cell>
          <cell r="AH65">
            <v>-19.202589473684203</v>
          </cell>
          <cell r="AI65">
            <v>90</v>
          </cell>
          <cell r="AJ65">
            <v>75.784455999999992</v>
          </cell>
          <cell r="AK65">
            <v>-15.7950488888889</v>
          </cell>
          <cell r="AL65">
            <v>655</v>
          </cell>
          <cell r="AM65">
            <v>648.49377100000004</v>
          </cell>
          <cell r="AN65">
            <v>-0.99331740458014683</v>
          </cell>
          <cell r="AO65">
            <v>95</v>
          </cell>
          <cell r="AP65">
            <v>98</v>
          </cell>
          <cell r="AQ65">
            <v>3.1578947368421053</v>
          </cell>
          <cell r="AR65">
            <v>750</v>
          </cell>
          <cell r="AS65">
            <v>746.49377100000004</v>
          </cell>
          <cell r="AT65">
            <v>-0.46749719999999489</v>
          </cell>
          <cell r="AU65">
            <v>280</v>
          </cell>
          <cell r="AV65">
            <v>250.54199599999998</v>
          </cell>
          <cell r="AW65">
            <v>-10.520715714285721</v>
          </cell>
          <cell r="AX65">
            <v>95</v>
          </cell>
          <cell r="AY65">
            <v>100</v>
          </cell>
          <cell r="AZ65">
            <v>5.2631578947368416</v>
          </cell>
          <cell r="BA65">
            <v>95</v>
          </cell>
          <cell r="BB65">
            <v>100</v>
          </cell>
          <cell r="BC65">
            <v>5.2631578947368416</v>
          </cell>
          <cell r="BD65">
            <v>93</v>
          </cell>
          <cell r="BE65">
            <v>100</v>
          </cell>
          <cell r="BF65">
            <v>7.5268817204301079</v>
          </cell>
          <cell r="BG65">
            <v>283</v>
          </cell>
          <cell r="BH65">
            <v>300</v>
          </cell>
          <cell r="BI65">
            <v>6.0070671378091873</v>
          </cell>
          <cell r="BJ65">
            <v>563</v>
          </cell>
          <cell r="BK65">
            <v>550.54199599999993</v>
          </cell>
          <cell r="BL65">
            <v>-2.2127893428064072</v>
          </cell>
          <cell r="BM65">
            <v>1033</v>
          </cell>
          <cell r="BN65">
            <v>1046.4937709999999</v>
          </cell>
          <cell r="BO65">
            <v>1.3062701839302926</v>
          </cell>
        </row>
        <row r="66">
          <cell r="B66">
            <v>61</v>
          </cell>
          <cell r="C66" t="str">
            <v>F/C Production</v>
          </cell>
          <cell r="D66" t="str">
            <v>KTON</v>
          </cell>
          <cell r="E66">
            <v>83.3</v>
          </cell>
          <cell r="F66">
            <v>105.98062</v>
          </cell>
          <cell r="G66">
            <v>27.227635054021615</v>
          </cell>
          <cell r="H66">
            <v>68.599999999999994</v>
          </cell>
          <cell r="I66">
            <v>79.334182000000013</v>
          </cell>
          <cell r="J66">
            <v>15.647495626822186</v>
          </cell>
          <cell r="K66">
            <v>73.5</v>
          </cell>
          <cell r="L66">
            <v>31.430359999999993</v>
          </cell>
          <cell r="M66">
            <v>-57.237605442176879</v>
          </cell>
          <cell r="N66">
            <v>225.39999999999998</v>
          </cell>
          <cell r="O66">
            <v>216.74516199999999</v>
          </cell>
          <cell r="P66">
            <v>-3.8397684117125039</v>
          </cell>
          <cell r="Q66">
            <v>78.400000000000006</v>
          </cell>
          <cell r="R66">
            <v>115.306229</v>
          </cell>
          <cell r="S66">
            <v>47.074271683673466</v>
          </cell>
          <cell r="T66">
            <v>78.400000000000006</v>
          </cell>
          <cell r="U66">
            <v>79.52964099999997</v>
          </cell>
          <cell r="V66">
            <v>1.4408686224489335</v>
          </cell>
          <cell r="W66">
            <v>88.2</v>
          </cell>
          <cell r="X66">
            <v>99.942645000000013</v>
          </cell>
          <cell r="Y66">
            <v>13.313656462585044</v>
          </cell>
          <cell r="Z66">
            <v>245</v>
          </cell>
          <cell r="AA66">
            <v>294.77851499999997</v>
          </cell>
          <cell r="AB66">
            <v>20.317761224489782</v>
          </cell>
          <cell r="AC66">
            <v>470.4</v>
          </cell>
          <cell r="AD66">
            <v>511.52367699999996</v>
          </cell>
          <cell r="AE66">
            <v>8.7422782738095215</v>
          </cell>
          <cell r="AF66">
            <v>93.1</v>
          </cell>
          <cell r="AG66">
            <v>86.769767999999999</v>
          </cell>
          <cell r="AH66">
            <v>-6.7993899033297485</v>
          </cell>
          <cell r="AI66">
            <v>88.2</v>
          </cell>
          <cell r="AJ66">
            <v>76.76046599999998</v>
          </cell>
          <cell r="AK66">
            <v>-12.969993197278937</v>
          </cell>
          <cell r="AL66">
            <v>651.69999999999993</v>
          </cell>
          <cell r="AM66">
            <v>675.05391099999997</v>
          </cell>
          <cell r="AN66">
            <v>3.5835370569280407</v>
          </cell>
          <cell r="AO66">
            <v>93.1</v>
          </cell>
          <cell r="AP66">
            <v>96.04</v>
          </cell>
          <cell r="AQ66">
            <v>3.1578947368421186</v>
          </cell>
          <cell r="AR66">
            <v>744.8</v>
          </cell>
          <cell r="AS66">
            <v>771.09391099999993</v>
          </cell>
          <cell r="AT66">
            <v>3.5303317669172904</v>
          </cell>
          <cell r="AU66">
            <v>274.39999999999998</v>
          </cell>
          <cell r="AV66">
            <v>259.57023399999997</v>
          </cell>
          <cell r="AW66">
            <v>-5.4044336734693905</v>
          </cell>
          <cell r="AX66">
            <v>93.1</v>
          </cell>
          <cell r="AY66">
            <v>98</v>
          </cell>
          <cell r="AZ66">
            <v>5.2631578947368487</v>
          </cell>
          <cell r="BA66">
            <v>93.1</v>
          </cell>
          <cell r="BB66">
            <v>98</v>
          </cell>
          <cell r="BC66">
            <v>5.2631578947368487</v>
          </cell>
          <cell r="BD66">
            <v>91.14</v>
          </cell>
          <cell r="BE66">
            <v>93.882853400000002</v>
          </cell>
          <cell r="BF66">
            <v>3.0094946236559155</v>
          </cell>
          <cell r="BG66">
            <v>277.33999999999997</v>
          </cell>
          <cell r="BH66">
            <v>289.88285339999999</v>
          </cell>
          <cell r="BI66">
            <v>4.5225547703180258</v>
          </cell>
          <cell r="BJ66">
            <v>551.74</v>
          </cell>
          <cell r="BK66">
            <v>549.45308739999996</v>
          </cell>
          <cell r="BL66">
            <v>-0.41449099213398527</v>
          </cell>
          <cell r="BM66">
            <v>1022.14</v>
          </cell>
          <cell r="BN66">
            <v>1060.9767643999999</v>
          </cell>
          <cell r="BO66">
            <v>3.7995543076290801</v>
          </cell>
        </row>
        <row r="67">
          <cell r="B67">
            <v>62</v>
          </cell>
          <cell r="C67" t="str">
            <v>Stripping Ratio</v>
          </cell>
          <cell r="D67" t="str">
            <v>OB: ROM</v>
          </cell>
          <cell r="E67">
            <v>11.944777911164467</v>
          </cell>
          <cell r="F67">
            <v>12.440502612647482</v>
          </cell>
          <cell r="G67">
            <v>4.1501374506065458</v>
          </cell>
          <cell r="H67">
            <v>13.571428571428573</v>
          </cell>
          <cell r="I67">
            <v>14.302888696829317</v>
          </cell>
          <cell r="J67">
            <v>5.3897061871633785</v>
          </cell>
          <cell r="K67">
            <v>14</v>
          </cell>
          <cell r="L67">
            <v>13.005516545149341</v>
          </cell>
          <cell r="M67">
            <v>-7.1034532489332793</v>
          </cell>
          <cell r="N67">
            <v>13.11002661934339</v>
          </cell>
          <cell r="O67">
            <v>13.20411581781927</v>
          </cell>
          <cell r="P67">
            <v>0.71768884387354515</v>
          </cell>
          <cell r="Q67">
            <v>13.022959183673468</v>
          </cell>
          <cell r="R67">
            <v>9.6893725516571365</v>
          </cell>
          <cell r="S67">
            <v>-25.597766106765956</v>
          </cell>
          <cell r="T67">
            <v>13.252551020408163</v>
          </cell>
          <cell r="U67">
            <v>9.2268608756828208</v>
          </cell>
          <cell r="V67">
            <v>-30.37671870514599</v>
          </cell>
          <cell r="W67">
            <v>11.553287981859411</v>
          </cell>
          <cell r="X67">
            <v>11.707607818464281</v>
          </cell>
          <cell r="Y67">
            <v>1.335722236364036</v>
          </cell>
          <cell r="Z67">
            <v>12.567346938775509</v>
          </cell>
          <cell r="AA67">
            <v>10.248858317600565</v>
          </cell>
          <cell r="AB67">
            <v>-18.448512899898066</v>
          </cell>
          <cell r="AC67">
            <v>12.827380952380953</v>
          </cell>
          <cell r="AD67">
            <v>11.501073599976671</v>
          </cell>
          <cell r="AE67">
            <v>-10.339658246121546</v>
          </cell>
          <cell r="AF67">
            <v>11.439312567132117</v>
          </cell>
          <cell r="AG67">
            <v>12.37314318968791</v>
          </cell>
          <cell r="AH67">
            <v>8.1633456300417286</v>
          </cell>
          <cell r="AI67">
            <v>10.736961451247165</v>
          </cell>
          <cell r="AJ67">
            <v>14.91601971254318</v>
          </cell>
          <cell r="AK67">
            <v>38.922168811648213</v>
          </cell>
          <cell r="AL67">
            <v>12.346171551327298</v>
          </cell>
          <cell r="AM67">
            <v>12.00148123474496</v>
          </cell>
          <cell r="AN67">
            <v>-2.7918801804214555</v>
          </cell>
          <cell r="AO67">
            <v>10.225563909774436</v>
          </cell>
          <cell r="AP67">
            <v>10.433152852977924</v>
          </cell>
          <cell r="AQ67">
            <v>2.0300977533870523</v>
          </cell>
          <cell r="AR67">
            <v>12.08109559613319</v>
          </cell>
          <cell r="AS67">
            <v>11.806145419436067</v>
          </cell>
          <cell r="AT67">
            <v>-2.2758712114249535</v>
          </cell>
          <cell r="AU67">
            <v>10.801749271137027</v>
          </cell>
          <cell r="AV67">
            <v>12.40733707548301</v>
          </cell>
          <cell r="AW67">
            <v>14.864146204876446</v>
          </cell>
          <cell r="AX67">
            <v>10.290010741138561</v>
          </cell>
          <cell r="AY67">
            <v>10.285714285714286</v>
          </cell>
          <cell r="AZ67">
            <v>-4.1753653444670552E-2</v>
          </cell>
          <cell r="BA67">
            <v>9.5810955961331903</v>
          </cell>
          <cell r="BB67">
            <v>10.173469387755102</v>
          </cell>
          <cell r="BC67">
            <v>6.1827354260089633</v>
          </cell>
          <cell r="BD67">
            <v>8.9422865920561776</v>
          </cell>
          <cell r="BE67">
            <v>10.385282985018433</v>
          </cell>
          <cell r="BF67">
            <v>16.136771933077295</v>
          </cell>
          <cell r="BG67">
            <v>9.6091440109612751</v>
          </cell>
          <cell r="BH67">
            <v>10.280014719904782</v>
          </cell>
          <cell r="BI67">
            <v>6.9815865823036516</v>
          </cell>
          <cell r="BJ67">
            <v>10.202269184760938</v>
          </cell>
          <cell r="BK67">
            <v>11.284995080000346</v>
          </cell>
          <cell r="BL67">
            <v>10.612598782010853</v>
          </cell>
          <cell r="BM67">
            <v>11.410374312716458</v>
          </cell>
          <cell r="BN67">
            <v>11.389171988267996</v>
          </cell>
          <cell r="BO67">
            <v>-0.18581620433636745</v>
          </cell>
        </row>
        <row r="68">
          <cell r="B68">
            <v>63</v>
          </cell>
          <cell r="C68" t="str">
            <v>ROM Stock</v>
          </cell>
          <cell r="D68" t="str">
            <v>KTON</v>
          </cell>
          <cell r="E68">
            <v>11.700000000000003</v>
          </cell>
          <cell r="F68">
            <v>14.085800000000017</v>
          </cell>
          <cell r="G68">
            <v>20.391452991453104</v>
          </cell>
          <cell r="H68">
            <v>13.100000000000009</v>
          </cell>
          <cell r="I68">
            <v>8.9484399999999997</v>
          </cell>
          <cell r="J68">
            <v>-31.69129770992371</v>
          </cell>
          <cell r="K68">
            <v>14.600000000000009</v>
          </cell>
          <cell r="L68">
            <v>10</v>
          </cell>
          <cell r="M68">
            <v>-31.506849315068536</v>
          </cell>
          <cell r="N68">
            <v>14.600000000000009</v>
          </cell>
          <cell r="O68">
            <v>10</v>
          </cell>
          <cell r="P68">
            <v>-31.506849315068536</v>
          </cell>
          <cell r="Q68">
            <v>16.200000000000003</v>
          </cell>
          <cell r="R68">
            <v>3.5757399999999953</v>
          </cell>
          <cell r="S68">
            <v>-77.927530864197564</v>
          </cell>
          <cell r="T68">
            <v>17.799999999999997</v>
          </cell>
          <cell r="U68">
            <v>11.1074</v>
          </cell>
          <cell r="V68">
            <v>-37.598876404494369</v>
          </cell>
          <cell r="W68">
            <v>19.599999999999994</v>
          </cell>
          <cell r="X68">
            <v>9.6129599999999922</v>
          </cell>
          <cell r="Y68">
            <v>-50.954285714285739</v>
          </cell>
          <cell r="Z68">
            <v>19.599999999999994</v>
          </cell>
          <cell r="AA68">
            <v>9.6129599999999922</v>
          </cell>
          <cell r="AB68">
            <v>-50.954285714285739</v>
          </cell>
          <cell r="AC68">
            <v>19.599999999999994</v>
          </cell>
          <cell r="AD68">
            <v>9.6129599999999922</v>
          </cell>
          <cell r="AE68">
            <v>-50.954285714285739</v>
          </cell>
          <cell r="AF68">
            <v>21.5</v>
          </cell>
          <cell r="AG68">
            <v>6.7748399999999966</v>
          </cell>
          <cell r="AH68">
            <v>-68.48911627906979</v>
          </cell>
          <cell r="AI68">
            <v>23.299999999999997</v>
          </cell>
          <cell r="AJ68">
            <v>5.7988299999999997</v>
          </cell>
          <cell r="AK68">
            <v>-75.112317596566527</v>
          </cell>
          <cell r="AL68">
            <v>23.299999999999997</v>
          </cell>
          <cell r="AM68">
            <v>5.7988299999999997</v>
          </cell>
          <cell r="AN68">
            <v>-75.112317596566527</v>
          </cell>
          <cell r="AO68">
            <v>25.200000000000003</v>
          </cell>
          <cell r="AP68">
            <v>5.7988299999999997</v>
          </cell>
          <cell r="AQ68">
            <v>-76.988769841269843</v>
          </cell>
          <cell r="AR68">
            <v>25.200000000000003</v>
          </cell>
          <cell r="AS68">
            <v>5.7988299999999997</v>
          </cell>
          <cell r="AT68">
            <v>-76.988769841269843</v>
          </cell>
          <cell r="AU68">
            <v>25.200000000000003</v>
          </cell>
          <cell r="AV68">
            <v>5.7988299999999997</v>
          </cell>
          <cell r="AW68">
            <v>-76.988769841269843</v>
          </cell>
          <cell r="AX68">
            <v>27.100000000000009</v>
          </cell>
          <cell r="AY68">
            <v>5.7988299999999997</v>
          </cell>
          <cell r="AZ68">
            <v>-78.602103321033226</v>
          </cell>
          <cell r="BA68">
            <v>29.000000000000014</v>
          </cell>
          <cell r="BB68">
            <v>5.7988299999999997</v>
          </cell>
          <cell r="BC68">
            <v>-80.004034482758641</v>
          </cell>
          <cell r="BD68">
            <v>30.860000000000014</v>
          </cell>
          <cell r="BE68">
            <v>10</v>
          </cell>
          <cell r="BF68">
            <v>-67.595593000648108</v>
          </cell>
          <cell r="BG68">
            <v>30.860000000000014</v>
          </cell>
          <cell r="BH68">
            <v>10</v>
          </cell>
          <cell r="BI68">
            <v>-67.595593000648108</v>
          </cell>
          <cell r="BJ68">
            <v>30.860000000000014</v>
          </cell>
          <cell r="BK68">
            <v>10</v>
          </cell>
          <cell r="BL68">
            <v>-67.595593000648108</v>
          </cell>
          <cell r="BM68">
            <v>30.860000000000014</v>
          </cell>
          <cell r="BN68">
            <v>10</v>
          </cell>
          <cell r="BO68">
            <v>-67.595593000648108</v>
          </cell>
        </row>
        <row r="69">
          <cell r="B69">
            <v>64</v>
          </cell>
          <cell r="C69" t="str">
            <v>F/C Stock</v>
          </cell>
          <cell r="D69" t="str">
            <v>KTON</v>
          </cell>
          <cell r="E69">
            <v>20</v>
          </cell>
          <cell r="F69">
            <v>24.442998999999997</v>
          </cell>
          <cell r="G69">
            <v>22.214994999999984</v>
          </cell>
          <cell r="H69">
            <v>20</v>
          </cell>
          <cell r="I69">
            <v>1.8381959999999999</v>
          </cell>
          <cell r="J69">
            <v>-90.80901999999999</v>
          </cell>
          <cell r="K69">
            <v>20</v>
          </cell>
          <cell r="L69">
            <v>6.7096879999999874</v>
          </cell>
          <cell r="M69">
            <v>-66.451560000000072</v>
          </cell>
          <cell r="N69">
            <v>20</v>
          </cell>
          <cell r="O69">
            <v>6.7096879999999874</v>
          </cell>
          <cell r="P69">
            <v>-66.451560000000072</v>
          </cell>
          <cell r="Q69">
            <v>20</v>
          </cell>
          <cell r="R69">
            <v>10.712937999999999</v>
          </cell>
          <cell r="S69">
            <v>-46.435310000000001</v>
          </cell>
          <cell r="T69">
            <v>20</v>
          </cell>
          <cell r="U69">
            <v>17.752633999999997</v>
          </cell>
          <cell r="V69">
            <v>-11.236830000000015</v>
          </cell>
          <cell r="W69">
            <v>20</v>
          </cell>
          <cell r="X69">
            <v>23</v>
          </cell>
          <cell r="Y69">
            <v>15</v>
          </cell>
          <cell r="Z69">
            <v>20</v>
          </cell>
          <cell r="AA69">
            <v>23</v>
          </cell>
          <cell r="AB69">
            <v>15</v>
          </cell>
          <cell r="AC69">
            <v>20</v>
          </cell>
          <cell r="AD69">
            <v>23</v>
          </cell>
          <cell r="AE69">
            <v>15</v>
          </cell>
          <cell r="AF69">
            <v>20</v>
          </cell>
          <cell r="AG69">
            <v>8.047625</v>
          </cell>
          <cell r="AH69">
            <v>-59.761874999999996</v>
          </cell>
          <cell r="AI69">
            <v>20</v>
          </cell>
          <cell r="AJ69">
            <v>13.328721</v>
          </cell>
          <cell r="AK69">
            <v>-33.356394999999999</v>
          </cell>
          <cell r="AL69">
            <v>20</v>
          </cell>
          <cell r="AM69">
            <v>13.328721</v>
          </cell>
          <cell r="AN69">
            <v>-33.356394999999999</v>
          </cell>
          <cell r="AO69">
            <v>20</v>
          </cell>
          <cell r="AP69">
            <v>13.318721000000002</v>
          </cell>
          <cell r="AQ69">
            <v>-33.406394999999989</v>
          </cell>
          <cell r="AR69">
            <v>20</v>
          </cell>
          <cell r="AS69">
            <v>13.318721000000002</v>
          </cell>
          <cell r="AT69">
            <v>-33.406394999999989</v>
          </cell>
          <cell r="AU69">
            <v>20</v>
          </cell>
          <cell r="AV69">
            <v>13.318721000000002</v>
          </cell>
          <cell r="AW69">
            <v>-33.406394999999989</v>
          </cell>
          <cell r="AX69">
            <v>20</v>
          </cell>
          <cell r="AY69">
            <v>13.308720999999997</v>
          </cell>
          <cell r="AZ69">
            <v>-33.456395000000015</v>
          </cell>
          <cell r="BA69">
            <v>20</v>
          </cell>
          <cell r="BB69">
            <v>13.298720999999992</v>
          </cell>
          <cell r="BC69">
            <v>-33.506395000000047</v>
          </cell>
          <cell r="BD69">
            <v>20</v>
          </cell>
          <cell r="BE69">
            <v>13.288720999999986</v>
          </cell>
          <cell r="BF69">
            <v>-33.556395000000066</v>
          </cell>
          <cell r="BG69">
            <v>20</v>
          </cell>
          <cell r="BH69">
            <v>13.288720999999986</v>
          </cell>
          <cell r="BI69">
            <v>-33.556395000000066</v>
          </cell>
          <cell r="BJ69">
            <v>20</v>
          </cell>
          <cell r="BK69">
            <v>13.288720999999986</v>
          </cell>
          <cell r="BL69">
            <v>-33.556395000000066</v>
          </cell>
          <cell r="BM69">
            <v>20</v>
          </cell>
          <cell r="BN69">
            <v>13.288720999999986</v>
          </cell>
          <cell r="BO69">
            <v>-33.556395000000066</v>
          </cell>
        </row>
        <row r="70">
          <cell r="B70">
            <v>65</v>
          </cell>
          <cell r="C70" t="str">
            <v>Coal Barging</v>
          </cell>
          <cell r="D70" t="str">
            <v>KTON</v>
          </cell>
          <cell r="E70">
            <v>98.3</v>
          </cell>
          <cell r="F70">
            <v>112.061914</v>
          </cell>
          <cell r="G70">
            <v>13.999912512716181</v>
          </cell>
          <cell r="H70">
            <v>68.599999999999994</v>
          </cell>
          <cell r="I70">
            <v>101.938985</v>
          </cell>
          <cell r="J70">
            <v>48.599103498542291</v>
          </cell>
          <cell r="K70">
            <v>73.5</v>
          </cell>
          <cell r="L70">
            <v>26.548868000000002</v>
          </cell>
          <cell r="M70">
            <v>-63.879091156462586</v>
          </cell>
          <cell r="N70">
            <v>240.39999999999998</v>
          </cell>
          <cell r="O70">
            <v>240.549767</v>
          </cell>
          <cell r="P70">
            <v>6.229908485857967E-2</v>
          </cell>
          <cell r="Q70">
            <v>78.400000000000006</v>
          </cell>
          <cell r="R70">
            <v>111.31297900000001</v>
          </cell>
          <cell r="S70">
            <v>41.980840561224497</v>
          </cell>
          <cell r="T70">
            <v>78.400000000000006</v>
          </cell>
          <cell r="U70">
            <v>70.777809000000005</v>
          </cell>
          <cell r="V70">
            <v>-9.7221823979591839</v>
          </cell>
          <cell r="W70">
            <v>88.2</v>
          </cell>
          <cell r="X70">
            <v>94.626675999999989</v>
          </cell>
          <cell r="Z70">
            <v>245</v>
          </cell>
          <cell r="AA70">
            <v>276.71746400000001</v>
          </cell>
          <cell r="AB70">
            <v>12.945903673469392</v>
          </cell>
          <cell r="AC70">
            <v>485.4</v>
          </cell>
          <cell r="AD70">
            <v>517.26723100000004</v>
          </cell>
          <cell r="AE70">
            <v>6.565148537288847</v>
          </cell>
          <cell r="AF70">
            <v>93.1</v>
          </cell>
          <cell r="AG70">
            <v>101.79074600000001</v>
          </cell>
          <cell r="AH70">
            <v>9.3348506981740265</v>
          </cell>
          <cell r="AI70">
            <v>88.2</v>
          </cell>
          <cell r="AJ70">
            <v>71.479369999999989</v>
          </cell>
          <cell r="AK70">
            <v>-18.957630385487544</v>
          </cell>
          <cell r="AL70">
            <v>666.69999999999993</v>
          </cell>
          <cell r="AM70">
            <v>690.53734700000007</v>
          </cell>
          <cell r="AN70">
            <v>3.5754232788360789</v>
          </cell>
          <cell r="AO70">
            <v>93.1</v>
          </cell>
          <cell r="AP70">
            <v>96.04</v>
          </cell>
          <cell r="AQ70">
            <v>3.1578947368421186</v>
          </cell>
          <cell r="AR70">
            <v>759.8</v>
          </cell>
          <cell r="AS70">
            <v>786.57734700000003</v>
          </cell>
          <cell r="AT70">
            <v>3.5242625690971412</v>
          </cell>
          <cell r="AU70">
            <v>274.39999999999998</v>
          </cell>
          <cell r="AV70">
            <v>269.31011599999999</v>
          </cell>
          <cell r="AW70">
            <v>-1.8549139941690904</v>
          </cell>
          <cell r="AX70">
            <v>93.1</v>
          </cell>
          <cell r="AY70">
            <v>98</v>
          </cell>
          <cell r="AZ70">
            <v>5.2631578947368487</v>
          </cell>
          <cell r="BA70">
            <v>93.1</v>
          </cell>
          <cell r="BB70">
            <v>98</v>
          </cell>
          <cell r="BC70">
            <v>5.2631578947368487</v>
          </cell>
          <cell r="BD70">
            <v>91.14</v>
          </cell>
          <cell r="BE70">
            <v>93.882853400000002</v>
          </cell>
          <cell r="BF70">
            <v>3.0094946236559155</v>
          </cell>
          <cell r="BG70">
            <v>277.33999999999997</v>
          </cell>
          <cell r="BH70">
            <v>289.88285339999999</v>
          </cell>
          <cell r="BI70">
            <v>4.5225547703180258</v>
          </cell>
          <cell r="BJ70">
            <v>551.74</v>
          </cell>
          <cell r="BK70">
            <v>559.19296940000004</v>
          </cell>
          <cell r="BL70">
            <v>1.3508118679088028</v>
          </cell>
          <cell r="BM70">
            <v>1037.1400000000001</v>
          </cell>
          <cell r="BN70">
            <v>1076.4602004000001</v>
          </cell>
          <cell r="BO70">
            <v>3.7912143394334392</v>
          </cell>
        </row>
        <row r="71">
          <cell r="B71">
            <v>66</v>
          </cell>
          <cell r="C71" t="str">
            <v>Sales</v>
          </cell>
          <cell r="D71" t="str">
            <v>KTON</v>
          </cell>
          <cell r="E71">
            <v>65</v>
          </cell>
          <cell r="F71">
            <v>101.61500000000001</v>
          </cell>
          <cell r="G71">
            <v>56.330769230769242</v>
          </cell>
          <cell r="H71">
            <v>72.599999999999994</v>
          </cell>
          <cell r="I71">
            <v>144.15099999999998</v>
          </cell>
          <cell r="J71">
            <v>98.555096418732774</v>
          </cell>
          <cell r="K71">
            <v>87.2</v>
          </cell>
          <cell r="L71">
            <v>34.516999999999996</v>
          </cell>
          <cell r="M71">
            <v>-60.416284403669728</v>
          </cell>
          <cell r="N71">
            <v>224.8</v>
          </cell>
          <cell r="O71">
            <v>280.28300000000002</v>
          </cell>
          <cell r="P71">
            <v>24.681049822064058</v>
          </cell>
          <cell r="Q71">
            <v>90.1</v>
          </cell>
          <cell r="R71">
            <v>112.207379</v>
          </cell>
          <cell r="S71">
            <v>24.536491675915663</v>
          </cell>
          <cell r="T71">
            <v>72.600000000000009</v>
          </cell>
          <cell r="U71">
            <v>83.769000000000005</v>
          </cell>
          <cell r="V71">
            <v>15.38429752066115</v>
          </cell>
          <cell r="W71">
            <v>99</v>
          </cell>
          <cell r="X71">
            <v>83.295031000000009</v>
          </cell>
          <cell r="Y71">
            <v>-15.863605050505042</v>
          </cell>
          <cell r="Z71">
            <v>261.7</v>
          </cell>
          <cell r="AA71">
            <v>279.27141</v>
          </cell>
          <cell r="AB71">
            <v>6.7143332059610303</v>
          </cell>
          <cell r="AC71">
            <v>486.5</v>
          </cell>
          <cell r="AD71">
            <v>559.55440999999996</v>
          </cell>
          <cell r="AE71">
            <v>15.016322713257956</v>
          </cell>
          <cell r="AF71">
            <v>90</v>
          </cell>
          <cell r="AG71">
            <v>99.215000000000003</v>
          </cell>
          <cell r="AH71">
            <v>10.238888888888892</v>
          </cell>
          <cell r="AI71">
            <v>90</v>
          </cell>
          <cell r="AJ71">
            <v>54.410620000000009</v>
          </cell>
          <cell r="AK71">
            <v>-39.543755555555549</v>
          </cell>
          <cell r="AL71">
            <v>666.5</v>
          </cell>
          <cell r="AM71">
            <v>713.1800300000001</v>
          </cell>
          <cell r="AN71">
            <v>7.0037554388597298</v>
          </cell>
          <cell r="AO71">
            <v>109</v>
          </cell>
          <cell r="AP71">
            <v>104</v>
          </cell>
          <cell r="AQ71">
            <v>-4.5871559633027523</v>
          </cell>
          <cell r="AR71">
            <v>775.5</v>
          </cell>
          <cell r="AS71">
            <v>817.1800300000001</v>
          </cell>
          <cell r="AT71">
            <v>5.3746009026434693</v>
          </cell>
          <cell r="AU71">
            <v>289</v>
          </cell>
          <cell r="AV71">
            <v>257.62562000000003</v>
          </cell>
          <cell r="AW71">
            <v>-10.856186851211064</v>
          </cell>
          <cell r="AX71">
            <v>88.6</v>
          </cell>
          <cell r="AY71">
            <v>105.8</v>
          </cell>
          <cell r="AZ71">
            <v>19.413092550790072</v>
          </cell>
          <cell r="BA71">
            <v>90</v>
          </cell>
          <cell r="BB71">
            <v>94</v>
          </cell>
          <cell r="BC71">
            <v>4.4444444444444446</v>
          </cell>
          <cell r="BD71">
            <v>70</v>
          </cell>
          <cell r="BE71">
            <v>106</v>
          </cell>
          <cell r="BF71">
            <v>51.428571428571423</v>
          </cell>
          <cell r="BG71">
            <v>248.6</v>
          </cell>
          <cell r="BH71">
            <v>305.8</v>
          </cell>
          <cell r="BI71">
            <v>23.008849557522133</v>
          </cell>
          <cell r="BJ71">
            <v>537.6</v>
          </cell>
          <cell r="BK71">
            <v>563.42561999999998</v>
          </cell>
          <cell r="BL71">
            <v>4.8038727678571345</v>
          </cell>
          <cell r="BM71">
            <v>1024.0999999999999</v>
          </cell>
          <cell r="BN71">
            <v>1122.9800300000002</v>
          </cell>
          <cell r="BO71">
            <v>9.6553100283175741</v>
          </cell>
        </row>
        <row r="72">
          <cell r="B72">
            <v>67</v>
          </cell>
          <cell r="AR72" t="str">
            <v xml:space="preserve"> </v>
          </cell>
        </row>
        <row r="73">
          <cell r="B73">
            <v>68</v>
          </cell>
          <cell r="C73" t="str">
            <v>TRUBAINDO</v>
          </cell>
          <cell r="E73" t="str">
            <v>JANUARY</v>
          </cell>
          <cell r="H73" t="str">
            <v>FEBRUARY</v>
          </cell>
          <cell r="K73" t="str">
            <v>MARCH</v>
          </cell>
          <cell r="N73" t="str">
            <v>Q1</v>
          </cell>
          <cell r="Q73" t="str">
            <v>APRIL</v>
          </cell>
          <cell r="T73" t="str">
            <v>MAY</v>
          </cell>
          <cell r="W73" t="str">
            <v>JUNE</v>
          </cell>
          <cell r="Z73" t="str">
            <v>Q2</v>
          </cell>
          <cell r="AC73" t="str">
            <v>1st HALF</v>
          </cell>
          <cell r="AF73" t="str">
            <v>JULY</v>
          </cell>
          <cell r="AI73" t="str">
            <v>AUG</v>
          </cell>
          <cell r="AL73" t="str">
            <v>Jan-Aug</v>
          </cell>
          <cell r="AO73" t="str">
            <v>SEP</v>
          </cell>
          <cell r="AR73" t="str">
            <v>Jan-Sep</v>
          </cell>
          <cell r="AU73" t="str">
            <v>Q3</v>
          </cell>
          <cell r="AX73" t="str">
            <v>OCTOBER</v>
          </cell>
          <cell r="BA73" t="str">
            <v>NOVEMBER</v>
          </cell>
          <cell r="BD73" t="str">
            <v>DECEMBER</v>
          </cell>
          <cell r="BG73" t="str">
            <v>Q4</v>
          </cell>
          <cell r="BJ73" t="str">
            <v>2nd HALF</v>
          </cell>
          <cell r="BM73" t="str">
            <v>YTD 2013</v>
          </cell>
        </row>
        <row r="74">
          <cell r="B74">
            <v>69</v>
          </cell>
          <cell r="E74" t="str">
            <v>Plan</v>
          </cell>
          <cell r="F74" t="str">
            <v>Actual</v>
          </cell>
          <cell r="G74" t="str">
            <v>% var</v>
          </cell>
          <cell r="H74" t="str">
            <v>Plan</v>
          </cell>
          <cell r="I74" t="str">
            <v>Actual</v>
          </cell>
          <cell r="J74" t="str">
            <v>% var</v>
          </cell>
          <cell r="K74" t="str">
            <v>Plan</v>
          </cell>
          <cell r="L74" t="str">
            <v>Actual</v>
          </cell>
          <cell r="M74" t="str">
            <v>% var</v>
          </cell>
          <cell r="N74" t="str">
            <v>Plan</v>
          </cell>
          <cell r="O74" t="str">
            <v>Actual</v>
          </cell>
          <cell r="P74" t="str">
            <v>% var</v>
          </cell>
          <cell r="Q74" t="str">
            <v>Plan</v>
          </cell>
          <cell r="R74" t="str">
            <v>Actual</v>
          </cell>
          <cell r="S74" t="str">
            <v>% var</v>
          </cell>
          <cell r="T74" t="str">
            <v>Plan</v>
          </cell>
          <cell r="U74" t="str">
            <v>Actual</v>
          </cell>
          <cell r="V74" t="str">
            <v>% var</v>
          </cell>
          <cell r="W74" t="str">
            <v>Plan</v>
          </cell>
          <cell r="X74" t="str">
            <v>Actual</v>
          </cell>
          <cell r="Y74" t="str">
            <v>% var</v>
          </cell>
          <cell r="Z74" t="str">
            <v>Plan</v>
          </cell>
          <cell r="AA74" t="str">
            <v>Actual</v>
          </cell>
          <cell r="AB74" t="str">
            <v>% var</v>
          </cell>
          <cell r="AC74" t="str">
            <v>Plan</v>
          </cell>
          <cell r="AD74" t="str">
            <v>Actual</v>
          </cell>
          <cell r="AE74" t="str">
            <v>% var</v>
          </cell>
          <cell r="AF74" t="str">
            <v>Plan</v>
          </cell>
          <cell r="AG74" t="str">
            <v>Actual</v>
          </cell>
          <cell r="AH74" t="str">
            <v>% var</v>
          </cell>
          <cell r="AI74" t="str">
            <v>Plan</v>
          </cell>
          <cell r="AJ74" t="str">
            <v>Actual</v>
          </cell>
          <cell r="AK74" t="str">
            <v>% var</v>
          </cell>
          <cell r="AL74" t="str">
            <v>Plan</v>
          </cell>
          <cell r="AM74" t="str">
            <v>Actual</v>
          </cell>
          <cell r="AN74" t="str">
            <v>% var</v>
          </cell>
          <cell r="AO74" t="str">
            <v>Plan</v>
          </cell>
          <cell r="AP74" t="str">
            <v>Est.</v>
          </cell>
          <cell r="AQ74" t="str">
            <v>% var</v>
          </cell>
          <cell r="AR74" t="str">
            <v>Plan</v>
          </cell>
          <cell r="AS74" t="str">
            <v>Est.</v>
          </cell>
          <cell r="AT74" t="str">
            <v>% var</v>
          </cell>
          <cell r="AU74" t="str">
            <v>Plan</v>
          </cell>
          <cell r="AV74" t="str">
            <v>Est.</v>
          </cell>
          <cell r="AW74" t="str">
            <v>% var</v>
          </cell>
          <cell r="AX74" t="str">
            <v>Plan</v>
          </cell>
          <cell r="AY74" t="str">
            <v>Est.</v>
          </cell>
          <cell r="AZ74" t="str">
            <v>% var</v>
          </cell>
          <cell r="BA74" t="str">
            <v>Plan</v>
          </cell>
          <cell r="BB74" t="str">
            <v>Est.</v>
          </cell>
          <cell r="BC74" t="str">
            <v>% var</v>
          </cell>
          <cell r="BD74" t="str">
            <v>Plan</v>
          </cell>
          <cell r="BE74" t="str">
            <v>Est.</v>
          </cell>
          <cell r="BF74" t="str">
            <v>% var</v>
          </cell>
          <cell r="BG74" t="str">
            <v>Plan</v>
          </cell>
          <cell r="BH74" t="str">
            <v>Est.</v>
          </cell>
          <cell r="BI74" t="str">
            <v>% var</v>
          </cell>
          <cell r="BJ74" t="str">
            <v>Plan</v>
          </cell>
          <cell r="BK74" t="str">
            <v>Est.</v>
          </cell>
          <cell r="BL74" t="str">
            <v>% var</v>
          </cell>
          <cell r="BM74" t="str">
            <v>Plan</v>
          </cell>
          <cell r="BN74" t="str">
            <v>Est.</v>
          </cell>
          <cell r="BO74" t="str">
            <v>% var</v>
          </cell>
        </row>
        <row r="75">
          <cell r="B75">
            <v>70</v>
          </cell>
          <cell r="C75" t="str">
            <v>OB Removal</v>
          </cell>
          <cell r="D75" t="str">
            <v>KBCM</v>
          </cell>
          <cell r="E75">
            <v>6410.7133344156682</v>
          </cell>
          <cell r="F75">
            <v>6991.1719829298618</v>
          </cell>
          <cell r="G75">
            <v>9.0545095098547552</v>
          </cell>
          <cell r="H75">
            <v>6272.0776007532831</v>
          </cell>
          <cell r="I75">
            <v>6544.6544190361183</v>
          </cell>
          <cell r="J75">
            <v>4.3458776442768876</v>
          </cell>
          <cell r="K75">
            <v>7074.9979649651286</v>
          </cell>
          <cell r="L75">
            <v>7485.7132472158064</v>
          </cell>
          <cell r="M75">
            <v>5.8051646697922701</v>
          </cell>
          <cell r="N75">
            <v>19757.788900134081</v>
          </cell>
          <cell r="O75">
            <v>21021.539649181788</v>
          </cell>
          <cell r="P75">
            <v>6.3962154643687441</v>
          </cell>
          <cell r="Q75">
            <v>7019.0004154992675</v>
          </cell>
          <cell r="R75">
            <v>7244.1289115</v>
          </cell>
          <cell r="S75">
            <v>3.2074153394207889</v>
          </cell>
          <cell r="T75">
            <v>7385.5741302982369</v>
          </cell>
          <cell r="U75">
            <v>7385.5972313846141</v>
          </cell>
          <cell r="V75">
            <v>3.1278660222826878E-4</v>
          </cell>
          <cell r="W75">
            <v>7500.2129588880753</v>
          </cell>
          <cell r="X75">
            <v>7954.1626707049345</v>
          </cell>
          <cell r="Y75">
            <v>6.0524909666586106</v>
          </cell>
          <cell r="Z75">
            <v>21904.787504685581</v>
          </cell>
          <cell r="AA75">
            <v>22583.888813589547</v>
          </cell>
          <cell r="AB75">
            <v>3.1002414826379932</v>
          </cell>
          <cell r="AC75">
            <v>41662.576404819658</v>
          </cell>
          <cell r="AD75">
            <v>43605.428462771335</v>
          </cell>
          <cell r="AE75">
            <v>4.6633027181845668</v>
          </cell>
          <cell r="AF75">
            <v>7633.1886019400145</v>
          </cell>
          <cell r="AG75">
            <v>7939.962481033408</v>
          </cell>
          <cell r="AH75">
            <v>4.018947979556347</v>
          </cell>
          <cell r="AI75">
            <v>7244.591899094059</v>
          </cell>
          <cell r="AJ75">
            <v>7851.3189566153796</v>
          </cell>
          <cell r="AK75">
            <v>8.3748962808683842</v>
          </cell>
          <cell r="AL75">
            <v>56540.35690585374</v>
          </cell>
          <cell r="AM75">
            <v>59396.70990042013</v>
          </cell>
          <cell r="AN75">
            <v>5.0518835587163871</v>
          </cell>
          <cell r="AO75">
            <v>7573.4276648966597</v>
          </cell>
          <cell r="AP75">
            <v>7632.1908488971912</v>
          </cell>
          <cell r="AQ75">
            <v>0.77591265937486631</v>
          </cell>
          <cell r="AR75">
            <v>64113.784570750402</v>
          </cell>
          <cell r="AS75">
            <v>67028.900749317327</v>
          </cell>
          <cell r="AT75">
            <v>4.5467853724187126</v>
          </cell>
          <cell r="AU75">
            <v>22451.208165930733</v>
          </cell>
          <cell r="AV75">
            <v>23423.472286545977</v>
          </cell>
          <cell r="AW75">
            <v>4.3305648116106088</v>
          </cell>
          <cell r="AX75">
            <v>7607.8966911735861</v>
          </cell>
          <cell r="AY75">
            <v>7490.4329489813063</v>
          </cell>
          <cell r="AZ75">
            <v>-1.5439713098175627</v>
          </cell>
          <cell r="BA75">
            <v>6943.4259843463988</v>
          </cell>
          <cell r="BB75">
            <v>6684.0790161524492</v>
          </cell>
          <cell r="BC75">
            <v>-3.7351441317101117</v>
          </cell>
          <cell r="BD75">
            <v>6335.066532530589</v>
          </cell>
          <cell r="BE75">
            <v>6065.9290109960366</v>
          </cell>
          <cell r="BF75">
            <v>-4.2483771899242146</v>
          </cell>
          <cell r="BG75">
            <v>20886.389208050576</v>
          </cell>
          <cell r="BH75">
            <v>20240.440976129794</v>
          </cell>
          <cell r="BI75">
            <v>-3.0926754523553726</v>
          </cell>
          <cell r="BJ75">
            <v>43337.597373981305</v>
          </cell>
          <cell r="BK75">
            <v>43663.913262675771</v>
          </cell>
          <cell r="BL75">
            <v>0.75296257399441513</v>
          </cell>
          <cell r="BM75">
            <v>85000.173778800978</v>
          </cell>
          <cell r="BN75">
            <v>87269.341725447128</v>
          </cell>
          <cell r="BO75">
            <v>2.6696038911064908</v>
          </cell>
        </row>
        <row r="76">
          <cell r="B76">
            <v>71</v>
          </cell>
          <cell r="C76" t="str">
            <v>ROM Production</v>
          </cell>
          <cell r="D76" t="str">
            <v>KTON</v>
          </cell>
          <cell r="E76">
            <v>558.67485931533793</v>
          </cell>
          <cell r="F76">
            <v>606.04472539999995</v>
          </cell>
          <cell r="G76">
            <v>8.4789686335115029</v>
          </cell>
          <cell r="H76">
            <v>561.63133722842258</v>
          </cell>
          <cell r="I76">
            <v>520.844358754415</v>
          </cell>
          <cell r="J76">
            <v>-7.2622333852106618</v>
          </cell>
          <cell r="K76">
            <v>619.60302505614186</v>
          </cell>
          <cell r="L76">
            <v>635.72571587294362</v>
          </cell>
          <cell r="M76">
            <v>2.6021000809899042</v>
          </cell>
          <cell r="N76">
            <v>1739.9092215999024</v>
          </cell>
          <cell r="O76">
            <v>1762.6148000273583</v>
          </cell>
          <cell r="P76">
            <v>1.3049863835181854</v>
          </cell>
          <cell r="Q76">
            <v>622.17741878120523</v>
          </cell>
          <cell r="R76">
            <v>600.91612029892462</v>
          </cell>
          <cell r="S76">
            <v>-3.4172404591490571</v>
          </cell>
          <cell r="T76">
            <v>641.58899762799638</v>
          </cell>
          <cell r="U76">
            <v>576.43467463764796</v>
          </cell>
          <cell r="V76">
            <v>-10.15514967233368</v>
          </cell>
          <cell r="W76">
            <v>668.03960292100624</v>
          </cell>
          <cell r="X76">
            <v>687.78548000000001</v>
          </cell>
          <cell r="Y76">
            <v>2.9557943859398206</v>
          </cell>
          <cell r="Z76">
            <v>1931.8060193302078</v>
          </cell>
          <cell r="AA76">
            <v>1865.1362749365726</v>
          </cell>
          <cell r="AB76">
            <v>-3.4511614378730875</v>
          </cell>
          <cell r="AC76">
            <v>3671.7152409301102</v>
          </cell>
          <cell r="AD76">
            <v>3627.7510749639309</v>
          </cell>
          <cell r="AE76">
            <v>-1.1973740631106888</v>
          </cell>
          <cell r="AF76">
            <v>651.21564120338189</v>
          </cell>
          <cell r="AG76">
            <v>600.33694000000003</v>
          </cell>
          <cell r="AH76">
            <v>-7.8128807086640411</v>
          </cell>
          <cell r="AI76">
            <v>700.65067459069201</v>
          </cell>
          <cell r="AJ76">
            <v>590.06999999999994</v>
          </cell>
          <cell r="AK76">
            <v>-15.782568775130542</v>
          </cell>
          <cell r="AL76">
            <v>5023.5815567241843</v>
          </cell>
          <cell r="AM76">
            <v>4818.1580149639303</v>
          </cell>
          <cell r="AN76">
            <v>-4.0891849657599302</v>
          </cell>
          <cell r="AO76">
            <v>726.520316431428</v>
          </cell>
          <cell r="AP76">
            <v>636</v>
          </cell>
          <cell r="AQ76">
            <v>-12.459433602084504</v>
          </cell>
          <cell r="AR76">
            <v>5750.1018731556123</v>
          </cell>
          <cell r="AS76">
            <v>5454.1580149639303</v>
          </cell>
          <cell r="AT76">
            <v>-5.1467585221976293</v>
          </cell>
          <cell r="AU76">
            <v>2078.3866322255017</v>
          </cell>
          <cell r="AV76">
            <v>1826.4069399999998</v>
          </cell>
          <cell r="AW76">
            <v>-12.123812206956227</v>
          </cell>
          <cell r="AX76">
            <v>729.520316431428</v>
          </cell>
          <cell r="AY76">
            <v>704.52827003224706</v>
          </cell>
          <cell r="AZ76">
            <v>-3.4258191082921114</v>
          </cell>
          <cell r="BA76">
            <v>688.520316431428</v>
          </cell>
          <cell r="BB76">
            <v>689.01631396748303</v>
          </cell>
          <cell r="BC76">
            <v>7.203818452674908E-2</v>
          </cell>
          <cell r="BD76">
            <v>632.86513200640013</v>
          </cell>
          <cell r="BE76">
            <v>651.94507970675397</v>
          </cell>
          <cell r="BF76">
            <v>3.0148520965065408</v>
          </cell>
          <cell r="BG76">
            <v>2050.905764869256</v>
          </cell>
          <cell r="BH76">
            <v>2045.489663706484</v>
          </cell>
          <cell r="BI76">
            <v>-0.26408337504075124</v>
          </cell>
          <cell r="BJ76">
            <v>4129.2923970947577</v>
          </cell>
          <cell r="BK76">
            <v>3871.8966037064838</v>
          </cell>
          <cell r="BL76">
            <v>-6.2334116510947402</v>
          </cell>
          <cell r="BM76">
            <v>7801.0076380248684</v>
          </cell>
          <cell r="BN76">
            <v>7499.6476786704143</v>
          </cell>
          <cell r="BO76">
            <v>-3.8630901716531998</v>
          </cell>
        </row>
        <row r="77">
          <cell r="B77">
            <v>72</v>
          </cell>
          <cell r="C77" t="str">
            <v>Washplant</v>
          </cell>
          <cell r="D77" t="str">
            <v>KTON</v>
          </cell>
          <cell r="E77">
            <v>5</v>
          </cell>
          <cell r="F77">
            <v>7.1940999999999997</v>
          </cell>
          <cell r="G77">
            <v>43.881999999999991</v>
          </cell>
          <cell r="H77">
            <v>5</v>
          </cell>
          <cell r="I77">
            <v>7.2908999999999997</v>
          </cell>
          <cell r="J77">
            <v>45.817999999999991</v>
          </cell>
          <cell r="K77">
            <v>5</v>
          </cell>
          <cell r="L77">
            <v>7.0305</v>
          </cell>
          <cell r="M77">
            <v>40.61</v>
          </cell>
          <cell r="N77">
            <v>15</v>
          </cell>
          <cell r="O77">
            <v>21.515499999999999</v>
          </cell>
          <cell r="P77">
            <v>43.43666666666666</v>
          </cell>
          <cell r="Q77">
            <v>5</v>
          </cell>
          <cell r="R77">
            <v>4.8727399999999985</v>
          </cell>
          <cell r="S77">
            <v>-2.5452000000000297</v>
          </cell>
          <cell r="T77">
            <v>5</v>
          </cell>
          <cell r="U77">
            <v>2.2486599999999997</v>
          </cell>
          <cell r="V77">
            <v>-55.026800000000009</v>
          </cell>
          <cell r="W77">
            <v>5</v>
          </cell>
          <cell r="X77">
            <v>0.3261</v>
          </cell>
          <cell r="Y77">
            <v>-93.477999999999994</v>
          </cell>
          <cell r="Z77">
            <v>15</v>
          </cell>
          <cell r="AA77">
            <v>7.447499999999998</v>
          </cell>
          <cell r="AB77">
            <v>-50.350000000000016</v>
          </cell>
          <cell r="AC77">
            <v>30</v>
          </cell>
          <cell r="AD77">
            <v>28.962999999999997</v>
          </cell>
          <cell r="AE77">
            <v>-3.4566666666666754</v>
          </cell>
          <cell r="AF77">
            <v>5</v>
          </cell>
          <cell r="AG77">
            <v>6.8064999999999998</v>
          </cell>
          <cell r="AH77">
            <v>36.129999999999995</v>
          </cell>
          <cell r="AI77">
            <v>5</v>
          </cell>
          <cell r="AJ77">
            <v>0</v>
          </cell>
          <cell r="AK77">
            <v>-100</v>
          </cell>
          <cell r="AL77">
            <v>40</v>
          </cell>
          <cell r="AM77">
            <v>35.769499999999994</v>
          </cell>
          <cell r="AN77">
            <v>-10.576250000000016</v>
          </cell>
          <cell r="AO77">
            <v>5</v>
          </cell>
          <cell r="AP77">
            <v>5</v>
          </cell>
          <cell r="AQ77">
            <v>0</v>
          </cell>
          <cell r="AR77">
            <v>45</v>
          </cell>
          <cell r="AS77">
            <v>40.769499999999994</v>
          </cell>
          <cell r="AT77">
            <v>-9.4011111111111259</v>
          </cell>
          <cell r="AU77">
            <v>15</v>
          </cell>
          <cell r="AV77">
            <v>11.8065</v>
          </cell>
          <cell r="AW77">
            <v>-21.29</v>
          </cell>
          <cell r="AX77">
            <v>5</v>
          </cell>
          <cell r="AY77">
            <v>5</v>
          </cell>
          <cell r="AZ77">
            <v>0</v>
          </cell>
          <cell r="BA77">
            <v>5</v>
          </cell>
          <cell r="BB77">
            <v>5</v>
          </cell>
          <cell r="BC77">
            <v>0</v>
          </cell>
          <cell r="BD77">
            <v>5</v>
          </cell>
          <cell r="BE77">
            <v>5</v>
          </cell>
          <cell r="BF77">
            <v>0</v>
          </cell>
          <cell r="BG77">
            <v>15</v>
          </cell>
          <cell r="BH77">
            <v>15</v>
          </cell>
          <cell r="BI77">
            <v>0</v>
          </cell>
          <cell r="BJ77">
            <v>30</v>
          </cell>
          <cell r="BK77">
            <v>26.8065</v>
          </cell>
          <cell r="BL77">
            <v>-10.645</v>
          </cell>
          <cell r="BM77">
            <v>60</v>
          </cell>
          <cell r="BN77">
            <v>55.769499999999994</v>
          </cell>
          <cell r="BO77">
            <v>-7.0508333333333439</v>
          </cell>
        </row>
        <row r="78">
          <cell r="B78">
            <v>73</v>
          </cell>
          <cell r="C78" t="str">
            <v>F/C Prod (incl WP)</v>
          </cell>
          <cell r="D78" t="str">
            <v>KTON</v>
          </cell>
          <cell r="E78">
            <v>570</v>
          </cell>
          <cell r="F78">
            <v>713.37058265999985</v>
          </cell>
          <cell r="G78">
            <v>25.152733799999975</v>
          </cell>
          <cell r="H78">
            <v>580</v>
          </cell>
          <cell r="I78">
            <v>609.93658000000005</v>
          </cell>
          <cell r="J78">
            <v>5.161479310344836</v>
          </cell>
          <cell r="K78">
            <v>590</v>
          </cell>
          <cell r="L78">
            <v>648.84168</v>
          </cell>
          <cell r="M78">
            <v>9.9731661016949147</v>
          </cell>
          <cell r="N78">
            <v>1740</v>
          </cell>
          <cell r="O78">
            <v>1972.1488426599999</v>
          </cell>
          <cell r="P78">
            <v>13.341887509195397</v>
          </cell>
          <cell r="Q78">
            <v>620</v>
          </cell>
          <cell r="R78">
            <v>542.72025000000008</v>
          </cell>
          <cell r="S78">
            <v>-12.464475806451599</v>
          </cell>
          <cell r="T78">
            <v>630</v>
          </cell>
          <cell r="U78">
            <v>667.14870999999994</v>
          </cell>
          <cell r="V78">
            <v>5.8966206349206249</v>
          </cell>
          <cell r="W78">
            <v>630</v>
          </cell>
          <cell r="X78">
            <v>743.36746199999993</v>
          </cell>
          <cell r="Y78">
            <v>17.994835238095227</v>
          </cell>
          <cell r="Z78">
            <v>1880</v>
          </cell>
          <cell r="AA78">
            <v>1953.2364219999999</v>
          </cell>
          <cell r="AB78">
            <v>3.8955543617021249</v>
          </cell>
          <cell r="AC78">
            <v>3620</v>
          </cell>
          <cell r="AD78">
            <v>3925.3852646599998</v>
          </cell>
          <cell r="AE78">
            <v>8.4360570348066251</v>
          </cell>
          <cell r="AF78">
            <v>630</v>
          </cell>
          <cell r="AG78">
            <v>701.69053000000008</v>
          </cell>
          <cell r="AH78">
            <v>11.37944920634922</v>
          </cell>
          <cell r="AI78">
            <v>680</v>
          </cell>
          <cell r="AJ78">
            <v>630.38279599999998</v>
          </cell>
          <cell r="AK78">
            <v>-7.2966476470588253</v>
          </cell>
          <cell r="AL78">
            <v>4930</v>
          </cell>
          <cell r="AM78">
            <v>5257.4585906599996</v>
          </cell>
          <cell r="AN78">
            <v>6.6421620823529333</v>
          </cell>
          <cell r="AO78">
            <v>700</v>
          </cell>
          <cell r="AP78">
            <v>650</v>
          </cell>
          <cell r="AQ78">
            <v>-7.1428571428571423</v>
          </cell>
          <cell r="AR78">
            <v>5630</v>
          </cell>
          <cell r="AS78">
            <v>5907.4585906599996</v>
          </cell>
          <cell r="AT78">
            <v>4.9282165303729943</v>
          </cell>
          <cell r="AU78">
            <v>2010</v>
          </cell>
          <cell r="AV78">
            <v>1982.0733260000002</v>
          </cell>
          <cell r="AW78">
            <v>-1.3893867661691452</v>
          </cell>
          <cell r="AX78">
            <v>700</v>
          </cell>
          <cell r="AY78">
            <v>640</v>
          </cell>
          <cell r="AZ78">
            <v>-8.5714285714285712</v>
          </cell>
          <cell r="BA78">
            <v>700</v>
          </cell>
          <cell r="BB78">
            <v>640</v>
          </cell>
          <cell r="BC78">
            <v>-8.5714285714285712</v>
          </cell>
          <cell r="BD78">
            <v>655</v>
          </cell>
          <cell r="BE78">
            <v>613</v>
          </cell>
          <cell r="BF78">
            <v>-6.4122137404580153</v>
          </cell>
          <cell r="BG78">
            <v>2055</v>
          </cell>
          <cell r="BH78">
            <v>1893</v>
          </cell>
          <cell r="BI78">
            <v>-7.8832116788321169</v>
          </cell>
          <cell r="BJ78">
            <v>4065</v>
          </cell>
          <cell r="BK78">
            <v>3875.0733260000002</v>
          </cell>
          <cell r="BL78">
            <v>-4.6722429028290238</v>
          </cell>
          <cell r="BM78">
            <v>7685</v>
          </cell>
          <cell r="BN78">
            <v>7800.4585906599996</v>
          </cell>
          <cell r="BO78">
            <v>1.5023889480806711</v>
          </cell>
        </row>
        <row r="79">
          <cell r="B79">
            <v>74</v>
          </cell>
          <cell r="C79" t="str">
            <v>Stripping Ratio</v>
          </cell>
          <cell r="D79" t="str">
            <v>OB: F/C</v>
          </cell>
          <cell r="E79">
            <v>11.246865498974856</v>
          </cell>
          <cell r="F79">
            <v>9.8001966339309092</v>
          </cell>
          <cell r="G79">
            <v>-12.862862680947055</v>
          </cell>
          <cell r="H79">
            <v>10.813926897850488</v>
          </cell>
          <cell r="I79">
            <v>10.730057244699307</v>
          </cell>
          <cell r="J79">
            <v>-0.7755707426490196</v>
          </cell>
          <cell r="K79">
            <v>11.991521974517168</v>
          </cell>
          <cell r="L79">
            <v>11.537041281342788</v>
          </cell>
          <cell r="M79">
            <v>-3.7900167646791121</v>
          </cell>
          <cell r="N79">
            <v>11.355051092031081</v>
          </cell>
          <cell r="O79">
            <v>10.659205428342975</v>
          </cell>
          <cell r="P79">
            <v>-6.1280716224733389</v>
          </cell>
          <cell r="Q79">
            <v>11.320968412095592</v>
          </cell>
          <cell r="R79">
            <v>13.347813927156761</v>
          </cell>
          <cell r="S79">
            <v>17.903464096725493</v>
          </cell>
          <cell r="T79">
            <v>11.723133540155931</v>
          </cell>
          <cell r="U79">
            <v>11.070391234638848</v>
          </cell>
          <cell r="V79">
            <v>-5.5679849016579688</v>
          </cell>
          <cell r="W79">
            <v>11.905099934742976</v>
          </cell>
          <cell r="X79">
            <v>10.7001759927783</v>
          </cell>
          <cell r="Y79">
            <v>-10.121073729488938</v>
          </cell>
          <cell r="Z79">
            <v>11.651482715258288</v>
          </cell>
          <cell r="AA79">
            <v>11.562291466214297</v>
          </cell>
          <cell r="AB79">
            <v>-0.76549269499571293</v>
          </cell>
          <cell r="AC79">
            <v>11.508999006856259</v>
          </cell>
          <cell r="AD79">
            <v>11.10857292285379</v>
          </cell>
          <cell r="AE79">
            <v>-3.4792433622065877</v>
          </cell>
          <cell r="AF79">
            <v>12.116172384031769</v>
          </cell>
          <cell r="AG79">
            <v>11.315476184399136</v>
          </cell>
          <cell r="AH79">
            <v>-6.6084913143683197</v>
          </cell>
          <cell r="AI79">
            <v>10.653811616314792</v>
          </cell>
          <cell r="AJ79">
            <v>12.45484332128788</v>
          </cell>
          <cell r="AK79">
            <v>16.905045535206057</v>
          </cell>
          <cell r="AL79">
            <v>11.468632232424694</v>
          </cell>
          <cell r="AM79">
            <v>11.297608697468355</v>
          </cell>
          <cell r="AN79">
            <v>-1.4912286965904475</v>
          </cell>
          <cell r="AO79">
            <v>10.8191823784238</v>
          </cell>
          <cell r="AP79">
            <v>11.741832075226448</v>
          </cell>
          <cell r="AQ79">
            <v>8.5279059408652316</v>
          </cell>
          <cell r="AR79">
            <v>11.387883582726536</v>
          </cell>
          <cell r="AS79">
            <v>11.346486771027649</v>
          </cell>
          <cell r="AT79">
            <v>-0.36351628815101689</v>
          </cell>
          <cell r="AU79">
            <v>11.169755306433201</v>
          </cell>
          <cell r="AV79">
            <v>11.817661828796528</v>
          </cell>
          <cell r="AW79">
            <v>5.800543562401641</v>
          </cell>
          <cell r="AX79">
            <v>10.868423844533694</v>
          </cell>
          <cell r="AY79">
            <v>11.703801482783291</v>
          </cell>
          <cell r="AZ79">
            <v>7.6862813798870402</v>
          </cell>
          <cell r="BA79">
            <v>9.9191799776377128</v>
          </cell>
          <cell r="BB79">
            <v>10.443873462738201</v>
          </cell>
          <cell r="BC79">
            <v>5.2896861059420592</v>
          </cell>
          <cell r="BD79">
            <v>9.6718573015734179</v>
          </cell>
          <cell r="BE79">
            <v>9.8954796264209399</v>
          </cell>
          <cell r="BF79">
            <v>2.3120928884170269</v>
          </cell>
          <cell r="BG79">
            <v>10.163693045280086</v>
          </cell>
          <cell r="BH79">
            <v>10.692256194468987</v>
          </cell>
          <cell r="BI79">
            <v>5.2005028766031121</v>
          </cell>
          <cell r="BJ79">
            <v>10.661155565555056</v>
          </cell>
          <cell r="BK79">
            <v>11.267893427902523</v>
          </cell>
          <cell r="BL79">
            <v>5.6911078598999714</v>
          </cell>
          <cell r="BM79">
            <v>11.06053009483422</v>
          </cell>
          <cell r="BN79">
            <v>11.187719377158214</v>
          </cell>
          <cell r="BO79">
            <v>1.1499383956596831</v>
          </cell>
        </row>
        <row r="80">
          <cell r="B80">
            <v>75</v>
          </cell>
          <cell r="C80" t="str">
            <v>S/R                          (OB/ (FC+WP)</v>
          </cell>
          <cell r="E80" t="e">
            <v>#REF!</v>
          </cell>
          <cell r="F80" t="e">
            <v>#REF!</v>
          </cell>
          <cell r="G80" t="e">
            <v>#REF!</v>
          </cell>
          <cell r="H80" t="e">
            <v>#REF!</v>
          </cell>
          <cell r="I80" t="e">
            <v>#REF!</v>
          </cell>
          <cell r="J80" t="e">
            <v>#REF!</v>
          </cell>
          <cell r="K80" t="e">
            <v>#REF!</v>
          </cell>
          <cell r="L80" t="e">
            <v>#REF!</v>
          </cell>
          <cell r="M80" t="e">
            <v>#REF!</v>
          </cell>
          <cell r="N80" t="e">
            <v>#REF!</v>
          </cell>
          <cell r="O80" t="e">
            <v>#REF!</v>
          </cell>
          <cell r="P80" t="e">
            <v>#REF!</v>
          </cell>
          <cell r="Q80" t="e">
            <v>#REF!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V80" t="e">
            <v>#REF!</v>
          </cell>
          <cell r="W80" t="e">
            <v>#REF!</v>
          </cell>
          <cell r="X80" t="e">
            <v>#REF!</v>
          </cell>
          <cell r="Y80" t="e">
            <v>#REF!</v>
          </cell>
          <cell r="Z80" t="e">
            <v>#REF!</v>
          </cell>
          <cell r="AA80" t="e">
            <v>#REF!</v>
          </cell>
          <cell r="AB80" t="e">
            <v>#REF!</v>
          </cell>
          <cell r="AC80" t="e">
            <v>#REF!</v>
          </cell>
          <cell r="AD80" t="e">
            <v>#REF!</v>
          </cell>
          <cell r="AE80" t="e">
            <v>#REF!</v>
          </cell>
          <cell r="AF80" t="e">
            <v>#REF!</v>
          </cell>
          <cell r="AG80" t="e">
            <v>#REF!</v>
          </cell>
          <cell r="AH80" t="e">
            <v>#REF!</v>
          </cell>
          <cell r="AI80" t="e">
            <v>#REF!</v>
          </cell>
          <cell r="AJ80" t="e">
            <v>#REF!</v>
          </cell>
          <cell r="AK80" t="e">
            <v>#REF!</v>
          </cell>
          <cell r="AL80" t="e">
            <v>#REF!</v>
          </cell>
          <cell r="AM80" t="e">
            <v>#REF!</v>
          </cell>
          <cell r="AN80" t="e">
            <v>#REF!</v>
          </cell>
          <cell r="AO80" t="e">
            <v>#REF!</v>
          </cell>
          <cell r="AP80" t="e">
            <v>#REF!</v>
          </cell>
          <cell r="AQ80" t="e">
            <v>#REF!</v>
          </cell>
          <cell r="AR80" t="e">
            <v>#REF!</v>
          </cell>
          <cell r="AS80" t="e">
            <v>#REF!</v>
          </cell>
          <cell r="AT80" t="e">
            <v>#REF!</v>
          </cell>
          <cell r="AU80" t="e">
            <v>#REF!</v>
          </cell>
          <cell r="AV80" t="e">
            <v>#REF!</v>
          </cell>
          <cell r="AW80" t="e">
            <v>#REF!</v>
          </cell>
          <cell r="AX80" t="e">
            <v>#REF!</v>
          </cell>
          <cell r="AY80" t="e">
            <v>#REF!</v>
          </cell>
          <cell r="AZ80" t="e">
            <v>#REF!</v>
          </cell>
          <cell r="BA80" t="e">
            <v>#REF!</v>
          </cell>
          <cell r="BB80" t="e">
            <v>#REF!</v>
          </cell>
          <cell r="BC80" t="e">
            <v>#REF!</v>
          </cell>
          <cell r="BD80" t="e">
            <v>#REF!</v>
          </cell>
          <cell r="BE80" t="e">
            <v>#REF!</v>
          </cell>
          <cell r="BF80" t="e">
            <v>#REF!</v>
          </cell>
          <cell r="BG80" t="e">
            <v>#REF!</v>
          </cell>
          <cell r="BH80" t="e">
            <v>#REF!</v>
          </cell>
          <cell r="BI80" t="e">
            <v>#REF!</v>
          </cell>
          <cell r="BJ80" t="e">
            <v>#REF!</v>
          </cell>
          <cell r="BK80" t="e">
            <v>#REF!</v>
          </cell>
          <cell r="BL80" t="e">
            <v>#REF!</v>
          </cell>
          <cell r="BM80" t="e">
            <v>#REF!</v>
          </cell>
          <cell r="BN80" t="e">
            <v>#REF!</v>
          </cell>
          <cell r="BO80" t="e">
            <v>#REF!</v>
          </cell>
        </row>
        <row r="81">
          <cell r="B81">
            <v>76</v>
          </cell>
          <cell r="C81" t="str">
            <v>Hauling</v>
          </cell>
          <cell r="D81" t="str">
            <v>KTON</v>
          </cell>
          <cell r="E81">
            <v>570</v>
          </cell>
          <cell r="F81">
            <v>775.75536</v>
          </cell>
          <cell r="G81">
            <v>36.097431578947372</v>
          </cell>
          <cell r="H81">
            <v>580</v>
          </cell>
          <cell r="I81">
            <v>590.6816</v>
          </cell>
          <cell r="J81">
            <v>1.8416551724137937</v>
          </cell>
          <cell r="K81">
            <v>590</v>
          </cell>
          <cell r="L81">
            <v>536.67831999999999</v>
          </cell>
          <cell r="M81">
            <v>-9.0375728813559348</v>
          </cell>
          <cell r="N81">
            <v>1740</v>
          </cell>
          <cell r="O81">
            <v>1903.11528</v>
          </cell>
          <cell r="P81">
            <v>9.374441379310344</v>
          </cell>
          <cell r="Q81">
            <v>620</v>
          </cell>
          <cell r="R81">
            <v>620.86586000000011</v>
          </cell>
          <cell r="S81">
            <v>0.13965483870969542</v>
          </cell>
          <cell r="T81">
            <v>630</v>
          </cell>
          <cell r="U81">
            <v>670.11496199999999</v>
          </cell>
          <cell r="V81">
            <v>6.3674542857142846</v>
          </cell>
          <cell r="W81">
            <v>630</v>
          </cell>
          <cell r="X81">
            <v>763.73353999999995</v>
          </cell>
          <cell r="Y81">
            <v>21.227546031746023</v>
          </cell>
          <cell r="Z81">
            <v>1880</v>
          </cell>
          <cell r="AA81">
            <v>2054.7143619999997</v>
          </cell>
          <cell r="AB81">
            <v>9.2933171276595594</v>
          </cell>
          <cell r="AC81">
            <v>3620</v>
          </cell>
          <cell r="AD81">
            <v>3957.8296419999997</v>
          </cell>
          <cell r="AE81">
            <v>9.3323105524861791</v>
          </cell>
          <cell r="AF81">
            <v>630</v>
          </cell>
          <cell r="AG81">
            <v>722.55445999999995</v>
          </cell>
          <cell r="AH81">
            <v>14.691184126984119</v>
          </cell>
          <cell r="AI81">
            <v>680</v>
          </cell>
          <cell r="AJ81">
            <v>641.48202000000003</v>
          </cell>
          <cell r="AK81">
            <v>-5.6644088235294063</v>
          </cell>
          <cell r="AL81">
            <v>4930</v>
          </cell>
          <cell r="AM81">
            <v>5321.8661220000004</v>
          </cell>
          <cell r="AN81">
            <v>7.9486028803245512</v>
          </cell>
          <cell r="AO81">
            <v>700</v>
          </cell>
          <cell r="AP81">
            <v>650</v>
          </cell>
          <cell r="AQ81">
            <v>-7.1428571428571423</v>
          </cell>
          <cell r="AR81">
            <v>5630</v>
          </cell>
          <cell r="AS81">
            <v>5971.8661220000004</v>
          </cell>
          <cell r="AT81">
            <v>6.0722224156305575</v>
          </cell>
          <cell r="AU81">
            <v>2010</v>
          </cell>
          <cell r="AV81">
            <v>2014.03648</v>
          </cell>
          <cell r="AW81">
            <v>0.20081990049751158</v>
          </cell>
          <cell r="AX81">
            <v>700</v>
          </cell>
          <cell r="AY81">
            <v>640</v>
          </cell>
          <cell r="AZ81">
            <v>-8.5714285714285712</v>
          </cell>
          <cell r="BA81">
            <v>700</v>
          </cell>
          <cell r="BB81">
            <v>640</v>
          </cell>
          <cell r="BC81">
            <v>-8.5714285714285712</v>
          </cell>
          <cell r="BD81">
            <v>655</v>
          </cell>
          <cell r="BE81">
            <v>613</v>
          </cell>
          <cell r="BF81">
            <v>-6.4122137404580153</v>
          </cell>
          <cell r="BG81">
            <v>2055</v>
          </cell>
          <cell r="BH81">
            <v>1893</v>
          </cell>
          <cell r="BI81">
            <v>-7.8832116788321169</v>
          </cell>
          <cell r="BJ81">
            <v>4065</v>
          </cell>
          <cell r="BK81">
            <v>3907.0364799999998</v>
          </cell>
          <cell r="BL81">
            <v>-3.8859414514145199</v>
          </cell>
          <cell r="BM81">
            <v>7685</v>
          </cell>
          <cell r="BN81">
            <v>7864.8661220000004</v>
          </cell>
          <cell r="BO81">
            <v>2.3404830448926526</v>
          </cell>
        </row>
        <row r="82">
          <cell r="B82">
            <v>77</v>
          </cell>
          <cell r="C82" t="str">
            <v>ROM stock</v>
          </cell>
          <cell r="D82" t="str">
            <v>KTON</v>
          </cell>
          <cell r="E82">
            <v>517.83012317757971</v>
          </cell>
          <cell r="F82">
            <v>640.07602606110004</v>
          </cell>
          <cell r="G82">
            <v>23.607337119242576</v>
          </cell>
          <cell r="H82">
            <v>495.57237709954779</v>
          </cell>
          <cell r="I82">
            <v>580.64277716879997</v>
          </cell>
          <cell r="J82">
            <v>17.16608995988566</v>
          </cell>
          <cell r="K82">
            <v>520.02416152631895</v>
          </cell>
          <cell r="L82">
            <v>531.03860919420003</v>
          </cell>
          <cell r="M82">
            <v>2.118064598297253</v>
          </cell>
          <cell r="N82">
            <v>520.02416152631895</v>
          </cell>
          <cell r="O82">
            <v>531.03860919420003</v>
          </cell>
          <cell r="P82">
            <v>2.118064598297253</v>
          </cell>
          <cell r="Q82">
            <v>517.01172377227749</v>
          </cell>
          <cell r="R82">
            <v>567.00740822609998</v>
          </cell>
          <cell r="S82">
            <v>9.6701258704616038</v>
          </cell>
          <cell r="T82">
            <v>523.13469118232535</v>
          </cell>
          <cell r="U82">
            <v>485.0581357758</v>
          </cell>
          <cell r="V82">
            <v>-7.2785376401762543</v>
          </cell>
          <cell r="W82">
            <v>555.45271380323788</v>
          </cell>
          <cell r="X82">
            <v>453.78565357320002</v>
          </cell>
          <cell r="Y82">
            <v>-18.303459089057963</v>
          </cell>
          <cell r="Z82">
            <v>555.45271380323788</v>
          </cell>
          <cell r="AA82">
            <v>453.78565357320002</v>
          </cell>
          <cell r="AB82">
            <v>-18.303459089057963</v>
          </cell>
          <cell r="AC82">
            <v>555.45271380323788</v>
          </cell>
          <cell r="AD82">
            <v>453.78565357320002</v>
          </cell>
          <cell r="AE82">
            <v>-18.303459089057963</v>
          </cell>
          <cell r="AF82">
            <v>571.49143251173507</v>
          </cell>
          <cell r="AG82">
            <v>372.02722243230005</v>
          </cell>
          <cell r="AH82">
            <v>-34.902397259531831</v>
          </cell>
          <cell r="AI82">
            <v>586.44685074244001</v>
          </cell>
          <cell r="AJ82">
            <v>343.70866595730001</v>
          </cell>
          <cell r="AK82">
            <v>-41.391335715731806</v>
          </cell>
          <cell r="AL82">
            <v>586.44685074244001</v>
          </cell>
          <cell r="AM82">
            <v>343.70866595730001</v>
          </cell>
          <cell r="AN82">
            <v>-41.391335715731806</v>
          </cell>
          <cell r="AO82">
            <v>607.08897058598313</v>
          </cell>
          <cell r="AP82">
            <v>329.70866595730001</v>
          </cell>
          <cell r="AQ82">
            <v>-45.690223026280009</v>
          </cell>
          <cell r="AR82">
            <v>607.08897058598313</v>
          </cell>
          <cell r="AS82">
            <v>329.70866595730001</v>
          </cell>
          <cell r="AT82">
            <v>-45.690223026280009</v>
          </cell>
          <cell r="AU82">
            <v>607.08897058598313</v>
          </cell>
          <cell r="AV82">
            <v>329.70866595730001</v>
          </cell>
          <cell r="AW82">
            <v>-45.690223026280009</v>
          </cell>
          <cell r="AX82">
            <v>630.67454185489623</v>
          </cell>
          <cell r="AY82">
            <v>394.23693598954696</v>
          </cell>
          <cell r="AZ82">
            <v>-37.489638501968919</v>
          </cell>
          <cell r="BA82">
            <v>614.07586531219101</v>
          </cell>
          <cell r="BB82">
            <v>443.25324995702999</v>
          </cell>
          <cell r="BC82">
            <v>-27.81783571127913</v>
          </cell>
          <cell r="BD82">
            <v>587.43103561313978</v>
          </cell>
          <cell r="BE82">
            <v>482.19832966378408</v>
          </cell>
          <cell r="BF82">
            <v>-17.914052811240648</v>
          </cell>
          <cell r="BG82">
            <v>587.43103561313978</v>
          </cell>
          <cell r="BH82">
            <v>482.19832966378408</v>
          </cell>
          <cell r="BI82">
            <v>-17.914052811240648</v>
          </cell>
          <cell r="BJ82">
            <v>587.43103561313978</v>
          </cell>
          <cell r="BK82">
            <v>482.19832966378408</v>
          </cell>
          <cell r="BL82">
            <v>-17.914052811240648</v>
          </cell>
          <cell r="BM82">
            <v>587.43103561313978</v>
          </cell>
          <cell r="BN82">
            <v>482.19832966378408</v>
          </cell>
          <cell r="BO82">
            <v>-17.914052811240648</v>
          </cell>
        </row>
        <row r="83">
          <cell r="B83">
            <v>78</v>
          </cell>
          <cell r="C83" t="str">
            <v>F/C stock</v>
          </cell>
          <cell r="D83" t="str">
            <v>KTON</v>
          </cell>
          <cell r="E83">
            <v>191.36879348000008</v>
          </cell>
          <cell r="F83">
            <v>150.85448733430002</v>
          </cell>
          <cell r="G83">
            <v>-21.1708008442527</v>
          </cell>
          <cell r="H83">
            <v>191.36879348000008</v>
          </cell>
          <cell r="I83">
            <v>299.91434896066568</v>
          </cell>
          <cell r="J83">
            <v>56.720614425574922</v>
          </cell>
          <cell r="K83">
            <v>191.36879348000008</v>
          </cell>
          <cell r="L83">
            <v>257.80015952473104</v>
          </cell>
          <cell r="M83">
            <v>34.713792586916057</v>
          </cell>
          <cell r="N83">
            <v>191.36879348000008</v>
          </cell>
          <cell r="O83">
            <v>257.80015952473104</v>
          </cell>
          <cell r="P83">
            <v>34.713792586916057</v>
          </cell>
          <cell r="Q83">
            <v>191.36879348000008</v>
          </cell>
          <cell r="R83">
            <v>259.2030452113334</v>
          </cell>
          <cell r="S83">
            <v>35.446872239607167</v>
          </cell>
          <cell r="T83">
            <v>191.36879348000008</v>
          </cell>
          <cell r="U83">
            <v>197.53645117177058</v>
          </cell>
          <cell r="V83">
            <v>3.222917164085628</v>
          </cell>
          <cell r="W83">
            <v>191.36879348000008</v>
          </cell>
          <cell r="X83">
            <v>342.6004155950618</v>
          </cell>
          <cell r="Y83">
            <v>79.026271402430567</v>
          </cell>
          <cell r="Z83">
            <v>191.36879348000008</v>
          </cell>
          <cell r="AA83">
            <v>342.6004155950618</v>
          </cell>
          <cell r="AB83">
            <v>79.026271402430567</v>
          </cell>
          <cell r="AC83">
            <v>191.36879348000008</v>
          </cell>
          <cell r="AD83">
            <v>342.6004155950618</v>
          </cell>
          <cell r="AE83">
            <v>79.026271402430567</v>
          </cell>
          <cell r="AF83">
            <v>191.36879348000008</v>
          </cell>
          <cell r="AG83">
            <v>517.78069542557193</v>
          </cell>
          <cell r="AH83">
            <v>170.56694354907199</v>
          </cell>
          <cell r="AI83">
            <v>191.36879348000008</v>
          </cell>
          <cell r="AJ83">
            <v>357.71465108580003</v>
          </cell>
          <cell r="AK83">
            <v>86.92423387368261</v>
          </cell>
          <cell r="AL83">
            <v>191.36879348000008</v>
          </cell>
          <cell r="AM83">
            <v>357.71465108580003</v>
          </cell>
          <cell r="AN83">
            <v>86.92423387368261</v>
          </cell>
          <cell r="AO83">
            <v>191.36879348000008</v>
          </cell>
          <cell r="AP83">
            <v>317.71465108580003</v>
          </cell>
          <cell r="AQ83">
            <v>66.022184342717466</v>
          </cell>
          <cell r="AR83">
            <v>191.36879348000008</v>
          </cell>
          <cell r="AS83">
            <v>317.71465108580003</v>
          </cell>
          <cell r="AT83">
            <v>66.022184342717466</v>
          </cell>
          <cell r="AU83">
            <v>191.36879348000008</v>
          </cell>
          <cell r="AV83">
            <v>317.71465108580003</v>
          </cell>
          <cell r="AW83">
            <v>66.022184342717466</v>
          </cell>
          <cell r="AX83">
            <v>191.36879348000008</v>
          </cell>
          <cell r="AY83">
            <v>264.71465108580003</v>
          </cell>
          <cell r="AZ83">
            <v>38.326968714188666</v>
          </cell>
          <cell r="BA83">
            <v>191.36879348000008</v>
          </cell>
          <cell r="BB83">
            <v>214.7146510858</v>
          </cell>
          <cell r="BC83">
            <v>12.199406800482228</v>
          </cell>
          <cell r="BD83">
            <v>191.36879348000008</v>
          </cell>
          <cell r="BE83">
            <v>139.7146510858</v>
          </cell>
          <cell r="BF83">
            <v>-26.991936070077404</v>
          </cell>
          <cell r="BG83">
            <v>191.36879348000008</v>
          </cell>
          <cell r="BH83">
            <v>139.7146510858</v>
          </cell>
          <cell r="BI83">
            <v>-26.991936070077404</v>
          </cell>
          <cell r="BJ83">
            <v>191.36879348000008</v>
          </cell>
          <cell r="BK83">
            <v>139.7146510858</v>
          </cell>
          <cell r="BL83">
            <v>-26.991936070077404</v>
          </cell>
          <cell r="BM83">
            <v>191.36879348000008</v>
          </cell>
          <cell r="BN83">
            <v>139.7146510858</v>
          </cell>
          <cell r="BO83">
            <v>-26.991936070077404</v>
          </cell>
        </row>
        <row r="84">
          <cell r="B84">
            <v>79</v>
          </cell>
          <cell r="C84" t="str">
            <v>Coal Barging</v>
          </cell>
          <cell r="D84" t="str">
            <v>KTON</v>
          </cell>
          <cell r="E84">
            <v>570</v>
          </cell>
          <cell r="F84">
            <v>684.69007499999998</v>
          </cell>
          <cell r="G84">
            <v>20.121065789473679</v>
          </cell>
          <cell r="H84">
            <v>580</v>
          </cell>
          <cell r="I84">
            <v>589.64241099999992</v>
          </cell>
          <cell r="J84">
            <v>1.6624846551724008</v>
          </cell>
          <cell r="K84">
            <v>590</v>
          </cell>
          <cell r="L84">
            <v>593.78279500000008</v>
          </cell>
          <cell r="M84">
            <v>0.64115169491526747</v>
          </cell>
          <cell r="N84">
            <v>1740</v>
          </cell>
          <cell r="O84">
            <v>1868.1152809999999</v>
          </cell>
          <cell r="P84">
            <v>7.3629471839080392</v>
          </cell>
          <cell r="Q84">
            <v>620</v>
          </cell>
          <cell r="R84">
            <v>577.17736400000001</v>
          </cell>
          <cell r="S84">
            <v>-6.9068767741935462</v>
          </cell>
          <cell r="T84">
            <v>630</v>
          </cell>
          <cell r="U84">
            <v>684.56249600000012</v>
          </cell>
          <cell r="V84">
            <v>8.6607136507936708</v>
          </cell>
          <cell r="W84">
            <v>630</v>
          </cell>
          <cell r="X84">
            <v>711.06903499999999</v>
          </cell>
          <cell r="Y84">
            <v>12.868100793650791</v>
          </cell>
          <cell r="Z84">
            <v>1880</v>
          </cell>
          <cell r="AA84">
            <v>1972.8088950000001</v>
          </cell>
          <cell r="AB84">
            <v>4.9366433510638359</v>
          </cell>
          <cell r="AC84">
            <v>3620</v>
          </cell>
          <cell r="AD84">
            <v>3840.924176</v>
          </cell>
          <cell r="AE84">
            <v>6.1028777900552482</v>
          </cell>
          <cell r="AF84">
            <v>630</v>
          </cell>
          <cell r="AG84">
            <v>583.20778799999994</v>
          </cell>
          <cell r="AH84">
            <v>-7.4273352380952478</v>
          </cell>
          <cell r="AI84">
            <v>680</v>
          </cell>
          <cell r="AJ84">
            <v>614.57120399999997</v>
          </cell>
          <cell r="AK84">
            <v>-9.6218817647058881</v>
          </cell>
          <cell r="AL84">
            <v>4930</v>
          </cell>
          <cell r="AM84">
            <v>5038.703168</v>
          </cell>
          <cell r="AN84">
            <v>2.2049324137931037</v>
          </cell>
          <cell r="AO84">
            <v>700</v>
          </cell>
          <cell r="AP84">
            <v>690</v>
          </cell>
          <cell r="AQ84">
            <v>-1.4285714285714286</v>
          </cell>
          <cell r="AR84">
            <v>5630</v>
          </cell>
          <cell r="AS84">
            <v>5728.703168</v>
          </cell>
          <cell r="AT84">
            <v>1.7531646181172293</v>
          </cell>
          <cell r="AU84">
            <v>2010</v>
          </cell>
          <cell r="AV84">
            <v>1887.778992</v>
          </cell>
          <cell r="AW84">
            <v>-6.080647164179104</v>
          </cell>
          <cell r="AX84">
            <v>700</v>
          </cell>
          <cell r="AY84">
            <v>693</v>
          </cell>
          <cell r="AZ84">
            <v>-1</v>
          </cell>
          <cell r="BA84">
            <v>700</v>
          </cell>
          <cell r="BB84">
            <v>690</v>
          </cell>
          <cell r="BC84">
            <v>-1.4285714285714286</v>
          </cell>
          <cell r="BD84">
            <v>655</v>
          </cell>
          <cell r="BE84">
            <v>688</v>
          </cell>
          <cell r="BF84">
            <v>5.0381679389312977</v>
          </cell>
          <cell r="BG84">
            <v>2055</v>
          </cell>
          <cell r="BH84">
            <v>2071</v>
          </cell>
          <cell r="BI84">
            <v>0.77858880778588813</v>
          </cell>
          <cell r="BJ84">
            <v>4065</v>
          </cell>
          <cell r="BK84">
            <v>3958.778992</v>
          </cell>
          <cell r="BL84">
            <v>-2.613062927429274</v>
          </cell>
          <cell r="BM84">
            <v>7685</v>
          </cell>
          <cell r="BN84">
            <v>7799.703168</v>
          </cell>
          <cell r="BO84">
            <v>1.4925591151594015</v>
          </cell>
        </row>
        <row r="85">
          <cell r="B85">
            <v>80</v>
          </cell>
          <cell r="C85" t="str">
            <v>Coal Sales</v>
          </cell>
          <cell r="D85" t="str">
            <v>KTON</v>
          </cell>
          <cell r="E85">
            <v>778.3</v>
          </cell>
          <cell r="F85">
            <v>657.44577900000002</v>
          </cell>
          <cell r="G85">
            <v>-15.527973917512519</v>
          </cell>
          <cell r="H85">
            <v>760.2</v>
          </cell>
          <cell r="I85">
            <v>523.01987199999996</v>
          </cell>
          <cell r="J85">
            <v>-31.199701131281248</v>
          </cell>
          <cell r="K85">
            <v>654.29999999999995</v>
          </cell>
          <cell r="L85">
            <v>689.33735899999999</v>
          </cell>
          <cell r="M85">
            <v>5.3549379489530855</v>
          </cell>
          <cell r="N85">
            <v>2192.8000000000002</v>
          </cell>
          <cell r="O85">
            <v>1869.8030100000001</v>
          </cell>
          <cell r="P85">
            <v>-14.729888270704125</v>
          </cell>
          <cell r="Q85">
            <v>686.9</v>
          </cell>
          <cell r="R85">
            <v>472.30755199999999</v>
          </cell>
          <cell r="S85">
            <v>-31.240711602853398</v>
          </cell>
          <cell r="T85">
            <v>585.70000000000005</v>
          </cell>
          <cell r="U85">
            <v>744.59053500000005</v>
          </cell>
          <cell r="V85">
            <v>27.128313983267883</v>
          </cell>
          <cell r="W85">
            <v>632.5</v>
          </cell>
          <cell r="X85">
            <v>614.40705300000002</v>
          </cell>
          <cell r="Y85">
            <v>-2.860544980237151</v>
          </cell>
          <cell r="Z85">
            <v>1905.1</v>
          </cell>
          <cell r="AA85">
            <v>1831.3051399999999</v>
          </cell>
          <cell r="AB85">
            <v>-3.873542596189175</v>
          </cell>
          <cell r="AC85">
            <v>4097.8999999999996</v>
          </cell>
          <cell r="AD85">
            <v>3701.10815</v>
          </cell>
          <cell r="AE85">
            <v>-9.6828094877864181</v>
          </cell>
          <cell r="AF85">
            <v>600.29999999999995</v>
          </cell>
          <cell r="AG85">
            <v>600.42500099999995</v>
          </cell>
          <cell r="AH85">
            <v>2.0823088455771695E-2</v>
          </cell>
          <cell r="AI85">
            <v>614.29999999999995</v>
          </cell>
          <cell r="AJ85">
            <v>699.27480799999989</v>
          </cell>
          <cell r="AK85">
            <v>13.832786586358448</v>
          </cell>
          <cell r="AL85">
            <v>5312.5000000000009</v>
          </cell>
          <cell r="AM85">
            <v>5000.8079589999998</v>
          </cell>
          <cell r="AN85">
            <v>-5.8671443011764914</v>
          </cell>
          <cell r="AO85">
            <v>625.29999999999995</v>
          </cell>
          <cell r="AP85">
            <v>803.3</v>
          </cell>
          <cell r="AQ85">
            <v>28.466336158643852</v>
          </cell>
          <cell r="AR85">
            <v>5937.8000000000011</v>
          </cell>
          <cell r="AS85">
            <v>5804.1079589999999</v>
          </cell>
          <cell r="AT85">
            <v>-2.2515416652632481</v>
          </cell>
          <cell r="AU85">
            <v>1839.8999999999999</v>
          </cell>
          <cell r="AV85">
            <v>2102.9998089999999</v>
          </cell>
          <cell r="AW85">
            <v>14.299679819555413</v>
          </cell>
          <cell r="AX85">
            <v>644.9</v>
          </cell>
          <cell r="AY85">
            <v>677.9</v>
          </cell>
          <cell r="AZ85">
            <v>5.1170724143278026</v>
          </cell>
          <cell r="BA85">
            <v>602.29999999999995</v>
          </cell>
          <cell r="BB85">
            <v>768.6</v>
          </cell>
          <cell r="BC85">
            <v>27.610825170180988</v>
          </cell>
          <cell r="BD85">
            <v>618</v>
          </cell>
          <cell r="BE85">
            <v>669.2</v>
          </cell>
          <cell r="BF85">
            <v>8.2847896440129514</v>
          </cell>
          <cell r="BG85">
            <v>1865.1999999999998</v>
          </cell>
          <cell r="BH85">
            <v>2115.6999999999998</v>
          </cell>
          <cell r="BI85">
            <v>13.430195153334765</v>
          </cell>
          <cell r="BJ85">
            <v>3705.0999999999995</v>
          </cell>
          <cell r="BK85">
            <v>4218.6998089999997</v>
          </cell>
          <cell r="BL85">
            <v>13.861968880731974</v>
          </cell>
          <cell r="BM85">
            <v>7803.0000000000009</v>
          </cell>
          <cell r="BN85">
            <v>7919.8079589999998</v>
          </cell>
          <cell r="BO85">
            <v>1.4969621812123393</v>
          </cell>
        </row>
        <row r="86">
          <cell r="B86">
            <v>81</v>
          </cell>
          <cell r="K86" t="str">
            <v xml:space="preserve"> </v>
          </cell>
        </row>
        <row r="87">
          <cell r="B87">
            <v>82</v>
          </cell>
          <cell r="C87" t="str">
            <v>BHARINTO</v>
          </cell>
          <cell r="E87" t="str">
            <v>JANUARY</v>
          </cell>
          <cell r="H87" t="str">
            <v>FEBRUARY</v>
          </cell>
          <cell r="K87" t="str">
            <v>MARCH</v>
          </cell>
          <cell r="N87" t="str">
            <v>Q1</v>
          </cell>
          <cell r="Q87" t="str">
            <v>APRIL</v>
          </cell>
          <cell r="T87" t="str">
            <v>MAY</v>
          </cell>
          <cell r="W87" t="str">
            <v>JUNE</v>
          </cell>
          <cell r="Z87" t="str">
            <v>Q2</v>
          </cell>
          <cell r="AC87" t="str">
            <v>1st HALF</v>
          </cell>
          <cell r="AF87" t="str">
            <v>JULY</v>
          </cell>
          <cell r="AI87" t="str">
            <v>AUG</v>
          </cell>
          <cell r="AL87" t="str">
            <v>Jan-Aug</v>
          </cell>
          <cell r="AO87" t="str">
            <v>SEP</v>
          </cell>
          <cell r="AR87" t="str">
            <v>Jan-Sep</v>
          </cell>
          <cell r="AU87" t="str">
            <v>Q3</v>
          </cell>
          <cell r="AX87" t="str">
            <v>OCTOBER</v>
          </cell>
          <cell r="BA87" t="str">
            <v>NOVEMBER</v>
          </cell>
          <cell r="BD87" t="str">
            <v>DECEMBER</v>
          </cell>
          <cell r="BG87" t="str">
            <v>Q4</v>
          </cell>
          <cell r="BJ87" t="str">
            <v>2nd HALF</v>
          </cell>
          <cell r="BM87" t="str">
            <v>YTD 2013</v>
          </cell>
        </row>
        <row r="88">
          <cell r="B88">
            <v>83</v>
          </cell>
          <cell r="E88" t="str">
            <v>Plan</v>
          </cell>
          <cell r="F88" t="str">
            <v>Actual</v>
          </cell>
          <cell r="G88" t="str">
            <v>% var</v>
          </cell>
          <cell r="H88" t="str">
            <v>Plan</v>
          </cell>
          <cell r="I88" t="str">
            <v>Actual</v>
          </cell>
          <cell r="J88" t="str">
            <v>% var</v>
          </cell>
          <cell r="K88" t="str">
            <v>Plan</v>
          </cell>
          <cell r="L88" t="str">
            <v>Actual</v>
          </cell>
          <cell r="M88" t="str">
            <v>% var</v>
          </cell>
          <cell r="N88" t="str">
            <v>Plan</v>
          </cell>
          <cell r="O88" t="str">
            <v>Actual</v>
          </cell>
          <cell r="P88" t="str">
            <v>% var</v>
          </cell>
          <cell r="Q88" t="str">
            <v>Plan</v>
          </cell>
          <cell r="R88" t="str">
            <v>Actual</v>
          </cell>
          <cell r="S88" t="str">
            <v>% var</v>
          </cell>
          <cell r="T88" t="str">
            <v>Plan</v>
          </cell>
          <cell r="U88" t="str">
            <v>Actual</v>
          </cell>
          <cell r="V88" t="str">
            <v>% var</v>
          </cell>
          <cell r="W88" t="str">
            <v>Plan</v>
          </cell>
          <cell r="X88" t="str">
            <v>Actual</v>
          </cell>
          <cell r="Y88" t="str">
            <v>% var</v>
          </cell>
          <cell r="Z88" t="str">
            <v>Plan</v>
          </cell>
          <cell r="AA88" t="str">
            <v>Actual</v>
          </cell>
          <cell r="AB88" t="str">
            <v>% var</v>
          </cell>
          <cell r="AC88" t="str">
            <v>Plan</v>
          </cell>
          <cell r="AD88" t="str">
            <v>Actual</v>
          </cell>
          <cell r="AE88" t="str">
            <v>% var</v>
          </cell>
          <cell r="AF88" t="str">
            <v>Plan</v>
          </cell>
          <cell r="AG88" t="str">
            <v>Actual</v>
          </cell>
          <cell r="AH88" t="str">
            <v>% var</v>
          </cell>
          <cell r="AI88" t="str">
            <v>Plan</v>
          </cell>
          <cell r="AJ88" t="str">
            <v>Actual</v>
          </cell>
          <cell r="AK88" t="str">
            <v>% var</v>
          </cell>
          <cell r="AL88" t="str">
            <v>Plan</v>
          </cell>
          <cell r="AM88" t="str">
            <v>Actual</v>
          </cell>
          <cell r="AN88" t="str">
            <v>% var</v>
          </cell>
          <cell r="AO88" t="str">
            <v>Plan</v>
          </cell>
          <cell r="AP88" t="str">
            <v>Est.</v>
          </cell>
          <cell r="AQ88" t="str">
            <v>% var</v>
          </cell>
          <cell r="AR88" t="str">
            <v>Plan</v>
          </cell>
          <cell r="AS88" t="str">
            <v>Est.</v>
          </cell>
          <cell r="AT88" t="str">
            <v>% var</v>
          </cell>
          <cell r="AU88" t="str">
            <v>Plan</v>
          </cell>
          <cell r="AV88" t="str">
            <v>Est.</v>
          </cell>
          <cell r="AW88" t="str">
            <v>% var</v>
          </cell>
          <cell r="AX88" t="str">
            <v>Plan</v>
          </cell>
          <cell r="AY88" t="str">
            <v>Est.</v>
          </cell>
          <cell r="AZ88" t="str">
            <v>% var</v>
          </cell>
          <cell r="BA88" t="str">
            <v>Plan</v>
          </cell>
          <cell r="BB88" t="str">
            <v>Est.</v>
          </cell>
          <cell r="BC88" t="str">
            <v>% var</v>
          </cell>
          <cell r="BD88" t="str">
            <v>Plan</v>
          </cell>
          <cell r="BE88" t="str">
            <v>Est.</v>
          </cell>
          <cell r="BF88" t="str">
            <v>% var</v>
          </cell>
          <cell r="BG88" t="str">
            <v>Plan</v>
          </cell>
          <cell r="BH88" t="str">
            <v>Est.</v>
          </cell>
          <cell r="BI88" t="str">
            <v>% var</v>
          </cell>
          <cell r="BJ88" t="str">
            <v>Plan</v>
          </cell>
          <cell r="BK88" t="str">
            <v>Est.</v>
          </cell>
          <cell r="BL88" t="str">
            <v>% var</v>
          </cell>
          <cell r="BM88" t="str">
            <v>Plan</v>
          </cell>
          <cell r="BN88" t="str">
            <v>Est.</v>
          </cell>
          <cell r="BO88" t="str">
            <v>% var</v>
          </cell>
        </row>
        <row r="89">
          <cell r="B89">
            <v>84</v>
          </cell>
          <cell r="C89" t="str">
            <v>OB Removal</v>
          </cell>
          <cell r="D89" t="str">
            <v>KBCM</v>
          </cell>
          <cell r="E89">
            <v>1347.3559509300001</v>
          </cell>
          <cell r="F89">
            <v>875.00689000000011</v>
          </cell>
          <cell r="G89">
            <v>-35.057481328817772</v>
          </cell>
          <cell r="H89">
            <v>1256.4043488179998</v>
          </cell>
          <cell r="I89">
            <v>788.40694000000019</v>
          </cell>
          <cell r="J89">
            <v>-37.248948498011984</v>
          </cell>
          <cell r="K89">
            <v>1317.3094395180001</v>
          </cell>
          <cell r="L89">
            <v>788.5996899999999</v>
          </cell>
          <cell r="M89">
            <v>-40.135577386544327</v>
          </cell>
          <cell r="N89">
            <v>3921.0697392659999</v>
          </cell>
          <cell r="O89">
            <v>2452.0135200000004</v>
          </cell>
          <cell r="P89">
            <v>-37.465699846006764</v>
          </cell>
          <cell r="Q89">
            <v>1249.9078058100001</v>
          </cell>
          <cell r="R89">
            <v>661.96122000000003</v>
          </cell>
          <cell r="S89">
            <v>-47.039196257277752</v>
          </cell>
          <cell r="T89">
            <v>1392.8317519859997</v>
          </cell>
          <cell r="U89">
            <v>907.65212999999994</v>
          </cell>
          <cell r="V89">
            <v>-34.834043759714397</v>
          </cell>
          <cell r="W89">
            <v>1493.5281686100002</v>
          </cell>
          <cell r="X89">
            <v>1361.89375</v>
          </cell>
          <cell r="Y89">
            <v>-8.8136548996267017</v>
          </cell>
          <cell r="Z89">
            <v>4136.2677264060003</v>
          </cell>
          <cell r="AA89">
            <v>2931.5070999999998</v>
          </cell>
          <cell r="AB89">
            <v>-29.126756440710764</v>
          </cell>
          <cell r="AC89">
            <v>8057.3374656720007</v>
          </cell>
          <cell r="AD89">
            <v>5383.5206200000002</v>
          </cell>
          <cell r="AE89">
            <v>-33.184868538319293</v>
          </cell>
          <cell r="AF89">
            <v>1543.8763769219997</v>
          </cell>
          <cell r="AG89">
            <v>981.09053299999994</v>
          </cell>
          <cell r="AH89">
            <v>-36.45277901356431</v>
          </cell>
          <cell r="AI89">
            <v>1364.4093763260003</v>
          </cell>
          <cell r="AJ89">
            <v>1492.1759880322691</v>
          </cell>
          <cell r="AK89">
            <v>9.3642431606788765</v>
          </cell>
          <cell r="AL89">
            <v>10965.623218920002</v>
          </cell>
          <cell r="AM89">
            <v>7856.7871410322687</v>
          </cell>
          <cell r="AN89">
            <v>-28.350746836930995</v>
          </cell>
          <cell r="AO89">
            <v>1493.5281686100002</v>
          </cell>
          <cell r="AP89">
            <v>1470.9483132342198</v>
          </cell>
          <cell r="AQ89">
            <v>-1.5118466360627862</v>
          </cell>
          <cell r="AR89">
            <v>12459.151387530002</v>
          </cell>
          <cell r="AS89">
            <v>9327.7354542664889</v>
          </cell>
          <cell r="AT89">
            <v>-25.1334608262137</v>
          </cell>
          <cell r="AU89">
            <v>4401.813921858</v>
          </cell>
          <cell r="AV89">
            <v>3944.2148342664887</v>
          </cell>
          <cell r="AW89">
            <v>-10.395693587119178</v>
          </cell>
          <cell r="AX89">
            <v>1392.8317519859997</v>
          </cell>
          <cell r="AY89">
            <v>1557.0772315994973</v>
          </cell>
          <cell r="AZ89">
            <v>11.792198115766999</v>
          </cell>
          <cell r="BA89">
            <v>1298.6318783700001</v>
          </cell>
          <cell r="BB89">
            <v>1814.9586205077017</v>
          </cell>
          <cell r="BC89">
            <v>39.759284423679624</v>
          </cell>
          <cell r="BD89">
            <v>1249.9078058100001</v>
          </cell>
          <cell r="BE89">
            <v>1774.7813761097677</v>
          </cell>
          <cell r="BF89">
            <v>41.992982831211648</v>
          </cell>
          <cell r="BG89">
            <v>3941.3714361660004</v>
          </cell>
          <cell r="BH89">
            <v>5146.8172282169671</v>
          </cell>
          <cell r="BI89">
            <v>30.584425030074648</v>
          </cell>
          <cell r="BJ89">
            <v>8343.1853580240004</v>
          </cell>
          <cell r="BK89">
            <v>9091.0320624834567</v>
          </cell>
          <cell r="BL89">
            <v>8.9635633438279054</v>
          </cell>
          <cell r="BM89">
            <v>16400.522823696003</v>
          </cell>
          <cell r="BN89">
            <v>14474.552682483454</v>
          </cell>
          <cell r="BO89">
            <v>-11.743346001322868</v>
          </cell>
        </row>
        <row r="90">
          <cell r="B90">
            <v>85</v>
          </cell>
          <cell r="C90" t="str">
            <v>ROM Production</v>
          </cell>
          <cell r="D90" t="str">
            <v>KTON</v>
          </cell>
          <cell r="E90">
            <v>145.77941285270288</v>
          </cell>
          <cell r="F90">
            <v>212.54268200000001</v>
          </cell>
          <cell r="G90">
            <v>45.797460588454612</v>
          </cell>
          <cell r="H90">
            <v>163.71952458039073</v>
          </cell>
          <cell r="I90">
            <v>144.58104799999998</v>
          </cell>
          <cell r="J90">
            <v>-11.689794866826182</v>
          </cell>
          <cell r="K90">
            <v>167.40581041209774</v>
          </cell>
          <cell r="L90">
            <v>140.980538</v>
          </cell>
          <cell r="M90">
            <v>-15.785158440467187</v>
          </cell>
          <cell r="N90">
            <v>476.90474784519131</v>
          </cell>
          <cell r="O90">
            <v>498.10426800000005</v>
          </cell>
          <cell r="P90">
            <v>4.4452315164810106</v>
          </cell>
          <cell r="Q90">
            <v>179.41318933589059</v>
          </cell>
          <cell r="R90">
            <v>168.66008400000001</v>
          </cell>
          <cell r="S90">
            <v>-5.9934865300003244</v>
          </cell>
          <cell r="T90">
            <v>189.06737932797333</v>
          </cell>
          <cell r="U90">
            <v>174.22130700000002</v>
          </cell>
          <cell r="V90">
            <v>-7.8522653567964076</v>
          </cell>
          <cell r="W90">
            <v>218.01765007671756</v>
          </cell>
          <cell r="X90">
            <v>164.31315699999999</v>
          </cell>
          <cell r="Y90">
            <v>-24.63309418197089</v>
          </cell>
          <cell r="Z90">
            <v>586.49821874058148</v>
          </cell>
          <cell r="AA90">
            <v>507.194548</v>
          </cell>
          <cell r="AB90">
            <v>-13.521553554054167</v>
          </cell>
          <cell r="AC90">
            <v>1063.4029665857729</v>
          </cell>
          <cell r="AD90">
            <v>1005.298816</v>
          </cell>
          <cell r="AE90">
            <v>-5.4639823671289616</v>
          </cell>
          <cell r="AF90">
            <v>203.76007157920441</v>
          </cell>
          <cell r="AG90">
            <v>135.07543800000002</v>
          </cell>
          <cell r="AH90">
            <v>-33.708583358298291</v>
          </cell>
          <cell r="AI90">
            <v>185.54681132332107</v>
          </cell>
          <cell r="AJ90">
            <v>156.73284199999998</v>
          </cell>
          <cell r="AK90">
            <v>-15.529218269944749</v>
          </cell>
          <cell r="AL90">
            <v>1452.709849488298</v>
          </cell>
          <cell r="AM90">
            <v>1297.107096</v>
          </cell>
          <cell r="AN90">
            <v>-10.711206614528532</v>
          </cell>
          <cell r="AO90">
            <v>172.74794400282292</v>
          </cell>
          <cell r="AP90">
            <v>154.65776736950792</v>
          </cell>
          <cell r="AQ90">
            <v>-10.472006910264229</v>
          </cell>
          <cell r="AR90">
            <v>1625.4577934911208</v>
          </cell>
          <cell r="AS90">
            <v>1451.7648633695078</v>
          </cell>
          <cell r="AT90">
            <v>-10.685785310276149</v>
          </cell>
          <cell r="AU90">
            <v>562.05482690534836</v>
          </cell>
          <cell r="AV90">
            <v>446.46604736950792</v>
          </cell>
          <cell r="AW90">
            <v>-20.565392200662647</v>
          </cell>
          <cell r="AX90">
            <v>170.71242534116948</v>
          </cell>
          <cell r="AY90">
            <v>170.26502791682722</v>
          </cell>
          <cell r="AZ90">
            <v>-0.26207666105623562</v>
          </cell>
          <cell r="BA90">
            <v>161.5615781753587</v>
          </cell>
          <cell r="BB90">
            <v>187.69463772845927</v>
          </cell>
          <cell r="BC90">
            <v>16.175293561898595</v>
          </cell>
          <cell r="BD90">
            <v>160.17145508104505</v>
          </cell>
          <cell r="BE90">
            <v>190.27567179038982</v>
          </cell>
          <cell r="BF90">
            <v>18.794994834823942</v>
          </cell>
          <cell r="BG90">
            <v>492.44545859757324</v>
          </cell>
          <cell r="BH90">
            <v>548.23533743567623</v>
          </cell>
          <cell r="BI90">
            <v>11.329148815177625</v>
          </cell>
          <cell r="BJ90">
            <v>1054.5002855029215</v>
          </cell>
          <cell r="BK90">
            <v>994.70138480518415</v>
          </cell>
          <cell r="BL90">
            <v>-5.6708283079522896</v>
          </cell>
          <cell r="BM90">
            <v>2117.903252088694</v>
          </cell>
          <cell r="BN90">
            <v>2000.0002008051842</v>
          </cell>
          <cell r="BO90">
            <v>-5.5669705954336086</v>
          </cell>
        </row>
        <row r="91">
          <cell r="B91">
            <v>86</v>
          </cell>
          <cell r="C91" t="str">
            <v>F/C Production</v>
          </cell>
          <cell r="D91" t="str">
            <v>KTON</v>
          </cell>
          <cell r="E91">
            <v>158</v>
          </cell>
          <cell r="F91">
            <v>75.611220000000003</v>
          </cell>
          <cell r="G91">
            <v>-52.144797468354433</v>
          </cell>
          <cell r="H91">
            <v>164</v>
          </cell>
          <cell r="I91">
            <v>87</v>
          </cell>
          <cell r="J91">
            <v>-46.951219512195117</v>
          </cell>
          <cell r="K91">
            <v>164</v>
          </cell>
          <cell r="L91">
            <v>146.17774</v>
          </cell>
          <cell r="M91">
            <v>-10.867231707317075</v>
          </cell>
          <cell r="N91">
            <v>486</v>
          </cell>
          <cell r="O91">
            <v>308.78895999999997</v>
          </cell>
          <cell r="P91">
            <v>-36.463176954732518</v>
          </cell>
          <cell r="Q91">
            <v>165</v>
          </cell>
          <cell r="R91">
            <v>85.98248000000001</v>
          </cell>
          <cell r="S91">
            <v>-47.889406060606056</v>
          </cell>
          <cell r="T91">
            <v>169</v>
          </cell>
          <cell r="U91">
            <v>228.96593999999999</v>
          </cell>
          <cell r="V91">
            <v>35.482804733727804</v>
          </cell>
          <cell r="W91">
            <v>169</v>
          </cell>
          <cell r="X91">
            <v>243.00352000000001</v>
          </cell>
          <cell r="Y91">
            <v>43.789065088757404</v>
          </cell>
          <cell r="Z91">
            <v>503</v>
          </cell>
          <cell r="AA91">
            <v>557.95194000000004</v>
          </cell>
          <cell r="AB91">
            <v>10.92483896620279</v>
          </cell>
          <cell r="AC91">
            <v>989</v>
          </cell>
          <cell r="AD91">
            <v>866.74090000000001</v>
          </cell>
          <cell r="AE91">
            <v>-12.361890798786652</v>
          </cell>
          <cell r="AF91">
            <v>175</v>
          </cell>
          <cell r="AG91">
            <v>193.68382</v>
          </cell>
          <cell r="AH91">
            <v>10.67646857142857</v>
          </cell>
          <cell r="AI91">
            <v>175</v>
          </cell>
          <cell r="AJ91">
            <v>160.77440000000001</v>
          </cell>
          <cell r="AK91">
            <v>-8.1289142857142789</v>
          </cell>
          <cell r="AL91">
            <v>1339</v>
          </cell>
          <cell r="AM91">
            <v>1221.19912</v>
          </cell>
          <cell r="AN91">
            <v>-8.7976758775205397</v>
          </cell>
          <cell r="AO91">
            <v>175</v>
          </cell>
          <cell r="AP91">
            <v>204</v>
          </cell>
          <cell r="AQ91">
            <v>16.571428571428569</v>
          </cell>
          <cell r="AR91">
            <v>1514</v>
          </cell>
          <cell r="AS91">
            <v>1425.19912</v>
          </cell>
          <cell r="AT91">
            <v>-5.8653157199471604</v>
          </cell>
          <cell r="AU91">
            <v>525</v>
          </cell>
          <cell r="AV91">
            <v>558.45821999999998</v>
          </cell>
          <cell r="AW91">
            <v>6.3729942857142827</v>
          </cell>
          <cell r="AX91">
            <v>176</v>
          </cell>
          <cell r="AY91">
            <v>191</v>
          </cell>
          <cell r="AZ91">
            <v>8.5227272727272716</v>
          </cell>
          <cell r="BA91">
            <v>176</v>
          </cell>
          <cell r="BB91">
            <v>192</v>
          </cell>
          <cell r="BC91">
            <v>9.0909090909090917</v>
          </cell>
          <cell r="BD91">
            <v>176</v>
          </cell>
          <cell r="BE91">
            <v>192</v>
          </cell>
          <cell r="BF91">
            <v>9.0909090909090917</v>
          </cell>
          <cell r="BG91">
            <v>528</v>
          </cell>
          <cell r="BH91">
            <v>575</v>
          </cell>
          <cell r="BI91">
            <v>8.9015151515151523</v>
          </cell>
          <cell r="BJ91">
            <v>1053</v>
          </cell>
          <cell r="BK91">
            <v>1133.45822</v>
          </cell>
          <cell r="BL91">
            <v>7.6408566001899327</v>
          </cell>
          <cell r="BM91">
            <v>2042</v>
          </cell>
          <cell r="BN91">
            <v>2000.19912</v>
          </cell>
          <cell r="BO91">
            <v>-2.0470558276199804</v>
          </cell>
        </row>
        <row r="92">
          <cell r="B92">
            <v>87</v>
          </cell>
          <cell r="C92" t="str">
            <v>Stripping Ratio</v>
          </cell>
          <cell r="D92" t="str">
            <v>OB: ROM</v>
          </cell>
          <cell r="E92">
            <v>9.2424295348986174</v>
          </cell>
          <cell r="F92">
            <v>4.1168525858726106</v>
          </cell>
          <cell r="G92">
            <v>-55.45703031515977</v>
          </cell>
          <cell r="H92">
            <v>7.6741265407295458</v>
          </cell>
          <cell r="I92">
            <v>5.4530448555055449</v>
          </cell>
          <cell r="J92">
            <v>-28.942468871680248</v>
          </cell>
          <cell r="K92">
            <v>7.8689588866433011</v>
          </cell>
          <cell r="L92">
            <v>5.5936776890438589</v>
          </cell>
          <cell r="M92">
            <v>-28.914640810507773</v>
          </cell>
          <cell r="N92">
            <v>8.2219138244747008</v>
          </cell>
          <cell r="O92">
            <v>4.922691246644769</v>
          </cell>
          <cell r="P92">
            <v>-40.127185084437684</v>
          </cell>
          <cell r="Q92">
            <v>6.9666439264393762</v>
          </cell>
          <cell r="R92">
            <v>3.9248244415673361</v>
          </cell>
          <cell r="S92">
            <v>-43.662623165336683</v>
          </cell>
          <cell r="T92">
            <v>7.3668538535665009</v>
          </cell>
          <cell r="U92">
            <v>5.2097653589523345</v>
          </cell>
          <cell r="V92">
            <v>-29.281000240962555</v>
          </cell>
          <cell r="W92">
            <v>6.8504920041310742</v>
          </cell>
          <cell r="X92">
            <v>8.2884035269311997</v>
          </cell>
          <cell r="Y92">
            <v>20.989901483470344</v>
          </cell>
          <cell r="Z92">
            <v>7.0524813106645503</v>
          </cell>
          <cell r="AA92">
            <v>5.7798474205996389</v>
          </cell>
          <cell r="AB92">
            <v>-18.045193372444288</v>
          </cell>
          <cell r="AC92">
            <v>7.5769371713729416</v>
          </cell>
          <cell r="AD92">
            <v>5.3551446936151574</v>
          </cell>
          <cell r="AE92">
            <v>-29.323094906370923</v>
          </cell>
          <cell r="AF92">
            <v>7.5769328355475833</v>
          </cell>
          <cell r="AG92">
            <v>7.263278561421358</v>
          </cell>
          <cell r="AH92">
            <v>-4.1395942254456797</v>
          </cell>
          <cell r="AI92">
            <v>7.3534509517842084</v>
          </cell>
          <cell r="AJ92">
            <v>9.5205061618947049</v>
          </cell>
          <cell r="AK92">
            <v>29.469907725225148</v>
          </cell>
          <cell r="AL92">
            <v>7.5483918710832238</v>
          </cell>
          <cell r="AM92">
            <v>6.0571614828574409</v>
          </cell>
          <cell r="AN92">
            <v>-19.755603758973706</v>
          </cell>
          <cell r="AO92">
            <v>8.6457073468011529</v>
          </cell>
          <cell r="AP92">
            <v>9.5109889289933562</v>
          </cell>
          <cell r="AQ92">
            <v>10.008221970552253</v>
          </cell>
          <cell r="AR92">
            <v>7.6650107049353302</v>
          </cell>
          <cell r="AS92">
            <v>6.4251007099159718</v>
          </cell>
          <cell r="AT92">
            <v>-16.176233051064205</v>
          </cell>
          <cell r="AU92">
            <v>7.831645083619712</v>
          </cell>
          <cell r="AV92">
            <v>8.8342996236892901</v>
          </cell>
          <cell r="AW92">
            <v>12.802604425559089</v>
          </cell>
          <cell r="AX92">
            <v>8.1589359954462584</v>
          </cell>
          <cell r="AY92">
            <v>9.1450208574840985</v>
          </cell>
          <cell r="AZ92">
            <v>12.085949229019606</v>
          </cell>
          <cell r="BA92">
            <v>8.0379994614837624</v>
          </cell>
          <cell r="BB92">
            <v>9.6697414613060513</v>
          </cell>
          <cell r="BC92">
            <v>20.300349703196918</v>
          </cell>
          <cell r="BD92">
            <v>7.8035615345915419</v>
          </cell>
          <cell r="BE92">
            <v>9.3274214165691678</v>
          </cell>
          <cell r="BF92">
            <v>19.527748646854086</v>
          </cell>
          <cell r="BG92">
            <v>8.0036710002170857</v>
          </cell>
          <cell r="BH92">
            <v>9.3879705972452694</v>
          </cell>
          <cell r="BI92">
            <v>17.295808348327125</v>
          </cell>
          <cell r="BJ92">
            <v>7.9119801793556608</v>
          </cell>
          <cell r="BK92">
            <v>9.1394585363565852</v>
          </cell>
          <cell r="BL92">
            <v>15.514173812059376</v>
          </cell>
          <cell r="BM92">
            <v>7.7437544928087103</v>
          </cell>
          <cell r="BN92">
            <v>7.2372756146004953</v>
          </cell>
          <cell r="BO92">
            <v>-6.5404821224453862</v>
          </cell>
        </row>
        <row r="93">
          <cell r="B93">
            <v>88</v>
          </cell>
          <cell r="C93" t="str">
            <v>Hauling</v>
          </cell>
          <cell r="D93" t="str">
            <v>KTON</v>
          </cell>
          <cell r="E93">
            <v>159.58000000000001</v>
          </cell>
          <cell r="F93">
            <v>75.611220000000003</v>
          </cell>
          <cell r="G93">
            <v>-52.618611354806369</v>
          </cell>
          <cell r="H93">
            <v>165.64</v>
          </cell>
          <cell r="I93">
            <v>99.317939999999993</v>
          </cell>
          <cell r="J93">
            <v>-40.039881671093937</v>
          </cell>
          <cell r="K93">
            <v>165.64</v>
          </cell>
          <cell r="L93">
            <v>146.51202000000001</v>
          </cell>
          <cell r="M93">
            <v>-11.547923206954829</v>
          </cell>
          <cell r="N93">
            <v>490.86</v>
          </cell>
          <cell r="O93">
            <v>321.44118000000003</v>
          </cell>
          <cell r="P93">
            <v>-34.514692580369143</v>
          </cell>
          <cell r="Q93">
            <v>166.65000000000003</v>
          </cell>
          <cell r="R93">
            <v>85.98248000000001</v>
          </cell>
          <cell r="S93">
            <v>-48.405352535253535</v>
          </cell>
          <cell r="T93">
            <v>170.69</v>
          </cell>
          <cell r="U93">
            <v>228.96594000000002</v>
          </cell>
          <cell r="V93">
            <v>34.141390825473096</v>
          </cell>
          <cell r="W93">
            <v>170.69</v>
          </cell>
          <cell r="X93">
            <v>243.02358000000001</v>
          </cell>
          <cell r="Y93">
            <v>42.377163278458028</v>
          </cell>
          <cell r="Z93">
            <v>508.03000000000003</v>
          </cell>
          <cell r="AA93">
            <v>557.97200000000009</v>
          </cell>
          <cell r="AB93">
            <v>9.8305218195775961</v>
          </cell>
          <cell r="AC93">
            <v>998.8900000000001</v>
          </cell>
          <cell r="AD93">
            <v>879.41318000000012</v>
          </cell>
          <cell r="AE93">
            <v>-11.960958664117166</v>
          </cell>
          <cell r="AF93">
            <v>176.75</v>
          </cell>
          <cell r="AG93">
            <v>193.68382</v>
          </cell>
          <cell r="AH93">
            <v>9.5806619519094749</v>
          </cell>
          <cell r="AI93">
            <v>176.75</v>
          </cell>
          <cell r="AJ93">
            <v>160.77439999999996</v>
          </cell>
          <cell r="AK93">
            <v>-9.0385289957567423</v>
          </cell>
          <cell r="AL93">
            <v>1352.39</v>
          </cell>
          <cell r="AM93">
            <v>1233.8714000000002</v>
          </cell>
          <cell r="AN93">
            <v>-8.7636406657842691</v>
          </cell>
          <cell r="AO93">
            <v>176.75</v>
          </cell>
          <cell r="AP93">
            <v>206.04000000000002</v>
          </cell>
          <cell r="AQ93">
            <v>16.571428571428584</v>
          </cell>
          <cell r="AR93">
            <v>1529.14</v>
          </cell>
          <cell r="AS93">
            <v>1439.9114000000002</v>
          </cell>
          <cell r="AT93">
            <v>-5.8352145650496299</v>
          </cell>
          <cell r="AU93">
            <v>530.25</v>
          </cell>
          <cell r="AV93">
            <v>560.49821999999995</v>
          </cell>
          <cell r="AW93">
            <v>5.7045205091937667</v>
          </cell>
          <cell r="AX93">
            <v>177.76</v>
          </cell>
          <cell r="AY93">
            <v>192.91000000000003</v>
          </cell>
          <cell r="AZ93">
            <v>8.5227272727272929</v>
          </cell>
          <cell r="BA93">
            <v>177.76</v>
          </cell>
          <cell r="BB93">
            <v>193.92000000000002</v>
          </cell>
          <cell r="BC93">
            <v>9.0909090909091042</v>
          </cell>
          <cell r="BD93">
            <v>177.76000000000002</v>
          </cell>
          <cell r="BE93">
            <v>193.92</v>
          </cell>
          <cell r="BF93">
            <v>9.0909090909090722</v>
          </cell>
          <cell r="BG93">
            <v>533.28</v>
          </cell>
          <cell r="BH93">
            <v>580.75</v>
          </cell>
          <cell r="BI93">
            <v>8.9015151515151576</v>
          </cell>
          <cell r="BJ93">
            <v>1063.53</v>
          </cell>
          <cell r="BK93">
            <v>1141.2482199999999</v>
          </cell>
          <cell r="BL93">
            <v>7.3075719537765718</v>
          </cell>
          <cell r="BM93">
            <v>2062.42</v>
          </cell>
          <cell r="BN93">
            <v>2020.6614000000004</v>
          </cell>
          <cell r="BO93">
            <v>-2.0247379292287535</v>
          </cell>
        </row>
        <row r="94">
          <cell r="B94">
            <v>89</v>
          </cell>
          <cell r="C94" t="str">
            <v>ROM stock</v>
          </cell>
          <cell r="D94" t="str">
            <v>KTON</v>
          </cell>
          <cell r="E94">
            <v>48.989412852702856</v>
          </cell>
          <cell r="F94">
            <v>386.90851788088185</v>
          </cell>
          <cell r="G94">
            <v>689.77986334354534</v>
          </cell>
          <cell r="H94">
            <v>47.921737433093568</v>
          </cell>
          <cell r="I94">
            <v>436.47039519784778</v>
          </cell>
          <cell r="J94">
            <v>810.7983528502707</v>
          </cell>
          <cell r="K94">
            <v>50.474747845191274</v>
          </cell>
          <cell r="L94">
            <v>433.42674949075325</v>
          </cell>
          <cell r="M94">
            <v>758.7001777999883</v>
          </cell>
          <cell r="N94">
            <v>50.474747845191274</v>
          </cell>
          <cell r="O94">
            <v>433.42674949075325</v>
          </cell>
          <cell r="P94">
            <v>758.7001777999883</v>
          </cell>
          <cell r="Q94">
            <v>63.98043718108184</v>
          </cell>
          <cell r="R94">
            <v>505.46634595316419</v>
          </cell>
          <cell r="S94">
            <v>690.03265407918127</v>
          </cell>
          <cell r="T94">
            <v>83.169016509055126</v>
          </cell>
          <cell r="U94">
            <v>465.41419100163228</v>
          </cell>
          <cell r="V94">
            <v>459.60045042850749</v>
          </cell>
          <cell r="W94">
            <v>131.25716658577258</v>
          </cell>
          <cell r="X94">
            <v>409.30957612384259</v>
          </cell>
          <cell r="Y94">
            <v>211.8378879955261</v>
          </cell>
          <cell r="Z94">
            <v>131.25716658577258</v>
          </cell>
          <cell r="AA94">
            <v>409.30957612384259</v>
          </cell>
          <cell r="AB94">
            <v>211.8378879955261</v>
          </cell>
          <cell r="AC94">
            <v>131.25716658577258</v>
          </cell>
          <cell r="AD94">
            <v>409.30957612384259</v>
          </cell>
          <cell r="AE94">
            <v>211.8378879955261</v>
          </cell>
          <cell r="AF94">
            <v>159.14223816497702</v>
          </cell>
          <cell r="AG94">
            <v>372.19979704472382</v>
          </cell>
          <cell r="AH94">
            <v>133.87869954353522</v>
          </cell>
          <cell r="AI94">
            <v>169.20254948829805</v>
          </cell>
          <cell r="AJ94">
            <v>367.31032671471996</v>
          </cell>
          <cell r="AK94">
            <v>117.08321052226398</v>
          </cell>
          <cell r="AL94">
            <v>169.20254948829805</v>
          </cell>
          <cell r="AM94">
            <v>367.31032671471996</v>
          </cell>
          <cell r="AN94">
            <v>117.08321052226398</v>
          </cell>
          <cell r="AO94">
            <v>165.86549349112101</v>
          </cell>
          <cell r="AP94">
            <v>315.92809408422795</v>
          </cell>
          <cell r="AQ94">
            <v>90.472465028502128</v>
          </cell>
          <cell r="AR94">
            <v>165.86549349112101</v>
          </cell>
          <cell r="AS94">
            <v>315.92809408422795</v>
          </cell>
          <cell r="AT94">
            <v>90.472465028502128</v>
          </cell>
          <cell r="AU94">
            <v>165.86549349112101</v>
          </cell>
          <cell r="AV94">
            <v>315.92809408422795</v>
          </cell>
          <cell r="AW94">
            <v>90.472465028502128</v>
          </cell>
          <cell r="AX94">
            <v>159.43391883229049</v>
          </cell>
          <cell r="AY94">
            <v>293.28312200105518</v>
          </cell>
          <cell r="AZ94">
            <v>83.952777520046709</v>
          </cell>
          <cell r="BA94">
            <v>143.85149700764921</v>
          </cell>
          <cell r="BB94">
            <v>287.05775972951449</v>
          </cell>
          <cell r="BC94">
            <v>99.551458066682727</v>
          </cell>
          <cell r="BD94">
            <v>127.07255208869424</v>
          </cell>
          <cell r="BE94">
            <v>283.41343151990446</v>
          </cell>
          <cell r="BF94">
            <v>123.03276896657214</v>
          </cell>
          <cell r="BG94">
            <v>127.07255208869424</v>
          </cell>
          <cell r="BH94">
            <v>283.41343151990446</v>
          </cell>
          <cell r="BI94">
            <v>123.03276896657214</v>
          </cell>
          <cell r="BJ94">
            <v>127.07255208869424</v>
          </cell>
          <cell r="BK94">
            <v>283.41343151990446</v>
          </cell>
          <cell r="BL94">
            <v>123.03276896657214</v>
          </cell>
          <cell r="BM94">
            <v>127.07255208869424</v>
          </cell>
          <cell r="BN94">
            <v>283.41343151990446</v>
          </cell>
          <cell r="BO94">
            <v>123.03276896657214</v>
          </cell>
        </row>
        <row r="95">
          <cell r="B95">
            <v>90</v>
          </cell>
          <cell r="C95" t="str">
            <v>F/C stock</v>
          </cell>
          <cell r="D95" t="str">
            <v>KTON</v>
          </cell>
          <cell r="E95">
            <v>7.88</v>
          </cell>
          <cell r="F95">
            <v>50.346682168500003</v>
          </cell>
          <cell r="G95">
            <v>538.91728640228428</v>
          </cell>
          <cell r="H95">
            <v>11.701799999999995</v>
          </cell>
          <cell r="I95">
            <v>23.884876999999996</v>
          </cell>
          <cell r="J95">
            <v>104.11284588695761</v>
          </cell>
          <cell r="K95">
            <v>15.466272999999992</v>
          </cell>
          <cell r="L95">
            <v>2.6495190000000002</v>
          </cell>
          <cell r="M95">
            <v>-82.869053197237619</v>
          </cell>
          <cell r="N95">
            <v>15.466272999999992</v>
          </cell>
          <cell r="O95">
            <v>2.6495190000000002</v>
          </cell>
          <cell r="P95">
            <v>-82.869053197237619</v>
          </cell>
          <cell r="Q95">
            <v>12.279278905000002</v>
          </cell>
          <cell r="R95">
            <v>20.11711568685427</v>
          </cell>
          <cell r="S95">
            <v>63.829780579890382</v>
          </cell>
          <cell r="T95">
            <v>5.2000897214250124</v>
          </cell>
          <cell r="U95">
            <v>56.397192281055887</v>
          </cell>
          <cell r="V95">
            <v>984.54267719059703</v>
          </cell>
          <cell r="W95">
            <v>11.524588375603626</v>
          </cell>
          <cell r="X95">
            <v>84.291838807891907</v>
          </cell>
          <cell r="Y95">
            <v>631.40867214250443</v>
          </cell>
          <cell r="Z95">
            <v>11.524588375603626</v>
          </cell>
          <cell r="AA95">
            <v>84.291838807891907</v>
          </cell>
          <cell r="AB95">
            <v>631.40867214250443</v>
          </cell>
          <cell r="AC95">
            <v>11.524588375603626</v>
          </cell>
          <cell r="AD95">
            <v>84.291838807891907</v>
          </cell>
          <cell r="AE95">
            <v>631.40867214250443</v>
          </cell>
          <cell r="AF95">
            <v>23.664219549969573</v>
          </cell>
          <cell r="AG95">
            <v>89.212985290228289</v>
          </cell>
          <cell r="AH95">
            <v>276.99525691876448</v>
          </cell>
          <cell r="AI95">
            <v>35.621756256720026</v>
          </cell>
          <cell r="AJ95">
            <v>41.081341679915148</v>
          </cell>
          <cell r="AK95">
            <v>15.326547584708642</v>
          </cell>
          <cell r="AL95">
            <v>35.621756256720026</v>
          </cell>
          <cell r="AM95">
            <v>41.081341679915148</v>
          </cell>
          <cell r="AN95">
            <v>15.326547584708642</v>
          </cell>
          <cell r="AO95">
            <v>47.399929912869233</v>
          </cell>
          <cell r="AP95">
            <v>63.081341679915148</v>
          </cell>
          <cell r="AQ95">
            <v>33.083196105714833</v>
          </cell>
          <cell r="AR95">
            <v>47.399929912869233</v>
          </cell>
          <cell r="AS95">
            <v>63.081341679915148</v>
          </cell>
          <cell r="AT95">
            <v>33.083196105714833</v>
          </cell>
          <cell r="AU95">
            <v>47.399929912869233</v>
          </cell>
          <cell r="AV95">
            <v>63.081341679915148</v>
          </cell>
          <cell r="AW95">
            <v>33.083196105714833</v>
          </cell>
          <cell r="AX95">
            <v>46.688930964176187</v>
          </cell>
          <cell r="AY95">
            <v>72.081341679915155</v>
          </cell>
          <cell r="AZ95">
            <v>54.386361373795935</v>
          </cell>
          <cell r="BA95">
            <v>45.98859699971355</v>
          </cell>
          <cell r="BB95">
            <v>56.081341679915155</v>
          </cell>
          <cell r="BC95">
            <v>21.946189574481842</v>
          </cell>
          <cell r="BD95">
            <v>45.298768044717832</v>
          </cell>
          <cell r="BE95">
            <v>48.081341679915148</v>
          </cell>
          <cell r="BF95">
            <v>6.1427137101177403</v>
          </cell>
          <cell r="BG95">
            <v>45.298768044717832</v>
          </cell>
          <cell r="BH95">
            <v>48.081341679915148</v>
          </cell>
          <cell r="BI95">
            <v>6.1427137101177403</v>
          </cell>
          <cell r="BJ95">
            <v>45.298768044717832</v>
          </cell>
          <cell r="BK95">
            <v>48.081341679915148</v>
          </cell>
          <cell r="BL95">
            <v>6.1427137101177403</v>
          </cell>
          <cell r="BM95">
            <v>45.298768044717832</v>
          </cell>
          <cell r="BN95">
            <v>48.081341679915148</v>
          </cell>
          <cell r="BO95">
            <v>6.1427137101177403</v>
          </cell>
        </row>
        <row r="96">
          <cell r="B96">
            <v>91</v>
          </cell>
          <cell r="C96" t="str">
            <v>Coal Barging</v>
          </cell>
          <cell r="D96" t="str">
            <v>KTON</v>
          </cell>
          <cell r="E96">
            <v>160</v>
          </cell>
          <cell r="F96">
            <v>61.496301000000003</v>
          </cell>
          <cell r="G96">
            <v>-61.564811875000004</v>
          </cell>
          <cell r="H96">
            <v>160</v>
          </cell>
          <cell r="I96">
            <v>127.21962300000001</v>
          </cell>
          <cell r="J96">
            <v>-20.487735624999992</v>
          </cell>
          <cell r="K96">
            <v>160</v>
          </cell>
          <cell r="L96">
            <v>177.85711600000002</v>
          </cell>
          <cell r="M96">
            <v>11.160697500000012</v>
          </cell>
          <cell r="N96">
            <v>480</v>
          </cell>
          <cell r="O96">
            <v>366.57304000000005</v>
          </cell>
          <cell r="P96">
            <v>-23.630616666666658</v>
          </cell>
          <cell r="Q96">
            <v>168</v>
          </cell>
          <cell r="R96">
            <v>73.038807000000006</v>
          </cell>
          <cell r="S96">
            <v>-56.524519642857143</v>
          </cell>
          <cell r="T96">
            <v>176</v>
          </cell>
          <cell r="U96">
            <v>188.83357899999999</v>
          </cell>
          <cell r="V96">
            <v>7.2918062499999925</v>
          </cell>
          <cell r="W96">
            <v>162.5</v>
          </cell>
          <cell r="X96">
            <v>217.08544700000002</v>
          </cell>
          <cell r="Y96">
            <v>33.591044307692322</v>
          </cell>
          <cell r="Z96">
            <v>506.5</v>
          </cell>
          <cell r="AA96">
            <v>478.95783300000005</v>
          </cell>
          <cell r="AB96">
            <v>-5.4377427443237805</v>
          </cell>
          <cell r="AC96">
            <v>986.5</v>
          </cell>
          <cell r="AD96">
            <v>845.53087300000016</v>
          </cell>
          <cell r="AE96">
            <v>-14.289825342118586</v>
          </cell>
          <cell r="AF96">
            <v>162.5</v>
          </cell>
          <cell r="AG96">
            <v>197.79588900000002</v>
          </cell>
          <cell r="AH96">
            <v>21.72054707692309</v>
          </cell>
          <cell r="AI96">
            <v>162.5</v>
          </cell>
          <cell r="AJ96">
            <v>213.9203</v>
          </cell>
          <cell r="AK96">
            <v>31.643261538461537</v>
          </cell>
          <cell r="AL96">
            <v>1311.5</v>
          </cell>
          <cell r="AM96">
            <v>1257.2470620000001</v>
          </cell>
          <cell r="AN96">
            <v>-4.1367089592070041</v>
          </cell>
          <cell r="AO96">
            <v>162.5</v>
          </cell>
          <cell r="AP96">
            <v>182</v>
          </cell>
          <cell r="AQ96">
            <v>12</v>
          </cell>
          <cell r="AR96">
            <v>1474</v>
          </cell>
          <cell r="AS96">
            <v>1439.2470620000001</v>
          </cell>
          <cell r="AT96">
            <v>-2.3577298507462587</v>
          </cell>
          <cell r="AU96">
            <v>487.5</v>
          </cell>
          <cell r="AV96">
            <v>593.71618899999999</v>
          </cell>
          <cell r="AW96">
            <v>21.787936205128204</v>
          </cell>
          <cell r="AX96">
            <v>176</v>
          </cell>
          <cell r="AY96">
            <v>182</v>
          </cell>
          <cell r="AZ96">
            <v>3.4090909090909087</v>
          </cell>
          <cell r="BA96">
            <v>176</v>
          </cell>
          <cell r="BB96">
            <v>208</v>
          </cell>
          <cell r="BC96">
            <v>18.181818181818183</v>
          </cell>
          <cell r="BD96">
            <v>176</v>
          </cell>
          <cell r="BE96">
            <v>200</v>
          </cell>
          <cell r="BF96">
            <v>13.636363636363635</v>
          </cell>
          <cell r="BG96">
            <v>528</v>
          </cell>
          <cell r="BH96">
            <v>590</v>
          </cell>
          <cell r="BI96">
            <v>11.742424242424242</v>
          </cell>
          <cell r="BJ96">
            <v>1015.5</v>
          </cell>
          <cell r="BK96">
            <v>1183.716189</v>
          </cell>
          <cell r="BL96">
            <v>16.5648635155096</v>
          </cell>
          <cell r="BM96">
            <v>2002</v>
          </cell>
          <cell r="BN96">
            <v>2029.2470620000001</v>
          </cell>
          <cell r="BO96">
            <v>1.360992107892115</v>
          </cell>
        </row>
        <row r="97">
          <cell r="B97">
            <v>92</v>
          </cell>
          <cell r="C97" t="str">
            <v>Coal Sales</v>
          </cell>
          <cell r="D97" t="str">
            <v>KTON</v>
          </cell>
          <cell r="E97">
            <v>157.9</v>
          </cell>
          <cell r="F97">
            <v>68.25</v>
          </cell>
          <cell r="G97">
            <v>-56.776440785307159</v>
          </cell>
          <cell r="H97">
            <v>158</v>
          </cell>
          <cell r="I97">
            <v>116.55200000000001</v>
          </cell>
          <cell r="J97">
            <v>-26.232911392405061</v>
          </cell>
          <cell r="K97">
            <v>151.19999999999999</v>
          </cell>
          <cell r="L97">
            <v>159.85567100000003</v>
          </cell>
          <cell r="M97">
            <v>5.7246501322751593</v>
          </cell>
          <cell r="N97">
            <v>467.09999999999997</v>
          </cell>
          <cell r="O97">
            <v>344.65767100000005</v>
          </cell>
          <cell r="P97">
            <v>-26.213301006208507</v>
          </cell>
          <cell r="Q97">
            <v>237.2</v>
          </cell>
          <cell r="R97">
            <v>94.436388000000008</v>
          </cell>
          <cell r="S97">
            <v>-60.187020236087676</v>
          </cell>
          <cell r="T97">
            <v>211</v>
          </cell>
          <cell r="U97">
            <v>173.746848</v>
          </cell>
          <cell r="V97">
            <v>-17.655522274881516</v>
          </cell>
          <cell r="W97">
            <v>125.5</v>
          </cell>
          <cell r="X97">
            <v>198.46164700000003</v>
          </cell>
          <cell r="Y97">
            <v>58.136770517928305</v>
          </cell>
          <cell r="Z97">
            <v>573.70000000000005</v>
          </cell>
          <cell r="AA97">
            <v>466.64488300000005</v>
          </cell>
          <cell r="AB97">
            <v>-18.660470106327345</v>
          </cell>
          <cell r="AC97">
            <v>1040.8</v>
          </cell>
          <cell r="AD97">
            <v>811.3025540000001</v>
          </cell>
          <cell r="AE97">
            <v>-22.05010049961567</v>
          </cell>
          <cell r="AF97">
            <v>140.5</v>
          </cell>
          <cell r="AG97">
            <v>229.69670400000001</v>
          </cell>
          <cell r="AH97">
            <v>63.48519857651246</v>
          </cell>
          <cell r="AI97">
            <v>152.5</v>
          </cell>
          <cell r="AJ97">
            <v>229.64494300000001</v>
          </cell>
          <cell r="AK97">
            <v>50.586847868852466</v>
          </cell>
          <cell r="AL97">
            <v>1333.8</v>
          </cell>
          <cell r="AM97">
            <v>1270.6442010000001</v>
          </cell>
          <cell r="AN97">
            <v>-4.7350276653171308</v>
          </cell>
          <cell r="AO97">
            <v>155.5</v>
          </cell>
          <cell r="AP97">
            <v>187</v>
          </cell>
          <cell r="AQ97">
            <v>20.257234726688104</v>
          </cell>
          <cell r="AR97">
            <v>1489.3</v>
          </cell>
          <cell r="AS97">
            <v>1457.6442010000001</v>
          </cell>
          <cell r="AT97">
            <v>-2.1255488484522855</v>
          </cell>
          <cell r="AU97">
            <v>448.5</v>
          </cell>
          <cell r="AV97">
            <v>646.34164699999997</v>
          </cell>
          <cell r="AW97">
            <v>44.11184994425863</v>
          </cell>
          <cell r="AX97">
            <v>146.5</v>
          </cell>
          <cell r="AY97">
            <v>203.7</v>
          </cell>
          <cell r="AZ97">
            <v>39.044368600682589</v>
          </cell>
          <cell r="BA97">
            <v>146.5</v>
          </cell>
          <cell r="BB97">
            <v>170.5</v>
          </cell>
          <cell r="BC97">
            <v>16.382252559726961</v>
          </cell>
          <cell r="BD97">
            <v>115.5</v>
          </cell>
          <cell r="BE97">
            <v>198</v>
          </cell>
          <cell r="BF97">
            <v>71.428571428571431</v>
          </cell>
          <cell r="BG97">
            <v>408.5</v>
          </cell>
          <cell r="BH97">
            <v>572.20000000000005</v>
          </cell>
          <cell r="BI97">
            <v>40.07343941248471</v>
          </cell>
          <cell r="BJ97">
            <v>857</v>
          </cell>
          <cell r="BK97">
            <v>1218.541647</v>
          </cell>
          <cell r="BL97">
            <v>42.186889964994165</v>
          </cell>
          <cell r="BM97">
            <v>1897.8</v>
          </cell>
          <cell r="BN97">
            <v>2029.8442010000001</v>
          </cell>
          <cell r="BO97">
            <v>6.9577511328907242</v>
          </cell>
        </row>
        <row r="98">
          <cell r="B98">
            <v>93</v>
          </cell>
        </row>
        <row r="99">
          <cell r="B99">
            <v>94</v>
          </cell>
          <cell r="C99" t="str">
            <v>JORONG MINE</v>
          </cell>
          <cell r="E99" t="str">
            <v>JANUARY</v>
          </cell>
          <cell r="H99" t="str">
            <v>FEBRUARY</v>
          </cell>
          <cell r="K99" t="str">
            <v>MARCH</v>
          </cell>
          <cell r="N99" t="str">
            <v>Q1</v>
          </cell>
          <cell r="Q99" t="str">
            <v>APRIL</v>
          </cell>
          <cell r="T99" t="str">
            <v>MAY</v>
          </cell>
          <cell r="W99" t="str">
            <v>JUNE</v>
          </cell>
          <cell r="Z99" t="str">
            <v>Q2</v>
          </cell>
          <cell r="AC99" t="str">
            <v>1st HALF</v>
          </cell>
          <cell r="AF99" t="str">
            <v>JULY</v>
          </cell>
          <cell r="AI99" t="str">
            <v>AUG</v>
          </cell>
          <cell r="AL99" t="str">
            <v>Jan-Aug</v>
          </cell>
          <cell r="AO99" t="str">
            <v>SEP</v>
          </cell>
          <cell r="AR99" t="str">
            <v>Jan-Sep</v>
          </cell>
          <cell r="AU99" t="str">
            <v>Q3</v>
          </cell>
          <cell r="AX99" t="str">
            <v>OCTOBER</v>
          </cell>
          <cell r="BA99" t="str">
            <v>NOVEMBER</v>
          </cell>
          <cell r="BD99" t="str">
            <v>DECEMBER</v>
          </cell>
          <cell r="BG99" t="str">
            <v>Q4</v>
          </cell>
          <cell r="BJ99" t="str">
            <v>2nd HALF</v>
          </cell>
          <cell r="BM99" t="str">
            <v>YTD 2013</v>
          </cell>
        </row>
        <row r="100">
          <cell r="B100">
            <v>95</v>
          </cell>
          <cell r="E100" t="str">
            <v>Plan</v>
          </cell>
          <cell r="F100" t="str">
            <v>Actual</v>
          </cell>
          <cell r="G100" t="str">
            <v>% var</v>
          </cell>
          <cell r="H100" t="str">
            <v>Plan</v>
          </cell>
          <cell r="I100" t="str">
            <v>Actual</v>
          </cell>
          <cell r="J100" t="str">
            <v>% var</v>
          </cell>
          <cell r="K100" t="str">
            <v>Plan</v>
          </cell>
          <cell r="L100" t="str">
            <v>Actual</v>
          </cell>
          <cell r="M100" t="str">
            <v>% var</v>
          </cell>
          <cell r="N100" t="str">
            <v>Plan</v>
          </cell>
          <cell r="O100" t="str">
            <v>Actual</v>
          </cell>
          <cell r="P100" t="str">
            <v>% var</v>
          </cell>
          <cell r="Q100" t="str">
            <v>Plan</v>
          </cell>
          <cell r="R100" t="str">
            <v>Actual</v>
          </cell>
          <cell r="S100" t="str">
            <v>% var</v>
          </cell>
          <cell r="T100" t="str">
            <v>Plan</v>
          </cell>
          <cell r="U100" t="str">
            <v>Actual</v>
          </cell>
          <cell r="V100" t="str">
            <v>% var</v>
          </cell>
          <cell r="W100" t="str">
            <v>Plan</v>
          </cell>
          <cell r="X100" t="str">
            <v>Actual</v>
          </cell>
          <cell r="Y100" t="str">
            <v>% var</v>
          </cell>
          <cell r="Z100" t="str">
            <v>Plan</v>
          </cell>
          <cell r="AA100" t="str">
            <v>Actual</v>
          </cell>
          <cell r="AB100" t="str">
            <v>% var</v>
          </cell>
          <cell r="AC100" t="str">
            <v>Plan</v>
          </cell>
          <cell r="AD100" t="str">
            <v>Actual</v>
          </cell>
          <cell r="AE100" t="str">
            <v>% var</v>
          </cell>
          <cell r="AF100" t="str">
            <v>Plan</v>
          </cell>
          <cell r="AG100" t="str">
            <v>Actual</v>
          </cell>
          <cell r="AH100" t="str">
            <v>% var</v>
          </cell>
          <cell r="AI100" t="str">
            <v>Plan</v>
          </cell>
          <cell r="AJ100" t="str">
            <v>Actual</v>
          </cell>
          <cell r="AK100" t="str">
            <v>% var</v>
          </cell>
          <cell r="AL100" t="str">
            <v>Plan</v>
          </cell>
          <cell r="AM100" t="str">
            <v>Actual</v>
          </cell>
          <cell r="AN100" t="str">
            <v>% var</v>
          </cell>
          <cell r="AO100" t="str">
            <v>Plan</v>
          </cell>
          <cell r="AP100" t="str">
            <v>Est.</v>
          </cell>
          <cell r="AQ100" t="str">
            <v>% var</v>
          </cell>
          <cell r="AR100" t="str">
            <v>Plan</v>
          </cell>
          <cell r="AS100" t="str">
            <v>Est.</v>
          </cell>
          <cell r="AT100" t="str">
            <v>% var</v>
          </cell>
          <cell r="AU100" t="str">
            <v>Plan</v>
          </cell>
          <cell r="AV100" t="str">
            <v>Est.</v>
          </cell>
          <cell r="AW100" t="str">
            <v>% var</v>
          </cell>
          <cell r="AX100" t="str">
            <v>Plan</v>
          </cell>
          <cell r="AY100" t="str">
            <v>Est.</v>
          </cell>
          <cell r="AZ100" t="str">
            <v>% var</v>
          </cell>
          <cell r="BA100" t="str">
            <v>Plan</v>
          </cell>
          <cell r="BB100" t="str">
            <v>Est.</v>
          </cell>
          <cell r="BC100" t="str">
            <v>% var</v>
          </cell>
          <cell r="BD100" t="str">
            <v>Plan</v>
          </cell>
          <cell r="BE100" t="str">
            <v>Est.</v>
          </cell>
          <cell r="BF100" t="str">
            <v>% var</v>
          </cell>
          <cell r="BG100" t="str">
            <v>Plan</v>
          </cell>
          <cell r="BH100" t="str">
            <v>Est.</v>
          </cell>
          <cell r="BI100" t="str">
            <v>% var</v>
          </cell>
          <cell r="BJ100" t="str">
            <v>Plan</v>
          </cell>
          <cell r="BK100" t="str">
            <v>Est.</v>
          </cell>
          <cell r="BL100" t="str">
            <v>% var</v>
          </cell>
          <cell r="BM100" t="str">
            <v>Plan</v>
          </cell>
          <cell r="BN100" t="str">
            <v>Est.</v>
          </cell>
          <cell r="BO100" t="str">
            <v>% var</v>
          </cell>
        </row>
        <row r="101">
          <cell r="B101">
            <v>96</v>
          </cell>
          <cell r="C101" t="str">
            <v>OB Removal</v>
          </cell>
          <cell r="D101" t="str">
            <v>KBCM</v>
          </cell>
          <cell r="E101">
            <v>725</v>
          </cell>
          <cell r="F101">
            <v>636.83109899999999</v>
          </cell>
          <cell r="G101">
            <v>-12.161227724137932</v>
          </cell>
          <cell r="H101">
            <v>718</v>
          </cell>
          <cell r="I101">
            <v>569.53635999999995</v>
          </cell>
          <cell r="J101">
            <v>-20.677387186629534</v>
          </cell>
          <cell r="K101">
            <v>720</v>
          </cell>
          <cell r="L101">
            <v>792.54858439999998</v>
          </cell>
          <cell r="M101">
            <v>10.076192277777775</v>
          </cell>
          <cell r="N101">
            <v>2163</v>
          </cell>
          <cell r="O101">
            <v>1998.9160434</v>
          </cell>
          <cell r="P101">
            <v>-7.585943439667127</v>
          </cell>
          <cell r="Q101">
            <v>716</v>
          </cell>
          <cell r="R101">
            <v>803.25999999999965</v>
          </cell>
          <cell r="S101">
            <v>12.187150837988778</v>
          </cell>
          <cell r="T101">
            <v>819</v>
          </cell>
          <cell r="U101">
            <v>867.46481399999993</v>
          </cell>
          <cell r="V101">
            <v>5.9175597069596986</v>
          </cell>
          <cell r="W101">
            <v>910</v>
          </cell>
          <cell r="X101">
            <v>840.29400325358858</v>
          </cell>
          <cell r="Y101">
            <v>-7.6599996424627932</v>
          </cell>
          <cell r="Z101">
            <v>2445</v>
          </cell>
          <cell r="AA101">
            <v>2511.0188172535882</v>
          </cell>
          <cell r="AB101">
            <v>2.7001561248911314</v>
          </cell>
          <cell r="AC101">
            <v>4608</v>
          </cell>
          <cell r="AD101">
            <v>4509.9348606535877</v>
          </cell>
          <cell r="AE101">
            <v>-2.1281497253995711</v>
          </cell>
          <cell r="AF101">
            <v>917</v>
          </cell>
          <cell r="AG101">
            <v>445.56400000000002</v>
          </cell>
          <cell r="AH101">
            <v>-51.41068702290076</v>
          </cell>
          <cell r="AI101">
            <v>928</v>
          </cell>
          <cell r="AJ101">
            <v>853.6690000000001</v>
          </cell>
          <cell r="AK101">
            <v>-8.0098060344827484</v>
          </cell>
          <cell r="AL101">
            <v>6453</v>
          </cell>
          <cell r="AM101">
            <v>5809.1678606535888</v>
          </cell>
          <cell r="AN101">
            <v>-9.9772530504635242</v>
          </cell>
          <cell r="AO101">
            <v>940</v>
          </cell>
          <cell r="AP101">
            <v>1115.2976850000007</v>
          </cell>
          <cell r="AQ101">
            <v>18.648689893617092</v>
          </cell>
          <cell r="AR101">
            <v>7393</v>
          </cell>
          <cell r="AS101">
            <v>6924.4655456535893</v>
          </cell>
          <cell r="AT101">
            <v>-6.3375416521900538</v>
          </cell>
          <cell r="AU101">
            <v>2785</v>
          </cell>
          <cell r="AV101">
            <v>2414.5306850000006</v>
          </cell>
          <cell r="AW101">
            <v>-13.302309335727086</v>
          </cell>
          <cell r="AX101">
            <v>951</v>
          </cell>
          <cell r="AY101">
            <v>1120</v>
          </cell>
          <cell r="AZ101">
            <v>17.770767613038906</v>
          </cell>
          <cell r="BA101">
            <v>940</v>
          </cell>
          <cell r="BB101">
            <v>1135</v>
          </cell>
          <cell r="BC101">
            <v>20.74468085106383</v>
          </cell>
          <cell r="BD101">
            <v>930.54445299999975</v>
          </cell>
          <cell r="BE101">
            <v>1134</v>
          </cell>
          <cell r="BF101">
            <v>21.864140540957081</v>
          </cell>
          <cell r="BG101">
            <v>2821.5444529999995</v>
          </cell>
          <cell r="BH101">
            <v>3389</v>
          </cell>
          <cell r="BI101">
            <v>20.111522481832775</v>
          </cell>
          <cell r="BJ101">
            <v>5606.5444529999995</v>
          </cell>
          <cell r="BK101">
            <v>5803.5306850000006</v>
          </cell>
          <cell r="BL101">
            <v>3.5135052196829717</v>
          </cell>
          <cell r="BM101">
            <v>10214.544453</v>
          </cell>
          <cell r="BN101">
            <v>10313.465545653589</v>
          </cell>
          <cell r="BO101">
            <v>0.96843371829994673</v>
          </cell>
        </row>
        <row r="102">
          <cell r="B102">
            <v>97</v>
          </cell>
          <cell r="C102" t="str">
            <v>ROM Production</v>
          </cell>
          <cell r="D102" t="str">
            <v>KTON</v>
          </cell>
          <cell r="E102">
            <v>76.5</v>
          </cell>
          <cell r="F102">
            <v>104.9909</v>
          </cell>
          <cell r="G102">
            <v>37.243006535947707</v>
          </cell>
          <cell r="H102">
            <v>84.5</v>
          </cell>
          <cell r="I102">
            <v>92.122690000000006</v>
          </cell>
          <cell r="J102">
            <v>9.0209349112426107</v>
          </cell>
          <cell r="K102">
            <v>90</v>
          </cell>
          <cell r="L102">
            <v>102.72117</v>
          </cell>
          <cell r="M102">
            <v>14.134633333333335</v>
          </cell>
          <cell r="N102">
            <v>251</v>
          </cell>
          <cell r="O102">
            <v>299.83475999999996</v>
          </cell>
          <cell r="P102">
            <v>19.456079681274886</v>
          </cell>
          <cell r="Q102">
            <v>91</v>
          </cell>
          <cell r="R102">
            <v>109.07467999999999</v>
          </cell>
          <cell r="S102">
            <v>19.862285714285697</v>
          </cell>
          <cell r="T102">
            <v>97</v>
          </cell>
          <cell r="U102">
            <v>128.05450000000002</v>
          </cell>
          <cell r="V102">
            <v>32.01494845360827</v>
          </cell>
          <cell r="W102">
            <v>98</v>
          </cell>
          <cell r="X102">
            <v>117.28230000000001</v>
          </cell>
          <cell r="Y102">
            <v>19.675816326530619</v>
          </cell>
          <cell r="Z102">
            <v>286</v>
          </cell>
          <cell r="AA102">
            <v>354.41148000000004</v>
          </cell>
          <cell r="AB102">
            <v>23.920097902097918</v>
          </cell>
          <cell r="AC102">
            <v>537</v>
          </cell>
          <cell r="AD102">
            <v>654.24623999999994</v>
          </cell>
          <cell r="AE102">
            <v>21.833564245810045</v>
          </cell>
          <cell r="AF102">
            <v>110</v>
          </cell>
          <cell r="AG102">
            <v>86.449640000000002</v>
          </cell>
          <cell r="AH102">
            <v>-21.409418181818179</v>
          </cell>
          <cell r="AI102">
            <v>115</v>
          </cell>
          <cell r="AJ102">
            <v>95.208780000000004</v>
          </cell>
          <cell r="AK102">
            <v>-17.209756521739127</v>
          </cell>
          <cell r="AL102">
            <v>762</v>
          </cell>
          <cell r="AM102">
            <v>835.90466000000004</v>
          </cell>
          <cell r="AN102">
            <v>9.6987742782152271</v>
          </cell>
          <cell r="AO102">
            <v>125</v>
          </cell>
          <cell r="AP102">
            <v>110</v>
          </cell>
          <cell r="AQ102">
            <v>-12</v>
          </cell>
          <cell r="AR102">
            <v>887</v>
          </cell>
          <cell r="AS102">
            <v>945.90466000000004</v>
          </cell>
          <cell r="AT102">
            <v>6.6408861330326987</v>
          </cell>
          <cell r="AU102">
            <v>350</v>
          </cell>
          <cell r="AV102">
            <v>291.65841999999998</v>
          </cell>
          <cell r="AW102">
            <v>-16.669022857142863</v>
          </cell>
          <cell r="AX102">
            <v>130</v>
          </cell>
          <cell r="AY102">
            <v>110</v>
          </cell>
          <cell r="AZ102">
            <v>-15.384615384615385</v>
          </cell>
          <cell r="BA102">
            <v>133</v>
          </cell>
          <cell r="BB102">
            <v>120</v>
          </cell>
          <cell r="BC102">
            <v>-9.7744360902255636</v>
          </cell>
          <cell r="BD102">
            <v>134.00493</v>
          </cell>
          <cell r="BE102">
            <v>120</v>
          </cell>
          <cell r="BF102">
            <v>-10.451055793245818</v>
          </cell>
          <cell r="BG102">
            <v>397.00493</v>
          </cell>
          <cell r="BH102">
            <v>350</v>
          </cell>
          <cell r="BI102">
            <v>-11.839885716280651</v>
          </cell>
          <cell r="BJ102">
            <v>747.00493000000006</v>
          </cell>
          <cell r="BK102">
            <v>641.65841999999998</v>
          </cell>
          <cell r="BL102">
            <v>-14.102518707607468</v>
          </cell>
          <cell r="BM102">
            <v>1284.0049300000001</v>
          </cell>
          <cell r="BN102">
            <v>1295.9046600000001</v>
          </cell>
          <cell r="BO102">
            <v>0.92676669084129537</v>
          </cell>
        </row>
        <row r="103">
          <cell r="B103">
            <v>98</v>
          </cell>
          <cell r="C103" t="str">
            <v>F/C Production</v>
          </cell>
          <cell r="D103" t="str">
            <v>KTON</v>
          </cell>
          <cell r="E103">
            <v>80</v>
          </cell>
          <cell r="F103">
            <v>111.69956000000005</v>
          </cell>
          <cell r="G103">
            <v>39.62445000000006</v>
          </cell>
          <cell r="H103">
            <v>80</v>
          </cell>
          <cell r="I103">
            <v>94.92259</v>
          </cell>
          <cell r="J103">
            <v>18.653237499999999</v>
          </cell>
          <cell r="K103">
            <v>80</v>
          </cell>
          <cell r="L103">
            <v>92.801400000000001</v>
          </cell>
          <cell r="M103">
            <v>16.001750000000001</v>
          </cell>
          <cell r="N103">
            <v>240</v>
          </cell>
          <cell r="O103">
            <v>299.42355000000003</v>
          </cell>
          <cell r="P103">
            <v>24.759812500000013</v>
          </cell>
          <cell r="Q103">
            <v>90</v>
          </cell>
          <cell r="R103">
            <v>106.90318000000001</v>
          </cell>
          <cell r="S103">
            <v>18.781311111111119</v>
          </cell>
          <cell r="T103">
            <v>90</v>
          </cell>
          <cell r="U103">
            <v>62.370830000000019</v>
          </cell>
          <cell r="V103">
            <v>-30.699077777777756</v>
          </cell>
          <cell r="W103">
            <v>100</v>
          </cell>
          <cell r="X103">
            <v>130.64894000000001</v>
          </cell>
          <cell r="Y103">
            <v>30.648940000000007</v>
          </cell>
          <cell r="Z103">
            <v>280</v>
          </cell>
          <cell r="AA103">
            <v>299.92295000000001</v>
          </cell>
          <cell r="AB103">
            <v>7.115339285714291</v>
          </cell>
          <cell r="AC103">
            <v>520</v>
          </cell>
          <cell r="AD103">
            <v>599.34650000000011</v>
          </cell>
          <cell r="AE103">
            <v>15.258942307692328</v>
          </cell>
          <cell r="AF103">
            <v>110</v>
          </cell>
          <cell r="AG103">
            <v>89.727850000000004</v>
          </cell>
          <cell r="AH103">
            <v>-18.429227272727271</v>
          </cell>
          <cell r="AI103">
            <v>110</v>
          </cell>
          <cell r="AJ103">
            <v>112.98464</v>
          </cell>
          <cell r="AK103">
            <v>2.7133090909090898</v>
          </cell>
          <cell r="AL103">
            <v>740</v>
          </cell>
          <cell r="AM103">
            <v>802.05899000000011</v>
          </cell>
          <cell r="AN103">
            <v>8.3863500000000144</v>
          </cell>
          <cell r="AO103">
            <v>120</v>
          </cell>
          <cell r="AP103">
            <v>137.28751</v>
          </cell>
          <cell r="AQ103">
            <v>14.40625833333333</v>
          </cell>
          <cell r="AR103">
            <v>860</v>
          </cell>
          <cell r="AS103">
            <v>939.34650000000011</v>
          </cell>
          <cell r="AT103">
            <v>9.2263372093023381</v>
          </cell>
          <cell r="AU103">
            <v>340</v>
          </cell>
          <cell r="AV103">
            <v>340</v>
          </cell>
          <cell r="AW103">
            <v>0</v>
          </cell>
          <cell r="AX103">
            <v>130</v>
          </cell>
          <cell r="AY103">
            <v>110</v>
          </cell>
          <cell r="AZ103">
            <v>-15.384615384615385</v>
          </cell>
          <cell r="BA103">
            <v>130</v>
          </cell>
          <cell r="BB103">
            <v>110</v>
          </cell>
          <cell r="BC103">
            <v>-15.384615384615385</v>
          </cell>
          <cell r="BD103">
            <v>130</v>
          </cell>
          <cell r="BE103">
            <v>110</v>
          </cell>
          <cell r="BF103">
            <v>-15.384615384615385</v>
          </cell>
          <cell r="BG103">
            <v>390</v>
          </cell>
          <cell r="BH103">
            <v>330</v>
          </cell>
          <cell r="BI103">
            <v>-15.384615384615385</v>
          </cell>
          <cell r="BJ103">
            <v>730</v>
          </cell>
          <cell r="BK103">
            <v>670</v>
          </cell>
          <cell r="BL103">
            <v>-8.2191780821917799</v>
          </cell>
          <cell r="BM103">
            <v>1250</v>
          </cell>
          <cell r="BN103">
            <v>1269.3465000000001</v>
          </cell>
          <cell r="BO103">
            <v>1.5477200000000084</v>
          </cell>
        </row>
        <row r="104">
          <cell r="B104">
            <v>99</v>
          </cell>
          <cell r="C104" t="str">
            <v>Stripping Ratio</v>
          </cell>
          <cell r="D104" t="str">
            <v>OB: ROM</v>
          </cell>
          <cell r="E104">
            <v>9.477124183006536</v>
          </cell>
          <cell r="F104">
            <v>6.0655837696409884</v>
          </cell>
          <cell r="G104">
            <v>-35.997633327236464</v>
          </cell>
          <cell r="H104">
            <v>8.4970414201183431</v>
          </cell>
          <cell r="I104">
            <v>6.1823678835257621</v>
          </cell>
          <cell r="J104">
            <v>-27.240935075497646</v>
          </cell>
          <cell r="K104">
            <v>8</v>
          </cell>
          <cell r="L104">
            <v>7.7155330726859903</v>
          </cell>
          <cell r="M104">
            <v>-3.5558365914251211</v>
          </cell>
          <cell r="N104">
            <v>8.617529880478088</v>
          </cell>
          <cell r="O104">
            <v>6.6667255104111351</v>
          </cell>
          <cell r="P104">
            <v>-22.637628150106572</v>
          </cell>
          <cell r="Q104">
            <v>7.8681318681318677</v>
          </cell>
          <cell r="R104">
            <v>7.3643122308495403</v>
          </cell>
          <cell r="S104">
            <v>-6.4032942727223183</v>
          </cell>
          <cell r="T104">
            <v>8.4432989690721651</v>
          </cell>
          <cell r="U104">
            <v>6.7741845386144162</v>
          </cell>
          <cell r="V104">
            <v>-19.768510348522788</v>
          </cell>
          <cell r="W104">
            <v>9.2857142857142865</v>
          </cell>
          <cell r="X104">
            <v>7.1647128616473976</v>
          </cell>
          <cell r="Y104">
            <v>-22.841553797643417</v>
          </cell>
          <cell r="Z104">
            <v>8.5489510489510483</v>
          </cell>
          <cell r="AA104">
            <v>7.0850380389867391</v>
          </cell>
          <cell r="AB104">
            <v>-17.123890423304395</v>
          </cell>
          <cell r="AC104">
            <v>8.5810055865921786</v>
          </cell>
          <cell r="AD104">
            <v>6.8933294299919678</v>
          </cell>
          <cell r="AE104">
            <v>-19.667580210380063</v>
          </cell>
          <cell r="AF104">
            <v>8.336363636363636</v>
          </cell>
          <cell r="AG104">
            <v>5.1540295598686123</v>
          </cell>
          <cell r="AH104">
            <v>-38.174127417061356</v>
          </cell>
          <cell r="AI104">
            <v>8.0695652173913039</v>
          </cell>
          <cell r="AJ104">
            <v>8.9662844120048604</v>
          </cell>
          <cell r="AK104">
            <v>11.112360709111961</v>
          </cell>
          <cell r="AL104">
            <v>8.4685039370078741</v>
          </cell>
          <cell r="AM104">
            <v>6.9495579324244812</v>
          </cell>
          <cell r="AN104">
            <v>-17.936414930924304</v>
          </cell>
          <cell r="AO104">
            <v>7.52</v>
          </cell>
          <cell r="AP104">
            <v>10.139069863636371</v>
          </cell>
          <cell r="AQ104">
            <v>34.828056697292169</v>
          </cell>
          <cell r="AR104">
            <v>8.3348365276211958</v>
          </cell>
          <cell r="AS104">
            <v>7.3204687940258051</v>
          </cell>
          <cell r="AT104">
            <v>-12.170217498973509</v>
          </cell>
          <cell r="AU104">
            <v>7.9571428571428573</v>
          </cell>
          <cell r="AV104">
            <v>8.2786249922083535</v>
          </cell>
          <cell r="AW104">
            <v>4.0401704586328062</v>
          </cell>
          <cell r="AX104">
            <v>7.3153846153846152</v>
          </cell>
          <cell r="AY104">
            <v>10.181818181818182</v>
          </cell>
          <cell r="AZ104">
            <v>39.183634451773251</v>
          </cell>
          <cell r="BA104">
            <v>7.0676691729323311</v>
          </cell>
          <cell r="BB104">
            <v>9.4583333333333339</v>
          </cell>
          <cell r="BC104">
            <v>33.825354609929079</v>
          </cell>
          <cell r="BD104">
            <v>6.9441061086334637</v>
          </cell>
          <cell r="BE104">
            <v>9.4499999999999993</v>
          </cell>
          <cell r="BF104">
            <v>36.086630189175963</v>
          </cell>
          <cell r="BG104">
            <v>7.1070766123735529</v>
          </cell>
          <cell r="BH104">
            <v>9.6828571428571433</v>
          </cell>
          <cell r="BI104">
            <v>36.242475928838424</v>
          </cell>
          <cell r="BJ104">
            <v>7.5053647276464419</v>
          </cell>
          <cell r="BK104">
            <v>9.044579645662564</v>
          </cell>
          <cell r="BL104">
            <v>20.508196121986391</v>
          </cell>
          <cell r="BM104">
            <v>7.955222144668868</v>
          </cell>
          <cell r="BN104">
            <v>7.9585064117707454</v>
          </cell>
          <cell r="BO104">
            <v>4.1284417231243181E-2</v>
          </cell>
        </row>
        <row r="105">
          <cell r="B105">
            <v>100</v>
          </cell>
          <cell r="C105" t="str">
            <v>ROM stock</v>
          </cell>
          <cell r="D105" t="str">
            <v>KTON</v>
          </cell>
          <cell r="E105">
            <v>53.727792735848915</v>
          </cell>
          <cell r="F105">
            <v>16.5351</v>
          </cell>
          <cell r="G105">
            <v>-69.224308020070126</v>
          </cell>
          <cell r="H105">
            <v>56.928059347825936</v>
          </cell>
          <cell r="I105">
            <v>13.735200000000004</v>
          </cell>
          <cell r="J105">
            <v>-75.872706434485977</v>
          </cell>
          <cell r="K105">
            <v>65.543727928629863</v>
          </cell>
          <cell r="L105">
            <v>23.654970000000002</v>
          </cell>
          <cell r="M105">
            <v>-63.909635982625602</v>
          </cell>
          <cell r="N105">
            <v>65.543727928629863</v>
          </cell>
          <cell r="O105">
            <v>23.654970000000002</v>
          </cell>
          <cell r="P105">
            <v>-63.909635982625602</v>
          </cell>
          <cell r="Q105">
            <v>65.144015049220513</v>
          </cell>
          <cell r="R105">
            <v>25.82647</v>
          </cell>
          <cell r="S105">
            <v>-60.354807758646075</v>
          </cell>
          <cell r="T105">
            <v>70.652013408531417</v>
          </cell>
          <cell r="U105">
            <v>91.510139999999993</v>
          </cell>
          <cell r="V105">
            <v>29.522338550864148</v>
          </cell>
          <cell r="W105">
            <v>67.144630307629043</v>
          </cell>
          <cell r="X105">
            <v>78.143500000000003</v>
          </cell>
          <cell r="Y105">
            <v>16.380862686976858</v>
          </cell>
          <cell r="Z105">
            <v>67.144630307629043</v>
          </cell>
          <cell r="AA105">
            <v>78.143500000000003</v>
          </cell>
          <cell r="AB105">
            <v>16.380862686976858</v>
          </cell>
          <cell r="AC105">
            <v>67.144630307629043</v>
          </cell>
          <cell r="AD105">
            <v>78.143500000000003</v>
          </cell>
          <cell r="AE105">
            <v>16.380862686976858</v>
          </cell>
          <cell r="AF105">
            <v>65.452669684167176</v>
          </cell>
          <cell r="AG105">
            <v>74.865289999999987</v>
          </cell>
          <cell r="AH105">
            <v>14.380804268568587</v>
          </cell>
          <cell r="AI105">
            <v>68.683801759638868</v>
          </cell>
          <cell r="AJ105">
            <v>57.08943</v>
          </cell>
          <cell r="AK105">
            <v>-16.880794980181406</v>
          </cell>
          <cell r="AL105">
            <v>68.683801759638868</v>
          </cell>
          <cell r="AM105">
            <v>57.08943</v>
          </cell>
          <cell r="AN105">
            <v>-16.880794980181406</v>
          </cell>
          <cell r="AO105">
            <v>71.761119232977677</v>
          </cell>
          <cell r="AP105">
            <v>28.109959376538143</v>
          </cell>
          <cell r="AQ105">
            <v>-60.828426762301291</v>
          </cell>
          <cell r="AR105">
            <v>71.761119232977677</v>
          </cell>
          <cell r="AS105">
            <v>28.109959376538143</v>
          </cell>
          <cell r="AT105">
            <v>-60.828426762301291</v>
          </cell>
          <cell r="AU105">
            <v>71.761119232977677</v>
          </cell>
          <cell r="AV105">
            <v>28.109959376538143</v>
          </cell>
          <cell r="AW105">
            <v>-60.828426762301291</v>
          </cell>
          <cell r="AX105">
            <v>69.76152940525003</v>
          </cell>
          <cell r="AY105">
            <v>26.41799875307629</v>
          </cell>
          <cell r="AZ105">
            <v>-62.130992570973994</v>
          </cell>
          <cell r="BA105">
            <v>70.71579519688251</v>
          </cell>
          <cell r="BB105">
            <v>34.57222352748154</v>
          </cell>
          <cell r="BC105">
            <v>-51.111030525460812</v>
          </cell>
          <cell r="BD105">
            <v>72.659533697702855</v>
          </cell>
          <cell r="BE105">
            <v>42.726448301886776</v>
          </cell>
          <cell r="BF105">
            <v>-41.196363192133198</v>
          </cell>
          <cell r="BG105">
            <v>72.659533697702855</v>
          </cell>
          <cell r="BH105">
            <v>42.726448301886776</v>
          </cell>
          <cell r="BI105">
            <v>-41.196363192133198</v>
          </cell>
          <cell r="BJ105">
            <v>72.659533697702855</v>
          </cell>
          <cell r="BK105">
            <v>42.726448301886776</v>
          </cell>
          <cell r="BL105">
            <v>-41.196363192133198</v>
          </cell>
          <cell r="BM105">
            <v>72.659533697702855</v>
          </cell>
          <cell r="BN105">
            <v>42.726448301886776</v>
          </cell>
          <cell r="BO105">
            <v>-41.196363192133198</v>
          </cell>
        </row>
        <row r="106">
          <cell r="B106">
            <v>101</v>
          </cell>
          <cell r="C106" t="str">
            <v>F/C stock</v>
          </cell>
          <cell r="D106" t="str">
            <v>KTON</v>
          </cell>
          <cell r="E106">
            <v>56.930132050000182</v>
          </cell>
          <cell r="F106">
            <v>69.528998000000001</v>
          </cell>
          <cell r="G106">
            <v>22.130400011956024</v>
          </cell>
          <cell r="H106">
            <v>45.730132050000165</v>
          </cell>
          <cell r="I106">
            <v>30.895759000000012</v>
          </cell>
          <cell r="J106">
            <v>-32.438946456092943</v>
          </cell>
          <cell r="K106">
            <v>34.530132050000162</v>
          </cell>
          <cell r="L106">
            <v>56.508035000000021</v>
          </cell>
          <cell r="M106">
            <v>63.648476403668298</v>
          </cell>
          <cell r="N106">
            <v>34.530132050000162</v>
          </cell>
          <cell r="O106">
            <v>56.508035000000021</v>
          </cell>
          <cell r="P106">
            <v>63.648476403668298</v>
          </cell>
          <cell r="Q106">
            <v>33.180132050000161</v>
          </cell>
          <cell r="R106">
            <v>44.794299000000031</v>
          </cell>
          <cell r="S106">
            <v>35.003377721638131</v>
          </cell>
          <cell r="T106">
            <v>31.830132050000167</v>
          </cell>
          <cell r="U106">
            <v>77.573139000000012</v>
          </cell>
          <cell r="V106">
            <v>143.70976180100266</v>
          </cell>
          <cell r="W106">
            <v>30.262345050000174</v>
          </cell>
          <cell r="X106">
            <v>152.55134000000004</v>
          </cell>
          <cell r="Y106">
            <v>404.0962283258321</v>
          </cell>
          <cell r="Z106">
            <v>30.262345050000174</v>
          </cell>
          <cell r="AA106">
            <v>152.55134000000004</v>
          </cell>
          <cell r="AB106">
            <v>404.0962283258321</v>
          </cell>
          <cell r="AC106">
            <v>30.262345050000174</v>
          </cell>
          <cell r="AD106">
            <v>152.55134000000004</v>
          </cell>
          <cell r="AE106">
            <v>404.0962283258321</v>
          </cell>
          <cell r="AF106">
            <v>29.356094050000163</v>
          </cell>
          <cell r="AG106">
            <v>125.954275</v>
          </cell>
          <cell r="AH106">
            <v>329.0566544223185</v>
          </cell>
          <cell r="AI106">
            <v>27.541094050000165</v>
          </cell>
          <cell r="AJ106">
            <v>73.476414000000005</v>
          </cell>
          <cell r="AK106">
            <v>166.78829049639575</v>
          </cell>
          <cell r="AL106">
            <v>27.541094050000165</v>
          </cell>
          <cell r="AM106">
            <v>73.476414000000005</v>
          </cell>
          <cell r="AN106">
            <v>166.78829049639575</v>
          </cell>
          <cell r="AO106">
            <v>35.591094050000166</v>
          </cell>
          <cell r="AP106">
            <v>112.70461135000001</v>
          </cell>
          <cell r="AQ106">
            <v>216.66520616552805</v>
          </cell>
          <cell r="AR106">
            <v>35.591094050000166</v>
          </cell>
          <cell r="AS106">
            <v>112.70461135000001</v>
          </cell>
          <cell r="AT106">
            <v>216.66520616552805</v>
          </cell>
          <cell r="AU106">
            <v>35.591094050000166</v>
          </cell>
          <cell r="AV106">
            <v>112.70461135000001</v>
          </cell>
          <cell r="AW106">
            <v>216.66520616552805</v>
          </cell>
          <cell r="AX106">
            <v>43.791094050000154</v>
          </cell>
          <cell r="AY106">
            <v>96.054611349999988</v>
          </cell>
          <cell r="AZ106">
            <v>119.34736601996279</v>
          </cell>
          <cell r="BA106">
            <v>51.991094050000143</v>
          </cell>
          <cell r="BB106">
            <v>79.404611349999982</v>
          </cell>
          <cell r="BC106">
            <v>52.727333019066883</v>
          </cell>
          <cell r="BD106">
            <v>60.191094050000132</v>
          </cell>
          <cell r="BE106">
            <v>59.702820349999975</v>
          </cell>
          <cell r="BF106">
            <v>-0.81120588968619323</v>
          </cell>
          <cell r="BG106">
            <v>60.191094050000132</v>
          </cell>
          <cell r="BH106">
            <v>59.702820349999975</v>
          </cell>
          <cell r="BI106">
            <v>-0.81120588968619323</v>
          </cell>
          <cell r="BJ106">
            <v>60.191094050000132</v>
          </cell>
          <cell r="BK106">
            <v>59.702820349999975</v>
          </cell>
          <cell r="BL106">
            <v>-0.81120588968619323</v>
          </cell>
          <cell r="BM106">
            <v>60.191094050000132</v>
          </cell>
          <cell r="BN106">
            <v>59.702820349999975</v>
          </cell>
          <cell r="BO106">
            <v>-0.81120588968619323</v>
          </cell>
        </row>
        <row r="107">
          <cell r="B107">
            <v>102</v>
          </cell>
          <cell r="C107" t="str">
            <v>Coal Barging</v>
          </cell>
          <cell r="D107" t="str">
            <v>KTON</v>
          </cell>
          <cell r="E107">
            <v>90</v>
          </cell>
          <cell r="F107">
            <v>136.74967200000003</v>
          </cell>
          <cell r="G107">
            <v>51.944080000000035</v>
          </cell>
          <cell r="H107">
            <v>90</v>
          </cell>
          <cell r="I107">
            <v>132.786956</v>
          </cell>
          <cell r="J107">
            <v>47.541062222222223</v>
          </cell>
          <cell r="K107">
            <v>90</v>
          </cell>
          <cell r="L107">
            <v>66.168309000000008</v>
          </cell>
          <cell r="M107">
            <v>-26.479656666666656</v>
          </cell>
          <cell r="N107">
            <v>270</v>
          </cell>
          <cell r="O107">
            <v>335.70493700000009</v>
          </cell>
          <cell r="P107">
            <v>24.335161851851883</v>
          </cell>
          <cell r="Q107">
            <v>90</v>
          </cell>
          <cell r="R107">
            <v>117.44098099999999</v>
          </cell>
          <cell r="S107">
            <v>30.489978888888881</v>
          </cell>
          <cell r="T107">
            <v>90</v>
          </cell>
          <cell r="U107">
            <v>28.843540000000001</v>
          </cell>
          <cell r="V107">
            <v>-67.951622222222213</v>
          </cell>
          <cell r="W107">
            <v>100</v>
          </cell>
          <cell r="X107">
            <v>54.102951999999995</v>
          </cell>
          <cell r="Y107">
            <v>-45.897048000000005</v>
          </cell>
          <cell r="Z107">
            <v>280</v>
          </cell>
          <cell r="AA107">
            <v>200.38747299999997</v>
          </cell>
          <cell r="AB107">
            <v>-28.433045357142866</v>
          </cell>
          <cell r="AC107">
            <v>550</v>
          </cell>
          <cell r="AD107">
            <v>536.09241000000009</v>
          </cell>
          <cell r="AE107">
            <v>-2.5286527272727115</v>
          </cell>
          <cell r="AF107">
            <v>110</v>
          </cell>
          <cell r="AG107">
            <v>115.41866399999999</v>
          </cell>
          <cell r="AH107">
            <v>4.926058181818175</v>
          </cell>
          <cell r="AI107">
            <v>110</v>
          </cell>
          <cell r="AJ107">
            <v>164.43713500000001</v>
          </cell>
          <cell r="AK107">
            <v>49.488304545454561</v>
          </cell>
          <cell r="AL107">
            <v>770</v>
          </cell>
          <cell r="AM107">
            <v>815.94820900000013</v>
          </cell>
          <cell r="AN107">
            <v>5.9672998701298878</v>
          </cell>
          <cell r="AO107">
            <v>110</v>
          </cell>
          <cell r="AP107">
            <v>96</v>
          </cell>
          <cell r="AQ107">
            <v>-12.727272727272727</v>
          </cell>
          <cell r="AR107">
            <v>880</v>
          </cell>
          <cell r="AS107">
            <v>911.94820900000013</v>
          </cell>
          <cell r="AT107">
            <v>3.6304782954545605</v>
          </cell>
          <cell r="AU107">
            <v>330</v>
          </cell>
          <cell r="AV107">
            <v>375.85579899999999</v>
          </cell>
          <cell r="AW107">
            <v>13.895696666666662</v>
          </cell>
          <cell r="AX107">
            <v>120</v>
          </cell>
          <cell r="AY107">
            <v>125</v>
          </cell>
          <cell r="AZ107">
            <v>4.1666666666666661</v>
          </cell>
          <cell r="BA107">
            <v>120</v>
          </cell>
          <cell r="BB107">
            <v>125</v>
          </cell>
          <cell r="BC107">
            <v>4.1666666666666661</v>
          </cell>
          <cell r="BD107">
            <v>120</v>
          </cell>
          <cell r="BE107">
            <v>128.05179100000001</v>
          </cell>
          <cell r="BF107">
            <v>6.7098258333333414</v>
          </cell>
          <cell r="BG107">
            <v>360</v>
          </cell>
          <cell r="BH107">
            <v>378.05179099999998</v>
          </cell>
          <cell r="BI107">
            <v>5.0143863888888838</v>
          </cell>
          <cell r="BJ107">
            <v>690</v>
          </cell>
          <cell r="BK107">
            <v>753.90759000000003</v>
          </cell>
          <cell r="BL107">
            <v>9.2619695652173952</v>
          </cell>
          <cell r="BM107">
            <v>1240</v>
          </cell>
          <cell r="BN107">
            <v>1290.0000000000002</v>
          </cell>
          <cell r="BO107">
            <v>4.0322580645161477</v>
          </cell>
        </row>
        <row r="108">
          <cell r="B108">
            <v>103</v>
          </cell>
          <cell r="C108" t="str">
            <v>Coal Sales</v>
          </cell>
          <cell r="D108" t="str">
            <v>KTON</v>
          </cell>
          <cell r="E108">
            <v>151.69999999999999</v>
          </cell>
          <cell r="F108">
            <v>151.338626</v>
          </cell>
          <cell r="G108">
            <v>-0.23821621621620548</v>
          </cell>
          <cell r="H108">
            <v>108.69999999999999</v>
          </cell>
          <cell r="I108">
            <v>147.20190099999999</v>
          </cell>
          <cell r="J108">
            <v>35.42033210671574</v>
          </cell>
          <cell r="K108">
            <v>87</v>
          </cell>
          <cell r="L108">
            <v>58.945129000000009</v>
          </cell>
          <cell r="M108">
            <v>-32.246978160919532</v>
          </cell>
          <cell r="N108">
            <v>347.4</v>
          </cell>
          <cell r="O108">
            <v>357.48565600000001</v>
          </cell>
          <cell r="P108">
            <v>2.9031824985607453</v>
          </cell>
          <cell r="Q108">
            <v>101</v>
          </cell>
          <cell r="R108">
            <v>110.21440800000002</v>
          </cell>
          <cell r="S108">
            <v>9.1231762376237828</v>
          </cell>
          <cell r="T108">
            <v>76.2</v>
          </cell>
          <cell r="U108">
            <v>36.090178000000002</v>
          </cell>
          <cell r="V108">
            <v>-52.637561679790025</v>
          </cell>
          <cell r="W108">
            <v>69</v>
          </cell>
          <cell r="X108">
            <v>61.307066999999996</v>
          </cell>
          <cell r="Y108">
            <v>-11.14917826086957</v>
          </cell>
          <cell r="Z108">
            <v>246.2</v>
          </cell>
          <cell r="AA108">
            <v>207.61165300000002</v>
          </cell>
          <cell r="AB108">
            <v>-15.673577173030045</v>
          </cell>
          <cell r="AC108">
            <v>593.59999999999991</v>
          </cell>
          <cell r="AD108">
            <v>565.097309</v>
          </cell>
          <cell r="AE108">
            <v>-4.8016662735848916</v>
          </cell>
          <cell r="AF108">
            <v>125.7</v>
          </cell>
          <cell r="AG108">
            <v>115.41912400000001</v>
          </cell>
          <cell r="AH108">
            <v>-8.1788989657915607</v>
          </cell>
          <cell r="AI108">
            <v>125.7</v>
          </cell>
          <cell r="AJ108">
            <v>164.43685600000001</v>
          </cell>
          <cell r="AK108">
            <v>30.816910103420845</v>
          </cell>
          <cell r="AL108">
            <v>845.00000000000011</v>
          </cell>
          <cell r="AM108">
            <v>844.95328900000004</v>
          </cell>
          <cell r="AN108">
            <v>-5.5279289940914789E-3</v>
          </cell>
          <cell r="AO108">
            <v>76.2</v>
          </cell>
          <cell r="AP108">
            <v>100</v>
          </cell>
          <cell r="AQ108">
            <v>31.233595800524927</v>
          </cell>
          <cell r="AR108">
            <v>921.20000000000016</v>
          </cell>
          <cell r="AS108">
            <v>944.95328900000004</v>
          </cell>
          <cell r="AT108">
            <v>2.5785159574467951</v>
          </cell>
          <cell r="AU108">
            <v>327.60000000000002</v>
          </cell>
          <cell r="AV108">
            <v>379.85598000000005</v>
          </cell>
          <cell r="AW108">
            <v>15.951153846153851</v>
          </cell>
          <cell r="AX108">
            <v>110.5</v>
          </cell>
          <cell r="AY108">
            <v>154</v>
          </cell>
          <cell r="AZ108">
            <v>39.366515837104075</v>
          </cell>
          <cell r="BA108">
            <v>125.7</v>
          </cell>
          <cell r="BB108">
            <v>93</v>
          </cell>
          <cell r="BC108">
            <v>-26.014319809069214</v>
          </cell>
          <cell r="BD108">
            <v>69.5</v>
          </cell>
          <cell r="BE108">
            <v>113.5</v>
          </cell>
          <cell r="BF108">
            <v>63.309352517985609</v>
          </cell>
          <cell r="BG108">
            <v>305.7</v>
          </cell>
          <cell r="BH108">
            <v>360.5</v>
          </cell>
          <cell r="BI108">
            <v>17.926071311743545</v>
          </cell>
          <cell r="BJ108">
            <v>633.29999999999995</v>
          </cell>
          <cell r="BK108">
            <v>740.35598000000005</v>
          </cell>
          <cell r="BL108">
            <v>16.90446549818413</v>
          </cell>
          <cell r="BM108">
            <v>1226.9000000000003</v>
          </cell>
          <cell r="BN108">
            <v>1305.453289</v>
          </cell>
          <cell r="BO108">
            <v>6.4025828510880842</v>
          </cell>
        </row>
      </sheetData>
      <sheetData sheetId="4"/>
      <sheetData sheetId="5"/>
      <sheetData sheetId="6"/>
      <sheetData sheetId="7">
        <row r="62">
          <cell r="C62">
            <v>14934.118472938797</v>
          </cell>
        </row>
      </sheetData>
      <sheetData sheetId="8">
        <row r="22">
          <cell r="D22">
            <v>47.777940999999998</v>
          </cell>
        </row>
      </sheetData>
      <sheetData sheetId="9">
        <row r="9">
          <cell r="C9">
            <v>4217.6266459999997</v>
          </cell>
        </row>
      </sheetData>
      <sheetData sheetId="10">
        <row r="27">
          <cell r="D27">
            <v>70.682000000000002</v>
          </cell>
        </row>
      </sheetData>
      <sheetData sheetId="11">
        <row r="11">
          <cell r="C11">
            <v>1318.45218</v>
          </cell>
        </row>
      </sheetData>
      <sheetData sheetId="12">
        <row r="7">
          <cell r="D7">
            <v>14.085800000000017</v>
          </cell>
        </row>
      </sheetData>
      <sheetData sheetId="13">
        <row r="36">
          <cell r="C36">
            <v>6991.1719829298618</v>
          </cell>
        </row>
      </sheetData>
      <sheetData sheetId="14">
        <row r="9">
          <cell r="D9">
            <v>640.07602606110004</v>
          </cell>
        </row>
      </sheetData>
      <sheetData sheetId="15">
        <row r="8">
          <cell r="C8">
            <v>875.00689000000011</v>
          </cell>
        </row>
      </sheetData>
      <sheetData sheetId="16">
        <row r="17">
          <cell r="D17">
            <v>61.496301000000003</v>
          </cell>
        </row>
      </sheetData>
      <sheetData sheetId="17">
        <row r="8">
          <cell r="C8">
            <v>636.83109899999999</v>
          </cell>
        </row>
      </sheetData>
      <sheetData sheetId="18">
        <row r="8">
          <cell r="D8">
            <v>16.5351</v>
          </cell>
        </row>
      </sheetData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Q212"/>
  <sheetViews>
    <sheetView tabSelected="1" zoomScale="70" zoomScaleNormal="70" workbookViewId="0">
      <pane ySplit="3" topLeftCell="A124" activePane="bottomLeft" state="frozen"/>
      <selection pane="bottomLeft" activeCell="V137" sqref="V137"/>
    </sheetView>
  </sheetViews>
  <sheetFormatPr defaultColWidth="8.90625" defaultRowHeight="14.5" x14ac:dyDescent="0.35"/>
  <cols>
    <col min="1" max="1" width="27.453125" style="1" customWidth="1"/>
    <col min="2" max="2" width="9.453125" style="1" bestFit="1" customWidth="1"/>
    <col min="3" max="13" width="9.08984375" style="1" bestFit="1" customWidth="1"/>
    <col min="14" max="14" width="13.36328125" style="1" customWidth="1"/>
    <col min="15" max="15" width="1.6328125" style="1" customWidth="1"/>
    <col min="16" max="16384" width="8.90625" style="1"/>
  </cols>
  <sheetData>
    <row r="1" spans="1:16" x14ac:dyDescent="0.35">
      <c r="A1" s="3" t="s">
        <v>63</v>
      </c>
      <c r="B1" s="13">
        <v>1000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6" x14ac:dyDescent="0.35">
      <c r="A2" s="1" t="s">
        <v>86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6" ht="15.65" customHeight="1" x14ac:dyDescent="0.35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6" x14ac:dyDescent="0.35">
      <c r="A4" s="6" t="s">
        <v>0</v>
      </c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6" t="s">
        <v>9</v>
      </c>
      <c r="K4" s="6" t="s">
        <v>10</v>
      </c>
      <c r="L4" s="6" t="s">
        <v>11</v>
      </c>
      <c r="M4" s="6" t="s">
        <v>12</v>
      </c>
      <c r="N4" s="6" t="s">
        <v>13</v>
      </c>
      <c r="O4" s="4"/>
    </row>
    <row r="5" spans="1:16" s="2" customFormat="1" x14ac:dyDescent="0.35">
      <c r="A5" s="9" t="s">
        <v>14</v>
      </c>
      <c r="B5" s="10">
        <f t="shared" ref="B5:M5" si="0">SUM(B6:B7)</f>
        <v>7619.4482509159834</v>
      </c>
      <c r="C5" s="10">
        <f t="shared" si="0"/>
        <v>7224.3023415320331</v>
      </c>
      <c r="D5" s="10">
        <f t="shared" si="0"/>
        <v>6870.0230645853517</v>
      </c>
      <c r="E5" s="10">
        <f t="shared" si="0"/>
        <v>7815.914736806606</v>
      </c>
      <c r="F5" s="10">
        <f t="shared" si="0"/>
        <v>8233.4755375151999</v>
      </c>
      <c r="G5" s="10">
        <f t="shared" si="0"/>
        <v>7596.8792096389116</v>
      </c>
      <c r="H5" s="10">
        <f t="shared" si="0"/>
        <v>8769.1099760000016</v>
      </c>
      <c r="I5" s="10">
        <f t="shared" si="0"/>
        <v>8498.049198354307</v>
      </c>
      <c r="J5" s="10">
        <f t="shared" si="0"/>
        <v>8442.1756946414371</v>
      </c>
      <c r="K5" s="10">
        <f t="shared" si="0"/>
        <v>8242.1086181600003</v>
      </c>
      <c r="L5" s="10">
        <f t="shared" si="0"/>
        <v>7836.3005412799994</v>
      </c>
      <c r="M5" s="10">
        <f t="shared" si="0"/>
        <v>7566.6910208623995</v>
      </c>
      <c r="N5" s="10">
        <f>SUM(B5:M5)</f>
        <v>94714.47819029224</v>
      </c>
      <c r="P5" s="1" t="s">
        <v>61</v>
      </c>
    </row>
    <row r="6" spans="1:16" x14ac:dyDescent="0.35">
      <c r="A6" s="5" t="s">
        <v>15</v>
      </c>
      <c r="B6" s="8">
        <v>2904.7860139722798</v>
      </c>
      <c r="C6" s="8">
        <v>2754.4503289203089</v>
      </c>
      <c r="D6" s="8">
        <v>2424.3210080843396</v>
      </c>
      <c r="E6" s="8">
        <v>2767.1447268380184</v>
      </c>
      <c r="F6" s="8">
        <v>2927.6178277359995</v>
      </c>
      <c r="G6" s="8">
        <v>2460.4194197995207</v>
      </c>
      <c r="H6" s="8">
        <v>3157.9027600000004</v>
      </c>
      <c r="I6" s="8">
        <v>3107.217252161915</v>
      </c>
      <c r="J6" s="8">
        <v>2899.6425922558324</v>
      </c>
      <c r="K6" s="8">
        <v>2829.8233457599999</v>
      </c>
      <c r="L6" s="8">
        <v>2690.1553020799997</v>
      </c>
      <c r="M6" s="8">
        <v>2609.1784283023999</v>
      </c>
      <c r="N6" s="8">
        <f t="shared" ref="N6:N7" si="1">SUM(B6:M6)</f>
        <v>33532.659005910617</v>
      </c>
    </row>
    <row r="7" spans="1:16" x14ac:dyDescent="0.35">
      <c r="A7" s="5" t="s">
        <v>16</v>
      </c>
      <c r="B7" s="8">
        <v>4714.6622369437036</v>
      </c>
      <c r="C7" s="8">
        <v>4469.8520126117237</v>
      </c>
      <c r="D7" s="8">
        <v>4445.7020565010125</v>
      </c>
      <c r="E7" s="8">
        <v>5048.7700099685881</v>
      </c>
      <c r="F7" s="8">
        <v>5305.8577097792004</v>
      </c>
      <c r="G7" s="8">
        <v>5136.4597898393913</v>
      </c>
      <c r="H7" s="8">
        <v>5611.2072160000007</v>
      </c>
      <c r="I7" s="8">
        <v>5390.8319461923929</v>
      </c>
      <c r="J7" s="8">
        <v>5542.5331023856052</v>
      </c>
      <c r="K7" s="8">
        <v>5412.2852724000013</v>
      </c>
      <c r="L7" s="8">
        <v>5146.1452392000001</v>
      </c>
      <c r="M7" s="8">
        <v>4957.5125925599996</v>
      </c>
      <c r="N7" s="8">
        <f t="shared" si="1"/>
        <v>61181.819184381624</v>
      </c>
    </row>
    <row r="8" spans="1:16" s="2" customFormat="1" x14ac:dyDescent="0.35">
      <c r="A8" s="9" t="s">
        <v>17</v>
      </c>
      <c r="B8" s="10">
        <f>SUM(B9:B11)</f>
        <v>537.50000001155615</v>
      </c>
      <c r="C8" s="10">
        <f t="shared" ref="C8:M8" si="2">SUM(C9:C11)</f>
        <v>532.50000001144872</v>
      </c>
      <c r="D8" s="10">
        <f t="shared" si="2"/>
        <v>537.50000001155615</v>
      </c>
      <c r="E8" s="10">
        <f t="shared" si="2"/>
        <v>537.50000001155627</v>
      </c>
      <c r="F8" s="10">
        <f t="shared" si="2"/>
        <v>537.50000001155627</v>
      </c>
      <c r="G8" s="10">
        <f t="shared" si="2"/>
        <v>537.50000001155627</v>
      </c>
      <c r="H8" s="10">
        <f t="shared" si="2"/>
        <v>610.00000001311491</v>
      </c>
      <c r="I8" s="10">
        <f t="shared" si="2"/>
        <v>625.00000001343756</v>
      </c>
      <c r="J8" s="10">
        <f t="shared" si="2"/>
        <v>625.00000001343744</v>
      </c>
      <c r="K8" s="10">
        <f t="shared" si="2"/>
        <v>625.00000001343756</v>
      </c>
      <c r="L8" s="10">
        <f t="shared" si="2"/>
        <v>625.00000001343744</v>
      </c>
      <c r="M8" s="10">
        <f t="shared" si="2"/>
        <v>620.0000000133299</v>
      </c>
      <c r="N8" s="10">
        <f>SUM(B8:M8)</f>
        <v>6950.0000001494245</v>
      </c>
    </row>
    <row r="9" spans="1:16" x14ac:dyDescent="0.35">
      <c r="A9" s="5" t="s">
        <v>15</v>
      </c>
      <c r="B9" s="8">
        <v>192.50000000413874</v>
      </c>
      <c r="C9" s="8">
        <v>187.50000000403122</v>
      </c>
      <c r="D9" s="8">
        <v>192.50000000413874</v>
      </c>
      <c r="E9" s="8">
        <v>190.00000000408502</v>
      </c>
      <c r="F9" s="8">
        <v>185.0000000039775</v>
      </c>
      <c r="G9" s="8">
        <v>155.0000000033325</v>
      </c>
      <c r="H9" s="8">
        <v>130.00000000279499</v>
      </c>
      <c r="I9" s="8">
        <v>135.00000000290248</v>
      </c>
      <c r="J9" s="8">
        <v>145.00000000311749</v>
      </c>
      <c r="K9" s="8">
        <v>110.000000002365</v>
      </c>
      <c r="L9" s="8">
        <v>120.00000000257998</v>
      </c>
      <c r="M9" s="8">
        <v>120.00000000257998</v>
      </c>
      <c r="N9" s="8">
        <f t="shared" ref="N9:N11" si="3">SUM(B9:M9)</f>
        <v>1862.5000000400435</v>
      </c>
    </row>
    <row r="10" spans="1:16" x14ac:dyDescent="0.35">
      <c r="A10" s="5" t="s">
        <v>16</v>
      </c>
      <c r="B10" s="8">
        <v>345.00000000741744</v>
      </c>
      <c r="C10" s="8">
        <v>345.00000000741744</v>
      </c>
      <c r="D10" s="8">
        <v>345.00000000741744</v>
      </c>
      <c r="E10" s="8">
        <v>347.50000000747127</v>
      </c>
      <c r="F10" s="8">
        <v>352.50000000757871</v>
      </c>
      <c r="G10" s="8">
        <v>382.50000000822376</v>
      </c>
      <c r="H10" s="8">
        <v>480.00000001031992</v>
      </c>
      <c r="I10" s="8">
        <v>490.00000001053508</v>
      </c>
      <c r="J10" s="8">
        <v>480.00000001031998</v>
      </c>
      <c r="K10" s="8">
        <v>515.00000001107253</v>
      </c>
      <c r="L10" s="8">
        <v>505.00000001085749</v>
      </c>
      <c r="M10" s="8">
        <v>500.00000001074994</v>
      </c>
      <c r="N10" s="8">
        <f t="shared" si="3"/>
        <v>5087.5000001093813</v>
      </c>
    </row>
    <row r="11" spans="1:16" x14ac:dyDescent="0.35">
      <c r="A11" s="5" t="s">
        <v>68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f t="shared" si="3"/>
        <v>0</v>
      </c>
    </row>
    <row r="12" spans="1:16" s="2" customFormat="1" x14ac:dyDescent="0.35">
      <c r="A12" s="9" t="s">
        <v>18</v>
      </c>
      <c r="B12" s="11">
        <f t="shared" ref="B12:N12" si="4">B5/B8</f>
        <v>14.175717675817985</v>
      </c>
      <c r="C12" s="11">
        <f t="shared" si="4"/>
        <v>13.566764960331852</v>
      </c>
      <c r="D12" s="11">
        <f t="shared" si="4"/>
        <v>12.781438259418879</v>
      </c>
      <c r="E12" s="11">
        <f t="shared" si="4"/>
        <v>14.541236719327561</v>
      </c>
      <c r="F12" s="11">
        <f t="shared" si="4"/>
        <v>15.318094022954753</v>
      </c>
      <c r="G12" s="11">
        <f t="shared" si="4"/>
        <v>14.13372876181503</v>
      </c>
      <c r="H12" s="11">
        <f t="shared" si="4"/>
        <v>14.375590124281093</v>
      </c>
      <c r="I12" s="11">
        <f t="shared" si="4"/>
        <v>13.596878717074556</v>
      </c>
      <c r="J12" s="11">
        <f t="shared" si="4"/>
        <v>13.50748111113589</v>
      </c>
      <c r="K12" s="11">
        <f t="shared" si="4"/>
        <v>13.18737378877247</v>
      </c>
      <c r="L12" s="11">
        <f t="shared" si="4"/>
        <v>12.538080865778431</v>
      </c>
      <c r="M12" s="11">
        <f t="shared" si="4"/>
        <v>12.204340355967286</v>
      </c>
      <c r="N12" s="11">
        <f t="shared" si="4"/>
        <v>13.627982473130343</v>
      </c>
    </row>
    <row r="13" spans="1:16" s="2" customFormat="1" x14ac:dyDescent="0.35">
      <c r="A13" s="9" t="s">
        <v>19</v>
      </c>
      <c r="B13" s="10">
        <f>SUM(B14:B16)</f>
        <v>541.75000001155615</v>
      </c>
      <c r="C13" s="10">
        <f t="shared" ref="C13:M13" si="5">SUM(C14:C16)</f>
        <v>536.75000001144849</v>
      </c>
      <c r="D13" s="10">
        <f t="shared" si="5"/>
        <v>541.75000001155615</v>
      </c>
      <c r="E13" s="10">
        <f t="shared" si="5"/>
        <v>551.75000001155638</v>
      </c>
      <c r="F13" s="10">
        <f t="shared" si="5"/>
        <v>551.75000001155627</v>
      </c>
      <c r="G13" s="10">
        <f t="shared" si="5"/>
        <v>551.75000001155627</v>
      </c>
      <c r="H13" s="10">
        <f t="shared" si="5"/>
        <v>635.75000001311491</v>
      </c>
      <c r="I13" s="10">
        <f t="shared" si="5"/>
        <v>637.75000001343756</v>
      </c>
      <c r="J13" s="10">
        <f t="shared" si="5"/>
        <v>637.75000001343744</v>
      </c>
      <c r="K13" s="10">
        <f t="shared" si="5"/>
        <v>637.75000001343756</v>
      </c>
      <c r="L13" s="10">
        <f t="shared" si="5"/>
        <v>637.75000001343744</v>
      </c>
      <c r="M13" s="10">
        <f t="shared" si="5"/>
        <v>637.7500000133299</v>
      </c>
      <c r="N13" s="10">
        <f>SUM(B13:M13)</f>
        <v>7100.0000001494254</v>
      </c>
    </row>
    <row r="14" spans="1:16" x14ac:dyDescent="0.35">
      <c r="A14" s="5" t="s">
        <v>15</v>
      </c>
      <c r="B14" s="8">
        <v>192.50000000413874</v>
      </c>
      <c r="C14" s="8">
        <v>187.50000000403122</v>
      </c>
      <c r="D14" s="8">
        <v>192.50000000413874</v>
      </c>
      <c r="E14" s="8">
        <v>190.00000000408502</v>
      </c>
      <c r="F14" s="8">
        <v>185.0000000039775</v>
      </c>
      <c r="G14" s="8">
        <v>155.00000000333253</v>
      </c>
      <c r="H14" s="8">
        <v>130.00000000279499</v>
      </c>
      <c r="I14" s="8">
        <v>135.00000000290248</v>
      </c>
      <c r="J14" s="8">
        <v>145.00000000311749</v>
      </c>
      <c r="K14" s="8">
        <v>110.00000000236497</v>
      </c>
      <c r="L14" s="8">
        <v>120.00000000257998</v>
      </c>
      <c r="M14" s="8">
        <v>120.00000000257998</v>
      </c>
      <c r="N14" s="8">
        <f t="shared" ref="N14:N16" si="6">SUM(B14:M14)</f>
        <v>1862.5000000400439</v>
      </c>
    </row>
    <row r="15" spans="1:16" x14ac:dyDescent="0.35">
      <c r="A15" s="5" t="s">
        <v>16</v>
      </c>
      <c r="B15" s="8">
        <v>345.00000000741744</v>
      </c>
      <c r="C15" s="8">
        <v>345.00000000741733</v>
      </c>
      <c r="D15" s="8">
        <v>345.00000000741738</v>
      </c>
      <c r="E15" s="8">
        <v>349.00000000747139</v>
      </c>
      <c r="F15" s="8">
        <v>354.00000000757876</v>
      </c>
      <c r="G15" s="8">
        <v>384.00000000822376</v>
      </c>
      <c r="H15" s="8">
        <v>493.00000001031987</v>
      </c>
      <c r="I15" s="8">
        <v>490.00000001053502</v>
      </c>
      <c r="J15" s="8">
        <v>480.00000001031998</v>
      </c>
      <c r="K15" s="8">
        <v>515.00000001107253</v>
      </c>
      <c r="L15" s="8">
        <v>505.00000001085743</v>
      </c>
      <c r="M15" s="8">
        <v>505.00000001074989</v>
      </c>
      <c r="N15" s="8">
        <f t="shared" si="6"/>
        <v>5110.0000001093813</v>
      </c>
    </row>
    <row r="16" spans="1:16" x14ac:dyDescent="0.35">
      <c r="A16" s="5" t="s">
        <v>68</v>
      </c>
      <c r="B16" s="8">
        <v>4.25</v>
      </c>
      <c r="C16" s="8">
        <v>4.25</v>
      </c>
      <c r="D16" s="8">
        <v>4.25</v>
      </c>
      <c r="E16" s="8">
        <v>12.75</v>
      </c>
      <c r="F16" s="8">
        <v>12.75</v>
      </c>
      <c r="G16" s="8">
        <v>12.75</v>
      </c>
      <c r="H16" s="8">
        <v>12.75</v>
      </c>
      <c r="I16" s="8">
        <v>12.75</v>
      </c>
      <c r="J16" s="8">
        <v>12.75</v>
      </c>
      <c r="K16" s="8">
        <v>12.75</v>
      </c>
      <c r="L16" s="8">
        <v>12.75</v>
      </c>
      <c r="M16" s="8">
        <v>12.75</v>
      </c>
      <c r="N16" s="8">
        <f t="shared" si="6"/>
        <v>127.5</v>
      </c>
    </row>
    <row r="17" spans="1:14" s="2" customFormat="1" x14ac:dyDescent="0.35">
      <c r="A17" s="9" t="s">
        <v>20</v>
      </c>
      <c r="B17" s="11">
        <f t="shared" ref="B17:N17" si="7">B5/B13</f>
        <v>14.064509922941305</v>
      </c>
      <c r="C17" s="11">
        <f t="shared" si="7"/>
        <v>13.459342974155462</v>
      </c>
      <c r="D17" s="11">
        <f t="shared" si="7"/>
        <v>12.681168554570938</v>
      </c>
      <c r="E17" s="11">
        <f t="shared" si="7"/>
        <v>14.16568144384758</v>
      </c>
      <c r="F17" s="11">
        <f t="shared" si="7"/>
        <v>14.922474920421843</v>
      </c>
      <c r="G17" s="11">
        <f t="shared" si="7"/>
        <v>13.768698159455907</v>
      </c>
      <c r="H17" s="11">
        <f t="shared" si="7"/>
        <v>13.793330673722538</v>
      </c>
      <c r="I17" s="11">
        <f t="shared" si="7"/>
        <v>13.325047743120738</v>
      </c>
      <c r="J17" s="11">
        <f t="shared" si="7"/>
        <v>13.23743738841797</v>
      </c>
      <c r="K17" s="11">
        <f t="shared" si="7"/>
        <v>12.923729702840198</v>
      </c>
      <c r="L17" s="11">
        <f t="shared" si="7"/>
        <v>12.287417547808527</v>
      </c>
      <c r="M17" s="11">
        <f t="shared" si="7"/>
        <v>11.864666437795758</v>
      </c>
      <c r="N17" s="11">
        <f t="shared" si="7"/>
        <v>13.340067350464633</v>
      </c>
    </row>
    <row r="18" spans="1:14" s="2" customFormat="1" x14ac:dyDescent="0.35">
      <c r="A18" s="9" t="s">
        <v>21</v>
      </c>
      <c r="B18" s="10">
        <v>154.98219503174565</v>
      </c>
      <c r="C18" s="10">
        <v>150.19218160128071</v>
      </c>
      <c r="D18" s="10">
        <v>153.4445563810246</v>
      </c>
      <c r="E18" s="10">
        <v>142.73183471385479</v>
      </c>
      <c r="F18" s="10">
        <v>131.89202032321668</v>
      </c>
      <c r="G18" s="10">
        <v>90.256715538018611</v>
      </c>
      <c r="H18" s="10">
        <v>45.052828901866903</v>
      </c>
      <c r="I18" s="10">
        <v>60.104109115298094</v>
      </c>
      <c r="J18" s="10">
        <v>62.623267929485316</v>
      </c>
      <c r="K18" s="10">
        <v>73.637876407635943</v>
      </c>
      <c r="L18" s="10">
        <v>78.465631870437093</v>
      </c>
      <c r="M18" s="10">
        <v>85.419934164545566</v>
      </c>
      <c r="N18" s="10">
        <f>SUM(B18:M18)</f>
        <v>1228.8031519784099</v>
      </c>
    </row>
    <row r="19" spans="1:14" x14ac:dyDescent="0.35">
      <c r="A19" s="5" t="s">
        <v>60</v>
      </c>
      <c r="B19" s="8">
        <v>6066.6995236616567</v>
      </c>
      <c r="C19" s="8">
        <v>6061.0989599236254</v>
      </c>
      <c r="D19" s="8">
        <v>6072.9613669119926</v>
      </c>
      <c r="E19" s="8">
        <v>6113.1736688237306</v>
      </c>
      <c r="F19" s="8">
        <v>6106.3251425473118</v>
      </c>
      <c r="G19" s="8">
        <v>6216.0563483357264</v>
      </c>
      <c r="H19" s="8">
        <v>6397.4706275743638</v>
      </c>
      <c r="I19" s="8">
        <v>6374.5334781205074</v>
      </c>
      <c r="J19" s="8">
        <v>6369.4630224845687</v>
      </c>
      <c r="K19" s="8">
        <v>6395.7373996868109</v>
      </c>
      <c r="L19" s="8">
        <v>6207.9868019311343</v>
      </c>
      <c r="M19" s="8">
        <v>6224.9984283843123</v>
      </c>
      <c r="N19" s="8">
        <f>SUMPRODUCT(B19:M19,$B$18:$M$18)/SUM($B$18:$M$18)</f>
        <v>6169.7769053579887</v>
      </c>
    </row>
    <row r="20" spans="1:14" x14ac:dyDescent="0.35">
      <c r="A20" s="5" t="s">
        <v>22</v>
      </c>
      <c r="B20" s="7">
        <v>0.79938883027914631</v>
      </c>
      <c r="C20" s="7">
        <v>0.79960478901948973</v>
      </c>
      <c r="D20" s="7">
        <v>0.80630914143077848</v>
      </c>
      <c r="E20" s="7">
        <v>0.8023832108405784</v>
      </c>
      <c r="F20" s="7">
        <v>0.79513307340060657</v>
      </c>
      <c r="G20" s="7">
        <v>0.79813521543026744</v>
      </c>
      <c r="H20" s="7">
        <v>0.80005679709031075</v>
      </c>
      <c r="I20" s="7">
        <v>0.80071013621505049</v>
      </c>
      <c r="J20" s="7">
        <v>0.80424058075694882</v>
      </c>
      <c r="K20" s="7">
        <v>0.87778388186624534</v>
      </c>
      <c r="L20" s="7">
        <v>0.8910313898112916</v>
      </c>
      <c r="M20" s="7">
        <v>0.79704817292407448</v>
      </c>
      <c r="N20" s="7">
        <f t="shared" ref="N20:N23" si="8">SUMPRODUCT(B20:M20,$B$18:$M$18)/SUM($B$18:$M$18)</f>
        <v>0.81080180973763216</v>
      </c>
    </row>
    <row r="21" spans="1:14" x14ac:dyDescent="0.35">
      <c r="A21" s="5" t="s">
        <v>23</v>
      </c>
      <c r="B21" s="7">
        <v>8.593191295227772</v>
      </c>
      <c r="C21" s="7">
        <v>8.57234620886004</v>
      </c>
      <c r="D21" s="7">
        <v>8.465250519512912</v>
      </c>
      <c r="E21" s="7">
        <v>8.3496537003307214</v>
      </c>
      <c r="F21" s="7">
        <v>8.4544990866224978</v>
      </c>
      <c r="G21" s="7">
        <v>8.0611615745190282</v>
      </c>
      <c r="H21" s="7">
        <v>8.0877488091247116</v>
      </c>
      <c r="I21" s="7">
        <v>8.0139288328177987</v>
      </c>
      <c r="J21" s="7">
        <v>8.0939060328843269</v>
      </c>
      <c r="K21" s="7">
        <v>8.3113444802935348</v>
      </c>
      <c r="L21" s="7">
        <v>8.6583469356862057</v>
      </c>
      <c r="M21" s="7">
        <v>8.1211955802377105</v>
      </c>
      <c r="N21" s="7">
        <f t="shared" si="8"/>
        <v>8.3745644868486551</v>
      </c>
    </row>
    <row r="22" spans="1:14" x14ac:dyDescent="0.35">
      <c r="A22" s="5" t="s">
        <v>24</v>
      </c>
      <c r="B22" s="7">
        <v>8.4967581002306591</v>
      </c>
      <c r="C22" s="7">
        <v>8.6035878182729011</v>
      </c>
      <c r="D22" s="7">
        <v>8.5701167448006466</v>
      </c>
      <c r="E22" s="7">
        <v>8.295886974501947</v>
      </c>
      <c r="F22" s="7">
        <v>8.4360235925821563</v>
      </c>
      <c r="G22" s="7">
        <v>8.1042226801207473</v>
      </c>
      <c r="H22" s="7">
        <v>7.1124622582611954</v>
      </c>
      <c r="I22" s="7">
        <v>7.0457454723190676</v>
      </c>
      <c r="J22" s="7">
        <v>7.1276118781950286</v>
      </c>
      <c r="K22" s="7">
        <v>7.1603036855222175</v>
      </c>
      <c r="L22" s="7">
        <v>7.2146756054694317</v>
      </c>
      <c r="M22" s="7">
        <v>7.540279131288111</v>
      </c>
      <c r="N22" s="7">
        <f t="shared" si="8"/>
        <v>8.0403443049370615</v>
      </c>
    </row>
    <row r="23" spans="1:14" x14ac:dyDescent="0.35">
      <c r="A23" s="5" t="s">
        <v>25</v>
      </c>
      <c r="B23" s="7">
        <v>13.522120419071236</v>
      </c>
      <c r="C23" s="7">
        <v>13.628950137113483</v>
      </c>
      <c r="D23" s="7">
        <v>13.595479063641227</v>
      </c>
      <c r="E23" s="7">
        <v>13.321249293342527</v>
      </c>
      <c r="F23" s="7">
        <v>13.461385911422735</v>
      </c>
      <c r="G23" s="7">
        <v>13.129584998961327</v>
      </c>
      <c r="H23" s="7">
        <v>12.137824577101776</v>
      </c>
      <c r="I23" s="7">
        <v>12.071107791159649</v>
      </c>
      <c r="J23" s="7">
        <v>12.152974197035608</v>
      </c>
      <c r="K23" s="7">
        <v>12.185666004362798</v>
      </c>
      <c r="L23" s="7">
        <v>12.240037924310013</v>
      </c>
      <c r="M23" s="7">
        <v>12.565641450128691</v>
      </c>
      <c r="N23" s="7">
        <f t="shared" si="8"/>
        <v>13.065706623777643</v>
      </c>
    </row>
    <row r="24" spans="1:14" s="2" customFormat="1" x14ac:dyDescent="0.35">
      <c r="A24" s="9" t="s">
        <v>26</v>
      </c>
      <c r="B24" s="10">
        <v>37.517804972393101</v>
      </c>
      <c r="C24" s="10">
        <v>37.307818402750534</v>
      </c>
      <c r="D24" s="10">
        <v>39.055443623114158</v>
      </c>
      <c r="E24" s="10">
        <v>47.268165290230215</v>
      </c>
      <c r="F24" s="10">
        <v>53.107979680760806</v>
      </c>
      <c r="G24" s="10">
        <v>64.74328446531392</v>
      </c>
      <c r="H24" s="10">
        <v>84.947171100928088</v>
      </c>
      <c r="I24" s="10">
        <v>74.895890887604395</v>
      </c>
      <c r="J24" s="10">
        <v>82.376732073632169</v>
      </c>
      <c r="K24" s="10">
        <v>36.362123594729042</v>
      </c>
      <c r="L24" s="10">
        <v>41.534368132142887</v>
      </c>
      <c r="M24" s="10">
        <v>34.580065838034407</v>
      </c>
      <c r="N24" s="10">
        <f>SUM(B24:M24)</f>
        <v>633.69684806163377</v>
      </c>
    </row>
    <row r="25" spans="1:14" x14ac:dyDescent="0.35">
      <c r="A25" s="5" t="s">
        <v>60</v>
      </c>
      <c r="B25" s="8">
        <v>5995.4057681473259</v>
      </c>
      <c r="C25" s="8">
        <v>6102.8668263893796</v>
      </c>
      <c r="D25" s="8">
        <v>6012.8802747593891</v>
      </c>
      <c r="E25" s="8">
        <v>5956.2490886453397</v>
      </c>
      <c r="F25" s="8">
        <v>5900.9820142427507</v>
      </c>
      <c r="G25" s="8">
        <v>5903.8514241921393</v>
      </c>
      <c r="H25" s="8">
        <v>5953.1500966248623</v>
      </c>
      <c r="I25" s="8">
        <v>5935.2902531242025</v>
      </c>
      <c r="J25" s="8">
        <v>5994.0693909965221</v>
      </c>
      <c r="K25" s="8">
        <v>5972.6070218426266</v>
      </c>
      <c r="L25" s="8">
        <v>5974.5066679245583</v>
      </c>
      <c r="M25" s="8">
        <v>5973.0937532392509</v>
      </c>
      <c r="N25" s="8">
        <f>SUMPRODUCT(B25:M25,$B$24:$M$24)/SUM($B$24:$M$24)</f>
        <v>5965.7827396699631</v>
      </c>
    </row>
    <row r="26" spans="1:14" x14ac:dyDescent="0.35">
      <c r="A26" s="5" t="s">
        <v>22</v>
      </c>
      <c r="B26" s="7">
        <v>2.4295613389229067</v>
      </c>
      <c r="C26" s="7">
        <v>2.4050655472408091</v>
      </c>
      <c r="D26" s="7">
        <v>2.5318666130721192</v>
      </c>
      <c r="E26" s="7">
        <v>2.5966145443649666</v>
      </c>
      <c r="F26" s="7">
        <v>2.6452674432660652</v>
      </c>
      <c r="G26" s="7">
        <v>2.7646956869678796</v>
      </c>
      <c r="H26" s="7">
        <v>2.7577905061835821</v>
      </c>
      <c r="I26" s="7">
        <v>2.7055365434574292</v>
      </c>
      <c r="J26" s="7">
        <v>2.643182170730336</v>
      </c>
      <c r="K26" s="7">
        <v>2.4886633195301315</v>
      </c>
      <c r="L26" s="7">
        <v>2.384214949856013</v>
      </c>
      <c r="M26" s="7">
        <v>1.9721835230281968</v>
      </c>
      <c r="N26" s="7">
        <f t="shared" ref="N26:N29" si="9">SUMPRODUCT(B26:M26,$B$24:$M$24)/SUM($B$24:$M$24)</f>
        <v>2.5790489447985023</v>
      </c>
    </row>
    <row r="27" spans="1:14" x14ac:dyDescent="0.35">
      <c r="A27" s="5" t="s">
        <v>23</v>
      </c>
      <c r="B27" s="7">
        <v>13.650338133390873</v>
      </c>
      <c r="C27" s="7">
        <v>13.072659982013985</v>
      </c>
      <c r="D27" s="7">
        <v>13.536180359290373</v>
      </c>
      <c r="E27" s="7">
        <v>14.197738944160342</v>
      </c>
      <c r="F27" s="7">
        <v>14.748210087127436</v>
      </c>
      <c r="G27" s="7">
        <v>14.555829258716642</v>
      </c>
      <c r="H27" s="7">
        <v>13.682948785674105</v>
      </c>
      <c r="I27" s="7">
        <v>14.423529656510109</v>
      </c>
      <c r="J27" s="7">
        <v>13.830266694421123</v>
      </c>
      <c r="K27" s="7">
        <v>13.802136340491229</v>
      </c>
      <c r="L27" s="7">
        <v>13.963262263577962</v>
      </c>
      <c r="M27" s="7">
        <v>13.239604954281964</v>
      </c>
      <c r="N27" s="7">
        <f t="shared" si="9"/>
        <v>13.960595439757462</v>
      </c>
    </row>
    <row r="28" spans="1:14" x14ac:dyDescent="0.35">
      <c r="A28" s="5" t="s">
        <v>24</v>
      </c>
      <c r="B28" s="7">
        <v>6.0446714187122899</v>
      </c>
      <c r="C28" s="7">
        <v>6.0271092018648948</v>
      </c>
      <c r="D28" s="7">
        <v>6.0381378037085476</v>
      </c>
      <c r="E28" s="7">
        <v>6.0670306006769152</v>
      </c>
      <c r="F28" s="7">
        <v>6.0650681974266973</v>
      </c>
      <c r="G28" s="7">
        <v>7.0545207424561021</v>
      </c>
      <c r="H28" s="7">
        <v>6.8576284528796458</v>
      </c>
      <c r="I28" s="7">
        <v>6.9141155703557073</v>
      </c>
      <c r="J28" s="7">
        <v>7.1513479824037924</v>
      </c>
      <c r="K28" s="7">
        <v>7.5030577897811339</v>
      </c>
      <c r="L28" s="7">
        <v>7.5101273468544756</v>
      </c>
      <c r="M28" s="7">
        <v>7.123713872317385</v>
      </c>
      <c r="N28" s="7">
        <f t="shared" si="9"/>
        <v>6.7439986369460003</v>
      </c>
    </row>
    <row r="29" spans="1:14" x14ac:dyDescent="0.35">
      <c r="A29" s="5" t="s">
        <v>25</v>
      </c>
      <c r="B29" s="7">
        <v>11.070033737552869</v>
      </c>
      <c r="C29" s="7">
        <v>11.052471520705474</v>
      </c>
      <c r="D29" s="7">
        <v>11.063500122549128</v>
      </c>
      <c r="E29" s="7">
        <v>11.092392919517495</v>
      </c>
      <c r="F29" s="7">
        <v>11.090430516267276</v>
      </c>
      <c r="G29" s="7">
        <v>12.07988306129668</v>
      </c>
      <c r="H29" s="7">
        <v>11.882990771720229</v>
      </c>
      <c r="I29" s="7">
        <v>11.939477889196286</v>
      </c>
      <c r="J29" s="7">
        <v>12.176710301244373</v>
      </c>
      <c r="K29" s="7">
        <v>12.528420108621715</v>
      </c>
      <c r="L29" s="7">
        <v>12.535489665695055</v>
      </c>
      <c r="M29" s="7">
        <v>12.149076191157965</v>
      </c>
      <c r="N29" s="7">
        <f t="shared" si="9"/>
        <v>11.769360955786579</v>
      </c>
    </row>
    <row r="30" spans="1:14" s="2" customFormat="1" x14ac:dyDescent="0.35">
      <c r="A30" s="9" t="s">
        <v>27</v>
      </c>
      <c r="B30" s="10">
        <v>3.3845712783206716</v>
      </c>
      <c r="C30" s="10">
        <v>2.1986171307373499</v>
      </c>
      <c r="D30" s="10">
        <v>2.3031177893122021</v>
      </c>
      <c r="E30" s="10">
        <v>2.7672070184371251</v>
      </c>
      <c r="F30" s="10">
        <v>1.8758652434621963</v>
      </c>
      <c r="G30" s="10">
        <v>1.1105574718538087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f>SUM(B30:M30)</f>
        <v>13.639935932123354</v>
      </c>
    </row>
    <row r="31" spans="1:14" x14ac:dyDescent="0.35">
      <c r="A31" s="5" t="s">
        <v>60</v>
      </c>
      <c r="B31" s="8">
        <v>5821.8830389301438</v>
      </c>
      <c r="C31" s="8">
        <v>5816.4870718851098</v>
      </c>
      <c r="D31" s="8">
        <v>5824.2204187161951</v>
      </c>
      <c r="E31" s="8">
        <v>5826.2222569118403</v>
      </c>
      <c r="F31" s="8">
        <v>5821.6227744855487</v>
      </c>
      <c r="G31" s="8">
        <v>5824.0809155002926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f>SUMPRODUCT(B31:M31,$B$30:$M$30)/SUM($B$30:$M$30)</f>
        <v>5822.4314107916898</v>
      </c>
    </row>
    <row r="32" spans="1:14" x14ac:dyDescent="0.35">
      <c r="A32" s="5" t="s">
        <v>22</v>
      </c>
      <c r="B32" s="7">
        <v>0.89812632418464311</v>
      </c>
      <c r="C32" s="7">
        <v>0.89994493621741711</v>
      </c>
      <c r="D32" s="7">
        <v>0.90129646914644679</v>
      </c>
      <c r="E32" s="7">
        <v>0.90153153628846394</v>
      </c>
      <c r="F32" s="7">
        <v>0.9029212669795168</v>
      </c>
      <c r="G32" s="7">
        <v>0.90325731755353178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f t="shared" ref="N32:N35" si="10">SUMPRODUCT(B32:M32,$B$30:$M$30)/SUM($B$30:$M$30)</f>
        <v>0.90072278104426418</v>
      </c>
    </row>
    <row r="33" spans="1:14" x14ac:dyDescent="0.35">
      <c r="A33" s="5" t="s">
        <v>23</v>
      </c>
      <c r="B33" s="7">
        <v>8.66424594683774</v>
      </c>
      <c r="C33" s="7">
        <v>8.6537904008900739</v>
      </c>
      <c r="D33" s="7">
        <v>8.6423872541014521</v>
      </c>
      <c r="E33" s="7">
        <v>8.5289327371516634</v>
      </c>
      <c r="F33" s="7">
        <v>8.5159534696087835</v>
      </c>
      <c r="G33" s="7">
        <v>8.5014971668605828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f t="shared" si="10"/>
        <v>8.5977728246687075</v>
      </c>
    </row>
    <row r="34" spans="1:14" x14ac:dyDescent="0.35">
      <c r="A34" s="5" t="s">
        <v>24</v>
      </c>
      <c r="B34" s="7">
        <v>11.332980559812546</v>
      </c>
      <c r="C34" s="7">
        <v>11.33686874989186</v>
      </c>
      <c r="D34" s="7">
        <v>11.369267800815926</v>
      </c>
      <c r="E34" s="7">
        <v>11.35012826840938</v>
      </c>
      <c r="F34" s="7">
        <v>11.399581208015936</v>
      </c>
      <c r="G34" s="7">
        <v>11.357707284097838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f t="shared" si="10"/>
        <v>11.354385937535314</v>
      </c>
    </row>
    <row r="35" spans="1:14" x14ac:dyDescent="0.35">
      <c r="A35" s="5" t="s">
        <v>25</v>
      </c>
      <c r="B35" s="7">
        <v>16.332980559812547</v>
      </c>
      <c r="C35" s="7">
        <v>16.33686874989186</v>
      </c>
      <c r="D35" s="7">
        <v>16.369267800815926</v>
      </c>
      <c r="E35" s="7">
        <v>16.350128268409382</v>
      </c>
      <c r="F35" s="7">
        <v>16.399581208015938</v>
      </c>
      <c r="G35" s="7">
        <v>16.357707284097838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f t="shared" si="10"/>
        <v>16.354385937535316</v>
      </c>
    </row>
    <row r="36" spans="1:14" s="2" customFormat="1" x14ac:dyDescent="0.35">
      <c r="A36" s="9" t="s">
        <v>28</v>
      </c>
      <c r="B36" s="10">
        <v>2.521882492117089</v>
      </c>
      <c r="C36" s="10">
        <v>7.2154785630134359</v>
      </c>
      <c r="D36" s="10">
        <v>26.720101190114498</v>
      </c>
      <c r="E36" s="10">
        <v>6.3272232517840097</v>
      </c>
      <c r="F36" s="10">
        <v>12.63017381605996</v>
      </c>
      <c r="G36" s="10">
        <v>4.808785062682797</v>
      </c>
      <c r="H36" s="10">
        <v>12.094950861320664</v>
      </c>
      <c r="I36" s="10">
        <v>14.998053056294571</v>
      </c>
      <c r="J36" s="10">
        <v>83.697272769729182</v>
      </c>
      <c r="K36" s="10">
        <v>94.400599271572034</v>
      </c>
      <c r="L36" s="10">
        <v>71.335320101362981</v>
      </c>
      <c r="M36" s="10">
        <v>85.965623698155213</v>
      </c>
      <c r="N36" s="10">
        <f>SUM(B36:M36)</f>
        <v>422.7154641342064</v>
      </c>
    </row>
    <row r="37" spans="1:14" x14ac:dyDescent="0.35">
      <c r="A37" s="5" t="s">
        <v>60</v>
      </c>
      <c r="B37" s="8">
        <v>6013.7439830402591</v>
      </c>
      <c r="C37" s="8">
        <v>5958.5718837654094</v>
      </c>
      <c r="D37" s="8">
        <v>6011.5142410181879</v>
      </c>
      <c r="E37" s="8">
        <v>6033.7912126391166</v>
      </c>
      <c r="F37" s="8">
        <v>5987.1311344722953</v>
      </c>
      <c r="G37" s="8">
        <v>6002.8141464546325</v>
      </c>
      <c r="H37" s="8">
        <v>6036.2059277468388</v>
      </c>
      <c r="I37" s="8">
        <v>6005.6296270049379</v>
      </c>
      <c r="J37" s="8">
        <v>5996.4182585771696</v>
      </c>
      <c r="K37" s="8">
        <v>6012.5831882377197</v>
      </c>
      <c r="L37" s="8">
        <v>6026.6617065098399</v>
      </c>
      <c r="M37" s="8">
        <v>6027.4417066915366</v>
      </c>
      <c r="N37" s="8">
        <f>SUMPRODUCT(B37:M37,$B$36:$M$36)/SUM($N$36)</f>
        <v>6013.6725198079248</v>
      </c>
    </row>
    <row r="38" spans="1:14" x14ac:dyDescent="0.35">
      <c r="A38" s="5" t="s">
        <v>22</v>
      </c>
      <c r="B38" s="7">
        <v>1.5719258596243288</v>
      </c>
      <c r="C38" s="7">
        <v>1.5704927756355485</v>
      </c>
      <c r="D38" s="7">
        <v>1.5645054910609499</v>
      </c>
      <c r="E38" s="7">
        <v>1.5541280998263451</v>
      </c>
      <c r="F38" s="7">
        <v>1.5514425548091835</v>
      </c>
      <c r="G38" s="7">
        <v>1.5490809371241008</v>
      </c>
      <c r="H38" s="7">
        <v>1.5706205123520396</v>
      </c>
      <c r="I38" s="7">
        <v>1.5667220713882541</v>
      </c>
      <c r="J38" s="7">
        <v>1.5492652356708461</v>
      </c>
      <c r="K38" s="7">
        <v>1.5532509789014217</v>
      </c>
      <c r="L38" s="7">
        <v>1.5598161852155374</v>
      </c>
      <c r="M38" s="7">
        <v>1.5724278212094895</v>
      </c>
      <c r="N38" s="7">
        <f t="shared" ref="N38:N41" si="11">SUMPRODUCT(B38:M38,$B$36:$M$36)/SUM($N$36)</f>
        <v>1.5594733437535224</v>
      </c>
    </row>
    <row r="39" spans="1:14" x14ac:dyDescent="0.35">
      <c r="A39" s="5" t="s">
        <v>23</v>
      </c>
      <c r="B39" s="7">
        <v>6.0748081545659556</v>
      </c>
      <c r="C39" s="7">
        <v>6.1530970205235906</v>
      </c>
      <c r="D39" s="7">
        <v>6.1792075534550124</v>
      </c>
      <c r="E39" s="7">
        <v>5.1976319992471325</v>
      </c>
      <c r="F39" s="7">
        <v>5.2945573330686697</v>
      </c>
      <c r="G39" s="7">
        <v>5.2369339714032916</v>
      </c>
      <c r="H39" s="7">
        <v>5.1052577356075943</v>
      </c>
      <c r="I39" s="7">
        <v>5.3674074588461043</v>
      </c>
      <c r="J39" s="7">
        <v>5.3569250734287994</v>
      </c>
      <c r="K39" s="7">
        <v>5.1696910445757469</v>
      </c>
      <c r="L39" s="7">
        <v>5.1649102507825946</v>
      </c>
      <c r="M39" s="7">
        <v>5.3009891296063767</v>
      </c>
      <c r="N39" s="7">
        <f t="shared" si="11"/>
        <v>5.3287414331663765</v>
      </c>
    </row>
    <row r="40" spans="1:14" x14ac:dyDescent="0.35">
      <c r="A40" s="5" t="s">
        <v>24</v>
      </c>
      <c r="B40" s="7">
        <v>10.127325083840056</v>
      </c>
      <c r="C40" s="7">
        <v>10.233783513685028</v>
      </c>
      <c r="D40" s="7">
        <v>10.532646696345953</v>
      </c>
      <c r="E40" s="7">
        <v>10.352599613583598</v>
      </c>
      <c r="F40" s="7">
        <v>10.781853659182515</v>
      </c>
      <c r="G40" s="7">
        <v>10.481305172848286</v>
      </c>
      <c r="H40" s="7">
        <v>10.365902833746919</v>
      </c>
      <c r="I40" s="7">
        <v>10.468448068692119</v>
      </c>
      <c r="J40" s="7">
        <v>10.443603705511876</v>
      </c>
      <c r="K40" s="7">
        <v>10.274017908609304</v>
      </c>
      <c r="L40" s="7">
        <v>10.24039726981246</v>
      </c>
      <c r="M40" s="7">
        <v>9.9507726321549459</v>
      </c>
      <c r="N40" s="7">
        <f t="shared" si="11"/>
        <v>10.279206642306004</v>
      </c>
    </row>
    <row r="41" spans="1:14" x14ac:dyDescent="0.35">
      <c r="A41" s="5" t="s">
        <v>25</v>
      </c>
      <c r="B41" s="7">
        <v>15.127325083840059</v>
      </c>
      <c r="C41" s="7">
        <v>15.233783513685026</v>
      </c>
      <c r="D41" s="7">
        <v>15.532646696345955</v>
      </c>
      <c r="E41" s="7">
        <v>15.352599613583596</v>
      </c>
      <c r="F41" s="7">
        <v>15.781853659182515</v>
      </c>
      <c r="G41" s="7">
        <v>15.481305172848288</v>
      </c>
      <c r="H41" s="7">
        <v>15.365902833746915</v>
      </c>
      <c r="I41" s="7">
        <v>15.468448068692121</v>
      </c>
      <c r="J41" s="7">
        <v>15.443603705511876</v>
      </c>
      <c r="K41" s="7">
        <v>15.274017908609304</v>
      </c>
      <c r="L41" s="7">
        <v>15.240397269812457</v>
      </c>
      <c r="M41" s="7">
        <v>14.950772632154948</v>
      </c>
      <c r="N41" s="7">
        <f t="shared" si="11"/>
        <v>15.279206642306002</v>
      </c>
    </row>
    <row r="42" spans="1:14" s="2" customFormat="1" x14ac:dyDescent="0.35">
      <c r="A42" s="9" t="s">
        <v>29</v>
      </c>
      <c r="B42" s="10">
        <v>339.09354623697971</v>
      </c>
      <c r="C42" s="10">
        <v>335.58590431366656</v>
      </c>
      <c r="D42" s="10">
        <v>315.97678102799074</v>
      </c>
      <c r="E42" s="10">
        <v>339.90556973725023</v>
      </c>
      <c r="F42" s="10">
        <v>339.49396094805661</v>
      </c>
      <c r="G42" s="10">
        <v>378.08065747368715</v>
      </c>
      <c r="H42" s="10">
        <v>480.90504914899924</v>
      </c>
      <c r="I42" s="10">
        <v>475.00194695424045</v>
      </c>
      <c r="J42" s="10">
        <v>396.3027272405908</v>
      </c>
      <c r="K42" s="10">
        <v>420.59940073950054</v>
      </c>
      <c r="L42" s="10">
        <v>433.6646799094944</v>
      </c>
      <c r="M42" s="10">
        <v>419.03437631259465</v>
      </c>
      <c r="N42" s="10">
        <f>SUM(B42:M42)</f>
        <v>4673.6446000430515</v>
      </c>
    </row>
    <row r="43" spans="1:14" x14ac:dyDescent="0.35">
      <c r="A43" s="5" t="s">
        <v>60</v>
      </c>
      <c r="B43" s="8">
        <v>5916.7972906941595</v>
      </c>
      <c r="C43" s="8">
        <v>5925.4345063142891</v>
      </c>
      <c r="D43" s="8">
        <v>5916.7949036737691</v>
      </c>
      <c r="E43" s="8">
        <v>5912.980952840614</v>
      </c>
      <c r="F43" s="8">
        <v>5924.7514756611617</v>
      </c>
      <c r="G43" s="8">
        <v>5924.6892633555917</v>
      </c>
      <c r="H43" s="8">
        <v>5904.229432754244</v>
      </c>
      <c r="I43" s="8">
        <v>5885.0998442747577</v>
      </c>
      <c r="J43" s="8">
        <v>5912.8315469654126</v>
      </c>
      <c r="K43" s="8">
        <v>5911.5993544817393</v>
      </c>
      <c r="L43" s="8">
        <v>5931.5837237163742</v>
      </c>
      <c r="M43" s="8">
        <v>5905.9087610383558</v>
      </c>
      <c r="N43" s="8">
        <f>SUMPRODUCT(B43:M43,$B$43:$M$43)/SUM($B$43:$M$43)</f>
        <v>5914.4155370661638</v>
      </c>
    </row>
    <row r="44" spans="1:14" x14ac:dyDescent="0.35">
      <c r="A44" s="5" t="s">
        <v>22</v>
      </c>
      <c r="B44" s="7">
        <v>2.4966476929177563</v>
      </c>
      <c r="C44" s="7">
        <v>2.3877689379253044</v>
      </c>
      <c r="D44" s="7">
        <v>2.3757583063015502</v>
      </c>
      <c r="E44" s="7">
        <v>2.4775564096655827</v>
      </c>
      <c r="F44" s="7">
        <v>2.374329394428345</v>
      </c>
      <c r="G44" s="7">
        <v>2.3234040146916115</v>
      </c>
      <c r="H44" s="7">
        <v>2.4257585660475254</v>
      </c>
      <c r="I44" s="7">
        <v>2.4636130645651053</v>
      </c>
      <c r="J44" s="7">
        <v>2.4167182192891019</v>
      </c>
      <c r="K44" s="7">
        <v>2.4357905437595275</v>
      </c>
      <c r="L44" s="7">
        <v>2.3205566532405477</v>
      </c>
      <c r="M44" s="7">
        <v>2.4316069716957789</v>
      </c>
      <c r="N44" s="7">
        <f t="shared" ref="N44:N47" si="12">SUMPRODUCT(B44:M44,$B$43:$M$43)/SUM($B$43:$M$43)</f>
        <v>2.4107218075517403</v>
      </c>
    </row>
    <row r="45" spans="1:14" x14ac:dyDescent="0.35">
      <c r="A45" s="5" t="s">
        <v>23</v>
      </c>
      <c r="B45" s="7">
        <v>5.9842872271090917</v>
      </c>
      <c r="C45" s="7">
        <v>5.6662583965414441</v>
      </c>
      <c r="D45" s="7">
        <v>5.7800832870181598</v>
      </c>
      <c r="E45" s="7">
        <v>5.6993194464212262</v>
      </c>
      <c r="F45" s="7">
        <v>5.5739932443182454</v>
      </c>
      <c r="G45" s="7">
        <v>5.7147496734423422</v>
      </c>
      <c r="H45" s="7">
        <v>5.7034798554012829</v>
      </c>
      <c r="I45" s="7">
        <v>5.9277179055499509</v>
      </c>
      <c r="J45" s="7">
        <v>5.6702116883273499</v>
      </c>
      <c r="K45" s="7">
        <v>5.6370679249355851</v>
      </c>
      <c r="L45" s="7">
        <v>5.5901854958066695</v>
      </c>
      <c r="M45" s="7">
        <v>5.6938518419828652</v>
      </c>
      <c r="N45" s="7">
        <f t="shared" si="12"/>
        <v>5.7199741396739743</v>
      </c>
    </row>
    <row r="46" spans="1:14" x14ac:dyDescent="0.35">
      <c r="A46" s="5" t="s">
        <v>24</v>
      </c>
      <c r="B46" s="7">
        <v>10.283641671440318</v>
      </c>
      <c r="C46" s="7">
        <v>10.556237677028596</v>
      </c>
      <c r="D46" s="7">
        <v>10.683766753314643</v>
      </c>
      <c r="E46" s="7">
        <v>10.487339002148291</v>
      </c>
      <c r="F46" s="7">
        <v>10.689785351050897</v>
      </c>
      <c r="G46" s="7">
        <v>10.72389304702777</v>
      </c>
      <c r="H46" s="7">
        <v>10.619717599103479</v>
      </c>
      <c r="I46" s="7">
        <v>10.523637825608192</v>
      </c>
      <c r="J46" s="7">
        <v>10.478050145007465</v>
      </c>
      <c r="K46" s="7">
        <v>10.497093228274611</v>
      </c>
      <c r="L46" s="7">
        <v>10.552452127746783</v>
      </c>
      <c r="M46" s="7">
        <v>10.601733003407114</v>
      </c>
      <c r="N46" s="7">
        <f t="shared" si="12"/>
        <v>10.558154609501265</v>
      </c>
    </row>
    <row r="47" spans="1:14" x14ac:dyDescent="0.35">
      <c r="A47" s="5" t="s">
        <v>25</v>
      </c>
      <c r="B47" s="7">
        <v>15.283641671440318</v>
      </c>
      <c r="C47" s="7">
        <v>15.556237677028594</v>
      </c>
      <c r="D47" s="7">
        <v>15.683766753314643</v>
      </c>
      <c r="E47" s="7">
        <v>15.487339002148289</v>
      </c>
      <c r="F47" s="7">
        <v>15.689785351050896</v>
      </c>
      <c r="G47" s="7">
        <v>15.72389304702777</v>
      </c>
      <c r="H47" s="7">
        <v>15.619717599103481</v>
      </c>
      <c r="I47" s="7">
        <v>15.523637825608189</v>
      </c>
      <c r="J47" s="7">
        <v>15.478050145007463</v>
      </c>
      <c r="K47" s="7">
        <v>15.497093228274609</v>
      </c>
      <c r="L47" s="7">
        <v>15.552452127746781</v>
      </c>
      <c r="M47" s="7">
        <v>15.601733003407109</v>
      </c>
      <c r="N47" s="7">
        <f t="shared" si="12"/>
        <v>15.558154609501264</v>
      </c>
    </row>
    <row r="48" spans="1:14" s="2" customFormat="1" x14ac:dyDescent="0.35">
      <c r="A48" s="9" t="s">
        <v>68</v>
      </c>
      <c r="B48" s="10">
        <v>4.25</v>
      </c>
      <c r="C48" s="10">
        <v>4.25</v>
      </c>
      <c r="D48" s="10">
        <v>4.25</v>
      </c>
      <c r="E48" s="10">
        <v>12.75</v>
      </c>
      <c r="F48" s="10">
        <v>12.75</v>
      </c>
      <c r="G48" s="10">
        <v>12.75</v>
      </c>
      <c r="H48" s="10">
        <v>12.75</v>
      </c>
      <c r="I48" s="10">
        <v>12.75</v>
      </c>
      <c r="J48" s="10">
        <v>12.75</v>
      </c>
      <c r="K48" s="10">
        <v>12.75</v>
      </c>
      <c r="L48" s="10">
        <v>12.75</v>
      </c>
      <c r="M48" s="10">
        <v>12.75</v>
      </c>
      <c r="N48" s="10">
        <f>SUM(B48:M48)</f>
        <v>127.5</v>
      </c>
    </row>
    <row r="49" spans="1:16" x14ac:dyDescent="0.35">
      <c r="A49" s="5" t="s">
        <v>60</v>
      </c>
      <c r="B49" s="8">
        <v>3146.067415730337</v>
      </c>
      <c r="C49" s="8">
        <v>3146.067415730337</v>
      </c>
      <c r="D49" s="8">
        <v>3146.067415730337</v>
      </c>
      <c r="E49" s="8">
        <v>3146.067415730337</v>
      </c>
      <c r="F49" s="8">
        <v>3146.067415730337</v>
      </c>
      <c r="G49" s="8">
        <v>3146.067415730337</v>
      </c>
      <c r="H49" s="8">
        <v>3146.067415730337</v>
      </c>
      <c r="I49" s="8">
        <v>3146.067415730337</v>
      </c>
      <c r="J49" s="8">
        <v>3146.067415730337</v>
      </c>
      <c r="K49" s="8">
        <v>3146.067415730337</v>
      </c>
      <c r="L49" s="8">
        <v>3146.067415730337</v>
      </c>
      <c r="M49" s="8">
        <v>3146.067415730337</v>
      </c>
      <c r="N49" s="8">
        <f>SUMPRODUCT(B49:M49,$B$48:$M$48)/SUM($B$48:$M$48)</f>
        <v>3146.0674157303379</v>
      </c>
    </row>
    <row r="50" spans="1:16" x14ac:dyDescent="0.35">
      <c r="A50" s="5" t="s">
        <v>22</v>
      </c>
      <c r="B50" s="7">
        <v>2</v>
      </c>
      <c r="C50" s="7">
        <v>2</v>
      </c>
      <c r="D50" s="7">
        <v>2</v>
      </c>
      <c r="E50" s="7">
        <v>2</v>
      </c>
      <c r="F50" s="7">
        <v>2</v>
      </c>
      <c r="G50" s="7">
        <v>2</v>
      </c>
      <c r="H50" s="7">
        <v>2</v>
      </c>
      <c r="I50" s="7">
        <v>2</v>
      </c>
      <c r="J50" s="7">
        <v>2</v>
      </c>
      <c r="K50" s="7">
        <v>2</v>
      </c>
      <c r="L50" s="7">
        <v>2</v>
      </c>
      <c r="M50" s="7">
        <v>2</v>
      </c>
      <c r="N50" s="7">
        <f t="shared" ref="N50:N53" si="13">SUMPRODUCT(B50:M50,$B$48:$M$48)/SUM($B$48:$M$48)</f>
        <v>2</v>
      </c>
    </row>
    <row r="51" spans="1:16" x14ac:dyDescent="0.35">
      <c r="A51" s="5" t="s">
        <v>23</v>
      </c>
      <c r="B51" s="7">
        <v>40</v>
      </c>
      <c r="C51" s="7">
        <v>40</v>
      </c>
      <c r="D51" s="7">
        <v>40</v>
      </c>
      <c r="E51" s="7">
        <v>40</v>
      </c>
      <c r="F51" s="7">
        <v>40</v>
      </c>
      <c r="G51" s="7">
        <v>40</v>
      </c>
      <c r="H51" s="7">
        <v>40</v>
      </c>
      <c r="I51" s="7">
        <v>40</v>
      </c>
      <c r="J51" s="7">
        <v>40</v>
      </c>
      <c r="K51" s="7">
        <v>40</v>
      </c>
      <c r="L51" s="7">
        <v>40</v>
      </c>
      <c r="M51" s="7">
        <v>40</v>
      </c>
      <c r="N51" s="7">
        <f t="shared" si="13"/>
        <v>40</v>
      </c>
    </row>
    <row r="52" spans="1:16" x14ac:dyDescent="0.35">
      <c r="A52" s="5" t="s">
        <v>24</v>
      </c>
      <c r="B52" s="7">
        <v>11</v>
      </c>
      <c r="C52" s="7">
        <v>11</v>
      </c>
      <c r="D52" s="7">
        <v>11</v>
      </c>
      <c r="E52" s="7">
        <v>11</v>
      </c>
      <c r="F52" s="7">
        <v>11</v>
      </c>
      <c r="G52" s="7">
        <v>11</v>
      </c>
      <c r="H52" s="7">
        <v>11</v>
      </c>
      <c r="I52" s="7">
        <v>11</v>
      </c>
      <c r="J52" s="7">
        <v>11</v>
      </c>
      <c r="K52" s="7">
        <v>11</v>
      </c>
      <c r="L52" s="7">
        <v>11</v>
      </c>
      <c r="M52" s="7">
        <v>11</v>
      </c>
      <c r="N52" s="7">
        <f t="shared" si="13"/>
        <v>11</v>
      </c>
    </row>
    <row r="53" spans="1:16" x14ac:dyDescent="0.35">
      <c r="A53" s="5" t="s">
        <v>25</v>
      </c>
      <c r="B53" s="7">
        <v>20</v>
      </c>
      <c r="C53" s="7">
        <v>20</v>
      </c>
      <c r="D53" s="7">
        <v>20</v>
      </c>
      <c r="E53" s="7">
        <v>20</v>
      </c>
      <c r="F53" s="7">
        <v>20</v>
      </c>
      <c r="G53" s="7">
        <v>20</v>
      </c>
      <c r="H53" s="7">
        <v>20</v>
      </c>
      <c r="I53" s="7">
        <v>20</v>
      </c>
      <c r="J53" s="7">
        <v>20</v>
      </c>
      <c r="K53" s="7">
        <v>20</v>
      </c>
      <c r="L53" s="7">
        <v>20</v>
      </c>
      <c r="M53" s="7">
        <v>20</v>
      </c>
      <c r="N53" s="7">
        <f t="shared" si="13"/>
        <v>20</v>
      </c>
    </row>
    <row r="54" spans="1:16" x14ac:dyDescent="0.35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</row>
    <row r="55" spans="1:16" x14ac:dyDescent="0.35">
      <c r="A55" s="6" t="s">
        <v>31</v>
      </c>
      <c r="B55" s="6" t="s">
        <v>1</v>
      </c>
      <c r="C55" s="6" t="s">
        <v>2</v>
      </c>
      <c r="D55" s="6" t="s">
        <v>3</v>
      </c>
      <c r="E55" s="6" t="s">
        <v>4</v>
      </c>
      <c r="F55" s="6" t="s">
        <v>5</v>
      </c>
      <c r="G55" s="6" t="s">
        <v>6</v>
      </c>
      <c r="H55" s="6" t="s">
        <v>7</v>
      </c>
      <c r="I55" s="6" t="s">
        <v>8</v>
      </c>
      <c r="J55" s="6" t="s">
        <v>9</v>
      </c>
      <c r="K55" s="6" t="s">
        <v>10</v>
      </c>
      <c r="L55" s="6" t="s">
        <v>11</v>
      </c>
      <c r="M55" s="6" t="s">
        <v>12</v>
      </c>
      <c r="N55" s="6" t="s">
        <v>13</v>
      </c>
      <c r="O55" s="4"/>
    </row>
    <row r="56" spans="1:16" s="2" customFormat="1" x14ac:dyDescent="0.35">
      <c r="A56" s="9" t="s">
        <v>14</v>
      </c>
      <c r="B56" s="10">
        <f t="shared" ref="B56:N56" si="14">SUM(B57:B59)</f>
        <v>4195</v>
      </c>
      <c r="C56" s="10">
        <f t="shared" si="14"/>
        <v>4015</v>
      </c>
      <c r="D56" s="10">
        <f t="shared" si="14"/>
        <v>4020</v>
      </c>
      <c r="E56" s="10">
        <f t="shared" si="14"/>
        <v>4250</v>
      </c>
      <c r="F56" s="10">
        <f t="shared" si="14"/>
        <v>4410</v>
      </c>
      <c r="G56" s="10">
        <f t="shared" si="14"/>
        <v>4660</v>
      </c>
      <c r="H56" s="10">
        <f t="shared" si="14"/>
        <v>4720</v>
      </c>
      <c r="I56" s="10">
        <f t="shared" si="14"/>
        <v>5055</v>
      </c>
      <c r="J56" s="10">
        <f t="shared" si="14"/>
        <v>4740</v>
      </c>
      <c r="K56" s="10">
        <f t="shared" si="14"/>
        <v>3990</v>
      </c>
      <c r="L56" s="10">
        <f t="shared" si="14"/>
        <v>3805</v>
      </c>
      <c r="M56" s="10">
        <f t="shared" si="14"/>
        <v>3790</v>
      </c>
      <c r="N56" s="10">
        <f t="shared" si="14"/>
        <v>51650</v>
      </c>
      <c r="P56" s="1" t="s">
        <v>61</v>
      </c>
    </row>
    <row r="57" spans="1:16" x14ac:dyDescent="0.35">
      <c r="A57" s="5" t="s">
        <v>57</v>
      </c>
      <c r="B57" s="8">
        <v>2025</v>
      </c>
      <c r="C57" s="8">
        <v>1905</v>
      </c>
      <c r="D57" s="8">
        <v>1870</v>
      </c>
      <c r="E57" s="8">
        <v>2010</v>
      </c>
      <c r="F57" s="8">
        <v>2110</v>
      </c>
      <c r="G57" s="8">
        <v>2210</v>
      </c>
      <c r="H57" s="8">
        <v>2320</v>
      </c>
      <c r="I57" s="8">
        <v>2305</v>
      </c>
      <c r="J57" s="8">
        <v>2240</v>
      </c>
      <c r="K57" s="8">
        <v>1890</v>
      </c>
      <c r="L57" s="8">
        <v>1745</v>
      </c>
      <c r="M57" s="8">
        <v>1770</v>
      </c>
      <c r="N57" s="8">
        <f t="shared" ref="N57:N59" si="15">SUM(B57:M57)</f>
        <v>24400</v>
      </c>
    </row>
    <row r="58" spans="1:16" x14ac:dyDescent="0.35">
      <c r="A58" s="5" t="s">
        <v>56</v>
      </c>
      <c r="B58" s="8">
        <v>890</v>
      </c>
      <c r="C58" s="8">
        <v>810</v>
      </c>
      <c r="D58" s="8">
        <v>750</v>
      </c>
      <c r="E58" s="8">
        <v>940</v>
      </c>
      <c r="F58" s="8">
        <v>950</v>
      </c>
      <c r="G58" s="8">
        <v>950</v>
      </c>
      <c r="H58" s="8">
        <v>1000</v>
      </c>
      <c r="I58" s="8">
        <v>1050</v>
      </c>
      <c r="J58" s="8">
        <v>950</v>
      </c>
      <c r="K58" s="8">
        <v>900</v>
      </c>
      <c r="L58" s="8">
        <v>860</v>
      </c>
      <c r="M58" s="8">
        <v>950</v>
      </c>
      <c r="N58" s="8">
        <f t="shared" si="15"/>
        <v>11000</v>
      </c>
    </row>
    <row r="59" spans="1:16" x14ac:dyDescent="0.35">
      <c r="A59" s="5" t="s">
        <v>55</v>
      </c>
      <c r="B59" s="8">
        <v>1280</v>
      </c>
      <c r="C59" s="8">
        <v>1300</v>
      </c>
      <c r="D59" s="8">
        <v>1400</v>
      </c>
      <c r="E59" s="8">
        <v>1300</v>
      </c>
      <c r="F59" s="8">
        <v>1350</v>
      </c>
      <c r="G59" s="8">
        <v>1500</v>
      </c>
      <c r="H59" s="8">
        <v>1400</v>
      </c>
      <c r="I59" s="8">
        <v>1700</v>
      </c>
      <c r="J59" s="8">
        <v>1550</v>
      </c>
      <c r="K59" s="8">
        <v>1200</v>
      </c>
      <c r="L59" s="8">
        <v>1200</v>
      </c>
      <c r="M59" s="8">
        <v>1070</v>
      </c>
      <c r="N59" s="8">
        <f t="shared" si="15"/>
        <v>16250</v>
      </c>
    </row>
    <row r="60" spans="1:16" s="2" customFormat="1" x14ac:dyDescent="0.35">
      <c r="A60" s="9" t="s">
        <v>17</v>
      </c>
      <c r="B60" s="10">
        <f t="shared" ref="B60:N60" si="16">SUM(B61:B63)</f>
        <v>200</v>
      </c>
      <c r="C60" s="10">
        <f t="shared" si="16"/>
        <v>215</v>
      </c>
      <c r="D60" s="10">
        <f t="shared" si="16"/>
        <v>217</v>
      </c>
      <c r="E60" s="10">
        <f t="shared" si="16"/>
        <v>255</v>
      </c>
      <c r="F60" s="10">
        <f t="shared" si="16"/>
        <v>285</v>
      </c>
      <c r="G60" s="10">
        <f t="shared" si="16"/>
        <v>315</v>
      </c>
      <c r="H60" s="10">
        <f t="shared" si="16"/>
        <v>310</v>
      </c>
      <c r="I60" s="10">
        <f t="shared" si="16"/>
        <v>335.38697316446883</v>
      </c>
      <c r="J60" s="10">
        <f t="shared" si="16"/>
        <v>307</v>
      </c>
      <c r="K60" s="10">
        <f t="shared" si="16"/>
        <v>300</v>
      </c>
      <c r="L60" s="10">
        <f t="shared" si="16"/>
        <v>281</v>
      </c>
      <c r="M60" s="10">
        <f t="shared" si="16"/>
        <v>280</v>
      </c>
      <c r="N60" s="10">
        <f t="shared" si="16"/>
        <v>3300.3869731644691</v>
      </c>
    </row>
    <row r="61" spans="1:16" x14ac:dyDescent="0.35">
      <c r="A61" s="5" t="s">
        <v>57</v>
      </c>
      <c r="B61" s="8">
        <v>130</v>
      </c>
      <c r="C61" s="8">
        <v>145</v>
      </c>
      <c r="D61" s="8">
        <v>150</v>
      </c>
      <c r="E61" s="8">
        <v>160</v>
      </c>
      <c r="F61" s="8">
        <v>170</v>
      </c>
      <c r="G61" s="8">
        <v>200</v>
      </c>
      <c r="H61" s="8">
        <v>195</v>
      </c>
      <c r="I61" s="8">
        <v>210</v>
      </c>
      <c r="J61" s="8">
        <v>210</v>
      </c>
      <c r="K61" s="8">
        <v>195</v>
      </c>
      <c r="L61" s="8">
        <v>180</v>
      </c>
      <c r="M61" s="8">
        <v>185</v>
      </c>
      <c r="N61" s="8">
        <f t="shared" ref="N61:N63" si="17">SUM(B61:M61)</f>
        <v>2130</v>
      </c>
    </row>
    <row r="62" spans="1:16" x14ac:dyDescent="0.35">
      <c r="A62" s="5" t="s">
        <v>56</v>
      </c>
      <c r="B62" s="8">
        <v>45</v>
      </c>
      <c r="C62" s="8">
        <v>40</v>
      </c>
      <c r="D62" s="8">
        <v>37</v>
      </c>
      <c r="E62" s="8">
        <v>45</v>
      </c>
      <c r="F62" s="8">
        <v>50</v>
      </c>
      <c r="G62" s="8">
        <v>50</v>
      </c>
      <c r="H62" s="8">
        <v>50</v>
      </c>
      <c r="I62" s="8">
        <v>55</v>
      </c>
      <c r="J62" s="8">
        <v>47</v>
      </c>
      <c r="K62" s="8">
        <v>45</v>
      </c>
      <c r="L62" s="8">
        <v>41</v>
      </c>
      <c r="M62" s="8">
        <v>45</v>
      </c>
      <c r="N62" s="8">
        <f t="shared" si="17"/>
        <v>550</v>
      </c>
    </row>
    <row r="63" spans="1:16" x14ac:dyDescent="0.35">
      <c r="A63" s="5" t="s">
        <v>55</v>
      </c>
      <c r="B63" s="8">
        <v>25</v>
      </c>
      <c r="C63" s="8">
        <v>30</v>
      </c>
      <c r="D63" s="8">
        <v>30</v>
      </c>
      <c r="E63" s="8">
        <v>50</v>
      </c>
      <c r="F63" s="8">
        <v>65</v>
      </c>
      <c r="G63" s="8">
        <v>65</v>
      </c>
      <c r="H63" s="8">
        <v>65</v>
      </c>
      <c r="I63" s="8">
        <v>70.386973164468827</v>
      </c>
      <c r="J63" s="8">
        <v>50</v>
      </c>
      <c r="K63" s="8">
        <v>60</v>
      </c>
      <c r="L63" s="8">
        <v>60</v>
      </c>
      <c r="M63" s="8">
        <v>50</v>
      </c>
      <c r="N63" s="8">
        <f t="shared" si="17"/>
        <v>620.38697316446883</v>
      </c>
    </row>
    <row r="64" spans="1:16" s="2" customFormat="1" x14ac:dyDescent="0.35">
      <c r="A64" s="9" t="s">
        <v>32</v>
      </c>
      <c r="B64" s="11">
        <f t="shared" ref="B64:N64" si="18">B56/B60</f>
        <v>20.975000000000001</v>
      </c>
      <c r="C64" s="11">
        <f t="shared" si="18"/>
        <v>18.674418604651162</v>
      </c>
      <c r="D64" s="11">
        <f t="shared" si="18"/>
        <v>18.525345622119815</v>
      </c>
      <c r="E64" s="11">
        <f t="shared" si="18"/>
        <v>16.666666666666668</v>
      </c>
      <c r="F64" s="11">
        <f t="shared" si="18"/>
        <v>15.473684210526315</v>
      </c>
      <c r="G64" s="11">
        <f t="shared" si="18"/>
        <v>14.793650793650794</v>
      </c>
      <c r="H64" s="11">
        <f t="shared" si="18"/>
        <v>15.225806451612904</v>
      </c>
      <c r="I64" s="11">
        <f t="shared" si="18"/>
        <v>15.072141748096765</v>
      </c>
      <c r="J64" s="11">
        <f t="shared" si="18"/>
        <v>15.439739413680782</v>
      </c>
      <c r="K64" s="11">
        <f t="shared" si="18"/>
        <v>13.3</v>
      </c>
      <c r="L64" s="11">
        <f t="shared" si="18"/>
        <v>13.540925266903914</v>
      </c>
      <c r="M64" s="11">
        <f t="shared" si="18"/>
        <v>13.535714285714286</v>
      </c>
      <c r="N64" s="11">
        <f t="shared" si="18"/>
        <v>15.649679998123696</v>
      </c>
    </row>
    <row r="65" spans="1:15" s="2" customFormat="1" x14ac:dyDescent="0.35">
      <c r="A65" s="9" t="s">
        <v>33</v>
      </c>
      <c r="B65" s="10">
        <f>SUM(B66:B68)</f>
        <v>217</v>
      </c>
      <c r="C65" s="10">
        <f t="shared" ref="C65:N65" si="19">SUM(C66:C68)</f>
        <v>235</v>
      </c>
      <c r="D65" s="10">
        <f t="shared" si="19"/>
        <v>258</v>
      </c>
      <c r="E65" s="10">
        <f t="shared" si="19"/>
        <v>257</v>
      </c>
      <c r="F65" s="10">
        <f t="shared" si="19"/>
        <v>290</v>
      </c>
      <c r="G65" s="10">
        <f t="shared" si="19"/>
        <v>305</v>
      </c>
      <c r="H65" s="10">
        <f t="shared" si="19"/>
        <v>315</v>
      </c>
      <c r="I65" s="10">
        <f t="shared" si="19"/>
        <v>320</v>
      </c>
      <c r="J65" s="10">
        <f t="shared" si="19"/>
        <v>285</v>
      </c>
      <c r="K65" s="10">
        <f t="shared" si="19"/>
        <v>253</v>
      </c>
      <c r="L65" s="10">
        <f t="shared" si="19"/>
        <v>242</v>
      </c>
      <c r="M65" s="10">
        <f t="shared" si="19"/>
        <v>253</v>
      </c>
      <c r="N65" s="10">
        <f t="shared" si="19"/>
        <v>3230</v>
      </c>
    </row>
    <row r="66" spans="1:15" x14ac:dyDescent="0.35">
      <c r="A66" s="5" t="s">
        <v>35</v>
      </c>
      <c r="B66" s="8">
        <f>B73</f>
        <v>110</v>
      </c>
      <c r="C66" s="8">
        <f t="shared" ref="C66:M66" si="20">C73</f>
        <v>130</v>
      </c>
      <c r="D66" s="8">
        <f t="shared" si="20"/>
        <v>130</v>
      </c>
      <c r="E66" s="8">
        <f t="shared" si="20"/>
        <v>140</v>
      </c>
      <c r="F66" s="8">
        <f t="shared" si="20"/>
        <v>150</v>
      </c>
      <c r="G66" s="8">
        <f t="shared" si="20"/>
        <v>170</v>
      </c>
      <c r="H66" s="8">
        <f t="shared" si="20"/>
        <v>170</v>
      </c>
      <c r="I66" s="8">
        <f t="shared" si="20"/>
        <v>150</v>
      </c>
      <c r="J66" s="8">
        <f t="shared" si="20"/>
        <v>155</v>
      </c>
      <c r="K66" s="8">
        <f t="shared" si="20"/>
        <v>115</v>
      </c>
      <c r="L66" s="8">
        <f t="shared" si="20"/>
        <v>115</v>
      </c>
      <c r="M66" s="8">
        <f t="shared" si="20"/>
        <v>95</v>
      </c>
      <c r="N66" s="8">
        <f t="shared" ref="N66:N71" si="21">SUM(B66:M66)</f>
        <v>1630</v>
      </c>
    </row>
    <row r="67" spans="1:15" x14ac:dyDescent="0.35">
      <c r="A67" s="5" t="s">
        <v>39</v>
      </c>
      <c r="B67" s="8">
        <f>B79</f>
        <v>100</v>
      </c>
      <c r="C67" s="8">
        <f t="shared" ref="C67:M67" si="22">C79</f>
        <v>100</v>
      </c>
      <c r="D67" s="8">
        <f t="shared" si="22"/>
        <v>120</v>
      </c>
      <c r="E67" s="8">
        <f t="shared" si="22"/>
        <v>110</v>
      </c>
      <c r="F67" s="8">
        <f t="shared" si="22"/>
        <v>130</v>
      </c>
      <c r="G67" s="8">
        <f t="shared" si="22"/>
        <v>120</v>
      </c>
      <c r="H67" s="8">
        <f t="shared" si="22"/>
        <v>130</v>
      </c>
      <c r="I67" s="8">
        <f t="shared" si="22"/>
        <v>150</v>
      </c>
      <c r="J67" s="8">
        <f t="shared" si="22"/>
        <v>120</v>
      </c>
      <c r="K67" s="8">
        <f t="shared" si="22"/>
        <v>130</v>
      </c>
      <c r="L67" s="8">
        <f t="shared" si="22"/>
        <v>120</v>
      </c>
      <c r="M67" s="8">
        <f t="shared" si="22"/>
        <v>150</v>
      </c>
      <c r="N67" s="8">
        <f t="shared" si="21"/>
        <v>1480</v>
      </c>
    </row>
    <row r="68" spans="1:15" x14ac:dyDescent="0.35">
      <c r="A68" s="5" t="s">
        <v>41</v>
      </c>
      <c r="B68" s="8">
        <f>B85</f>
        <v>7</v>
      </c>
      <c r="C68" s="8">
        <f t="shared" ref="C68:M68" si="23">C85</f>
        <v>5</v>
      </c>
      <c r="D68" s="8">
        <f t="shared" si="23"/>
        <v>8</v>
      </c>
      <c r="E68" s="8">
        <f t="shared" si="23"/>
        <v>7</v>
      </c>
      <c r="F68" s="8">
        <f t="shared" si="23"/>
        <v>10</v>
      </c>
      <c r="G68" s="8">
        <f t="shared" si="23"/>
        <v>15</v>
      </c>
      <c r="H68" s="8">
        <f t="shared" si="23"/>
        <v>15</v>
      </c>
      <c r="I68" s="8">
        <f t="shared" si="23"/>
        <v>20</v>
      </c>
      <c r="J68" s="8">
        <f t="shared" si="23"/>
        <v>10</v>
      </c>
      <c r="K68" s="8">
        <f t="shared" si="23"/>
        <v>8</v>
      </c>
      <c r="L68" s="8">
        <f t="shared" si="23"/>
        <v>7</v>
      </c>
      <c r="M68" s="8">
        <f t="shared" si="23"/>
        <v>8</v>
      </c>
      <c r="N68" s="8">
        <f t="shared" si="21"/>
        <v>120</v>
      </c>
    </row>
    <row r="69" spans="1:15" x14ac:dyDescent="0.35">
      <c r="A69" s="9" t="s">
        <v>58</v>
      </c>
      <c r="B69" s="10">
        <f>B70+B71</f>
        <v>139.1</v>
      </c>
      <c r="C69" s="10">
        <f t="shared" ref="C69:M69" si="24">C70+C71</f>
        <v>139.4</v>
      </c>
      <c r="D69" s="10">
        <f t="shared" si="24"/>
        <v>138.6</v>
      </c>
      <c r="E69" s="10">
        <f t="shared" si="24"/>
        <v>138.1</v>
      </c>
      <c r="F69" s="10">
        <f t="shared" si="24"/>
        <v>139</v>
      </c>
      <c r="G69" s="10">
        <f t="shared" si="24"/>
        <v>138.30000000000001</v>
      </c>
      <c r="H69" s="10">
        <f t="shared" si="24"/>
        <v>138.5</v>
      </c>
      <c r="I69" s="10">
        <f t="shared" si="24"/>
        <v>137.69999999999999</v>
      </c>
      <c r="J69" s="10">
        <f t="shared" si="24"/>
        <v>145.6</v>
      </c>
      <c r="K69" s="10">
        <f t="shared" si="24"/>
        <v>146.19999999999999</v>
      </c>
      <c r="L69" s="10">
        <f t="shared" si="24"/>
        <v>138.30000000000001</v>
      </c>
      <c r="M69" s="10">
        <f t="shared" si="24"/>
        <v>137.69999999999999</v>
      </c>
      <c r="N69" s="10">
        <f>SUM(B69:M69)</f>
        <v>1676.5</v>
      </c>
      <c r="O69" s="2"/>
    </row>
    <row r="70" spans="1:15" x14ac:dyDescent="0.35">
      <c r="A70" s="5" t="s">
        <v>53</v>
      </c>
      <c r="B70" s="8">
        <f>B91</f>
        <v>56.6</v>
      </c>
      <c r="C70" s="8">
        <f t="shared" ref="C70:M70" si="25">C91</f>
        <v>56.9</v>
      </c>
      <c r="D70" s="8">
        <f t="shared" si="25"/>
        <v>56.1</v>
      </c>
      <c r="E70" s="8">
        <f t="shared" si="25"/>
        <v>55.6</v>
      </c>
      <c r="F70" s="8">
        <f t="shared" si="25"/>
        <v>56.5</v>
      </c>
      <c r="G70" s="8">
        <f t="shared" si="25"/>
        <v>55.8</v>
      </c>
      <c r="H70" s="8">
        <f t="shared" si="25"/>
        <v>56</v>
      </c>
      <c r="I70" s="8">
        <f t="shared" si="25"/>
        <v>55.2</v>
      </c>
      <c r="J70" s="8">
        <f t="shared" si="25"/>
        <v>55.6</v>
      </c>
      <c r="K70" s="8">
        <f t="shared" si="25"/>
        <v>56.2</v>
      </c>
      <c r="L70" s="8">
        <f t="shared" si="25"/>
        <v>55.8</v>
      </c>
      <c r="M70" s="8">
        <f t="shared" si="25"/>
        <v>55.2</v>
      </c>
      <c r="N70" s="8">
        <f t="shared" si="21"/>
        <v>671.5</v>
      </c>
    </row>
    <row r="71" spans="1:15" x14ac:dyDescent="0.35">
      <c r="A71" s="5" t="s">
        <v>54</v>
      </c>
      <c r="B71" s="8">
        <f>B97</f>
        <v>82.5</v>
      </c>
      <c r="C71" s="8">
        <f t="shared" ref="C71:M71" si="26">C97</f>
        <v>82.5</v>
      </c>
      <c r="D71" s="8">
        <f t="shared" si="26"/>
        <v>82.5</v>
      </c>
      <c r="E71" s="8">
        <f t="shared" si="26"/>
        <v>82.5</v>
      </c>
      <c r="F71" s="8">
        <f t="shared" si="26"/>
        <v>82.5</v>
      </c>
      <c r="G71" s="8">
        <f t="shared" si="26"/>
        <v>82.5</v>
      </c>
      <c r="H71" s="8">
        <f t="shared" si="26"/>
        <v>82.5</v>
      </c>
      <c r="I71" s="8">
        <f t="shared" si="26"/>
        <v>82.5</v>
      </c>
      <c r="J71" s="8">
        <f t="shared" si="26"/>
        <v>90</v>
      </c>
      <c r="K71" s="8">
        <f t="shared" si="26"/>
        <v>90</v>
      </c>
      <c r="L71" s="8">
        <f t="shared" si="26"/>
        <v>82.5</v>
      </c>
      <c r="M71" s="8">
        <f t="shared" si="26"/>
        <v>82.5</v>
      </c>
      <c r="N71" s="8">
        <f t="shared" si="21"/>
        <v>1005</v>
      </c>
    </row>
    <row r="72" spans="1:15" s="2" customFormat="1" x14ac:dyDescent="0.35">
      <c r="A72" s="9" t="s">
        <v>34</v>
      </c>
      <c r="B72" s="11">
        <f t="shared" ref="B72:N72" si="27">B56/B65</f>
        <v>19.331797235023043</v>
      </c>
      <c r="C72" s="11">
        <f t="shared" si="27"/>
        <v>17.085106382978722</v>
      </c>
      <c r="D72" s="11">
        <f t="shared" si="27"/>
        <v>15.581395348837209</v>
      </c>
      <c r="E72" s="11">
        <f t="shared" si="27"/>
        <v>16.536964980544749</v>
      </c>
      <c r="F72" s="11">
        <f t="shared" si="27"/>
        <v>15.206896551724139</v>
      </c>
      <c r="G72" s="11">
        <f t="shared" si="27"/>
        <v>15.278688524590164</v>
      </c>
      <c r="H72" s="11">
        <f t="shared" si="27"/>
        <v>14.984126984126984</v>
      </c>
      <c r="I72" s="11">
        <f t="shared" si="27"/>
        <v>15.796875</v>
      </c>
      <c r="J72" s="11">
        <f t="shared" si="27"/>
        <v>16.631578947368421</v>
      </c>
      <c r="K72" s="11">
        <f t="shared" si="27"/>
        <v>15.770750988142293</v>
      </c>
      <c r="L72" s="11">
        <f t="shared" si="27"/>
        <v>15.723140495867769</v>
      </c>
      <c r="M72" s="11">
        <f t="shared" si="27"/>
        <v>14.980237154150197</v>
      </c>
      <c r="N72" s="11">
        <f t="shared" si="27"/>
        <v>15.990712074303406</v>
      </c>
    </row>
    <row r="73" spans="1:15" s="2" customFormat="1" x14ac:dyDescent="0.35">
      <c r="A73" s="9" t="s">
        <v>35</v>
      </c>
      <c r="B73" s="10">
        <v>110</v>
      </c>
      <c r="C73" s="10">
        <v>130</v>
      </c>
      <c r="D73" s="10">
        <v>130</v>
      </c>
      <c r="E73" s="10">
        <v>140</v>
      </c>
      <c r="F73" s="10">
        <v>150</v>
      </c>
      <c r="G73" s="10">
        <v>170</v>
      </c>
      <c r="H73" s="10">
        <v>170</v>
      </c>
      <c r="I73" s="10">
        <v>150</v>
      </c>
      <c r="J73" s="10">
        <v>155</v>
      </c>
      <c r="K73" s="10">
        <v>115</v>
      </c>
      <c r="L73" s="10">
        <v>115</v>
      </c>
      <c r="M73" s="10">
        <v>95</v>
      </c>
      <c r="N73" s="10">
        <f>SUM(B73:M73)</f>
        <v>1630</v>
      </c>
    </row>
    <row r="74" spans="1:15" x14ac:dyDescent="0.35">
      <c r="A74" s="5" t="s">
        <v>60</v>
      </c>
      <c r="B74" s="8">
        <v>6331.7793828876238</v>
      </c>
      <c r="C74" s="8">
        <v>6327.6425693981791</v>
      </c>
      <c r="D74" s="8">
        <v>6345.3425138325065</v>
      </c>
      <c r="E74" s="8">
        <v>6327.8237416204238</v>
      </c>
      <c r="F74" s="8">
        <v>6373.2295595361038</v>
      </c>
      <c r="G74" s="8">
        <v>6243.3001857798381</v>
      </c>
      <c r="H74" s="8">
        <v>6268.7386978746026</v>
      </c>
      <c r="I74" s="8">
        <v>6402.2298368615757</v>
      </c>
      <c r="J74" s="8">
        <v>6455.7439711831212</v>
      </c>
      <c r="K74" s="8">
        <v>6429.1850997886104</v>
      </c>
      <c r="L74" s="8">
        <v>6453.9309387797784</v>
      </c>
      <c r="M74" s="8">
        <v>6360.7188727803714</v>
      </c>
      <c r="N74" s="8">
        <f>SUMPRODUCT(B74:M74,$B$73:$M$73)/SUM($B$73:$M$73)</f>
        <v>6355.6512817964895</v>
      </c>
    </row>
    <row r="75" spans="1:15" x14ac:dyDescent="0.35">
      <c r="A75" s="5" t="s">
        <v>36</v>
      </c>
      <c r="B75" s="7">
        <v>0.63238991761318497</v>
      </c>
      <c r="C75" s="7">
        <v>0.69248100776136201</v>
      </c>
      <c r="D75" s="7">
        <v>0.65200146322569297</v>
      </c>
      <c r="E75" s="7">
        <v>0.65479545313176901</v>
      </c>
      <c r="F75" s="7">
        <v>0.61486787827618805</v>
      </c>
      <c r="G75" s="7">
        <v>0.63759554200202295</v>
      </c>
      <c r="H75" s="7">
        <v>0.63464406615669899</v>
      </c>
      <c r="I75" s="7">
        <v>0.55063000651322802</v>
      </c>
      <c r="J75" s="7">
        <v>0.52383376576180996</v>
      </c>
      <c r="K75" s="7">
        <v>0.52785902773208504</v>
      </c>
      <c r="L75" s="7">
        <v>0.546982631574634</v>
      </c>
      <c r="M75" s="7">
        <v>0.54360501085869495</v>
      </c>
      <c r="N75" s="7">
        <f t="shared" ref="N75:N78" si="28">SUMPRODUCT(B75:M75,$B$73:$M$73)/SUM($B$73:$M$73)</f>
        <v>0.60341465782487103</v>
      </c>
    </row>
    <row r="76" spans="1:15" x14ac:dyDescent="0.35">
      <c r="A76" s="5" t="s">
        <v>37</v>
      </c>
      <c r="B76" s="7">
        <v>5.1400008226411904</v>
      </c>
      <c r="C76" s="7">
        <v>4.5591191358841403</v>
      </c>
      <c r="D76" s="7">
        <v>4.5963271300049602</v>
      </c>
      <c r="E76" s="7">
        <v>5.1237409897543804</v>
      </c>
      <c r="F76" s="7">
        <v>4.8279056232027298</v>
      </c>
      <c r="G76" s="7">
        <v>4.5406008919884</v>
      </c>
      <c r="H76" s="7">
        <v>5.46940983358121</v>
      </c>
      <c r="I76" s="7">
        <v>4.9514040687002403</v>
      </c>
      <c r="J76" s="7">
        <v>4.2318464131914997</v>
      </c>
      <c r="K76" s="7">
        <v>4.7988366524975996</v>
      </c>
      <c r="L76" s="7">
        <v>4.93003836984703</v>
      </c>
      <c r="M76" s="7">
        <v>4.9975468448450897</v>
      </c>
      <c r="N76" s="7">
        <f t="shared" si="28"/>
        <v>4.8411373574408625</v>
      </c>
    </row>
    <row r="77" spans="1:15" x14ac:dyDescent="0.35">
      <c r="A77" s="5" t="s">
        <v>38</v>
      </c>
      <c r="B77" s="7">
        <v>7.9684127195664098</v>
      </c>
      <c r="C77" s="7">
        <v>7.5073713345746302</v>
      </c>
      <c r="D77" s="7">
        <v>7.3053122036805602</v>
      </c>
      <c r="E77" s="7">
        <v>7.3141874168513201</v>
      </c>
      <c r="F77" s="7">
        <v>7.2934235711691597</v>
      </c>
      <c r="G77" s="7">
        <v>7.0845271641510301</v>
      </c>
      <c r="H77" s="7">
        <v>7.3044096894042596</v>
      </c>
      <c r="I77" s="7">
        <v>7.5575721221498098</v>
      </c>
      <c r="J77" s="7">
        <v>7.1826945652590499</v>
      </c>
      <c r="K77" s="7">
        <v>7.4774673877961497</v>
      </c>
      <c r="L77" s="7">
        <v>7.3249599667415399</v>
      </c>
      <c r="M77" s="7">
        <v>7.6231050296600698</v>
      </c>
      <c r="N77" s="7">
        <f t="shared" si="28"/>
        <v>7.386331839135952</v>
      </c>
    </row>
    <row r="78" spans="1:15" x14ac:dyDescent="0.35">
      <c r="A78" s="5" t="s">
        <v>25</v>
      </c>
      <c r="B78" s="7">
        <v>13.501773791466501</v>
      </c>
      <c r="C78" s="7">
        <v>14.506560947286875</v>
      </c>
      <c r="D78" s="7">
        <v>14.200725957541751</v>
      </c>
      <c r="E78" s="7">
        <v>13.742458193290251</v>
      </c>
      <c r="F78" s="7">
        <v>13.759598617916499</v>
      </c>
      <c r="G78" s="7">
        <v>15.888522129933875</v>
      </c>
      <c r="H78" s="7">
        <v>14.347097458553</v>
      </c>
      <c r="I78" s="7">
        <v>13.186564691276374</v>
      </c>
      <c r="J78" s="7">
        <v>13.129570168035125</v>
      </c>
      <c r="K78" s="7">
        <v>12.982684650667624</v>
      </c>
      <c r="L78" s="7">
        <v>12.464583441012387</v>
      </c>
      <c r="M78" s="7">
        <v>13.528504363957126</v>
      </c>
      <c r="N78" s="7">
        <f t="shared" si="28"/>
        <v>13.846499085482177</v>
      </c>
    </row>
    <row r="79" spans="1:15" s="2" customFormat="1" x14ac:dyDescent="0.35">
      <c r="A79" s="9" t="s">
        <v>39</v>
      </c>
      <c r="B79" s="10">
        <v>100</v>
      </c>
      <c r="C79" s="10">
        <v>100</v>
      </c>
      <c r="D79" s="10">
        <v>120</v>
      </c>
      <c r="E79" s="10">
        <v>110</v>
      </c>
      <c r="F79" s="10">
        <v>130</v>
      </c>
      <c r="G79" s="10">
        <v>120</v>
      </c>
      <c r="H79" s="10">
        <v>130</v>
      </c>
      <c r="I79" s="10">
        <v>150</v>
      </c>
      <c r="J79" s="10">
        <v>120</v>
      </c>
      <c r="K79" s="10">
        <v>130</v>
      </c>
      <c r="L79" s="10">
        <v>120</v>
      </c>
      <c r="M79" s="10">
        <v>150</v>
      </c>
      <c r="N79" s="10">
        <f>SUM(B79:M79)</f>
        <v>1480</v>
      </c>
    </row>
    <row r="80" spans="1:15" x14ac:dyDescent="0.35">
      <c r="A80" s="5" t="s">
        <v>60</v>
      </c>
      <c r="B80" s="8">
        <v>6528.8012797245638</v>
      </c>
      <c r="C80" s="8">
        <v>6523.4410485998433</v>
      </c>
      <c r="D80" s="8">
        <v>6602.1856468823917</v>
      </c>
      <c r="E80" s="8">
        <v>6481.08549184607</v>
      </c>
      <c r="F80" s="8">
        <v>6487.5273811442139</v>
      </c>
      <c r="G80" s="8">
        <v>6515.571438084402</v>
      </c>
      <c r="H80" s="8">
        <v>6445.0322974685605</v>
      </c>
      <c r="I80" s="8">
        <v>6472.1448439150581</v>
      </c>
      <c r="J80" s="8">
        <v>6412.4032320438118</v>
      </c>
      <c r="K80" s="8">
        <v>6476.7335262632087</v>
      </c>
      <c r="L80" s="8">
        <v>6460.6228119435345</v>
      </c>
      <c r="M80" s="8">
        <v>6423.295236099113</v>
      </c>
      <c r="N80" s="8">
        <f>SUMPRODUCT(B80:M80,$B$79:$M$79)/SUM($B$79:$M$79)</f>
        <v>6482.8119871932486</v>
      </c>
    </row>
    <row r="81" spans="1:16" x14ac:dyDescent="0.35">
      <c r="A81" s="5" t="s">
        <v>40</v>
      </c>
      <c r="B81" s="7">
        <v>1.8419030452067799</v>
      </c>
      <c r="C81" s="7">
        <v>2.1453577261518602</v>
      </c>
      <c r="D81" s="7">
        <v>1.7213436922084799</v>
      </c>
      <c r="E81" s="7">
        <v>1.7720411434008401</v>
      </c>
      <c r="F81" s="7">
        <v>1.7757748411372201</v>
      </c>
      <c r="G81" s="7">
        <v>2.0870683125705898</v>
      </c>
      <c r="H81" s="7">
        <v>1.81379341991147</v>
      </c>
      <c r="I81" s="7">
        <v>1.82869354084894</v>
      </c>
      <c r="J81" s="7">
        <v>1.84821414527398</v>
      </c>
      <c r="K81" s="7">
        <v>1.8968173866107201</v>
      </c>
      <c r="L81" s="7">
        <v>1.81902940099376</v>
      </c>
      <c r="M81" s="7">
        <v>1.9904988877701799</v>
      </c>
      <c r="N81" s="7">
        <f t="shared" ref="N81:N84" si="29">SUMPRODUCT(B81:M81,$B$79:$M$79)/SUM($B$79:$M$79)</f>
        <v>1.8762420726514626</v>
      </c>
    </row>
    <row r="82" spans="1:16" x14ac:dyDescent="0.35">
      <c r="A82" s="5" t="s">
        <v>37</v>
      </c>
      <c r="B82" s="7">
        <v>6.7257045938398603</v>
      </c>
      <c r="C82" s="7">
        <v>7.6729169335237897</v>
      </c>
      <c r="D82" s="7">
        <v>55.9656466134116</v>
      </c>
      <c r="E82" s="7">
        <v>5.9370559464232704</v>
      </c>
      <c r="F82" s="7">
        <v>5.2917712925480398</v>
      </c>
      <c r="G82" s="7">
        <v>7.3265169057402604</v>
      </c>
      <c r="H82" s="7">
        <v>5.9374765556133804</v>
      </c>
      <c r="I82" s="7">
        <v>5.9831573658387596</v>
      </c>
      <c r="J82" s="7">
        <v>6.0080331869390102</v>
      </c>
      <c r="K82" s="7">
        <v>6.0190798405328803</v>
      </c>
      <c r="L82" s="7">
        <v>6.0931431583968196</v>
      </c>
      <c r="M82" s="7">
        <v>5.9789559137233397</v>
      </c>
      <c r="N82" s="7">
        <f t="shared" si="29"/>
        <v>10.254553163544609</v>
      </c>
    </row>
    <row r="83" spans="1:16" x14ac:dyDescent="0.35">
      <c r="A83" s="5" t="s">
        <v>38</v>
      </c>
      <c r="B83" s="7">
        <v>7.2396068035292096</v>
      </c>
      <c r="C83" s="7">
        <v>7.1179754392605297</v>
      </c>
      <c r="D83" s="7">
        <v>6.70650535542008</v>
      </c>
      <c r="E83" s="7">
        <v>6.8833177652101698</v>
      </c>
      <c r="F83" s="7">
        <v>6.7128750919537499</v>
      </c>
      <c r="G83" s="7">
        <v>6.6876777458339998</v>
      </c>
      <c r="H83" s="7">
        <v>6.6455047447535698</v>
      </c>
      <c r="I83" s="7">
        <v>6.3583254552017303</v>
      </c>
      <c r="J83" s="7">
        <v>6.7263937642713101</v>
      </c>
      <c r="K83" s="7">
        <v>6.4663362167734801</v>
      </c>
      <c r="L83" s="7">
        <v>6.2063255544558302</v>
      </c>
      <c r="M83" s="7">
        <v>6.1537235204866203</v>
      </c>
      <c r="N83" s="7">
        <f t="shared" si="29"/>
        <v>6.6257918257808086</v>
      </c>
    </row>
    <row r="84" spans="1:16" x14ac:dyDescent="0.35">
      <c r="A84" s="5" t="s">
        <v>25</v>
      </c>
      <c r="B84" s="7">
        <v>11.802556881451491</v>
      </c>
      <c r="C84" s="7">
        <v>10.616484809103152</v>
      </c>
      <c r="D84" s="7">
        <v>10.666707929638552</v>
      </c>
      <c r="E84" s="7">
        <v>11.538927408118219</v>
      </c>
      <c r="F84" s="7">
        <v>11.478201392020001</v>
      </c>
      <c r="G84" s="7">
        <v>10.023203001736388</v>
      </c>
      <c r="H84" s="7">
        <v>11.71496750954244</v>
      </c>
      <c r="I84" s="7">
        <v>11.1861149948812</v>
      </c>
      <c r="J84" s="7">
        <v>11.92604943552946</v>
      </c>
      <c r="K84" s="7">
        <v>11.484406114408591</v>
      </c>
      <c r="L84" s="7">
        <v>11.08083488825698</v>
      </c>
      <c r="M84" s="7">
        <v>11.4168335968786</v>
      </c>
      <c r="N84" s="7">
        <f t="shared" si="29"/>
        <v>11.252249091491917</v>
      </c>
    </row>
    <row r="85" spans="1:16" s="2" customFormat="1" x14ac:dyDescent="0.35">
      <c r="A85" s="9" t="s">
        <v>64</v>
      </c>
      <c r="B85" s="10">
        <v>7</v>
      </c>
      <c r="C85" s="10">
        <v>5</v>
      </c>
      <c r="D85" s="10">
        <v>8</v>
      </c>
      <c r="E85" s="10">
        <v>7</v>
      </c>
      <c r="F85" s="10">
        <v>10</v>
      </c>
      <c r="G85" s="10">
        <v>15</v>
      </c>
      <c r="H85" s="10">
        <v>15</v>
      </c>
      <c r="I85" s="10">
        <v>20</v>
      </c>
      <c r="J85" s="10">
        <v>10</v>
      </c>
      <c r="K85" s="10">
        <v>8</v>
      </c>
      <c r="L85" s="10">
        <v>7</v>
      </c>
      <c r="M85" s="10">
        <v>8</v>
      </c>
      <c r="N85" s="10">
        <f>SUM(B85:M85)</f>
        <v>120</v>
      </c>
    </row>
    <row r="86" spans="1:16" x14ac:dyDescent="0.35">
      <c r="A86" s="5" t="s">
        <v>60</v>
      </c>
      <c r="B86" s="8">
        <v>3581.7630737660656</v>
      </c>
      <c r="C86" s="8">
        <v>3599.0009409474374</v>
      </c>
      <c r="D86" s="8">
        <v>4341.3047199482971</v>
      </c>
      <c r="E86" s="8">
        <v>3587.2262601626016</v>
      </c>
      <c r="F86" s="8">
        <v>3651.2002116062845</v>
      </c>
      <c r="G86" s="8">
        <v>5641.0448876583969</v>
      </c>
      <c r="H86" s="8">
        <v>5567.1957616646541</v>
      </c>
      <c r="I86" s="8">
        <v>5442.612127455508</v>
      </c>
      <c r="J86" s="8">
        <v>5422.5221928173087</v>
      </c>
      <c r="K86" s="8">
        <v>5471.7948296685745</v>
      </c>
      <c r="L86" s="8">
        <v>5388.1089836950741</v>
      </c>
      <c r="M86" s="8">
        <v>5438.948456537958</v>
      </c>
      <c r="N86" s="8">
        <f>SUMPRODUCT(B86:M86,$B$85:$M$85)/SUM($B$85:$M$85)</f>
        <v>4963.534610921115</v>
      </c>
    </row>
    <row r="87" spans="1:16" x14ac:dyDescent="0.35">
      <c r="A87" s="5" t="s">
        <v>42</v>
      </c>
      <c r="B87" s="7">
        <v>1.1599999999999999</v>
      </c>
      <c r="C87" s="7">
        <v>1.1499999999999999</v>
      </c>
      <c r="D87" s="7">
        <v>1.44</v>
      </c>
      <c r="E87" s="7">
        <v>0.51</v>
      </c>
      <c r="F87" s="7">
        <v>0.5</v>
      </c>
      <c r="G87" s="7">
        <v>1.45</v>
      </c>
      <c r="H87" s="7">
        <v>1.5216666666666649</v>
      </c>
      <c r="I87" s="7">
        <v>1.5933333333333299</v>
      </c>
      <c r="J87" s="7">
        <v>1.61333333333333</v>
      </c>
      <c r="K87" s="7">
        <v>1.5833333333333299</v>
      </c>
      <c r="L87" s="7">
        <v>1.5533333333333299</v>
      </c>
      <c r="M87" s="7">
        <v>1.61333333333333</v>
      </c>
      <c r="N87" s="7">
        <f t="shared" ref="N87:N90" si="30">SUMPRODUCT(B87:M87,$B$85:$M$85)/SUM($B$85:$M$85)</f>
        <v>1.3581805555555537</v>
      </c>
    </row>
    <row r="88" spans="1:16" x14ac:dyDescent="0.35">
      <c r="A88" s="5" t="s">
        <v>37</v>
      </c>
      <c r="B88" s="7">
        <v>13.6</v>
      </c>
      <c r="C88" s="7">
        <v>13.18</v>
      </c>
      <c r="D88" s="7">
        <v>12.69</v>
      </c>
      <c r="E88" s="7">
        <v>14.445</v>
      </c>
      <c r="F88" s="7">
        <v>14.2</v>
      </c>
      <c r="G88" s="7">
        <v>6.835</v>
      </c>
      <c r="H88" s="7">
        <v>8.9933333333333252</v>
      </c>
      <c r="I88" s="7">
        <v>11.15166666666665</v>
      </c>
      <c r="J88" s="7">
        <v>11.1416666666666</v>
      </c>
      <c r="K88" s="7">
        <v>11.011666666666599</v>
      </c>
      <c r="L88" s="7">
        <v>11.171666666666599</v>
      </c>
      <c r="M88" s="7">
        <v>11.9816666666666</v>
      </c>
      <c r="N88" s="7">
        <f t="shared" si="30"/>
        <v>11.164652777777754</v>
      </c>
    </row>
    <row r="89" spans="1:16" x14ac:dyDescent="0.35">
      <c r="A89" s="5" t="s">
        <v>38</v>
      </c>
      <c r="B89" s="7">
        <v>7.41</v>
      </c>
      <c r="C89" s="7">
        <v>7.54</v>
      </c>
      <c r="D89" s="7">
        <v>7.16</v>
      </c>
      <c r="E89" s="7">
        <v>6.52</v>
      </c>
      <c r="F89" s="7">
        <v>6.43</v>
      </c>
      <c r="G89" s="7">
        <v>6.09</v>
      </c>
      <c r="H89" s="7">
        <v>6.1266666666666652</v>
      </c>
      <c r="I89" s="7">
        <v>6.1633333333333304</v>
      </c>
      <c r="J89" s="7">
        <v>6.1633333333333304</v>
      </c>
      <c r="K89" s="7">
        <v>6.1633333333333304</v>
      </c>
      <c r="L89" s="7">
        <v>6.1633333333333304</v>
      </c>
      <c r="M89" s="7">
        <v>6.1633333333333304</v>
      </c>
      <c r="N89" s="7">
        <f t="shared" si="30"/>
        <v>6.3891388888888878</v>
      </c>
    </row>
    <row r="90" spans="1:16" x14ac:dyDescent="0.35">
      <c r="A90" s="5" t="s">
        <v>25</v>
      </c>
      <c r="B90" s="7">
        <v>13.89</v>
      </c>
      <c r="C90" s="7">
        <v>14.11</v>
      </c>
      <c r="D90" s="7">
        <v>14.411999999999999</v>
      </c>
      <c r="E90" s="7">
        <v>13.208</v>
      </c>
      <c r="F90" s="7">
        <v>13.587999999999999</v>
      </c>
      <c r="G90" s="7">
        <v>13.532</v>
      </c>
      <c r="H90" s="7">
        <v>13.394666666666662</v>
      </c>
      <c r="I90" s="7">
        <v>14.053333333333327</v>
      </c>
      <c r="J90" s="7">
        <v>14.0233333333333</v>
      </c>
      <c r="K90" s="7">
        <v>13.983333333333301</v>
      </c>
      <c r="L90" s="7">
        <v>14.453333333333299</v>
      </c>
      <c r="M90" s="7">
        <v>14.053333333333301</v>
      </c>
      <c r="N90" s="7">
        <f t="shared" si="30"/>
        <v>13.850655555555546</v>
      </c>
    </row>
    <row r="91" spans="1:16" hidden="1" x14ac:dyDescent="0.35">
      <c r="A91" s="28" t="s">
        <v>53</v>
      </c>
      <c r="B91" s="29">
        <v>56.6</v>
      </c>
      <c r="C91" s="29">
        <v>56.9</v>
      </c>
      <c r="D91" s="29">
        <v>56.1</v>
      </c>
      <c r="E91" s="29">
        <v>55.6</v>
      </c>
      <c r="F91" s="29">
        <v>56.5</v>
      </c>
      <c r="G91" s="29">
        <v>55.8</v>
      </c>
      <c r="H91" s="29">
        <v>56</v>
      </c>
      <c r="I91" s="29">
        <v>55.2</v>
      </c>
      <c r="J91" s="29">
        <v>55.6</v>
      </c>
      <c r="K91" s="29">
        <v>56.2</v>
      </c>
      <c r="L91" s="29">
        <v>55.8</v>
      </c>
      <c r="M91" s="29">
        <v>55.2</v>
      </c>
      <c r="N91" s="29">
        <f>SUM(B91:M91)</f>
        <v>671.5</v>
      </c>
      <c r="O91" s="2"/>
      <c r="P91"/>
    </row>
    <row r="92" spans="1:16" hidden="1" x14ac:dyDescent="0.35">
      <c r="A92" s="5" t="s">
        <v>60</v>
      </c>
      <c r="B92" s="8">
        <v>6322</v>
      </c>
      <c r="C92" s="8">
        <v>6322</v>
      </c>
      <c r="D92" s="8">
        <v>6322</v>
      </c>
      <c r="E92" s="8">
        <v>6322</v>
      </c>
      <c r="F92" s="8">
        <v>6322</v>
      </c>
      <c r="G92" s="8">
        <v>6322</v>
      </c>
      <c r="H92" s="8">
        <v>6322</v>
      </c>
      <c r="I92" s="8">
        <v>6322</v>
      </c>
      <c r="J92" s="8">
        <v>6322</v>
      </c>
      <c r="K92" s="8">
        <v>6322</v>
      </c>
      <c r="L92" s="8">
        <v>6322</v>
      </c>
      <c r="M92" s="8">
        <v>6322</v>
      </c>
      <c r="N92" s="8">
        <v>6322</v>
      </c>
      <c r="P92"/>
    </row>
    <row r="93" spans="1:16" hidden="1" x14ac:dyDescent="0.35">
      <c r="A93" s="5" t="s">
        <v>66</v>
      </c>
      <c r="B93" s="7">
        <v>0.6</v>
      </c>
      <c r="C93" s="7">
        <v>0.6</v>
      </c>
      <c r="D93" s="7">
        <v>0.6</v>
      </c>
      <c r="E93" s="7">
        <v>0.6</v>
      </c>
      <c r="F93" s="7">
        <v>0.6</v>
      </c>
      <c r="G93" s="7">
        <v>0.6</v>
      </c>
      <c r="H93" s="7">
        <v>0.6</v>
      </c>
      <c r="I93" s="7">
        <v>0.6</v>
      </c>
      <c r="J93" s="7">
        <v>0.6</v>
      </c>
      <c r="K93" s="7">
        <v>0.6</v>
      </c>
      <c r="L93" s="7">
        <v>0.6</v>
      </c>
      <c r="M93" s="7">
        <v>0.6</v>
      </c>
      <c r="N93" s="7">
        <v>0.6</v>
      </c>
      <c r="P93"/>
    </row>
    <row r="94" spans="1:16" hidden="1" x14ac:dyDescent="0.35">
      <c r="A94" s="5" t="s">
        <v>67</v>
      </c>
      <c r="B94" s="7">
        <v>7</v>
      </c>
      <c r="C94" s="7">
        <v>7</v>
      </c>
      <c r="D94" s="7">
        <v>7</v>
      </c>
      <c r="E94" s="7">
        <v>7</v>
      </c>
      <c r="F94" s="7">
        <v>7</v>
      </c>
      <c r="G94" s="7">
        <v>7</v>
      </c>
      <c r="H94" s="7">
        <v>7</v>
      </c>
      <c r="I94" s="7">
        <v>7</v>
      </c>
      <c r="J94" s="7">
        <v>7</v>
      </c>
      <c r="K94" s="7">
        <v>7</v>
      </c>
      <c r="L94" s="7">
        <v>7</v>
      </c>
      <c r="M94" s="7">
        <v>7</v>
      </c>
      <c r="N94" s="7">
        <v>7</v>
      </c>
      <c r="P94"/>
    </row>
    <row r="95" spans="1:16" hidden="1" x14ac:dyDescent="0.35">
      <c r="A95" s="5" t="s">
        <v>38</v>
      </c>
      <c r="B95" s="7">
        <v>12</v>
      </c>
      <c r="C95" s="7">
        <v>12</v>
      </c>
      <c r="D95" s="7">
        <v>12</v>
      </c>
      <c r="E95" s="7">
        <v>12</v>
      </c>
      <c r="F95" s="7">
        <v>12</v>
      </c>
      <c r="G95" s="7">
        <v>12</v>
      </c>
      <c r="H95" s="7">
        <v>12</v>
      </c>
      <c r="I95" s="7">
        <v>12</v>
      </c>
      <c r="J95" s="7">
        <v>12</v>
      </c>
      <c r="K95" s="7">
        <v>12</v>
      </c>
      <c r="L95" s="7">
        <v>12</v>
      </c>
      <c r="M95" s="7">
        <v>12</v>
      </c>
      <c r="N95" s="7">
        <v>12</v>
      </c>
      <c r="P95"/>
    </row>
    <row r="96" spans="1:16" hidden="1" x14ac:dyDescent="0.35">
      <c r="A96" s="5" t="s">
        <v>25</v>
      </c>
      <c r="B96" s="7">
        <v>14</v>
      </c>
      <c r="C96" s="7">
        <v>14</v>
      </c>
      <c r="D96" s="7">
        <v>14</v>
      </c>
      <c r="E96" s="7">
        <v>14</v>
      </c>
      <c r="F96" s="7">
        <v>14</v>
      </c>
      <c r="G96" s="7">
        <v>14</v>
      </c>
      <c r="H96" s="7">
        <v>14</v>
      </c>
      <c r="I96" s="7">
        <v>14</v>
      </c>
      <c r="J96" s="7">
        <v>14</v>
      </c>
      <c r="K96" s="7">
        <v>14</v>
      </c>
      <c r="L96" s="7">
        <v>14</v>
      </c>
      <c r="M96" s="7">
        <v>14</v>
      </c>
      <c r="N96" s="7">
        <v>14</v>
      </c>
      <c r="P96"/>
    </row>
    <row r="97" spans="1:16" hidden="1" x14ac:dyDescent="0.35">
      <c r="A97" s="28" t="s">
        <v>54</v>
      </c>
      <c r="B97" s="29">
        <v>82.5</v>
      </c>
      <c r="C97" s="29">
        <v>82.5</v>
      </c>
      <c r="D97" s="29">
        <v>82.5</v>
      </c>
      <c r="E97" s="29">
        <v>82.5</v>
      </c>
      <c r="F97" s="29">
        <v>82.5</v>
      </c>
      <c r="G97" s="29">
        <v>82.5</v>
      </c>
      <c r="H97" s="29">
        <v>82.5</v>
      </c>
      <c r="I97" s="29">
        <v>82.5</v>
      </c>
      <c r="J97" s="29">
        <v>90</v>
      </c>
      <c r="K97" s="29">
        <v>90</v>
      </c>
      <c r="L97" s="29">
        <v>82.5</v>
      </c>
      <c r="M97" s="29">
        <v>82.5</v>
      </c>
      <c r="N97" s="29">
        <f>SUM(B97:M97)</f>
        <v>1005</v>
      </c>
      <c r="O97" s="2"/>
      <c r="P97"/>
    </row>
    <row r="98" spans="1:16" hidden="1" x14ac:dyDescent="0.35">
      <c r="A98" s="5" t="s">
        <v>60</v>
      </c>
      <c r="B98" s="8">
        <v>5400</v>
      </c>
      <c r="C98" s="8">
        <v>5400</v>
      </c>
      <c r="D98" s="8">
        <v>5400</v>
      </c>
      <c r="E98" s="8">
        <v>5400</v>
      </c>
      <c r="F98" s="8">
        <v>5400</v>
      </c>
      <c r="G98" s="8">
        <v>5400</v>
      </c>
      <c r="H98" s="8">
        <v>5400</v>
      </c>
      <c r="I98" s="8">
        <v>5400</v>
      </c>
      <c r="J98" s="8">
        <v>5400</v>
      </c>
      <c r="K98" s="8">
        <v>5400</v>
      </c>
      <c r="L98" s="8">
        <v>5400</v>
      </c>
      <c r="M98" s="8">
        <v>5400</v>
      </c>
      <c r="N98" s="8">
        <v>5400</v>
      </c>
      <c r="P98"/>
    </row>
    <row r="99" spans="1:16" hidden="1" x14ac:dyDescent="0.35">
      <c r="A99" s="5" t="s">
        <v>42</v>
      </c>
      <c r="B99" s="7">
        <v>1</v>
      </c>
      <c r="C99" s="7">
        <v>1</v>
      </c>
      <c r="D99" s="7">
        <v>1</v>
      </c>
      <c r="E99" s="7">
        <v>1</v>
      </c>
      <c r="F99" s="7">
        <v>1</v>
      </c>
      <c r="G99" s="7">
        <v>1</v>
      </c>
      <c r="H99" s="7">
        <v>1</v>
      </c>
      <c r="I99" s="7">
        <v>1</v>
      </c>
      <c r="J99" s="7">
        <v>1</v>
      </c>
      <c r="K99" s="7">
        <v>1</v>
      </c>
      <c r="L99" s="7">
        <v>1</v>
      </c>
      <c r="M99" s="7">
        <v>1</v>
      </c>
      <c r="N99" s="7">
        <v>1</v>
      </c>
      <c r="P99"/>
    </row>
    <row r="100" spans="1:16" hidden="1" x14ac:dyDescent="0.35">
      <c r="A100" s="5" t="s">
        <v>67</v>
      </c>
      <c r="B100" s="7">
        <v>6</v>
      </c>
      <c r="C100" s="7">
        <v>6</v>
      </c>
      <c r="D100" s="7">
        <v>6</v>
      </c>
      <c r="E100" s="7">
        <v>6</v>
      </c>
      <c r="F100" s="7">
        <v>6</v>
      </c>
      <c r="G100" s="7">
        <v>6</v>
      </c>
      <c r="H100" s="7">
        <v>6</v>
      </c>
      <c r="I100" s="7">
        <v>6</v>
      </c>
      <c r="J100" s="7">
        <v>6</v>
      </c>
      <c r="K100" s="7">
        <v>6</v>
      </c>
      <c r="L100" s="7">
        <v>6</v>
      </c>
      <c r="M100" s="7">
        <v>6</v>
      </c>
      <c r="N100" s="7">
        <v>6</v>
      </c>
      <c r="P100"/>
    </row>
    <row r="101" spans="1:16" hidden="1" x14ac:dyDescent="0.35">
      <c r="A101" s="5" t="s">
        <v>38</v>
      </c>
      <c r="B101" s="7">
        <v>15</v>
      </c>
      <c r="C101" s="7">
        <v>15</v>
      </c>
      <c r="D101" s="7">
        <v>15</v>
      </c>
      <c r="E101" s="7">
        <v>15</v>
      </c>
      <c r="F101" s="7">
        <v>15</v>
      </c>
      <c r="G101" s="7">
        <v>15</v>
      </c>
      <c r="H101" s="7">
        <v>15</v>
      </c>
      <c r="I101" s="7">
        <v>15</v>
      </c>
      <c r="J101" s="7">
        <v>15</v>
      </c>
      <c r="K101" s="7">
        <v>15</v>
      </c>
      <c r="L101" s="7">
        <v>15</v>
      </c>
      <c r="M101" s="7">
        <v>15</v>
      </c>
      <c r="N101" s="7">
        <v>15</v>
      </c>
      <c r="P101"/>
    </row>
    <row r="102" spans="1:16" hidden="1" x14ac:dyDescent="0.35">
      <c r="A102" s="5" t="s">
        <v>25</v>
      </c>
      <c r="B102" s="7">
        <v>24</v>
      </c>
      <c r="C102" s="7">
        <v>24</v>
      </c>
      <c r="D102" s="7">
        <v>24</v>
      </c>
      <c r="E102" s="7">
        <v>24</v>
      </c>
      <c r="F102" s="7">
        <v>24</v>
      </c>
      <c r="G102" s="7">
        <v>24</v>
      </c>
      <c r="H102" s="7">
        <v>24</v>
      </c>
      <c r="I102" s="7">
        <v>24</v>
      </c>
      <c r="J102" s="7">
        <v>24</v>
      </c>
      <c r="K102" s="7">
        <v>24</v>
      </c>
      <c r="L102" s="7">
        <v>24</v>
      </c>
      <c r="M102" s="7">
        <v>24</v>
      </c>
      <c r="N102" s="7">
        <v>24</v>
      </c>
      <c r="P102"/>
    </row>
    <row r="104" spans="1:16" x14ac:dyDescent="0.35">
      <c r="A104" s="6" t="s">
        <v>48</v>
      </c>
      <c r="B104" s="6" t="s">
        <v>1</v>
      </c>
      <c r="C104" s="6" t="s">
        <v>2</v>
      </c>
      <c r="D104" s="6" t="s">
        <v>3</v>
      </c>
      <c r="E104" s="6" t="s">
        <v>4</v>
      </c>
      <c r="F104" s="6" t="s">
        <v>5</v>
      </c>
      <c r="G104" s="6" t="s">
        <v>6</v>
      </c>
      <c r="H104" s="6" t="s">
        <v>7</v>
      </c>
      <c r="I104" s="6" t="s">
        <v>8</v>
      </c>
      <c r="J104" s="6" t="s">
        <v>9</v>
      </c>
      <c r="K104" s="6" t="s">
        <v>10</v>
      </c>
      <c r="L104" s="6" t="s">
        <v>11</v>
      </c>
      <c r="M104" s="6" t="s">
        <v>12</v>
      </c>
      <c r="N104" s="6" t="s">
        <v>13</v>
      </c>
      <c r="O104" s="4"/>
    </row>
    <row r="105" spans="1:16" s="2" customFormat="1" x14ac:dyDescent="0.35">
      <c r="A105" s="9" t="s">
        <v>14</v>
      </c>
      <c r="B105" s="10">
        <f>SUM(B106:B108)</f>
        <v>7995</v>
      </c>
      <c r="C105" s="10">
        <f t="shared" ref="C105:N105" si="31">SUM(C106:C108)</f>
        <v>7084</v>
      </c>
      <c r="D105" s="10">
        <f t="shared" si="31"/>
        <v>7619</v>
      </c>
      <c r="E105" s="10">
        <f t="shared" si="31"/>
        <v>7232</v>
      </c>
      <c r="F105" s="10">
        <f t="shared" si="31"/>
        <v>7571</v>
      </c>
      <c r="G105" s="10">
        <f t="shared" si="31"/>
        <v>7592.9999999999991</v>
      </c>
      <c r="H105" s="10">
        <f t="shared" si="31"/>
        <v>8096.9999999999982</v>
      </c>
      <c r="I105" s="10">
        <f t="shared" si="31"/>
        <v>8330</v>
      </c>
      <c r="J105" s="10">
        <f t="shared" si="31"/>
        <v>7698</v>
      </c>
      <c r="K105" s="10">
        <f t="shared" si="31"/>
        <v>7481.9999999999991</v>
      </c>
      <c r="L105" s="10">
        <f t="shared" si="31"/>
        <v>6860</v>
      </c>
      <c r="M105" s="10">
        <f t="shared" si="31"/>
        <v>7389.0000000000009</v>
      </c>
      <c r="N105" s="10">
        <f t="shared" si="31"/>
        <v>90950</v>
      </c>
      <c r="P105" s="1" t="s">
        <v>61</v>
      </c>
    </row>
    <row r="106" spans="1:16" x14ac:dyDescent="0.35">
      <c r="A106" s="5" t="s">
        <v>30</v>
      </c>
      <c r="B106" s="8">
        <v>2085</v>
      </c>
      <c r="C106" s="8">
        <v>1783.9999999999998</v>
      </c>
      <c r="D106" s="8">
        <v>1974</v>
      </c>
      <c r="E106" s="8">
        <v>1997</v>
      </c>
      <c r="F106" s="8">
        <v>1991</v>
      </c>
      <c r="G106" s="8">
        <v>1967.9999999999993</v>
      </c>
      <c r="H106" s="8">
        <v>2131.9999999999986</v>
      </c>
      <c r="I106" s="8">
        <v>2305.0000000000009</v>
      </c>
      <c r="J106" s="8">
        <v>2063</v>
      </c>
      <c r="K106" s="8">
        <v>2061.9999999999991</v>
      </c>
      <c r="L106" s="8">
        <v>1755</v>
      </c>
      <c r="M106" s="8">
        <v>1884.0000000000009</v>
      </c>
      <c r="N106" s="8">
        <f>SUM(B106:M106)</f>
        <v>24000</v>
      </c>
    </row>
    <row r="107" spans="1:16" x14ac:dyDescent="0.35">
      <c r="A107" s="5" t="s">
        <v>57</v>
      </c>
      <c r="B107" s="8">
        <v>4250</v>
      </c>
      <c r="C107" s="8">
        <v>3810</v>
      </c>
      <c r="D107" s="8">
        <v>4105</v>
      </c>
      <c r="E107" s="8">
        <v>4235</v>
      </c>
      <c r="F107" s="8">
        <v>4480</v>
      </c>
      <c r="G107" s="8">
        <v>4475</v>
      </c>
      <c r="H107" s="8">
        <v>4785</v>
      </c>
      <c r="I107" s="8">
        <v>4825</v>
      </c>
      <c r="J107" s="8">
        <v>4495</v>
      </c>
      <c r="K107" s="8">
        <v>4420</v>
      </c>
      <c r="L107" s="8">
        <v>4115</v>
      </c>
      <c r="M107" s="8">
        <v>4455</v>
      </c>
      <c r="N107" s="8">
        <f t="shared" ref="N107:N108" si="32">SUM(B107:M107)</f>
        <v>52450</v>
      </c>
    </row>
    <row r="108" spans="1:16" x14ac:dyDescent="0.35">
      <c r="A108" s="5" t="s">
        <v>45</v>
      </c>
      <c r="B108" s="8">
        <v>1660</v>
      </c>
      <c r="C108" s="8">
        <v>1490</v>
      </c>
      <c r="D108" s="8">
        <v>1540</v>
      </c>
      <c r="E108" s="8">
        <v>1000</v>
      </c>
      <c r="F108" s="8">
        <v>1100</v>
      </c>
      <c r="G108" s="8">
        <v>1150</v>
      </c>
      <c r="H108" s="8">
        <v>1180</v>
      </c>
      <c r="I108" s="8">
        <v>1200</v>
      </c>
      <c r="J108" s="8">
        <v>1140</v>
      </c>
      <c r="K108" s="8">
        <v>1000</v>
      </c>
      <c r="L108" s="8">
        <v>990</v>
      </c>
      <c r="M108" s="8">
        <v>1050</v>
      </c>
      <c r="N108" s="8">
        <f t="shared" si="32"/>
        <v>14500</v>
      </c>
    </row>
    <row r="109" spans="1:16" s="2" customFormat="1" x14ac:dyDescent="0.35">
      <c r="A109" s="9" t="s">
        <v>17</v>
      </c>
      <c r="B109" s="10">
        <f t="shared" ref="B109:M109" si="33">SUM(B110:B112)</f>
        <v>684</v>
      </c>
      <c r="C109" s="10">
        <f t="shared" si="33"/>
        <v>657.99999999999989</v>
      </c>
      <c r="D109" s="10">
        <f t="shared" si="33"/>
        <v>685.5</v>
      </c>
      <c r="E109" s="10">
        <f t="shared" si="33"/>
        <v>564</v>
      </c>
      <c r="F109" s="10">
        <f t="shared" si="33"/>
        <v>663</v>
      </c>
      <c r="G109" s="10">
        <f t="shared" si="33"/>
        <v>712</v>
      </c>
      <c r="H109" s="10">
        <f t="shared" si="33"/>
        <v>745</v>
      </c>
      <c r="I109" s="10">
        <f t="shared" si="33"/>
        <v>751.99999999999989</v>
      </c>
      <c r="J109" s="10">
        <f t="shared" si="33"/>
        <v>704</v>
      </c>
      <c r="K109" s="10">
        <f t="shared" si="33"/>
        <v>627.5</v>
      </c>
      <c r="L109" s="10">
        <f t="shared" si="33"/>
        <v>589</v>
      </c>
      <c r="M109" s="10">
        <f t="shared" si="33"/>
        <v>616</v>
      </c>
      <c r="N109" s="10">
        <f>SUM(B109:M109)</f>
        <v>8000</v>
      </c>
    </row>
    <row r="110" spans="1:16" x14ac:dyDescent="0.35">
      <c r="A110" s="5" t="s">
        <v>30</v>
      </c>
      <c r="B110" s="8">
        <v>194</v>
      </c>
      <c r="C110" s="8">
        <v>187.99999999999989</v>
      </c>
      <c r="D110" s="8">
        <v>185.49999999999994</v>
      </c>
      <c r="E110" s="8">
        <v>155.99999999999997</v>
      </c>
      <c r="F110" s="8">
        <v>195.99999999999994</v>
      </c>
      <c r="G110" s="8">
        <v>211.99999999999994</v>
      </c>
      <c r="H110" s="8">
        <v>245</v>
      </c>
      <c r="I110" s="8">
        <v>251.99999999999989</v>
      </c>
      <c r="J110" s="8">
        <v>234.00000000000006</v>
      </c>
      <c r="K110" s="8">
        <v>192.49999999999994</v>
      </c>
      <c r="L110" s="8">
        <v>168.99999999999994</v>
      </c>
      <c r="M110" s="8">
        <v>176</v>
      </c>
      <c r="N110" s="8">
        <f>SUM(B110:M110)</f>
        <v>2399.9999999999995</v>
      </c>
    </row>
    <row r="111" spans="1:16" x14ac:dyDescent="0.35">
      <c r="A111" s="5" t="s">
        <v>57</v>
      </c>
      <c r="B111" s="8">
        <v>360</v>
      </c>
      <c r="C111" s="8">
        <v>350</v>
      </c>
      <c r="D111" s="8">
        <v>375</v>
      </c>
      <c r="E111" s="8">
        <v>335</v>
      </c>
      <c r="F111" s="8">
        <v>380</v>
      </c>
      <c r="G111" s="8">
        <v>415</v>
      </c>
      <c r="H111" s="8">
        <v>375</v>
      </c>
      <c r="I111" s="8">
        <v>400</v>
      </c>
      <c r="J111" s="8">
        <v>370</v>
      </c>
      <c r="K111" s="8">
        <v>350</v>
      </c>
      <c r="L111" s="8">
        <v>340</v>
      </c>
      <c r="M111" s="8">
        <v>350</v>
      </c>
      <c r="N111" s="8">
        <f t="shared" ref="N111:N112" si="34">SUM(B111:M111)</f>
        <v>4400</v>
      </c>
    </row>
    <row r="112" spans="1:16" x14ac:dyDescent="0.35">
      <c r="A112" s="5" t="s">
        <v>45</v>
      </c>
      <c r="B112" s="8">
        <v>130</v>
      </c>
      <c r="C112" s="8">
        <v>120</v>
      </c>
      <c r="D112" s="8">
        <v>125</v>
      </c>
      <c r="E112" s="8">
        <v>73</v>
      </c>
      <c r="F112" s="8">
        <v>87</v>
      </c>
      <c r="G112" s="8">
        <v>85</v>
      </c>
      <c r="H112" s="8">
        <v>125</v>
      </c>
      <c r="I112" s="8">
        <v>100</v>
      </c>
      <c r="J112" s="8">
        <v>100</v>
      </c>
      <c r="K112" s="8">
        <v>85</v>
      </c>
      <c r="L112" s="8">
        <v>80</v>
      </c>
      <c r="M112" s="8">
        <v>90</v>
      </c>
      <c r="N112" s="8">
        <f t="shared" si="34"/>
        <v>1200</v>
      </c>
    </row>
    <row r="113" spans="1:14" s="2" customFormat="1" x14ac:dyDescent="0.35">
      <c r="A113" s="9" t="s">
        <v>43</v>
      </c>
      <c r="B113" s="11">
        <f t="shared" ref="B113:N113" si="35">B105/B109</f>
        <v>11.68859649122807</v>
      </c>
      <c r="C113" s="11">
        <f t="shared" si="35"/>
        <v>10.765957446808512</v>
      </c>
      <c r="D113" s="11">
        <f t="shared" si="35"/>
        <v>11.114514952589351</v>
      </c>
      <c r="E113" s="11">
        <f t="shared" si="35"/>
        <v>12.822695035460994</v>
      </c>
      <c r="F113" s="11">
        <f t="shared" si="35"/>
        <v>11.419306184012067</v>
      </c>
      <c r="G113" s="11">
        <f t="shared" si="35"/>
        <v>10.664325842696629</v>
      </c>
      <c r="H113" s="11">
        <f t="shared" si="35"/>
        <v>10.868456375838925</v>
      </c>
      <c r="I113" s="11">
        <f t="shared" si="35"/>
        <v>11.077127659574471</v>
      </c>
      <c r="J113" s="11">
        <f t="shared" si="35"/>
        <v>10.934659090909092</v>
      </c>
      <c r="K113" s="11">
        <f t="shared" si="35"/>
        <v>11.923505976095615</v>
      </c>
      <c r="L113" s="11">
        <f t="shared" si="35"/>
        <v>11.646859083191851</v>
      </c>
      <c r="M113" s="11">
        <f t="shared" si="35"/>
        <v>11.995129870129871</v>
      </c>
      <c r="N113" s="11">
        <f t="shared" si="35"/>
        <v>11.36875</v>
      </c>
    </row>
    <row r="114" spans="1:14" s="2" customFormat="1" x14ac:dyDescent="0.35">
      <c r="A114" s="9" t="s">
        <v>34</v>
      </c>
      <c r="B114" s="11">
        <f t="shared" ref="B114:N114" si="36">B105/B115</f>
        <v>11.421428571428571</v>
      </c>
      <c r="C114" s="11">
        <f t="shared" si="36"/>
        <v>10.119999999999999</v>
      </c>
      <c r="D114" s="11">
        <f t="shared" si="36"/>
        <v>10.884285714285713</v>
      </c>
      <c r="E114" s="11">
        <f t="shared" si="36"/>
        <v>11.126153846153846</v>
      </c>
      <c r="F114" s="11">
        <f t="shared" si="36"/>
        <v>11.647692307692308</v>
      </c>
      <c r="G114" s="11">
        <f t="shared" si="36"/>
        <v>11.681538461538461</v>
      </c>
      <c r="H114" s="11">
        <f t="shared" si="36"/>
        <v>11.567142857142855</v>
      </c>
      <c r="I114" s="11">
        <f t="shared" si="36"/>
        <v>11.732394366197184</v>
      </c>
      <c r="J114" s="11">
        <f t="shared" si="36"/>
        <v>10.997142857142856</v>
      </c>
      <c r="K114" s="11">
        <f t="shared" si="36"/>
        <v>11.336363636363634</v>
      </c>
      <c r="L114" s="11">
        <f t="shared" si="36"/>
        <v>10.71875</v>
      </c>
      <c r="M114" s="11">
        <f t="shared" si="36"/>
        <v>11.545312500000001</v>
      </c>
      <c r="N114" s="11">
        <f t="shared" si="36"/>
        <v>11.228395061728396</v>
      </c>
    </row>
    <row r="115" spans="1:14" s="2" customFormat="1" x14ac:dyDescent="0.35">
      <c r="A115" s="9" t="s">
        <v>49</v>
      </c>
      <c r="B115" s="10">
        <f>B116+B122</f>
        <v>700</v>
      </c>
      <c r="C115" s="10">
        <f t="shared" ref="C115:N115" si="37">C116+C122</f>
        <v>700</v>
      </c>
      <c r="D115" s="10">
        <f t="shared" si="37"/>
        <v>700</v>
      </c>
      <c r="E115" s="10">
        <f t="shared" si="37"/>
        <v>650</v>
      </c>
      <c r="F115" s="10">
        <f t="shared" si="37"/>
        <v>650</v>
      </c>
      <c r="G115" s="10">
        <f t="shared" si="37"/>
        <v>650</v>
      </c>
      <c r="H115" s="10">
        <f t="shared" si="37"/>
        <v>700</v>
      </c>
      <c r="I115" s="10">
        <f t="shared" si="37"/>
        <v>710</v>
      </c>
      <c r="J115" s="10">
        <f t="shared" si="37"/>
        <v>700</v>
      </c>
      <c r="K115" s="10">
        <f t="shared" si="37"/>
        <v>660</v>
      </c>
      <c r="L115" s="10">
        <f t="shared" si="37"/>
        <v>640</v>
      </c>
      <c r="M115" s="10">
        <f t="shared" si="37"/>
        <v>640</v>
      </c>
      <c r="N115" s="10">
        <f t="shared" si="37"/>
        <v>8100</v>
      </c>
    </row>
    <row r="116" spans="1:14" s="2" customFormat="1" x14ac:dyDescent="0.35">
      <c r="A116" s="9" t="s">
        <v>90</v>
      </c>
      <c r="B116" s="10">
        <v>400</v>
      </c>
      <c r="C116" s="10">
        <v>480</v>
      </c>
      <c r="D116" s="10">
        <v>480</v>
      </c>
      <c r="E116" s="10">
        <v>465</v>
      </c>
      <c r="F116" s="10">
        <v>465</v>
      </c>
      <c r="G116" s="10">
        <v>460</v>
      </c>
      <c r="H116" s="10">
        <v>500</v>
      </c>
      <c r="I116" s="10">
        <v>490</v>
      </c>
      <c r="J116" s="10">
        <v>480</v>
      </c>
      <c r="K116" s="10">
        <v>460</v>
      </c>
      <c r="L116" s="10">
        <v>440</v>
      </c>
      <c r="M116" s="10">
        <v>440</v>
      </c>
      <c r="N116" s="10">
        <f>SUM(B116:M116)</f>
        <v>5560</v>
      </c>
    </row>
    <row r="117" spans="1:14" x14ac:dyDescent="0.35">
      <c r="A117" s="5" t="s">
        <v>60</v>
      </c>
      <c r="B117" s="8">
        <v>6030.4357814927362</v>
      </c>
      <c r="C117" s="8">
        <v>5774.2276646849386</v>
      </c>
      <c r="D117" s="8">
        <v>5860.9708116608763</v>
      </c>
      <c r="E117" s="8">
        <v>5868.1864226528614</v>
      </c>
      <c r="F117" s="8">
        <v>5954.6027202388759</v>
      </c>
      <c r="G117" s="8">
        <v>5916.1255336096965</v>
      </c>
      <c r="H117" s="8">
        <v>5984.1869808979909</v>
      </c>
      <c r="I117" s="8">
        <v>5944.3265998459783</v>
      </c>
      <c r="J117" s="8">
        <v>5921.0085428423181</v>
      </c>
      <c r="K117" s="8">
        <v>5916.7362162196005</v>
      </c>
      <c r="L117" s="8">
        <v>5898.2909887133328</v>
      </c>
      <c r="M117" s="8">
        <v>5928.9325032790275</v>
      </c>
      <c r="N117" s="8">
        <f>SUMPRODUCT(B117:M117,$B$116:$M$116)/SUM($B$116:$M$116)</f>
        <v>5915.2264206877153</v>
      </c>
    </row>
    <row r="118" spans="1:14" x14ac:dyDescent="0.35">
      <c r="A118" s="5" t="s">
        <v>22</v>
      </c>
      <c r="B118" s="7">
        <v>0.53158467391584474</v>
      </c>
      <c r="C118" s="7">
        <v>0.52888776957649841</v>
      </c>
      <c r="D118" s="7">
        <v>0.51140210533143016</v>
      </c>
      <c r="E118" s="7">
        <v>0.47876764008773132</v>
      </c>
      <c r="F118" s="7">
        <v>0.51889295774581812</v>
      </c>
      <c r="G118" s="7">
        <v>0.54684188086311158</v>
      </c>
      <c r="H118" s="7">
        <v>0.61559945024075446</v>
      </c>
      <c r="I118" s="7">
        <v>0.65164339698113882</v>
      </c>
      <c r="J118" s="7">
        <v>0.57082928603597893</v>
      </c>
      <c r="K118" s="7">
        <v>0.61027739358512456</v>
      </c>
      <c r="L118" s="7">
        <v>0.68842584286686559</v>
      </c>
      <c r="M118" s="7">
        <v>0.67517043062076731</v>
      </c>
      <c r="N118" s="7">
        <f t="shared" ref="N118:N121" si="38">SUMPRODUCT(B118:M118,$B$116:$M$116)/SUM($B$116:$M$116)</f>
        <v>0.57720242104926189</v>
      </c>
    </row>
    <row r="119" spans="1:14" x14ac:dyDescent="0.35">
      <c r="A119" s="5" t="s">
        <v>23</v>
      </c>
      <c r="B119" s="7">
        <v>4.5798126626659954</v>
      </c>
      <c r="C119" s="7">
        <v>4.3819201459010451</v>
      </c>
      <c r="D119" s="7">
        <v>4.7059230060586206</v>
      </c>
      <c r="E119" s="7">
        <v>4.7159271838283319</v>
      </c>
      <c r="F119" s="7">
        <v>4.4700417129915948</v>
      </c>
      <c r="G119" s="7">
        <v>4.6727263311539593</v>
      </c>
      <c r="H119" s="7">
        <v>5.1675000848450257</v>
      </c>
      <c r="I119" s="7">
        <v>5.2806866728952429</v>
      </c>
      <c r="J119" s="7">
        <v>5.376416049039725</v>
      </c>
      <c r="K119" s="7">
        <v>5.2082429049172614</v>
      </c>
      <c r="L119" s="7">
        <v>4.9554984587139774</v>
      </c>
      <c r="M119" s="7">
        <v>5.0376142722205035</v>
      </c>
      <c r="N119" s="7">
        <f t="shared" si="38"/>
        <v>4.8848465793008069</v>
      </c>
    </row>
    <row r="120" spans="1:14" x14ac:dyDescent="0.35">
      <c r="A120" s="5" t="s">
        <v>38</v>
      </c>
      <c r="B120" s="7">
        <v>11.532529614702808</v>
      </c>
      <c r="C120" s="7">
        <v>12.161691848905418</v>
      </c>
      <c r="D120" s="7">
        <v>11.768774375470745</v>
      </c>
      <c r="E120" s="7">
        <v>10.98217037670126</v>
      </c>
      <c r="F120" s="7">
        <v>11.996304820089939</v>
      </c>
      <c r="G120" s="7">
        <v>11.373388092536571</v>
      </c>
      <c r="H120" s="7">
        <v>10.851380733454274</v>
      </c>
      <c r="I120" s="7">
        <v>11.259921803513318</v>
      </c>
      <c r="J120" s="7">
        <v>11.128284461914429</v>
      </c>
      <c r="K120" s="7">
        <v>11.312911978882918</v>
      </c>
      <c r="L120" s="7">
        <v>11.810253610966651</v>
      </c>
      <c r="M120" s="7">
        <v>11.519677357231016</v>
      </c>
      <c r="N120" s="7">
        <f t="shared" si="38"/>
        <v>11.469446555956317</v>
      </c>
    </row>
    <row r="121" spans="1:14" x14ac:dyDescent="0.35">
      <c r="A121" s="5" t="s">
        <v>25</v>
      </c>
      <c r="B121" s="7">
        <v>16.073115860649153</v>
      </c>
      <c r="C121" s="7">
        <v>18.344657603302554</v>
      </c>
      <c r="D121" s="7">
        <v>16.11386576058236</v>
      </c>
      <c r="E121" s="7">
        <v>15.281800435496748</v>
      </c>
      <c r="F121" s="7">
        <v>15.684993194579956</v>
      </c>
      <c r="G121" s="7">
        <v>15.034525665926573</v>
      </c>
      <c r="H121" s="7">
        <v>13.98671336913484</v>
      </c>
      <c r="I121" s="7">
        <v>14.31000661999747</v>
      </c>
      <c r="J121" s="7">
        <v>14.291295324058144</v>
      </c>
      <c r="K121" s="7">
        <v>14.463594053767407</v>
      </c>
      <c r="L121" s="7">
        <v>14.864978729110646</v>
      </c>
      <c r="M121" s="7">
        <v>14.548488178736108</v>
      </c>
      <c r="N121" s="7">
        <f t="shared" si="38"/>
        <v>15.241913451679135</v>
      </c>
    </row>
    <row r="122" spans="1:14" s="2" customFormat="1" x14ac:dyDescent="0.35">
      <c r="A122" s="9" t="s">
        <v>91</v>
      </c>
      <c r="B122" s="10">
        <v>300</v>
      </c>
      <c r="C122" s="10">
        <v>220</v>
      </c>
      <c r="D122" s="10">
        <v>220</v>
      </c>
      <c r="E122" s="10">
        <v>185</v>
      </c>
      <c r="F122" s="10">
        <v>185</v>
      </c>
      <c r="G122" s="10">
        <v>190</v>
      </c>
      <c r="H122" s="10">
        <v>200</v>
      </c>
      <c r="I122" s="10">
        <v>220</v>
      </c>
      <c r="J122" s="10">
        <v>220</v>
      </c>
      <c r="K122" s="10">
        <v>200</v>
      </c>
      <c r="L122" s="10">
        <v>200</v>
      </c>
      <c r="M122" s="10">
        <v>200</v>
      </c>
      <c r="N122" s="10">
        <f>SUM(B122:M122)</f>
        <v>2540</v>
      </c>
    </row>
    <row r="123" spans="1:14" x14ac:dyDescent="0.35">
      <c r="A123" s="5" t="s">
        <v>60</v>
      </c>
      <c r="B123" s="8">
        <v>5978.3054556265597</v>
      </c>
      <c r="C123" s="8">
        <v>5788.4873674777928</v>
      </c>
      <c r="D123" s="8">
        <v>5780.4749200608012</v>
      </c>
      <c r="E123" s="8">
        <v>5757.1238943170265</v>
      </c>
      <c r="F123" s="8">
        <v>5689.0305770952909</v>
      </c>
      <c r="G123" s="8">
        <v>5723.4268887854187</v>
      </c>
      <c r="H123" s="8">
        <v>5710.0662701682413</v>
      </c>
      <c r="I123" s="8">
        <v>5767.3036052663256</v>
      </c>
      <c r="J123" s="8">
        <v>5816.7183587027257</v>
      </c>
      <c r="K123" s="8">
        <v>5783.9440068778431</v>
      </c>
      <c r="L123" s="8">
        <v>5714.3881793197588</v>
      </c>
      <c r="M123" s="8">
        <v>5899.7670661427646</v>
      </c>
      <c r="N123" s="8">
        <f>SUMPRODUCT(B123:M123,$B$122:$M$122)/SUM($N$122)</f>
        <v>5792.8232136227871</v>
      </c>
    </row>
    <row r="124" spans="1:14" x14ac:dyDescent="0.35">
      <c r="A124" s="5" t="s">
        <v>22</v>
      </c>
      <c r="B124" s="7">
        <v>1.787024420543599</v>
      </c>
      <c r="C124" s="7">
        <v>1.8050807511941165</v>
      </c>
      <c r="D124" s="7">
        <v>1.753484658353373</v>
      </c>
      <c r="E124" s="7">
        <v>1.7530000378904598</v>
      </c>
      <c r="F124" s="7">
        <v>1.7123074495204251</v>
      </c>
      <c r="G124" s="7">
        <v>1.7853721095868915</v>
      </c>
      <c r="H124" s="7">
        <v>1.8238815961156631</v>
      </c>
      <c r="I124" s="7">
        <v>1.7419960155643373</v>
      </c>
      <c r="J124" s="7">
        <v>1.7014004656420247</v>
      </c>
      <c r="K124" s="7">
        <v>1.7605879730997038</v>
      </c>
      <c r="L124" s="7">
        <v>1.767814198414398</v>
      </c>
      <c r="M124" s="7">
        <v>1.7232917279280713</v>
      </c>
      <c r="N124" s="7">
        <f t="shared" ref="N124:N127" si="39">SUMPRODUCT(B124:M124,$B$122:$M$122)/SUM($N$122)</f>
        <v>1.7606128453673298</v>
      </c>
    </row>
    <row r="125" spans="1:14" x14ac:dyDescent="0.35">
      <c r="A125" s="5" t="s">
        <v>23</v>
      </c>
      <c r="B125" s="7">
        <v>4.7301044978019764</v>
      </c>
      <c r="C125" s="7">
        <v>5.5271121039826419</v>
      </c>
      <c r="D125" s="7">
        <v>5.5457883214480397</v>
      </c>
      <c r="E125" s="7">
        <v>5.7432540624021691</v>
      </c>
      <c r="F125" s="7">
        <v>6.1338157267673825</v>
      </c>
      <c r="G125" s="7">
        <v>6.4531615243414668</v>
      </c>
      <c r="H125" s="7">
        <v>6.4437425567786066</v>
      </c>
      <c r="I125" s="7">
        <v>6.2121469296871501</v>
      </c>
      <c r="J125" s="7">
        <v>5.7608226161450142</v>
      </c>
      <c r="K125" s="7">
        <v>5.8895183832541882</v>
      </c>
      <c r="L125" s="7">
        <v>6.1089249013580069</v>
      </c>
      <c r="M125" s="7">
        <v>5.1119700187862556</v>
      </c>
      <c r="N125" s="7">
        <f t="shared" si="39"/>
        <v>5.7572096518405811</v>
      </c>
    </row>
    <row r="126" spans="1:14" x14ac:dyDescent="0.35">
      <c r="A126" s="5" t="s">
        <v>38</v>
      </c>
      <c r="B126" s="7">
        <v>11.089447843541894</v>
      </c>
      <c r="C126" s="7">
        <v>10.939007756939889</v>
      </c>
      <c r="D126" s="7">
        <v>11.103271057993588</v>
      </c>
      <c r="E126" s="7">
        <v>10.753087747400615</v>
      </c>
      <c r="F126" s="7">
        <v>10.931757250593529</v>
      </c>
      <c r="G126" s="7">
        <v>10.542872135234294</v>
      </c>
      <c r="H126" s="7">
        <v>10.926300465614883</v>
      </c>
      <c r="I126" s="7">
        <v>10.532727609486793</v>
      </c>
      <c r="J126" s="7">
        <v>10.519638665180322</v>
      </c>
      <c r="K126" s="7">
        <v>10.608982288782695</v>
      </c>
      <c r="L126" s="7">
        <v>10.409757384707607</v>
      </c>
      <c r="M126" s="7">
        <v>10.300642053236681</v>
      </c>
      <c r="N126" s="7">
        <f t="shared" si="39"/>
        <v>10.736864071482877</v>
      </c>
    </row>
    <row r="127" spans="1:14" x14ac:dyDescent="0.35">
      <c r="A127" s="5" t="s">
        <v>25</v>
      </c>
      <c r="B127" s="7">
        <v>14.77672590471496</v>
      </c>
      <c r="C127" s="7">
        <v>14.788491878026898</v>
      </c>
      <c r="D127" s="7">
        <v>14.968616021907097</v>
      </c>
      <c r="E127" s="7">
        <v>14.622565939548902</v>
      </c>
      <c r="F127" s="7">
        <v>15.039201128192587</v>
      </c>
      <c r="G127" s="7">
        <v>14.452434531645325</v>
      </c>
      <c r="H127" s="7">
        <v>14.766174108649652</v>
      </c>
      <c r="I127" s="7">
        <v>14.301752611637571</v>
      </c>
      <c r="J127" s="7">
        <v>14.225128330536242</v>
      </c>
      <c r="K127" s="7">
        <v>14.404258385302949</v>
      </c>
      <c r="L127" s="7">
        <v>14.445124735031138</v>
      </c>
      <c r="M127" s="7">
        <v>13.747354344462451</v>
      </c>
      <c r="N127" s="7">
        <f t="shared" si="39"/>
        <v>14.551758700752847</v>
      </c>
    </row>
    <row r="129" spans="1:16" x14ac:dyDescent="0.35">
      <c r="A129" s="6" t="s">
        <v>44</v>
      </c>
      <c r="B129" s="6" t="s">
        <v>1</v>
      </c>
      <c r="C129" s="6" t="s">
        <v>2</v>
      </c>
      <c r="D129" s="6" t="s">
        <v>3</v>
      </c>
      <c r="E129" s="6" t="s">
        <v>4</v>
      </c>
      <c r="F129" s="6" t="s">
        <v>5</v>
      </c>
      <c r="G129" s="6" t="s">
        <v>6</v>
      </c>
      <c r="H129" s="6" t="s">
        <v>7</v>
      </c>
      <c r="I129" s="6" t="s">
        <v>8</v>
      </c>
      <c r="J129" s="6" t="s">
        <v>9</v>
      </c>
      <c r="K129" s="6" t="s">
        <v>10</v>
      </c>
      <c r="L129" s="6" t="s">
        <v>11</v>
      </c>
      <c r="M129" s="6" t="s">
        <v>12</v>
      </c>
      <c r="N129" s="6" t="s">
        <v>13</v>
      </c>
      <c r="O129" s="4"/>
    </row>
    <row r="130" spans="1:16" s="2" customFormat="1" x14ac:dyDescent="0.35">
      <c r="A130" s="9" t="s">
        <v>14</v>
      </c>
      <c r="B130" s="10">
        <f t="shared" ref="B130:N130" si="40">SUM(B131:B131)</f>
        <v>103.00700003222835</v>
      </c>
      <c r="C130" s="10">
        <f t="shared" si="40"/>
        <v>93.069999998767926</v>
      </c>
      <c r="D130" s="10">
        <f t="shared" si="40"/>
        <v>98.05900000904235</v>
      </c>
      <c r="E130" s="10">
        <f t="shared" si="40"/>
        <v>280.62450003328621</v>
      </c>
      <c r="F130" s="10">
        <f t="shared" si="40"/>
        <v>579.37850009221097</v>
      </c>
      <c r="G130" s="10">
        <f t="shared" si="40"/>
        <v>448.88900009712</v>
      </c>
      <c r="H130" s="10">
        <f t="shared" si="40"/>
        <v>536.382999964639</v>
      </c>
      <c r="I130" s="10">
        <f t="shared" si="40"/>
        <v>575.345000118852</v>
      </c>
      <c r="J130" s="10">
        <f t="shared" si="40"/>
        <v>590.09399996139598</v>
      </c>
      <c r="K130" s="10">
        <f t="shared" si="40"/>
        <v>632.10300000592349</v>
      </c>
      <c r="L130" s="10">
        <f t="shared" si="40"/>
        <v>557.71999993702639</v>
      </c>
      <c r="M130" s="10">
        <f t="shared" si="40"/>
        <v>543.93500004792293</v>
      </c>
      <c r="N130" s="10">
        <f t="shared" si="40"/>
        <v>5038.6080002984163</v>
      </c>
      <c r="P130" s="1" t="s">
        <v>61</v>
      </c>
    </row>
    <row r="131" spans="1:16" x14ac:dyDescent="0.35">
      <c r="A131" s="5" t="s">
        <v>65</v>
      </c>
      <c r="B131" s="8">
        <v>103.00700003222835</v>
      </c>
      <c r="C131" s="8">
        <v>93.069999998767926</v>
      </c>
      <c r="D131" s="8">
        <v>98.05900000904235</v>
      </c>
      <c r="E131" s="8">
        <v>280.62450003328621</v>
      </c>
      <c r="F131" s="8">
        <v>579.37850009221097</v>
      </c>
      <c r="G131" s="8">
        <v>448.88900009712</v>
      </c>
      <c r="H131" s="8">
        <v>536.382999964639</v>
      </c>
      <c r="I131" s="8">
        <v>575.345000118852</v>
      </c>
      <c r="J131" s="8">
        <v>590.09399996139598</v>
      </c>
      <c r="K131" s="8">
        <v>632.10300000592349</v>
      </c>
      <c r="L131" s="8">
        <v>557.71999993702639</v>
      </c>
      <c r="M131" s="8">
        <v>543.93500004792293</v>
      </c>
      <c r="N131" s="8">
        <f>SUM(B131:M131)</f>
        <v>5038.6080002984163</v>
      </c>
    </row>
    <row r="132" spans="1:16" s="2" customFormat="1" x14ac:dyDescent="0.35">
      <c r="A132" s="9" t="s">
        <v>17</v>
      </c>
      <c r="B132" s="10">
        <f t="shared" ref="B132:N132" si="41">SUM(B133:B133)</f>
        <v>0</v>
      </c>
      <c r="C132" s="10">
        <f t="shared" si="41"/>
        <v>0</v>
      </c>
      <c r="D132" s="10">
        <f t="shared" si="41"/>
        <v>0</v>
      </c>
      <c r="E132" s="10">
        <f t="shared" si="41"/>
        <v>0</v>
      </c>
      <c r="F132" s="10">
        <f t="shared" si="41"/>
        <v>20</v>
      </c>
      <c r="G132" s="10">
        <f t="shared" si="41"/>
        <v>37</v>
      </c>
      <c r="H132" s="10">
        <f t="shared" si="41"/>
        <v>51</v>
      </c>
      <c r="I132" s="10">
        <f t="shared" si="41"/>
        <v>60</v>
      </c>
      <c r="J132" s="10">
        <f t="shared" si="41"/>
        <v>70</v>
      </c>
      <c r="K132" s="10">
        <f t="shared" si="41"/>
        <v>75</v>
      </c>
      <c r="L132" s="10">
        <f t="shared" si="41"/>
        <v>68</v>
      </c>
      <c r="M132" s="10">
        <f t="shared" si="41"/>
        <v>67</v>
      </c>
      <c r="N132" s="10">
        <f t="shared" si="41"/>
        <v>448</v>
      </c>
    </row>
    <row r="133" spans="1:16" x14ac:dyDescent="0.35">
      <c r="A133" s="5" t="s">
        <v>65</v>
      </c>
      <c r="B133" s="8">
        <v>0</v>
      </c>
      <c r="C133" s="8">
        <v>0</v>
      </c>
      <c r="D133" s="8">
        <v>0</v>
      </c>
      <c r="E133" s="8">
        <v>0</v>
      </c>
      <c r="F133" s="8">
        <v>20</v>
      </c>
      <c r="G133" s="8">
        <v>37</v>
      </c>
      <c r="H133" s="8">
        <v>51</v>
      </c>
      <c r="I133" s="8">
        <v>60</v>
      </c>
      <c r="J133" s="8">
        <v>70</v>
      </c>
      <c r="K133" s="8">
        <v>75</v>
      </c>
      <c r="L133" s="8">
        <v>68</v>
      </c>
      <c r="M133" s="8">
        <v>67</v>
      </c>
      <c r="N133" s="8">
        <f>SUM(B133:M133)</f>
        <v>448</v>
      </c>
    </row>
    <row r="134" spans="1:16" s="2" customFormat="1" x14ac:dyDescent="0.35">
      <c r="A134" s="9" t="s">
        <v>43</v>
      </c>
      <c r="B134" s="11">
        <f t="shared" ref="B134:M134" si="42">IFERROR(B130/B132,0)</f>
        <v>0</v>
      </c>
      <c r="C134" s="11">
        <f t="shared" si="42"/>
        <v>0</v>
      </c>
      <c r="D134" s="11">
        <f t="shared" si="42"/>
        <v>0</v>
      </c>
      <c r="E134" s="11">
        <f t="shared" si="42"/>
        <v>0</v>
      </c>
      <c r="F134" s="11">
        <f t="shared" si="42"/>
        <v>28.968925004610547</v>
      </c>
      <c r="G134" s="11">
        <f t="shared" si="42"/>
        <v>12.132135137760001</v>
      </c>
      <c r="H134" s="11">
        <f t="shared" si="42"/>
        <v>10.517313724796843</v>
      </c>
      <c r="I134" s="11">
        <f t="shared" si="42"/>
        <v>9.5890833353142</v>
      </c>
      <c r="J134" s="11">
        <f t="shared" si="42"/>
        <v>8.4299142851628002</v>
      </c>
      <c r="K134" s="11">
        <f t="shared" si="42"/>
        <v>8.4280400000789797</v>
      </c>
      <c r="L134" s="11">
        <f t="shared" si="42"/>
        <v>8.2017647049562701</v>
      </c>
      <c r="M134" s="11">
        <f t="shared" si="42"/>
        <v>8.1184328365361633</v>
      </c>
      <c r="N134" s="11">
        <f>N130/N132</f>
        <v>11.246892857808964</v>
      </c>
    </row>
    <row r="135" spans="1:16" s="2" customFormat="1" x14ac:dyDescent="0.35">
      <c r="A135" s="9" t="s">
        <v>34</v>
      </c>
      <c r="B135" s="11">
        <f>IFERROR(B130/B137,0)</f>
        <v>0</v>
      </c>
      <c r="C135" s="11">
        <f t="shared" ref="C135:M135" si="43">IFERROR(C130/C137,0)</f>
        <v>0</v>
      </c>
      <c r="D135" s="11">
        <f t="shared" si="43"/>
        <v>0</v>
      </c>
      <c r="E135" s="11">
        <f t="shared" si="43"/>
        <v>0</v>
      </c>
      <c r="F135" s="11">
        <f t="shared" si="43"/>
        <v>32.187694449567275</v>
      </c>
      <c r="G135" s="11">
        <f t="shared" si="43"/>
        <v>12.825400002774858</v>
      </c>
      <c r="H135" s="11">
        <f t="shared" si="43"/>
        <v>10.727659999292779</v>
      </c>
      <c r="I135" s="11">
        <f t="shared" si="43"/>
        <v>9.9197413813595166</v>
      </c>
      <c r="J135" s="11">
        <f t="shared" si="43"/>
        <v>8.6778529406087639</v>
      </c>
      <c r="K135" s="11">
        <f t="shared" si="43"/>
        <v>8.7792083334156032</v>
      </c>
      <c r="L135" s="11">
        <f t="shared" si="43"/>
        <v>8.4503030293488841</v>
      </c>
      <c r="M135" s="11">
        <f t="shared" si="43"/>
        <v>8.2414393946654982</v>
      </c>
      <c r="N135" s="11">
        <f t="shared" ref="N135" si="44">N130/N137</f>
        <v>11.63650808383006</v>
      </c>
    </row>
    <row r="136" spans="1:16" s="2" customFormat="1" x14ac:dyDescent="0.35">
      <c r="A136" s="9" t="s">
        <v>46</v>
      </c>
      <c r="B136" s="10">
        <v>14.6</v>
      </c>
      <c r="C136" s="10">
        <v>14.6</v>
      </c>
      <c r="D136" s="10">
        <v>7.3</v>
      </c>
      <c r="E136" s="10">
        <v>7.3</v>
      </c>
      <c r="F136" s="10">
        <v>21.9</v>
      </c>
      <c r="G136" s="10">
        <v>36.5</v>
      </c>
      <c r="H136" s="10">
        <v>43.8</v>
      </c>
      <c r="I136" s="10">
        <v>58.4</v>
      </c>
      <c r="J136" s="10">
        <v>58.4</v>
      </c>
      <c r="K136" s="10">
        <v>58.4</v>
      </c>
      <c r="L136" s="10">
        <v>58.4</v>
      </c>
      <c r="M136" s="10">
        <v>51.1</v>
      </c>
      <c r="N136" s="10">
        <f>SUM(B136:M136)</f>
        <v>430.7</v>
      </c>
    </row>
    <row r="137" spans="1:16" s="2" customFormat="1" x14ac:dyDescent="0.35">
      <c r="A137" s="9" t="s">
        <v>50</v>
      </c>
      <c r="B137" s="10">
        <v>0</v>
      </c>
      <c r="C137" s="10">
        <v>0</v>
      </c>
      <c r="D137" s="10">
        <v>0</v>
      </c>
      <c r="E137" s="10">
        <v>0</v>
      </c>
      <c r="F137" s="10">
        <v>18</v>
      </c>
      <c r="G137" s="10">
        <v>35</v>
      </c>
      <c r="H137" s="10">
        <v>50</v>
      </c>
      <c r="I137" s="10">
        <v>58</v>
      </c>
      <c r="J137" s="10">
        <v>68</v>
      </c>
      <c r="K137" s="10">
        <v>72</v>
      </c>
      <c r="L137" s="10">
        <v>66</v>
      </c>
      <c r="M137" s="10">
        <v>66</v>
      </c>
      <c r="N137" s="10">
        <f>SUM(B137:M137)</f>
        <v>433</v>
      </c>
    </row>
    <row r="138" spans="1:16" x14ac:dyDescent="0.35">
      <c r="A138" s="5" t="s">
        <v>60</v>
      </c>
      <c r="B138" s="8">
        <v>0</v>
      </c>
      <c r="C138" s="8">
        <v>0</v>
      </c>
      <c r="D138" s="8">
        <v>0</v>
      </c>
      <c r="E138" s="8">
        <v>0</v>
      </c>
      <c r="F138" s="8">
        <v>4442.3524630978109</v>
      </c>
      <c r="G138" s="8">
        <v>4414.0197341055573</v>
      </c>
      <c r="H138" s="8">
        <v>4416.3842473113355</v>
      </c>
      <c r="I138" s="8">
        <v>4432.5862004850405</v>
      </c>
      <c r="J138" s="8">
        <v>4408.9259713034116</v>
      </c>
      <c r="K138" s="8">
        <v>4423.0871583211037</v>
      </c>
      <c r="L138" s="8">
        <v>4453.7859806142369</v>
      </c>
      <c r="M138" s="8">
        <v>4407.9044655308044</v>
      </c>
      <c r="N138" s="8">
        <f>SUMPRODUCT(B138:M138,$B$137:$M$137)/SUM($B$137:$M$137)</f>
        <v>4423.7945910311291</v>
      </c>
    </row>
    <row r="139" spans="1:16" x14ac:dyDescent="0.35">
      <c r="A139" s="5" t="s">
        <v>22</v>
      </c>
      <c r="B139" s="7">
        <v>0</v>
      </c>
      <c r="C139" s="7">
        <v>0</v>
      </c>
      <c r="D139" s="7">
        <v>0</v>
      </c>
      <c r="E139" s="7">
        <v>0</v>
      </c>
      <c r="F139" s="7">
        <v>0.38873573353044444</v>
      </c>
      <c r="G139" s="7">
        <v>0.35403485131504908</v>
      </c>
      <c r="H139" s="7">
        <v>0.38863711531936274</v>
      </c>
      <c r="I139" s="7">
        <v>0.37485738989539719</v>
      </c>
      <c r="J139" s="7">
        <v>0.36433237274630625</v>
      </c>
      <c r="K139" s="7">
        <v>0.35476496479555497</v>
      </c>
      <c r="L139" s="7">
        <v>0.3569313165491026</v>
      </c>
      <c r="M139" s="7">
        <v>0.38385933871926886</v>
      </c>
      <c r="N139" s="7">
        <f t="shared" ref="N139:N142" si="45">SUMPRODUCT(B139:M139,$B$137:$M$137)/SUM($B$137:$M$137)</f>
        <v>0.36898824350858472</v>
      </c>
    </row>
    <row r="140" spans="1:16" x14ac:dyDescent="0.35">
      <c r="A140" s="5" t="s">
        <v>23</v>
      </c>
      <c r="B140" s="7">
        <v>0</v>
      </c>
      <c r="C140" s="7">
        <v>0</v>
      </c>
      <c r="D140" s="7">
        <v>0</v>
      </c>
      <c r="E140" s="7">
        <v>0</v>
      </c>
      <c r="F140" s="7">
        <v>4.3469189899646095</v>
      </c>
      <c r="G140" s="7">
        <v>4.2775242942804486</v>
      </c>
      <c r="H140" s="7">
        <v>4.5771833228759133</v>
      </c>
      <c r="I140" s="7">
        <v>4.410710810024324</v>
      </c>
      <c r="J140" s="7">
        <v>4.3137913551427269</v>
      </c>
      <c r="K140" s="7">
        <v>4.437983464347746</v>
      </c>
      <c r="L140" s="7">
        <v>4.3733361138806135</v>
      </c>
      <c r="M140" s="7">
        <v>4.6218111106752566</v>
      </c>
      <c r="N140" s="7">
        <f t="shared" si="45"/>
        <v>4.4323109091173567</v>
      </c>
    </row>
    <row r="141" spans="1:16" x14ac:dyDescent="0.35">
      <c r="A141" s="5" t="s">
        <v>38</v>
      </c>
      <c r="B141" s="7">
        <v>0</v>
      </c>
      <c r="C141" s="7">
        <v>0</v>
      </c>
      <c r="D141" s="7">
        <v>0</v>
      </c>
      <c r="E141" s="7">
        <v>0</v>
      </c>
      <c r="F141" s="7">
        <v>17.434023703251668</v>
      </c>
      <c r="G141" s="7">
        <v>17.203780063089837</v>
      </c>
      <c r="H141" s="7">
        <v>17.033950729465953</v>
      </c>
      <c r="I141" s="7">
        <v>16.871627410791572</v>
      </c>
      <c r="J141" s="7">
        <v>16.977285235598046</v>
      </c>
      <c r="K141" s="7">
        <v>16.725080655028712</v>
      </c>
      <c r="L141" s="7">
        <v>16.935726676875372</v>
      </c>
      <c r="M141" s="7">
        <v>16.762054197985886</v>
      </c>
      <c r="N141" s="7">
        <f t="shared" si="45"/>
        <v>16.92589236972162</v>
      </c>
    </row>
    <row r="142" spans="1:16" x14ac:dyDescent="0.35">
      <c r="A142" s="5" t="s">
        <v>25</v>
      </c>
      <c r="B142" s="7">
        <v>0</v>
      </c>
      <c r="C142" s="7">
        <v>0</v>
      </c>
      <c r="D142" s="7">
        <v>0</v>
      </c>
      <c r="E142" s="7">
        <v>0</v>
      </c>
      <c r="F142" s="7">
        <v>30.186701266561656</v>
      </c>
      <c r="G142" s="7">
        <v>30.265561275012825</v>
      </c>
      <c r="H142" s="7">
        <v>30.334870236874433</v>
      </c>
      <c r="I142" s="7">
        <v>30.21975773859311</v>
      </c>
      <c r="J142" s="7">
        <v>30.233061449365842</v>
      </c>
      <c r="K142" s="7">
        <v>30.245087481798901</v>
      </c>
      <c r="L142" s="7">
        <v>30.178269906357734</v>
      </c>
      <c r="M142" s="7">
        <v>30.227936505165239</v>
      </c>
      <c r="N142" s="7">
        <f t="shared" si="45"/>
        <v>30.236602375317773</v>
      </c>
    </row>
    <row r="144" spans="1:16" x14ac:dyDescent="0.35">
      <c r="A144" s="6" t="s">
        <v>52</v>
      </c>
      <c r="B144" s="6" t="s">
        <v>1</v>
      </c>
      <c r="C144" s="6" t="s">
        <v>2</v>
      </c>
      <c r="D144" s="6" t="s">
        <v>3</v>
      </c>
      <c r="E144" s="6" t="s">
        <v>4</v>
      </c>
      <c r="F144" s="6" t="s">
        <v>5</v>
      </c>
      <c r="G144" s="6" t="s">
        <v>6</v>
      </c>
      <c r="H144" s="6" t="s">
        <v>7</v>
      </c>
      <c r="I144" s="6" t="s">
        <v>8</v>
      </c>
      <c r="J144" s="6" t="s">
        <v>9</v>
      </c>
      <c r="K144" s="6" t="s">
        <v>10</v>
      </c>
      <c r="L144" s="6" t="s">
        <v>11</v>
      </c>
      <c r="M144" s="6" t="s">
        <v>12</v>
      </c>
      <c r="N144" s="6" t="s">
        <v>13</v>
      </c>
      <c r="O144" s="4"/>
    </row>
    <row r="145" spans="1:17" x14ac:dyDescent="0.35">
      <c r="A145" s="9" t="s">
        <v>14</v>
      </c>
      <c r="B145" s="10">
        <f t="shared" ref="B145:N145" si="46">SUM(B146:B146)</f>
        <v>630</v>
      </c>
      <c r="C145" s="10">
        <f t="shared" si="46"/>
        <v>580</v>
      </c>
      <c r="D145" s="10">
        <f t="shared" si="46"/>
        <v>630</v>
      </c>
      <c r="E145" s="10">
        <f t="shared" si="46"/>
        <v>610</v>
      </c>
      <c r="F145" s="10">
        <f t="shared" si="46"/>
        <v>700</v>
      </c>
      <c r="G145" s="10">
        <f t="shared" si="46"/>
        <v>675</v>
      </c>
      <c r="H145" s="10">
        <f t="shared" si="46"/>
        <v>745</v>
      </c>
      <c r="I145" s="10">
        <f t="shared" si="46"/>
        <v>790</v>
      </c>
      <c r="J145" s="10">
        <f t="shared" si="46"/>
        <v>785</v>
      </c>
      <c r="K145" s="10">
        <f t="shared" si="46"/>
        <v>880</v>
      </c>
      <c r="L145" s="10">
        <f t="shared" si="46"/>
        <v>705</v>
      </c>
      <c r="M145" s="10">
        <f t="shared" si="46"/>
        <v>770</v>
      </c>
      <c r="N145" s="10">
        <f t="shared" si="46"/>
        <v>8500</v>
      </c>
      <c r="O145" s="2"/>
      <c r="P145" s="1" t="s">
        <v>61</v>
      </c>
      <c r="Q145"/>
    </row>
    <row r="146" spans="1:17" x14ac:dyDescent="0.35">
      <c r="A146" s="5" t="s">
        <v>72</v>
      </c>
      <c r="B146" s="8">
        <v>630</v>
      </c>
      <c r="C146" s="8">
        <v>580</v>
      </c>
      <c r="D146" s="8">
        <v>630</v>
      </c>
      <c r="E146" s="8">
        <v>610</v>
      </c>
      <c r="F146" s="8">
        <v>700</v>
      </c>
      <c r="G146" s="8">
        <v>675</v>
      </c>
      <c r="H146" s="8">
        <v>745</v>
      </c>
      <c r="I146" s="8">
        <v>790</v>
      </c>
      <c r="J146" s="8">
        <v>785</v>
      </c>
      <c r="K146" s="8">
        <v>880</v>
      </c>
      <c r="L146" s="8">
        <v>705</v>
      </c>
      <c r="M146" s="8">
        <v>770</v>
      </c>
      <c r="N146" s="8">
        <f>SUM(B146:M146)</f>
        <v>8500</v>
      </c>
      <c r="Q146"/>
    </row>
    <row r="147" spans="1:17" x14ac:dyDescent="0.35">
      <c r="A147" s="9" t="s">
        <v>17</v>
      </c>
      <c r="B147" s="10">
        <f>SUM(B148:B149)</f>
        <v>184</v>
      </c>
      <c r="C147" s="10">
        <f t="shared" ref="C147:M147" si="47">SUM(C148:C149)</f>
        <v>166</v>
      </c>
      <c r="D147" s="10">
        <f t="shared" si="47"/>
        <v>182</v>
      </c>
      <c r="E147" s="10">
        <f t="shared" si="47"/>
        <v>175</v>
      </c>
      <c r="F147" s="10">
        <f t="shared" si="47"/>
        <v>180</v>
      </c>
      <c r="G147" s="10">
        <f t="shared" si="47"/>
        <v>175</v>
      </c>
      <c r="H147" s="10">
        <f t="shared" si="47"/>
        <v>160</v>
      </c>
      <c r="I147" s="10">
        <f t="shared" si="47"/>
        <v>160</v>
      </c>
      <c r="J147" s="10">
        <f t="shared" si="47"/>
        <v>160</v>
      </c>
      <c r="K147" s="10">
        <f t="shared" si="47"/>
        <v>196</v>
      </c>
      <c r="L147" s="10">
        <f t="shared" si="47"/>
        <v>175</v>
      </c>
      <c r="M147" s="10">
        <f t="shared" si="47"/>
        <v>187</v>
      </c>
      <c r="N147" s="10">
        <f>SUM(B147:M147)</f>
        <v>2100</v>
      </c>
      <c r="O147" s="2"/>
      <c r="Q147"/>
    </row>
    <row r="148" spans="1:17" x14ac:dyDescent="0.35">
      <c r="A148" s="5" t="s">
        <v>72</v>
      </c>
      <c r="B148" s="8">
        <v>119</v>
      </c>
      <c r="C148" s="8">
        <v>108</v>
      </c>
      <c r="D148" s="8">
        <v>118</v>
      </c>
      <c r="E148" s="8">
        <v>114</v>
      </c>
      <c r="F148" s="8">
        <v>131</v>
      </c>
      <c r="G148" s="8">
        <v>127</v>
      </c>
      <c r="H148" s="8">
        <v>125</v>
      </c>
      <c r="I148" s="8">
        <v>124</v>
      </c>
      <c r="J148" s="8">
        <v>126</v>
      </c>
      <c r="K148" s="8">
        <v>139</v>
      </c>
      <c r="L148" s="8">
        <v>114</v>
      </c>
      <c r="M148" s="8">
        <v>122</v>
      </c>
      <c r="N148" s="8">
        <f>SUM(B148:M148)</f>
        <v>1467</v>
      </c>
      <c r="Q148"/>
    </row>
    <row r="149" spans="1:17" x14ac:dyDescent="0.35">
      <c r="A149" s="5" t="s">
        <v>73</v>
      </c>
      <c r="B149" s="8">
        <v>65</v>
      </c>
      <c r="C149" s="8">
        <v>58</v>
      </c>
      <c r="D149" s="8">
        <v>64</v>
      </c>
      <c r="E149" s="8">
        <v>61</v>
      </c>
      <c r="F149" s="8">
        <v>49</v>
      </c>
      <c r="G149" s="8">
        <v>48</v>
      </c>
      <c r="H149" s="8">
        <v>35</v>
      </c>
      <c r="I149" s="8">
        <v>36</v>
      </c>
      <c r="J149" s="8">
        <v>34</v>
      </c>
      <c r="K149" s="8">
        <v>57</v>
      </c>
      <c r="L149" s="8">
        <v>61</v>
      </c>
      <c r="M149" s="8">
        <v>65</v>
      </c>
      <c r="N149" s="8">
        <f>SUM(B149:M149)</f>
        <v>633</v>
      </c>
      <c r="Q149"/>
    </row>
    <row r="150" spans="1:17" x14ac:dyDescent="0.35">
      <c r="A150" s="9" t="s">
        <v>43</v>
      </c>
      <c r="B150" s="11">
        <f t="shared" ref="B150:N150" si="48">B145/B147</f>
        <v>3.4239130434782608</v>
      </c>
      <c r="C150" s="11">
        <f t="shared" si="48"/>
        <v>3.4939759036144578</v>
      </c>
      <c r="D150" s="11">
        <f t="shared" si="48"/>
        <v>3.4615384615384617</v>
      </c>
      <c r="E150" s="11">
        <f t="shared" si="48"/>
        <v>3.4857142857142858</v>
      </c>
      <c r="F150" s="11">
        <f t="shared" si="48"/>
        <v>3.8888888888888888</v>
      </c>
      <c r="G150" s="11">
        <f t="shared" si="48"/>
        <v>3.8571428571428572</v>
      </c>
      <c r="H150" s="11">
        <f t="shared" si="48"/>
        <v>4.65625</v>
      </c>
      <c r="I150" s="11">
        <f t="shared" si="48"/>
        <v>4.9375</v>
      </c>
      <c r="J150" s="11">
        <f t="shared" si="48"/>
        <v>4.90625</v>
      </c>
      <c r="K150" s="11">
        <f t="shared" si="48"/>
        <v>4.4897959183673466</v>
      </c>
      <c r="L150" s="11">
        <f t="shared" si="48"/>
        <v>4.0285714285714285</v>
      </c>
      <c r="M150" s="11">
        <f t="shared" si="48"/>
        <v>4.117647058823529</v>
      </c>
      <c r="N150" s="11">
        <f t="shared" si="48"/>
        <v>4.0476190476190474</v>
      </c>
      <c r="O150" s="2"/>
      <c r="Q150"/>
    </row>
    <row r="151" spans="1:17" x14ac:dyDescent="0.35">
      <c r="A151" s="9" t="s">
        <v>34</v>
      </c>
      <c r="B151" s="11">
        <f t="shared" ref="B151:N151" si="49">B145/B152</f>
        <v>3.15</v>
      </c>
      <c r="C151" s="11">
        <f t="shared" si="49"/>
        <v>3.2222222222222223</v>
      </c>
      <c r="D151" s="11">
        <f t="shared" si="49"/>
        <v>3.3157894736842106</v>
      </c>
      <c r="E151" s="11">
        <f t="shared" si="49"/>
        <v>3.4857142857142858</v>
      </c>
      <c r="F151" s="11">
        <f t="shared" si="49"/>
        <v>3.8888888888888888</v>
      </c>
      <c r="G151" s="11">
        <f t="shared" si="49"/>
        <v>3.8571428571428572</v>
      </c>
      <c r="H151" s="11">
        <f t="shared" si="49"/>
        <v>8.2777777777777786</v>
      </c>
      <c r="I151" s="11">
        <f t="shared" si="49"/>
        <v>15.8</v>
      </c>
      <c r="J151" s="11">
        <f t="shared" si="49"/>
        <v>8.7222222222222214</v>
      </c>
      <c r="K151" s="11">
        <f t="shared" si="49"/>
        <v>4.1904761904761907</v>
      </c>
      <c r="L151" s="11">
        <f t="shared" si="49"/>
        <v>2.7115384615384617</v>
      </c>
      <c r="M151" s="11">
        <f t="shared" si="49"/>
        <v>3.0800000000000005</v>
      </c>
      <c r="N151" s="11">
        <f t="shared" si="49"/>
        <v>4.1463414634146343</v>
      </c>
      <c r="O151" s="2"/>
      <c r="Q151"/>
    </row>
    <row r="152" spans="1:17" x14ac:dyDescent="0.35">
      <c r="A152" s="9" t="s">
        <v>47</v>
      </c>
      <c r="B152" s="10">
        <v>200</v>
      </c>
      <c r="C152" s="10">
        <v>180</v>
      </c>
      <c r="D152" s="10">
        <v>190</v>
      </c>
      <c r="E152" s="10">
        <v>175</v>
      </c>
      <c r="F152" s="10">
        <v>180</v>
      </c>
      <c r="G152" s="10">
        <v>175</v>
      </c>
      <c r="H152" s="10">
        <v>90</v>
      </c>
      <c r="I152" s="10">
        <v>50</v>
      </c>
      <c r="J152" s="10">
        <v>90</v>
      </c>
      <c r="K152" s="10">
        <v>210</v>
      </c>
      <c r="L152" s="10">
        <v>260</v>
      </c>
      <c r="M152" s="10">
        <v>249.99999999999994</v>
      </c>
      <c r="N152" s="10">
        <f>SUM(B152:M152)</f>
        <v>2050</v>
      </c>
      <c r="O152" s="2"/>
      <c r="Q152"/>
    </row>
    <row r="153" spans="1:17" x14ac:dyDescent="0.35">
      <c r="A153" s="5" t="s">
        <v>60</v>
      </c>
      <c r="B153" s="8">
        <v>3597.7503671421059</v>
      </c>
      <c r="C153" s="8">
        <v>3594.5295983597939</v>
      </c>
      <c r="D153" s="8">
        <v>3663.6762112802235</v>
      </c>
      <c r="E153" s="8">
        <v>3731.5322801509137</v>
      </c>
      <c r="F153" s="8">
        <v>3747.0876814215917</v>
      </c>
      <c r="G153" s="8">
        <v>3753.0309161867781</v>
      </c>
      <c r="H153" s="8">
        <v>3709.984204356359</v>
      </c>
      <c r="I153" s="8">
        <v>3710.8590506722767</v>
      </c>
      <c r="J153" s="8">
        <v>3754.9789133429726</v>
      </c>
      <c r="K153" s="8">
        <v>3802.4689892377123</v>
      </c>
      <c r="L153" s="8">
        <v>3810.8051584828913</v>
      </c>
      <c r="M153" s="8">
        <v>3790.9104124565929</v>
      </c>
      <c r="N153" s="8">
        <f>SUMPRODUCT(B153:M153,$B$152:$M$152)/SUM($B$152:$M$152)</f>
        <v>3727.5040431597959</v>
      </c>
      <c r="O153" s="12"/>
      <c r="Q153"/>
    </row>
    <row r="154" spans="1:17" x14ac:dyDescent="0.35">
      <c r="A154" s="5" t="s">
        <v>22</v>
      </c>
      <c r="B154" s="7">
        <v>0.11568840145536496</v>
      </c>
      <c r="C154" s="7">
        <v>0.11701098805931437</v>
      </c>
      <c r="D154" s="7">
        <v>0.15581461251661183</v>
      </c>
      <c r="E154" s="7">
        <v>0.15133328051441322</v>
      </c>
      <c r="F154" s="7">
        <v>0.1530200312436015</v>
      </c>
      <c r="G154" s="7">
        <v>0.14876311698128147</v>
      </c>
      <c r="H154" s="7">
        <v>0.16963776317458534</v>
      </c>
      <c r="I154" s="7">
        <v>0.16909766793837699</v>
      </c>
      <c r="J154" s="7">
        <v>0.15832888187436817</v>
      </c>
      <c r="K154" s="7">
        <v>0.16553178492157389</v>
      </c>
      <c r="L154" s="7">
        <v>0.17247668907568034</v>
      </c>
      <c r="M154" s="7">
        <v>0.16287235032822131</v>
      </c>
      <c r="N154" s="7">
        <f t="shared" ref="N154:N157" si="50">SUMPRODUCT(B154:M154,$B$152:$M$152)/SUM($B$152:$M$152)</f>
        <v>0.15227341108882345</v>
      </c>
      <c r="Q154"/>
    </row>
    <row r="155" spans="1:17" x14ac:dyDescent="0.35">
      <c r="A155" s="5" t="s">
        <v>23</v>
      </c>
      <c r="B155" s="7">
        <v>10.145655446148792</v>
      </c>
      <c r="C155" s="7">
        <v>10.213899366234628</v>
      </c>
      <c r="D155" s="7">
        <v>9.4791856634986438</v>
      </c>
      <c r="E155" s="7">
        <v>8.2664499592751319</v>
      </c>
      <c r="F155" s="7">
        <v>7.9720279699913643</v>
      </c>
      <c r="G155" s="7">
        <v>8.1086561189791855</v>
      </c>
      <c r="H155" s="7">
        <v>9.7174821161794043</v>
      </c>
      <c r="I155" s="7">
        <v>9.7409059080640557</v>
      </c>
      <c r="J155" s="7">
        <v>8.5788059169355098</v>
      </c>
      <c r="K155" s="7">
        <v>6.4455548017586262</v>
      </c>
      <c r="L155" s="7">
        <v>5.4512092871833024</v>
      </c>
      <c r="M155" s="7">
        <v>5.9085709909776138</v>
      </c>
      <c r="N155" s="7">
        <f t="shared" si="50"/>
        <v>7.9761081652071226</v>
      </c>
      <c r="Q155"/>
    </row>
    <row r="156" spans="1:17" x14ac:dyDescent="0.35">
      <c r="A156" s="5" t="s">
        <v>38</v>
      </c>
      <c r="B156" s="7">
        <v>27.273778837579599</v>
      </c>
      <c r="C156" s="7">
        <v>27.292035739913089</v>
      </c>
      <c r="D156" s="7">
        <v>26.977085197877386</v>
      </c>
      <c r="E156" s="7">
        <v>25.124250417061894</v>
      </c>
      <c r="F156" s="7">
        <v>25.063917620785851</v>
      </c>
      <c r="G156" s="7">
        <v>24.254236087634794</v>
      </c>
      <c r="H156" s="7">
        <v>31.602710692812558</v>
      </c>
      <c r="I156" s="7">
        <v>31.478110610095825</v>
      </c>
      <c r="J156" s="7">
        <v>27.521644009129027</v>
      </c>
      <c r="K156" s="7">
        <v>26.441746202974993</v>
      </c>
      <c r="L156" s="7">
        <v>28.914291423592488</v>
      </c>
      <c r="M156" s="7">
        <v>29.04220061352094</v>
      </c>
      <c r="N156" s="7">
        <f t="shared" si="50"/>
        <v>27.254555501550691</v>
      </c>
      <c r="Q156"/>
    </row>
    <row r="157" spans="1:17" x14ac:dyDescent="0.35">
      <c r="A157" s="5" t="s">
        <v>25</v>
      </c>
      <c r="B157" s="7">
        <v>37.918497409869865</v>
      </c>
      <c r="C157" s="7">
        <v>37.923033965371602</v>
      </c>
      <c r="D157" s="7">
        <v>38.042986000504257</v>
      </c>
      <c r="E157" s="7">
        <v>37.950930536574255</v>
      </c>
      <c r="F157" s="7">
        <v>37.978955656242384</v>
      </c>
      <c r="G157" s="7">
        <v>38.073810954498576</v>
      </c>
      <c r="H157" s="7">
        <v>37.71754115883973</v>
      </c>
      <c r="I157" s="7">
        <v>37.733817466441451</v>
      </c>
      <c r="J157" s="7">
        <v>37.863692065067184</v>
      </c>
      <c r="K157" s="7">
        <v>38.416454448307448</v>
      </c>
      <c r="L157" s="7">
        <v>39.068495470080975</v>
      </c>
      <c r="M157" s="7">
        <v>39.167627929178792</v>
      </c>
      <c r="N157" s="7">
        <f t="shared" si="50"/>
        <v>38.285233081479049</v>
      </c>
      <c r="Q157"/>
    </row>
    <row r="158" spans="1:17" x14ac:dyDescent="0.35">
      <c r="Q158"/>
    </row>
    <row r="159" spans="1:17" x14ac:dyDescent="0.35">
      <c r="A159" s="6" t="s">
        <v>51</v>
      </c>
      <c r="B159" s="6" t="s">
        <v>1</v>
      </c>
      <c r="C159" s="6" t="s">
        <v>2</v>
      </c>
      <c r="D159" s="6" t="s">
        <v>3</v>
      </c>
      <c r="E159" s="6" t="s">
        <v>4</v>
      </c>
      <c r="F159" s="6" t="s">
        <v>5</v>
      </c>
      <c r="G159" s="6" t="s">
        <v>6</v>
      </c>
      <c r="H159" s="6" t="s">
        <v>7</v>
      </c>
      <c r="I159" s="6" t="s">
        <v>8</v>
      </c>
      <c r="J159" s="6" t="s">
        <v>9</v>
      </c>
      <c r="K159" s="6" t="s">
        <v>10</v>
      </c>
      <c r="L159" s="6" t="s">
        <v>11</v>
      </c>
      <c r="M159" s="6" t="s">
        <v>12</v>
      </c>
      <c r="N159" s="6" t="s">
        <v>13</v>
      </c>
      <c r="Q159"/>
    </row>
    <row r="160" spans="1:17" x14ac:dyDescent="0.35">
      <c r="A160" s="9" t="s">
        <v>14</v>
      </c>
      <c r="B160" s="10">
        <f t="shared" ref="B160:N160" si="51">SUM(B161:B161)</f>
        <v>767.63357127100005</v>
      </c>
      <c r="C160" s="10">
        <f t="shared" si="51"/>
        <v>734.79306200000008</v>
      </c>
      <c r="D160" s="10">
        <f t="shared" si="51"/>
        <v>815.14623877999998</v>
      </c>
      <c r="E160" s="10">
        <f t="shared" si="51"/>
        <v>831.02725012000008</v>
      </c>
      <c r="F160" s="10">
        <f t="shared" si="51"/>
        <v>859.47085252000011</v>
      </c>
      <c r="G160" s="10">
        <f t="shared" si="51"/>
        <v>916.35805732000006</v>
      </c>
      <c r="H160" s="10">
        <f t="shared" si="51"/>
        <v>1023.2017091352002</v>
      </c>
      <c r="I160" s="10">
        <f t="shared" si="51"/>
        <v>1020.3857924976001</v>
      </c>
      <c r="J160" s="10">
        <f t="shared" si="51"/>
        <v>1007.9938630520001</v>
      </c>
      <c r="K160" s="10">
        <f t="shared" si="51"/>
        <v>961.32265211400011</v>
      </c>
      <c r="L160" s="10">
        <f t="shared" si="51"/>
        <v>867.19803117200013</v>
      </c>
      <c r="M160" s="10">
        <f t="shared" si="51"/>
        <v>903.65561854819998</v>
      </c>
      <c r="N160" s="10">
        <f t="shared" si="51"/>
        <v>10708.18669853</v>
      </c>
      <c r="P160" s="1" t="s">
        <v>61</v>
      </c>
      <c r="Q160"/>
    </row>
    <row r="161" spans="1:17" x14ac:dyDescent="0.35">
      <c r="A161" s="5" t="s">
        <v>59</v>
      </c>
      <c r="B161" s="8">
        <v>767.63357127100005</v>
      </c>
      <c r="C161" s="8">
        <v>734.79306200000008</v>
      </c>
      <c r="D161" s="8">
        <v>815.14623877999998</v>
      </c>
      <c r="E161" s="8">
        <v>831.02725012000008</v>
      </c>
      <c r="F161" s="8">
        <v>859.47085252000011</v>
      </c>
      <c r="G161" s="8">
        <v>916.35805732000006</v>
      </c>
      <c r="H161" s="8">
        <v>1023.2017091352002</v>
      </c>
      <c r="I161" s="8">
        <v>1020.3857924976001</v>
      </c>
      <c r="J161" s="8">
        <v>1007.9938630520001</v>
      </c>
      <c r="K161" s="8">
        <v>961.32265211400011</v>
      </c>
      <c r="L161" s="8">
        <v>867.19803117200013</v>
      </c>
      <c r="M161" s="8">
        <v>903.65561854819998</v>
      </c>
      <c r="N161" s="8">
        <f>SUM(B161:M161)</f>
        <v>10708.18669853</v>
      </c>
      <c r="Q161"/>
    </row>
    <row r="162" spans="1:17" x14ac:dyDescent="0.35">
      <c r="A162" s="9" t="s">
        <v>17</v>
      </c>
      <c r="B162" s="10">
        <f t="shared" ref="B162:N162" si="52">SUM(B163:B163)</f>
        <v>40.602095820000009</v>
      </c>
      <c r="C162" s="10">
        <f t="shared" si="52"/>
        <v>37.593129600000012</v>
      </c>
      <c r="D162" s="10">
        <f t="shared" si="52"/>
        <v>41.629648580742867</v>
      </c>
      <c r="E162" s="10">
        <f t="shared" si="52"/>
        <v>45.553518102857154</v>
      </c>
      <c r="F162" s="10">
        <f t="shared" si="52"/>
        <v>50.25352550400001</v>
      </c>
      <c r="G162" s="10">
        <f t="shared" si="52"/>
        <v>55.254104701714297</v>
      </c>
      <c r="H162" s="10">
        <f t="shared" si="52"/>
        <v>61.454155932000013</v>
      </c>
      <c r="I162" s="10">
        <f t="shared" si="52"/>
        <v>61.231030158857159</v>
      </c>
      <c r="J162" s="10">
        <f t="shared" si="52"/>
        <v>61.114388533714298</v>
      </c>
      <c r="K162" s="10">
        <f t="shared" si="52"/>
        <v>55.889463240000005</v>
      </c>
      <c r="L162" s="10">
        <f t="shared" si="52"/>
        <v>46.816006268571442</v>
      </c>
      <c r="M162" s="10">
        <f t="shared" si="52"/>
        <v>48.608826084000015</v>
      </c>
      <c r="N162" s="10">
        <f t="shared" si="52"/>
        <v>605.9998925264573</v>
      </c>
      <c r="Q162"/>
    </row>
    <row r="163" spans="1:17" x14ac:dyDescent="0.35">
      <c r="A163" s="5" t="s">
        <v>59</v>
      </c>
      <c r="B163" s="8">
        <v>40.602095820000009</v>
      </c>
      <c r="C163" s="8">
        <v>37.593129600000012</v>
      </c>
      <c r="D163" s="8">
        <v>41.629648580742867</v>
      </c>
      <c r="E163" s="8">
        <v>45.553518102857154</v>
      </c>
      <c r="F163" s="8">
        <v>50.25352550400001</v>
      </c>
      <c r="G163" s="8">
        <v>55.254104701714297</v>
      </c>
      <c r="H163" s="8">
        <v>61.454155932000013</v>
      </c>
      <c r="I163" s="8">
        <v>61.231030158857159</v>
      </c>
      <c r="J163" s="8">
        <v>61.114388533714298</v>
      </c>
      <c r="K163" s="8">
        <v>55.889463240000005</v>
      </c>
      <c r="L163" s="8">
        <v>46.816006268571442</v>
      </c>
      <c r="M163" s="8">
        <v>48.608826084000015</v>
      </c>
      <c r="N163" s="8">
        <f>SUM(B163:M163)</f>
        <v>605.9998925264573</v>
      </c>
      <c r="Q163"/>
    </row>
    <row r="164" spans="1:17" x14ac:dyDescent="0.35">
      <c r="A164" s="9" t="s">
        <v>43</v>
      </c>
      <c r="B164" s="11">
        <f t="shared" ref="B164:N164" si="53">B160/B162</f>
        <v>18.906254856254854</v>
      </c>
      <c r="C164" s="11">
        <f t="shared" si="53"/>
        <v>19.545940170940167</v>
      </c>
      <c r="D164" s="11">
        <f t="shared" si="53"/>
        <v>19.58090607464489</v>
      </c>
      <c r="E164" s="11">
        <f t="shared" si="53"/>
        <v>18.24287749287749</v>
      </c>
      <c r="F164" s="11">
        <f t="shared" si="53"/>
        <v>17.102697649572647</v>
      </c>
      <c r="G164" s="11">
        <f t="shared" si="53"/>
        <v>16.584434084434083</v>
      </c>
      <c r="H164" s="11">
        <f t="shared" si="53"/>
        <v>16.649837486457205</v>
      </c>
      <c r="I164" s="11">
        <f t="shared" si="53"/>
        <v>16.664521074532335</v>
      </c>
      <c r="J164" s="11">
        <f t="shared" si="53"/>
        <v>16.493560473012526</v>
      </c>
      <c r="K164" s="11">
        <f t="shared" si="53"/>
        <v>17.200427350427351</v>
      </c>
      <c r="L164" s="11">
        <f t="shared" si="53"/>
        <v>18.523537146614068</v>
      </c>
      <c r="M164" s="11">
        <f t="shared" si="53"/>
        <v>18.590360873694202</v>
      </c>
      <c r="N164" s="11">
        <f t="shared" si="53"/>
        <v>17.6702782138901</v>
      </c>
      <c r="Q164"/>
    </row>
    <row r="165" spans="1:17" x14ac:dyDescent="0.35">
      <c r="A165" s="9" t="s">
        <v>34</v>
      </c>
      <c r="B165" s="11">
        <f t="shared" ref="B165:N165" si="54">B160/B166</f>
        <v>23.988549102218752</v>
      </c>
      <c r="C165" s="11">
        <f t="shared" si="54"/>
        <v>26.242609357142861</v>
      </c>
      <c r="D165" s="11">
        <f t="shared" si="54"/>
        <v>20.378655969499999</v>
      </c>
      <c r="E165" s="11">
        <f t="shared" si="54"/>
        <v>20.775681253000002</v>
      </c>
      <c r="F165" s="11">
        <f t="shared" si="54"/>
        <v>17.189417050400003</v>
      </c>
      <c r="G165" s="11">
        <f t="shared" si="54"/>
        <v>16.661055587636366</v>
      </c>
      <c r="H165" s="11">
        <f t="shared" si="54"/>
        <v>17.053361818920003</v>
      </c>
      <c r="I165" s="11">
        <f t="shared" si="54"/>
        <v>17.006429874960002</v>
      </c>
      <c r="J165" s="11">
        <f t="shared" si="54"/>
        <v>17.999890411642859</v>
      </c>
      <c r="K165" s="11">
        <f t="shared" si="54"/>
        <v>16.022044201900002</v>
      </c>
      <c r="L165" s="11">
        <f t="shared" si="54"/>
        <v>15.767236930400003</v>
      </c>
      <c r="M165" s="11">
        <f t="shared" si="54"/>
        <v>16.430102155421817</v>
      </c>
      <c r="N165" s="11">
        <f t="shared" si="54"/>
        <v>18.118759219170897</v>
      </c>
      <c r="Q165"/>
    </row>
    <row r="166" spans="1:17" x14ac:dyDescent="0.35">
      <c r="A166" s="9" t="s">
        <v>47</v>
      </c>
      <c r="B166" s="10">
        <v>32</v>
      </c>
      <c r="C166" s="10">
        <v>28</v>
      </c>
      <c r="D166" s="10">
        <v>40</v>
      </c>
      <c r="E166" s="10">
        <v>40</v>
      </c>
      <c r="F166" s="10">
        <v>50</v>
      </c>
      <c r="G166" s="10">
        <v>55</v>
      </c>
      <c r="H166" s="10">
        <v>60</v>
      </c>
      <c r="I166" s="10">
        <v>60</v>
      </c>
      <c r="J166" s="10">
        <v>56</v>
      </c>
      <c r="K166" s="10">
        <v>60</v>
      </c>
      <c r="L166" s="10">
        <v>55</v>
      </c>
      <c r="M166" s="10">
        <v>55</v>
      </c>
      <c r="N166" s="10">
        <f>SUM(B166:M166)</f>
        <v>591</v>
      </c>
      <c r="Q166"/>
    </row>
    <row r="167" spans="1:17" x14ac:dyDescent="0.35">
      <c r="A167" s="5" t="s">
        <v>60</v>
      </c>
      <c r="B167" s="8">
        <v>6898.8055211012088</v>
      </c>
      <c r="C167" s="8">
        <v>6898.8055211012088</v>
      </c>
      <c r="D167" s="8">
        <v>6898.8055211012088</v>
      </c>
      <c r="E167" s="8">
        <v>7061.2454757811793</v>
      </c>
      <c r="F167" s="8">
        <v>7061.2454757811793</v>
      </c>
      <c r="G167" s="8">
        <v>7061.2454757811793</v>
      </c>
      <c r="H167" s="8">
        <v>6892.9577927232394</v>
      </c>
      <c r="I167" s="8">
        <v>6892.9577927232394</v>
      </c>
      <c r="J167" s="8">
        <v>6930.9673816488739</v>
      </c>
      <c r="K167" s="8">
        <v>6803.0068098119236</v>
      </c>
      <c r="L167" s="8">
        <v>6804.9227840377098</v>
      </c>
      <c r="M167" s="8">
        <v>6822.1665520697816</v>
      </c>
      <c r="N167" s="8">
        <f>SUMPRODUCT(B167:M167,$B$166:$M$166)/SUM($B$166:$M$166)</f>
        <v>6914.924833624611</v>
      </c>
      <c r="Q167"/>
    </row>
    <row r="168" spans="1:17" x14ac:dyDescent="0.35">
      <c r="A168" s="5" t="s">
        <v>22</v>
      </c>
      <c r="B168" s="7">
        <v>1.2251228312281599</v>
      </c>
      <c r="C168" s="7">
        <v>1.12512283122816</v>
      </c>
      <c r="D168" s="7">
        <v>1.0112151228312201</v>
      </c>
      <c r="E168" s="7">
        <v>0.95954914928243795</v>
      </c>
      <c r="F168" s="7">
        <v>0.95954914928243795</v>
      </c>
      <c r="G168" s="7">
        <v>0.91395491492824299</v>
      </c>
      <c r="H168" s="7">
        <v>0.84902995532530001</v>
      </c>
      <c r="I168" s="7">
        <v>0.85954914928243797</v>
      </c>
      <c r="J168" s="7">
        <v>0.87490299553200002</v>
      </c>
      <c r="K168" s="7">
        <v>1.07512283122816</v>
      </c>
      <c r="L168" s="7">
        <v>1.0128512283122799</v>
      </c>
      <c r="M168" s="7">
        <v>1.0815122831228099</v>
      </c>
      <c r="N168" s="7">
        <f t="shared" ref="N168:N171" si="55">SUMPRODUCT(B168:M168,$B$166:$M$166)/SUM($B$166:$M$166)</f>
        <v>0.97967782668745695</v>
      </c>
      <c r="Q168"/>
    </row>
    <row r="169" spans="1:17" x14ac:dyDescent="0.35">
      <c r="A169" s="5" t="s">
        <v>23</v>
      </c>
      <c r="B169" s="7">
        <v>3.7895032807479305</v>
      </c>
      <c r="C169" s="7">
        <v>3.7895032807479305</v>
      </c>
      <c r="D169" s="7">
        <v>3.7895032807479305</v>
      </c>
      <c r="E169" s="7">
        <v>3.6003350251516499</v>
      </c>
      <c r="F169" s="7">
        <v>3.6003350251516499</v>
      </c>
      <c r="G169" s="7">
        <v>3.6003350251516499</v>
      </c>
      <c r="H169" s="7">
        <v>3.8710642165922149</v>
      </c>
      <c r="I169" s="7">
        <v>3.8710642165922149</v>
      </c>
      <c r="J169" s="7">
        <v>3.8710642165922149</v>
      </c>
      <c r="K169" s="7">
        <v>3.7895032807479305</v>
      </c>
      <c r="L169" s="7">
        <v>3.7895032807479305</v>
      </c>
      <c r="M169" s="7">
        <v>3.7895032807479305</v>
      </c>
      <c r="N169" s="7">
        <f t="shared" si="55"/>
        <v>3.7673803156838583</v>
      </c>
      <c r="Q169"/>
    </row>
    <row r="170" spans="1:17" x14ac:dyDescent="0.35">
      <c r="A170" s="5" t="s">
        <v>25</v>
      </c>
      <c r="B170" s="7">
        <v>8.7195491818423871</v>
      </c>
      <c r="C170" s="7">
        <v>8.7195491818423871</v>
      </c>
      <c r="D170" s="7">
        <v>8.7195491818423871</v>
      </c>
      <c r="E170" s="7">
        <v>7.3393185382452959</v>
      </c>
      <c r="F170" s="7">
        <v>7.3393185382452959</v>
      </c>
      <c r="G170" s="7">
        <v>7.3393185382452959</v>
      </c>
      <c r="H170" s="7">
        <v>9.7584776408271328</v>
      </c>
      <c r="I170" s="7">
        <v>9.7584776408271328</v>
      </c>
      <c r="J170" s="7">
        <v>9.7584776408271328</v>
      </c>
      <c r="K170" s="7">
        <v>8.7195491818423871</v>
      </c>
      <c r="L170" s="7">
        <v>8.7195491818423871</v>
      </c>
      <c r="M170" s="7">
        <v>8.7195491818423871</v>
      </c>
      <c r="N170" s="7">
        <f t="shared" si="55"/>
        <v>8.6903071606236697</v>
      </c>
      <c r="Q170"/>
    </row>
    <row r="171" spans="1:17" x14ac:dyDescent="0.35">
      <c r="A171" s="5" t="s">
        <v>38</v>
      </c>
      <c r="B171" s="7">
        <v>4.7164104927112831</v>
      </c>
      <c r="C171" s="7">
        <v>4.7164104927112831</v>
      </c>
      <c r="D171" s="7">
        <v>4.7164104927112831</v>
      </c>
      <c r="E171" s="7">
        <v>4.4046786506879778</v>
      </c>
      <c r="F171" s="7">
        <v>4.4046786506879778</v>
      </c>
      <c r="G171" s="7">
        <v>4.4046786506879778</v>
      </c>
      <c r="H171" s="7">
        <v>5.0328878476112884</v>
      </c>
      <c r="I171" s="7">
        <v>5.0328878476112884</v>
      </c>
      <c r="J171" s="7">
        <v>5.0328878476112884</v>
      </c>
      <c r="K171" s="7">
        <v>4.7164104927112831</v>
      </c>
      <c r="L171" s="7">
        <v>4.7164104927112831</v>
      </c>
      <c r="M171" s="7">
        <v>4.7164104927112831</v>
      </c>
      <c r="N171" s="7">
        <f t="shared" si="55"/>
        <v>4.734175124469358</v>
      </c>
      <c r="Q171"/>
    </row>
    <row r="173" spans="1:17" x14ac:dyDescent="0.35">
      <c r="A173" s="6" t="s">
        <v>87</v>
      </c>
      <c r="B173" s="6" t="s">
        <v>1</v>
      </c>
      <c r="C173" s="6" t="s">
        <v>2</v>
      </c>
      <c r="D173" s="6" t="s">
        <v>3</v>
      </c>
      <c r="E173" s="6" t="s">
        <v>4</v>
      </c>
      <c r="F173" s="6" t="s">
        <v>5</v>
      </c>
      <c r="G173" s="6" t="s">
        <v>6</v>
      </c>
      <c r="H173" s="6" t="s">
        <v>7</v>
      </c>
      <c r="I173" s="6" t="s">
        <v>8</v>
      </c>
      <c r="J173" s="6" t="s">
        <v>9</v>
      </c>
      <c r="K173" s="6" t="s">
        <v>10</v>
      </c>
      <c r="L173" s="6" t="s">
        <v>11</v>
      </c>
      <c r="M173" s="6" t="s">
        <v>12</v>
      </c>
      <c r="N173" s="6" t="s">
        <v>13</v>
      </c>
      <c r="Q173"/>
    </row>
    <row r="174" spans="1:17" x14ac:dyDescent="0.35">
      <c r="A174" s="9" t="s">
        <v>14</v>
      </c>
      <c r="B174" s="10">
        <f t="shared" ref="B174:N174" si="56">SUM(B175:B175)</f>
        <v>0</v>
      </c>
      <c r="C174" s="10">
        <f t="shared" si="56"/>
        <v>0</v>
      </c>
      <c r="D174" s="10">
        <f t="shared" si="56"/>
        <v>129</v>
      </c>
      <c r="E174" s="10">
        <f t="shared" si="56"/>
        <v>535</v>
      </c>
      <c r="F174" s="10">
        <f t="shared" si="56"/>
        <v>542</v>
      </c>
      <c r="G174" s="10">
        <f t="shared" si="56"/>
        <v>543</v>
      </c>
      <c r="H174" s="10">
        <f t="shared" si="56"/>
        <v>586</v>
      </c>
      <c r="I174" s="10">
        <f t="shared" si="56"/>
        <v>594</v>
      </c>
      <c r="J174" s="10">
        <f t="shared" si="56"/>
        <v>578</v>
      </c>
      <c r="K174" s="10">
        <f t="shared" si="56"/>
        <v>752</v>
      </c>
      <c r="L174" s="10">
        <f t="shared" si="56"/>
        <v>682</v>
      </c>
      <c r="M174" s="10">
        <f t="shared" si="56"/>
        <v>742.5</v>
      </c>
      <c r="N174" s="10">
        <f t="shared" si="56"/>
        <v>5683.5</v>
      </c>
      <c r="P174" s="1" t="s">
        <v>61</v>
      </c>
      <c r="Q174"/>
    </row>
    <row r="175" spans="1:17" x14ac:dyDescent="0.35">
      <c r="A175" s="5" t="s">
        <v>59</v>
      </c>
      <c r="B175" s="8">
        <v>0</v>
      </c>
      <c r="C175" s="8">
        <v>0</v>
      </c>
      <c r="D175" s="8">
        <v>129</v>
      </c>
      <c r="E175" s="8">
        <v>535</v>
      </c>
      <c r="F175" s="8">
        <v>542</v>
      </c>
      <c r="G175" s="8">
        <v>543</v>
      </c>
      <c r="H175" s="8">
        <v>586</v>
      </c>
      <c r="I175" s="8">
        <v>594</v>
      </c>
      <c r="J175" s="8">
        <v>578</v>
      </c>
      <c r="K175" s="8">
        <v>752</v>
      </c>
      <c r="L175" s="8">
        <v>682</v>
      </c>
      <c r="M175" s="8">
        <v>742.5</v>
      </c>
      <c r="N175" s="8">
        <f>SUM(B175:M175)</f>
        <v>5683.5</v>
      </c>
      <c r="Q175"/>
    </row>
    <row r="176" spans="1:17" x14ac:dyDescent="0.35">
      <c r="A176" s="9" t="s">
        <v>17</v>
      </c>
      <c r="B176" s="10">
        <f t="shared" ref="B176:N176" si="57">SUM(B177:B177)</f>
        <v>0</v>
      </c>
      <c r="C176" s="10">
        <f t="shared" si="57"/>
        <v>0</v>
      </c>
      <c r="D176" s="10">
        <f t="shared" si="57"/>
        <v>0</v>
      </c>
      <c r="E176" s="10">
        <f t="shared" si="57"/>
        <v>0</v>
      </c>
      <c r="F176" s="10">
        <f t="shared" si="57"/>
        <v>25</v>
      </c>
      <c r="G176" s="10">
        <f t="shared" si="57"/>
        <v>55</v>
      </c>
      <c r="H176" s="10">
        <f t="shared" si="57"/>
        <v>60</v>
      </c>
      <c r="I176" s="10">
        <f t="shared" si="57"/>
        <v>60</v>
      </c>
      <c r="J176" s="10">
        <f t="shared" si="57"/>
        <v>55</v>
      </c>
      <c r="K176" s="10">
        <f t="shared" si="57"/>
        <v>65</v>
      </c>
      <c r="L176" s="10">
        <f t="shared" si="57"/>
        <v>65</v>
      </c>
      <c r="M176" s="10">
        <f t="shared" si="57"/>
        <v>65</v>
      </c>
      <c r="N176" s="10">
        <f t="shared" si="57"/>
        <v>450</v>
      </c>
      <c r="Q176"/>
    </row>
    <row r="177" spans="1:17" x14ac:dyDescent="0.35">
      <c r="A177" s="5" t="s">
        <v>59</v>
      </c>
      <c r="B177" s="8">
        <v>0</v>
      </c>
      <c r="C177" s="8">
        <v>0</v>
      </c>
      <c r="D177" s="8">
        <v>0</v>
      </c>
      <c r="E177" s="8">
        <v>0</v>
      </c>
      <c r="F177" s="8">
        <v>25</v>
      </c>
      <c r="G177" s="8">
        <v>55</v>
      </c>
      <c r="H177" s="8">
        <v>60</v>
      </c>
      <c r="I177" s="8">
        <v>60</v>
      </c>
      <c r="J177" s="8">
        <v>55</v>
      </c>
      <c r="K177" s="8">
        <v>65</v>
      </c>
      <c r="L177" s="8">
        <v>65</v>
      </c>
      <c r="M177" s="8">
        <v>65</v>
      </c>
      <c r="N177" s="8">
        <f>SUM(B177:M177)</f>
        <v>450</v>
      </c>
      <c r="Q177"/>
    </row>
    <row r="178" spans="1:17" x14ac:dyDescent="0.35">
      <c r="A178" s="9" t="s">
        <v>43</v>
      </c>
      <c r="B178" s="11" t="e">
        <f t="shared" ref="B178:N178" si="58">B174/B176</f>
        <v>#DIV/0!</v>
      </c>
      <c r="C178" s="11" t="e">
        <f t="shared" si="58"/>
        <v>#DIV/0!</v>
      </c>
      <c r="D178" s="11" t="e">
        <f t="shared" si="58"/>
        <v>#DIV/0!</v>
      </c>
      <c r="E178" s="11" t="e">
        <f t="shared" si="58"/>
        <v>#DIV/0!</v>
      </c>
      <c r="F178" s="11">
        <f t="shared" si="58"/>
        <v>21.68</v>
      </c>
      <c r="G178" s="11">
        <f t="shared" si="58"/>
        <v>9.872727272727273</v>
      </c>
      <c r="H178" s="11">
        <f t="shared" si="58"/>
        <v>9.7666666666666675</v>
      </c>
      <c r="I178" s="11">
        <f t="shared" si="58"/>
        <v>9.9</v>
      </c>
      <c r="J178" s="11">
        <f t="shared" si="58"/>
        <v>10.50909090909091</v>
      </c>
      <c r="K178" s="11">
        <f t="shared" si="58"/>
        <v>11.569230769230769</v>
      </c>
      <c r="L178" s="11">
        <f t="shared" si="58"/>
        <v>10.492307692307692</v>
      </c>
      <c r="M178" s="11">
        <f t="shared" si="58"/>
        <v>11.423076923076923</v>
      </c>
      <c r="N178" s="11">
        <f t="shared" si="58"/>
        <v>12.63</v>
      </c>
      <c r="Q178"/>
    </row>
    <row r="179" spans="1:17" x14ac:dyDescent="0.35">
      <c r="A179" s="9" t="s">
        <v>34</v>
      </c>
      <c r="B179" s="11" t="e">
        <f t="shared" ref="B179:N179" si="59">B174/B180</f>
        <v>#DIV/0!</v>
      </c>
      <c r="C179" s="11" t="e">
        <f t="shared" si="59"/>
        <v>#DIV/0!</v>
      </c>
      <c r="D179" s="11" t="e">
        <f t="shared" si="59"/>
        <v>#DIV/0!</v>
      </c>
      <c r="E179" s="11" t="e">
        <f t="shared" si="59"/>
        <v>#DIV/0!</v>
      </c>
      <c r="F179" s="10">
        <f t="shared" si="59"/>
        <v>31.882352941176471</v>
      </c>
      <c r="G179" s="11">
        <f t="shared" si="59"/>
        <v>14.675675675675675</v>
      </c>
      <c r="H179" s="11">
        <f t="shared" si="59"/>
        <v>14.65</v>
      </c>
      <c r="I179" s="11">
        <f t="shared" si="59"/>
        <v>14.85</v>
      </c>
      <c r="J179" s="11">
        <f t="shared" si="59"/>
        <v>15.621621621621621</v>
      </c>
      <c r="K179" s="11">
        <f t="shared" si="59"/>
        <v>17.488372093023255</v>
      </c>
      <c r="L179" s="11">
        <f t="shared" si="59"/>
        <v>15.86046511627907</v>
      </c>
      <c r="M179" s="11">
        <f t="shared" si="59"/>
        <v>17.267441860465116</v>
      </c>
      <c r="N179" s="11">
        <f t="shared" si="59"/>
        <v>18.945</v>
      </c>
      <c r="Q179"/>
    </row>
    <row r="180" spans="1:17" x14ac:dyDescent="0.35">
      <c r="A180" s="9" t="s">
        <v>47</v>
      </c>
      <c r="B180" s="10">
        <v>0</v>
      </c>
      <c r="C180" s="10">
        <v>0</v>
      </c>
      <c r="D180" s="10">
        <v>0</v>
      </c>
      <c r="E180" s="10">
        <v>0</v>
      </c>
      <c r="F180" s="10">
        <v>17</v>
      </c>
      <c r="G180" s="10">
        <v>37</v>
      </c>
      <c r="H180" s="10">
        <v>40</v>
      </c>
      <c r="I180" s="10">
        <v>40</v>
      </c>
      <c r="J180" s="10">
        <v>37</v>
      </c>
      <c r="K180" s="10">
        <v>43</v>
      </c>
      <c r="L180" s="10">
        <v>43</v>
      </c>
      <c r="M180" s="10">
        <v>43</v>
      </c>
      <c r="N180" s="10">
        <f>SUM(B180:M180)</f>
        <v>300</v>
      </c>
      <c r="Q180"/>
    </row>
    <row r="181" spans="1:17" x14ac:dyDescent="0.35">
      <c r="A181" s="5" t="s">
        <v>88</v>
      </c>
      <c r="B181" s="8">
        <v>0</v>
      </c>
      <c r="C181" s="8">
        <v>0</v>
      </c>
      <c r="D181" s="8">
        <v>0</v>
      </c>
      <c r="E181" s="8">
        <v>0</v>
      </c>
      <c r="F181" s="8">
        <v>6479.8735513063575</v>
      </c>
      <c r="G181" s="8">
        <v>6587.4532361428255</v>
      </c>
      <c r="H181" s="8">
        <v>6598.4996530979815</v>
      </c>
      <c r="I181" s="8">
        <v>6640.8571020106665</v>
      </c>
      <c r="J181" s="8">
        <v>6546.9131928299039</v>
      </c>
      <c r="K181" s="8">
        <v>6622.554164152155</v>
      </c>
      <c r="L181" s="8">
        <v>6577.0751977468653</v>
      </c>
      <c r="M181" s="8">
        <v>6514.6913723446387</v>
      </c>
      <c r="N181" s="8">
        <f>SUMPRODUCT(B181:M181,$B$166:$M$166)/SUM($B$166:$M$166)</f>
        <v>5016.4002721866818</v>
      </c>
      <c r="Q181"/>
    </row>
    <row r="182" spans="1:17" x14ac:dyDescent="0.35">
      <c r="A182" s="5" t="s">
        <v>22</v>
      </c>
      <c r="B182" s="7">
        <v>0</v>
      </c>
      <c r="C182" s="7">
        <v>0</v>
      </c>
      <c r="D182" s="7">
        <v>0</v>
      </c>
      <c r="E182" s="7">
        <v>0</v>
      </c>
      <c r="F182" s="7">
        <v>1.1963137977016487</v>
      </c>
      <c r="G182" s="7">
        <v>1.2297945486871629</v>
      </c>
      <c r="H182" s="7">
        <v>1.1899371525763407</v>
      </c>
      <c r="I182" s="7">
        <v>1.1598452095168732</v>
      </c>
      <c r="J182" s="7">
        <v>1.043069152154005</v>
      </c>
      <c r="K182" s="7">
        <v>1.0998599026215141</v>
      </c>
      <c r="L182" s="7">
        <v>1.0171850237389215</v>
      </c>
      <c r="M182" s="7">
        <v>0.99868824240130705</v>
      </c>
      <c r="N182" s="7">
        <f t="shared" ref="N182:N185" si="60">SUMPRODUCT(B182:M182,$B$166:$M$166)/SUM($B$166:$M$166)</f>
        <v>0.85231442995617068</v>
      </c>
      <c r="Q182"/>
    </row>
    <row r="183" spans="1:17" x14ac:dyDescent="0.35">
      <c r="A183" s="5" t="s">
        <v>23</v>
      </c>
      <c r="B183" s="7">
        <v>0</v>
      </c>
      <c r="C183" s="7">
        <v>0</v>
      </c>
      <c r="D183" s="7">
        <v>0</v>
      </c>
      <c r="E183" s="7">
        <v>0</v>
      </c>
      <c r="F183" s="7">
        <v>6.1898218520392891</v>
      </c>
      <c r="G183" s="7">
        <v>6.1677029274238109</v>
      </c>
      <c r="H183" s="7">
        <v>6.5216776272949577</v>
      </c>
      <c r="I183" s="7">
        <v>6.2198206941014229</v>
      </c>
      <c r="J183" s="7">
        <v>5.4980496011602895</v>
      </c>
      <c r="K183" s="7">
        <v>6.2002253394155238</v>
      </c>
      <c r="L183" s="7">
        <v>5.4953496668146338</v>
      </c>
      <c r="M183" s="7">
        <v>5.9413443801343009</v>
      </c>
      <c r="N183" s="7">
        <f t="shared" si="60"/>
        <v>4.6059680600780979</v>
      </c>
      <c r="Q183"/>
    </row>
    <row r="184" spans="1:17" x14ac:dyDescent="0.35">
      <c r="A184" s="5" t="s">
        <v>38</v>
      </c>
      <c r="B184" s="7"/>
      <c r="C184" s="7"/>
      <c r="D184" s="7"/>
      <c r="E184" s="7">
        <v>0</v>
      </c>
      <c r="F184" s="7">
        <v>8.6260324569665645</v>
      </c>
      <c r="G184" s="7">
        <v>7.4000020850870269</v>
      </c>
      <c r="H184" s="7">
        <v>6.7387324662647368</v>
      </c>
      <c r="I184" s="7">
        <v>6.6265738034878963</v>
      </c>
      <c r="J184" s="7">
        <v>8.5113001863496525</v>
      </c>
      <c r="K184" s="7">
        <v>6.8655051550811086</v>
      </c>
      <c r="L184" s="7">
        <v>8.0494777521544147</v>
      </c>
      <c r="M184" s="7">
        <v>8.4500340109166245</v>
      </c>
      <c r="N184" s="7">
        <f t="shared" si="60"/>
        <v>5.8143085963157821</v>
      </c>
      <c r="Q184"/>
    </row>
    <row r="185" spans="1:17" x14ac:dyDescent="0.35">
      <c r="A185" s="5" t="s">
        <v>25</v>
      </c>
      <c r="B185" s="7">
        <v>0</v>
      </c>
      <c r="C185" s="7">
        <v>0</v>
      </c>
      <c r="D185" s="7">
        <v>0</v>
      </c>
      <c r="E185" s="7">
        <v>0</v>
      </c>
      <c r="F185" s="7">
        <v>14.780549266908384</v>
      </c>
      <c r="G185" s="7">
        <v>14.414034145582065</v>
      </c>
      <c r="H185" s="7">
        <v>14.368264087092488</v>
      </c>
      <c r="I185" s="7">
        <v>14.399810935412955</v>
      </c>
      <c r="J185" s="7">
        <v>15.000279257794638</v>
      </c>
      <c r="K185" s="7">
        <v>14.384707966561351</v>
      </c>
      <c r="L185" s="7">
        <v>15.075931068448858</v>
      </c>
      <c r="M185" s="7">
        <v>15.09520006903829</v>
      </c>
      <c r="N185" s="7">
        <f t="shared" si="60"/>
        <v>11.20202059508415</v>
      </c>
      <c r="Q185"/>
    </row>
    <row r="186" spans="1:17" x14ac:dyDescent="0.35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</row>
    <row r="187" spans="1:17" x14ac:dyDescent="0.35">
      <c r="E187" s="12"/>
      <c r="H187" s="12"/>
      <c r="K187" s="12"/>
      <c r="N187" s="12"/>
    </row>
    <row r="188" spans="1:17" x14ac:dyDescent="0.35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</row>
    <row r="189" spans="1:17" x14ac:dyDescent="0.35">
      <c r="D189" s="12"/>
      <c r="E189" s="12"/>
      <c r="G189" s="12"/>
      <c r="H189" s="12"/>
      <c r="J189" s="12"/>
      <c r="K189" s="12"/>
      <c r="M189" s="12"/>
      <c r="N189" s="12"/>
    </row>
    <row r="190" spans="1:17" x14ac:dyDescent="0.35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</row>
    <row r="191" spans="1:17" x14ac:dyDescent="0.35">
      <c r="E191" s="12"/>
      <c r="H191" s="12"/>
      <c r="K191" s="12"/>
      <c r="N191" s="12"/>
    </row>
    <row r="192" spans="1:17" x14ac:dyDescent="0.35">
      <c r="B192" s="12"/>
      <c r="C192" s="12"/>
      <c r="D192" s="12"/>
      <c r="E192" s="13"/>
      <c r="F192" s="12"/>
      <c r="G192" s="12"/>
      <c r="H192" s="13"/>
      <c r="I192" s="12"/>
      <c r="J192" s="12"/>
      <c r="K192" s="13"/>
      <c r="L192" s="12"/>
      <c r="M192" s="12"/>
      <c r="N192" s="13"/>
    </row>
    <row r="193" spans="2:13" x14ac:dyDescent="0.35">
      <c r="D193" s="12"/>
      <c r="G193" s="12"/>
      <c r="J193" s="12"/>
      <c r="M193" s="12"/>
    </row>
    <row r="196" spans="2:13" x14ac:dyDescent="0.35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</row>
    <row r="197" spans="2:13" x14ac:dyDescent="0.35">
      <c r="D197" s="12"/>
      <c r="G197" s="12"/>
      <c r="J197" s="12"/>
      <c r="M197" s="12"/>
    </row>
    <row r="200" spans="2:13" x14ac:dyDescent="0.35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</row>
    <row r="201" spans="2:13" x14ac:dyDescent="0.35">
      <c r="D201" s="12"/>
      <c r="G201" s="12"/>
      <c r="J201" s="12"/>
      <c r="M201" s="12"/>
    </row>
    <row r="206" spans="2:13" x14ac:dyDescent="0.35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</row>
    <row r="207" spans="2:13" x14ac:dyDescent="0.35">
      <c r="D207" s="12"/>
      <c r="G207" s="12"/>
      <c r="J207" s="12"/>
      <c r="M207" s="12"/>
    </row>
    <row r="211" spans="2:13" x14ac:dyDescent="0.35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</row>
    <row r="212" spans="2:13" x14ac:dyDescent="0.35">
      <c r="D212" s="12"/>
      <c r="G212" s="12"/>
      <c r="J212" s="12"/>
      <c r="M212" s="12"/>
    </row>
  </sheetData>
  <pageMargins left="0.7" right="0.7" top="0.75" bottom="0.75" header="0.3" footer="0.3"/>
  <pageSetup paperSize="9" orientation="portrait" r:id="rId1"/>
  <ignoredErrors>
    <ignoredError sqref="N12 N17 N13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Q182"/>
  <sheetViews>
    <sheetView zoomScale="70" zoomScaleNormal="70" workbookViewId="0">
      <pane xSplit="1" ySplit="4" topLeftCell="B120" activePane="bottomRight" state="frozen"/>
      <selection pane="topRight" activeCell="B1" sqref="B1"/>
      <selection pane="bottomLeft" activeCell="A5" sqref="A5"/>
      <selection pane="bottomRight" activeCell="P133" sqref="P133"/>
    </sheetView>
  </sheetViews>
  <sheetFormatPr defaultColWidth="8.90625" defaultRowHeight="14.5" x14ac:dyDescent="0.35"/>
  <cols>
    <col min="1" max="1" width="27.453125" style="1" customWidth="1"/>
    <col min="2" max="13" width="11.81640625" style="1" bestFit="1" customWidth="1"/>
    <col min="14" max="14" width="13.36328125" style="1" customWidth="1"/>
    <col min="15" max="15" width="1.6328125" style="1" customWidth="1"/>
    <col min="16" max="16" width="13.6328125" style="1" customWidth="1"/>
    <col min="17" max="17" width="0" style="1" hidden="1" customWidth="1"/>
    <col min="18" max="16384" width="8.90625" style="1"/>
  </cols>
  <sheetData>
    <row r="1" spans="1:17" x14ac:dyDescent="0.35">
      <c r="A1" s="3" t="s">
        <v>92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7" x14ac:dyDescent="0.35"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7" ht="15.65" customHeight="1" x14ac:dyDescent="0.35">
      <c r="B3" s="4" t="s">
        <v>89</v>
      </c>
      <c r="C3" s="4" t="s">
        <v>89</v>
      </c>
      <c r="D3" s="4" t="s">
        <v>62</v>
      </c>
      <c r="E3" s="4" t="s">
        <v>62</v>
      </c>
      <c r="F3" s="4" t="s">
        <v>62</v>
      </c>
      <c r="G3" s="4" t="s">
        <v>62</v>
      </c>
      <c r="H3" s="4" t="s">
        <v>62</v>
      </c>
      <c r="I3" s="4" t="s">
        <v>62</v>
      </c>
      <c r="J3" s="4" t="s">
        <v>62</v>
      </c>
      <c r="K3" s="4" t="s">
        <v>62</v>
      </c>
      <c r="L3" s="4" t="s">
        <v>62</v>
      </c>
      <c r="M3" s="4" t="s">
        <v>62</v>
      </c>
      <c r="N3" s="4" t="s">
        <v>62</v>
      </c>
      <c r="O3" s="4"/>
      <c r="P3" s="4"/>
    </row>
    <row r="4" spans="1:17" x14ac:dyDescent="0.35">
      <c r="A4" s="6" t="s">
        <v>0</v>
      </c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6" t="s">
        <v>9</v>
      </c>
      <c r="K4" s="6" t="s">
        <v>10</v>
      </c>
      <c r="L4" s="6" t="s">
        <v>11</v>
      </c>
      <c r="M4" s="6" t="s">
        <v>12</v>
      </c>
      <c r="N4" s="6" t="s">
        <v>13</v>
      </c>
      <c r="O4" s="4"/>
      <c r="P4" s="6" t="s">
        <v>85</v>
      </c>
    </row>
    <row r="5" spans="1:17" s="2" customFormat="1" x14ac:dyDescent="0.35">
      <c r="A5" s="9" t="s">
        <v>14</v>
      </c>
      <c r="B5" s="10">
        <f t="shared" ref="B5:M5" si="0">SUM(B6:B7)</f>
        <v>6763.0375890000014</v>
      </c>
      <c r="C5" s="10">
        <f t="shared" si="0"/>
        <v>7421.6152662000004</v>
      </c>
      <c r="D5" s="10">
        <f t="shared" si="0"/>
        <v>6928.0568522232879</v>
      </c>
      <c r="E5" s="10">
        <f t="shared" si="0"/>
        <v>7858.73406421662</v>
      </c>
      <c r="F5" s="10">
        <f t="shared" si="0"/>
        <v>8278.4904739824015</v>
      </c>
      <c r="G5" s="10">
        <f t="shared" si="0"/>
        <v>7640.6139919246343</v>
      </c>
      <c r="H5" s="10">
        <f t="shared" si="0"/>
        <v>8789.2467888000028</v>
      </c>
      <c r="I5" s="10">
        <f t="shared" si="0"/>
        <v>8512.6790073979319</v>
      </c>
      <c r="J5" s="10">
        <f t="shared" si="0"/>
        <v>8487.7924339737674</v>
      </c>
      <c r="K5" s="10">
        <f t="shared" si="0"/>
        <v>8535.8485287755957</v>
      </c>
      <c r="L5" s="10">
        <f t="shared" si="0"/>
        <v>8050.3251215311539</v>
      </c>
      <c r="M5" s="10">
        <f t="shared" si="0"/>
        <v>7938.4760430238493</v>
      </c>
      <c r="N5" s="10">
        <f>SUM(B5:M5)</f>
        <v>95204.91616104923</v>
      </c>
      <c r="P5" s="10">
        <f>'Budget 2025'!N5</f>
        <v>94714.47819029224</v>
      </c>
      <c r="Q5" s="27">
        <f>N5/P5</f>
        <v>1.0051780675998832</v>
      </c>
    </row>
    <row r="6" spans="1:17" x14ac:dyDescent="0.35">
      <c r="A6" s="5" t="s">
        <v>15</v>
      </c>
      <c r="B6" s="30">
        <v>2244.6940840000002</v>
      </c>
      <c r="C6" s="30">
        <v>2827.0689547000002</v>
      </c>
      <c r="D6" s="8">
        <v>2409.1022626785166</v>
      </c>
      <c r="E6" s="8">
        <v>2781.4178359746898</v>
      </c>
      <c r="F6" s="8">
        <v>2942.6228065584</v>
      </c>
      <c r="G6" s="8">
        <v>2717.2507121960716</v>
      </c>
      <c r="H6" s="8">
        <v>3263.0353472739071</v>
      </c>
      <c r="I6" s="8">
        <v>3121.8470612055389</v>
      </c>
      <c r="J6" s="8">
        <v>2945.2593315881622</v>
      </c>
      <c r="K6" s="8">
        <v>2985.0425592829702</v>
      </c>
      <c r="L6" s="8">
        <v>2765.6591852385282</v>
      </c>
      <c r="M6" s="8">
        <v>2698.0785693334387</v>
      </c>
      <c r="N6" s="8">
        <f t="shared" ref="N6:N7" si="1">SUM(B6:M6)</f>
        <v>33701.078710030219</v>
      </c>
      <c r="P6" s="8">
        <f>'Budget 2025'!N6</f>
        <v>33532.659005910617</v>
      </c>
    </row>
    <row r="7" spans="1:17" x14ac:dyDescent="0.35">
      <c r="A7" s="5" t="s">
        <v>16</v>
      </c>
      <c r="B7" s="30">
        <v>4518.3435050000007</v>
      </c>
      <c r="C7" s="30">
        <v>4594.5463115000002</v>
      </c>
      <c r="D7" s="8">
        <v>4518.9545895447709</v>
      </c>
      <c r="E7" s="8">
        <v>5077.3162282419307</v>
      </c>
      <c r="F7" s="8">
        <v>5335.8676674240005</v>
      </c>
      <c r="G7" s="8">
        <v>4923.3632797285627</v>
      </c>
      <c r="H7" s="8">
        <v>5526.2114415260949</v>
      </c>
      <c r="I7" s="8">
        <v>5390.8319461923929</v>
      </c>
      <c r="J7" s="8">
        <v>5542.5331023856052</v>
      </c>
      <c r="K7" s="8">
        <v>5550.8059694926251</v>
      </c>
      <c r="L7" s="8">
        <v>5284.6659362926257</v>
      </c>
      <c r="M7" s="8">
        <v>5240.3974736904102</v>
      </c>
      <c r="N7" s="8">
        <f t="shared" si="1"/>
        <v>61503.837451019026</v>
      </c>
      <c r="P7" s="8">
        <f>'Budget 2025'!N7</f>
        <v>61181.819184381624</v>
      </c>
    </row>
    <row r="8" spans="1:17" s="2" customFormat="1" x14ac:dyDescent="0.35">
      <c r="A8" s="9" t="s">
        <v>17</v>
      </c>
      <c r="B8" s="10">
        <f>SUM(B9:B11)</f>
        <v>542.83357399999977</v>
      </c>
      <c r="C8" s="10">
        <f t="shared" ref="C8:N8" si="2">SUM(C9:C11)</f>
        <v>554.119505</v>
      </c>
      <c r="D8" s="10">
        <f t="shared" si="2"/>
        <v>552.66600625071692</v>
      </c>
      <c r="E8" s="10">
        <f t="shared" si="2"/>
        <v>545.00000001171747</v>
      </c>
      <c r="F8" s="10">
        <f t="shared" si="2"/>
        <v>545.00000001171747</v>
      </c>
      <c r="G8" s="10">
        <f t="shared" si="2"/>
        <v>545.00000001171747</v>
      </c>
      <c r="H8" s="10">
        <f t="shared" si="2"/>
        <v>610.00000001311491</v>
      </c>
      <c r="I8" s="10">
        <f t="shared" si="2"/>
        <v>625.00000001358012</v>
      </c>
      <c r="J8" s="10">
        <f t="shared" si="2"/>
        <v>625.00000001343744</v>
      </c>
      <c r="K8" s="10">
        <f t="shared" si="2"/>
        <v>625.00000001343756</v>
      </c>
      <c r="L8" s="10">
        <f t="shared" si="2"/>
        <v>625.00000001343756</v>
      </c>
      <c r="M8" s="10">
        <f t="shared" si="2"/>
        <v>627.88084007738337</v>
      </c>
      <c r="N8" s="10">
        <f t="shared" si="2"/>
        <v>7022.4999254302593</v>
      </c>
      <c r="P8" s="10">
        <f>'Budget 2025'!N8</f>
        <v>6950.0000001494245</v>
      </c>
      <c r="Q8" s="27">
        <f>N8/P8</f>
        <v>1.0104316439250758</v>
      </c>
    </row>
    <row r="9" spans="1:17" x14ac:dyDescent="0.35">
      <c r="A9" s="5" t="s">
        <v>15</v>
      </c>
      <c r="B9" s="30">
        <v>158.42587471319851</v>
      </c>
      <c r="C9" s="30">
        <v>192.5856716189881</v>
      </c>
      <c r="D9" s="8">
        <v>160.16063909214512</v>
      </c>
      <c r="E9" s="8">
        <v>150.00000000322498</v>
      </c>
      <c r="F9" s="8">
        <v>165.00000000354748</v>
      </c>
      <c r="G9" s="8">
        <v>140.00000000301</v>
      </c>
      <c r="H9" s="8">
        <v>155.20419968635554</v>
      </c>
      <c r="I9" s="8">
        <v>145.00000000311749</v>
      </c>
      <c r="J9" s="8">
        <v>130.00000000279499</v>
      </c>
      <c r="K9" s="8">
        <v>115.0000000024725</v>
      </c>
      <c r="L9" s="8">
        <v>107.00000000230051</v>
      </c>
      <c r="M9" s="8">
        <v>114.12318575605583</v>
      </c>
      <c r="N9" s="8">
        <f t="shared" ref="N9:N11" si="3">SUM(B9:M9)</f>
        <v>1732.4995708872113</v>
      </c>
      <c r="P9" s="8">
        <f>'Budget 2025'!N9</f>
        <v>1862.5000000400435</v>
      </c>
    </row>
    <row r="10" spans="1:17" x14ac:dyDescent="0.35">
      <c r="A10" s="5" t="s">
        <v>16</v>
      </c>
      <c r="B10" s="30">
        <v>384.40769928680129</v>
      </c>
      <c r="C10" s="30">
        <v>361.5338333810119</v>
      </c>
      <c r="D10" s="8">
        <v>392.5053671585718</v>
      </c>
      <c r="E10" s="8">
        <v>395.00000000849246</v>
      </c>
      <c r="F10" s="8">
        <v>380.00000000816999</v>
      </c>
      <c r="G10" s="8">
        <v>405.00000000870745</v>
      </c>
      <c r="H10" s="8">
        <v>454.79580032675938</v>
      </c>
      <c r="I10" s="8">
        <v>480.0000000104626</v>
      </c>
      <c r="J10" s="8">
        <v>495.00000001064245</v>
      </c>
      <c r="K10" s="8">
        <v>510.00000001096504</v>
      </c>
      <c r="L10" s="8">
        <v>518.00000001113699</v>
      </c>
      <c r="M10" s="8">
        <v>513.75765432132755</v>
      </c>
      <c r="N10" s="8">
        <f t="shared" si="3"/>
        <v>5290.0003545430482</v>
      </c>
      <c r="P10" s="8">
        <f>'Budget 2025'!N10</f>
        <v>5087.5000001093813</v>
      </c>
    </row>
    <row r="11" spans="1:17" x14ac:dyDescent="0.35">
      <c r="A11" s="5" t="s">
        <v>70</v>
      </c>
      <c r="B11" s="30">
        <v>0</v>
      </c>
      <c r="C11" s="30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f t="shared" si="3"/>
        <v>0</v>
      </c>
      <c r="P11" s="8">
        <f>'Budget 2025'!N11</f>
        <v>0</v>
      </c>
    </row>
    <row r="12" spans="1:17" s="2" customFormat="1" x14ac:dyDescent="0.35">
      <c r="A12" s="9" t="s">
        <v>18</v>
      </c>
      <c r="B12" s="11">
        <f t="shared" ref="B12:N12" si="4">B5/B8</f>
        <v>12.458768051439655</v>
      </c>
      <c r="C12" s="11">
        <f t="shared" si="4"/>
        <v>13.393528289894794</v>
      </c>
      <c r="D12" s="11">
        <f t="shared" si="4"/>
        <v>12.535702890834894</v>
      </c>
      <c r="E12" s="11">
        <f t="shared" si="4"/>
        <v>14.419695530362674</v>
      </c>
      <c r="F12" s="11">
        <f t="shared" si="4"/>
        <v>15.189890777622779</v>
      </c>
      <c r="G12" s="11">
        <f t="shared" si="4"/>
        <v>14.019475214239195</v>
      </c>
      <c r="H12" s="11">
        <f t="shared" si="4"/>
        <v>14.408601292804976</v>
      </c>
      <c r="I12" s="11">
        <f t="shared" si="4"/>
        <v>13.620286411540746</v>
      </c>
      <c r="J12" s="11">
        <f t="shared" si="4"/>
        <v>13.580467894066048</v>
      </c>
      <c r="K12" s="11">
        <f t="shared" si="4"/>
        <v>13.657357645747318</v>
      </c>
      <c r="L12" s="11">
        <f t="shared" si="4"/>
        <v>12.880520194172913</v>
      </c>
      <c r="M12" s="11">
        <f t="shared" si="4"/>
        <v>12.643284420090712</v>
      </c>
      <c r="N12" s="11">
        <f t="shared" si="4"/>
        <v>13.557125976788978</v>
      </c>
      <c r="P12" s="11">
        <f>'Budget 2025'!N12</f>
        <v>13.627982473130343</v>
      </c>
    </row>
    <row r="13" spans="1:17" s="2" customFormat="1" x14ac:dyDescent="0.35">
      <c r="A13" s="9" t="s">
        <v>19</v>
      </c>
      <c r="B13" s="10">
        <f>SUM(B14:B16)</f>
        <v>612.68292599999972</v>
      </c>
      <c r="C13" s="10">
        <f t="shared" ref="C13:M13" si="5">SUM(C14:C16)</f>
        <v>584.91494499999976</v>
      </c>
      <c r="D13" s="10">
        <f t="shared" si="5"/>
        <v>575</v>
      </c>
      <c r="E13" s="10">
        <f t="shared" si="5"/>
        <v>554.25000001171747</v>
      </c>
      <c r="F13" s="10">
        <f t="shared" si="5"/>
        <v>559.25000001171747</v>
      </c>
      <c r="G13" s="10">
        <f t="shared" si="5"/>
        <v>559.25000001171736</v>
      </c>
      <c r="H13" s="10">
        <f>SUM(H14:H16)</f>
        <v>625.75000001311491</v>
      </c>
      <c r="I13" s="10">
        <f t="shared" si="5"/>
        <v>637.75000001358012</v>
      </c>
      <c r="J13" s="10">
        <f t="shared" si="5"/>
        <v>637.75000001343756</v>
      </c>
      <c r="K13" s="10">
        <f t="shared" si="5"/>
        <v>607.00000001343756</v>
      </c>
      <c r="L13" s="10">
        <f t="shared" si="5"/>
        <v>607.00000001343744</v>
      </c>
      <c r="M13" s="10">
        <f t="shared" si="5"/>
        <v>574.40212889783891</v>
      </c>
      <c r="N13" s="10">
        <f>SUM(B13:M13)</f>
        <v>7135</v>
      </c>
      <c r="P13" s="10">
        <f>'Budget 2025'!N13</f>
        <v>7100.0000001494254</v>
      </c>
    </row>
    <row r="14" spans="1:17" x14ac:dyDescent="0.35">
      <c r="A14" s="5" t="s">
        <v>15</v>
      </c>
      <c r="B14" s="30">
        <v>203.84233071319855</v>
      </c>
      <c r="C14" s="30">
        <v>213.15935261898807</v>
      </c>
      <c r="D14" s="8">
        <v>160</v>
      </c>
      <c r="E14" s="8">
        <v>160.00000000322498</v>
      </c>
      <c r="F14" s="8">
        <v>165.00000000354748</v>
      </c>
      <c r="G14" s="8">
        <v>148.50000000301</v>
      </c>
      <c r="H14" s="8">
        <v>165.20419968635554</v>
      </c>
      <c r="I14" s="8">
        <v>145.00000000311749</v>
      </c>
      <c r="J14" s="8">
        <v>130.00000000279499</v>
      </c>
      <c r="K14" s="8">
        <v>100.0000000024725</v>
      </c>
      <c r="L14" s="8">
        <v>92.000000002300496</v>
      </c>
      <c r="M14" s="8">
        <v>47.294116960989442</v>
      </c>
      <c r="N14" s="8">
        <f t="shared" ref="N14:N15" si="6">SUM(B14:M14)</f>
        <v>1729.9999999999995</v>
      </c>
      <c r="P14" s="8">
        <f>'Budget 2025'!N14</f>
        <v>1862.5000000400439</v>
      </c>
    </row>
    <row r="15" spans="1:17" x14ac:dyDescent="0.35">
      <c r="A15" s="5" t="s">
        <v>16</v>
      </c>
      <c r="B15" s="30">
        <v>408.8405952868012</v>
      </c>
      <c r="C15" s="30">
        <v>371.7555923810117</v>
      </c>
      <c r="D15" s="8">
        <v>415</v>
      </c>
      <c r="E15" s="8">
        <v>390.00000000849246</v>
      </c>
      <c r="F15" s="8">
        <v>390.00000000816993</v>
      </c>
      <c r="G15" s="8">
        <v>406.50000000870739</v>
      </c>
      <c r="H15" s="8">
        <v>447.79580032675943</v>
      </c>
      <c r="I15" s="8">
        <v>480.0000000104626</v>
      </c>
      <c r="J15" s="8">
        <v>495.00000001064251</v>
      </c>
      <c r="K15" s="8">
        <v>494.25000001096504</v>
      </c>
      <c r="L15" s="8">
        <v>502.25000001113699</v>
      </c>
      <c r="M15" s="8">
        <v>514.35801193684949</v>
      </c>
      <c r="N15" s="8">
        <f t="shared" si="6"/>
        <v>5315.7499999999991</v>
      </c>
      <c r="P15" s="8">
        <f>'Budget 2025'!N15</f>
        <v>5110.0000001093813</v>
      </c>
    </row>
    <row r="16" spans="1:17" x14ac:dyDescent="0.35">
      <c r="A16" s="5" t="s">
        <v>68</v>
      </c>
      <c r="B16" s="30">
        <v>0</v>
      </c>
      <c r="C16" s="30">
        <v>0</v>
      </c>
      <c r="D16" s="14">
        <v>0</v>
      </c>
      <c r="E16" s="14">
        <v>4.25</v>
      </c>
      <c r="F16" s="14">
        <v>4.25</v>
      </c>
      <c r="G16" s="14">
        <v>4.25</v>
      </c>
      <c r="H16" s="14">
        <v>12.75</v>
      </c>
      <c r="I16" s="14">
        <v>12.75</v>
      </c>
      <c r="J16" s="14">
        <v>12.75</v>
      </c>
      <c r="K16" s="14">
        <v>12.75</v>
      </c>
      <c r="L16" s="14">
        <v>12.75</v>
      </c>
      <c r="M16" s="14">
        <v>12.75</v>
      </c>
      <c r="N16" s="8">
        <f t="shared" ref="N16" si="7">N48</f>
        <v>89.25</v>
      </c>
      <c r="P16" s="14">
        <f>'Budget 2025'!N48</f>
        <v>127.5</v>
      </c>
    </row>
    <row r="17" spans="1:16" s="2" customFormat="1" x14ac:dyDescent="0.35">
      <c r="A17" s="9" t="s">
        <v>20</v>
      </c>
      <c r="B17" s="11">
        <f>B5/B13</f>
        <v>11.03839735367459</v>
      </c>
      <c r="C17" s="11">
        <f t="shared" ref="C17:N17" si="8">C5/C13</f>
        <v>12.688366624313222</v>
      </c>
      <c r="D17" s="11">
        <f t="shared" si="8"/>
        <v>12.048794525605718</v>
      </c>
      <c r="E17" s="11">
        <f t="shared" si="8"/>
        <v>14.179042064141592</v>
      </c>
      <c r="F17" s="11">
        <f t="shared" si="8"/>
        <v>14.802843940650781</v>
      </c>
      <c r="G17" s="11">
        <f t="shared" si="8"/>
        <v>13.662251214599104</v>
      </c>
      <c r="H17" s="11">
        <f t="shared" si="8"/>
        <v>14.045939734104341</v>
      </c>
      <c r="I17" s="11">
        <f t="shared" si="8"/>
        <v>13.347987467215468</v>
      </c>
      <c r="J17" s="11">
        <f t="shared" si="8"/>
        <v>13.30896500791051</v>
      </c>
      <c r="K17" s="11">
        <f t="shared" si="8"/>
        <v>14.062353424360184</v>
      </c>
      <c r="L17" s="11">
        <f t="shared" si="8"/>
        <v>13.262479606841746</v>
      </c>
      <c r="M17" s="11">
        <f t="shared" si="8"/>
        <v>13.820415426133906</v>
      </c>
      <c r="N17" s="11">
        <f t="shared" si="8"/>
        <v>13.343365965108511</v>
      </c>
      <c r="P17" s="11">
        <f>'Budget 2025'!N17</f>
        <v>13.340067350464633</v>
      </c>
    </row>
    <row r="18" spans="1:16" s="2" customFormat="1" x14ac:dyDescent="0.35">
      <c r="A18" s="9" t="s">
        <v>21</v>
      </c>
      <c r="B18" s="10">
        <v>146.18254208761763</v>
      </c>
      <c r="C18" s="10">
        <v>147.46076008666739</v>
      </c>
      <c r="D18" s="10">
        <v>100</v>
      </c>
      <c r="E18" s="10">
        <v>100.30131206519333</v>
      </c>
      <c r="F18" s="10">
        <v>120.2849467939586</v>
      </c>
      <c r="G18" s="10">
        <v>71.061875888291155</v>
      </c>
      <c r="H18" s="10">
        <v>89.71372152081014</v>
      </c>
      <c r="I18" s="10">
        <v>67.284592366833962</v>
      </c>
      <c r="J18" s="10">
        <v>60.509719918717295</v>
      </c>
      <c r="K18" s="10">
        <v>61.665056914269833</v>
      </c>
      <c r="L18" s="10">
        <v>61.956538177730231</v>
      </c>
      <c r="M18" s="10">
        <v>47.294116960989442</v>
      </c>
      <c r="N18" s="10">
        <f>SUM(B18:M18)</f>
        <v>1073.7151827810792</v>
      </c>
      <c r="P18" s="10">
        <f>'Budget 2025'!N18</f>
        <v>1228.8031519784099</v>
      </c>
    </row>
    <row r="19" spans="1:16" x14ac:dyDescent="0.35">
      <c r="A19" s="5" t="s">
        <v>60</v>
      </c>
      <c r="B19" s="30">
        <v>6193.987914326698</v>
      </c>
      <c r="C19" s="30">
        <v>6105.8161591164117</v>
      </c>
      <c r="D19" s="8">
        <v>5957.0395137650876</v>
      </c>
      <c r="E19" s="8">
        <v>6127.1508981676006</v>
      </c>
      <c r="F19" s="8">
        <v>6103.1741043217644</v>
      </c>
      <c r="G19" s="8">
        <v>6195.4139077720674</v>
      </c>
      <c r="H19" s="8">
        <v>6271.7250086133663</v>
      </c>
      <c r="I19" s="8">
        <v>6387.6667320900515</v>
      </c>
      <c r="J19" s="8">
        <v>6374.9064664787247</v>
      </c>
      <c r="K19" s="8">
        <v>6397.4402702737907</v>
      </c>
      <c r="L19" s="8">
        <v>6235.9722327458685</v>
      </c>
      <c r="M19" s="8">
        <v>6215.3926399632692</v>
      </c>
      <c r="N19" s="14">
        <f>SUMPRODUCT(B19:M19,$B$18:$M$18)/SUM($B$18:$M$18)</f>
        <v>6187.3657502948054</v>
      </c>
      <c r="P19" s="8">
        <f>'Budget 2025'!N19</f>
        <v>6169.7769053579887</v>
      </c>
    </row>
    <row r="20" spans="1:16" x14ac:dyDescent="0.35">
      <c r="A20" s="5" t="s">
        <v>22</v>
      </c>
      <c r="B20" s="31">
        <v>0.61677596776492993</v>
      </c>
      <c r="C20" s="31">
        <v>0.68122223090752754</v>
      </c>
      <c r="D20" s="7">
        <v>0.6435637337470187</v>
      </c>
      <c r="E20" s="7">
        <v>0.79948731144099383</v>
      </c>
      <c r="F20" s="7">
        <v>0.80959162280058328</v>
      </c>
      <c r="G20" s="7">
        <v>0.79806691070009383</v>
      </c>
      <c r="H20" s="7">
        <v>0.79594455955022592</v>
      </c>
      <c r="I20" s="7">
        <v>0.79698342765969288</v>
      </c>
      <c r="J20" s="7">
        <v>0.79960709449365663</v>
      </c>
      <c r="K20" s="7">
        <v>0.8594511114448028</v>
      </c>
      <c r="L20" s="7">
        <v>0.86911957588364019</v>
      </c>
      <c r="M20" s="7">
        <v>0.85704352758266322</v>
      </c>
      <c r="N20" s="15">
        <f t="shared" ref="N20:N23" si="9">SUMPRODUCT(B20:M20,$B$18:$M$18)/SUM($B$18:$M$18)</f>
        <v>0.75443653047531356</v>
      </c>
      <c r="P20" s="7">
        <f>'Budget 2025'!N20</f>
        <v>0.81080180973763216</v>
      </c>
    </row>
    <row r="21" spans="1:16" x14ac:dyDescent="0.35">
      <c r="A21" s="5" t="s">
        <v>23</v>
      </c>
      <c r="B21" s="31">
        <v>8.4183399989495094</v>
      </c>
      <c r="C21" s="31">
        <v>8.3936009536465264</v>
      </c>
      <c r="D21" s="7">
        <v>8.8731660886906276</v>
      </c>
      <c r="E21" s="7">
        <v>8.9114815009702699</v>
      </c>
      <c r="F21" s="7">
        <v>8.2735966004395465</v>
      </c>
      <c r="G21" s="7">
        <v>8.2745159805577675</v>
      </c>
      <c r="H21" s="7">
        <v>8.350527576927508</v>
      </c>
      <c r="I21" s="7">
        <v>7.9801167971454348</v>
      </c>
      <c r="J21" s="7">
        <v>7.9678795986958537</v>
      </c>
      <c r="K21" s="7">
        <v>8.2834772286048892</v>
      </c>
      <c r="L21" s="7">
        <v>8.2822457915826568</v>
      </c>
      <c r="M21" s="7">
        <v>8.2328282978840512</v>
      </c>
      <c r="N21" s="15">
        <f t="shared" si="9"/>
        <v>8.3953525139611784</v>
      </c>
      <c r="P21" s="7">
        <f>'Budget 2025'!N21</f>
        <v>8.3745644868486551</v>
      </c>
    </row>
    <row r="22" spans="1:16" x14ac:dyDescent="0.35">
      <c r="A22" s="5" t="s">
        <v>24</v>
      </c>
      <c r="B22" s="31">
        <v>8.6372077946439969</v>
      </c>
      <c r="C22" s="31">
        <v>9.424192370827793</v>
      </c>
      <c r="D22" s="7">
        <v>9.142786986011755</v>
      </c>
      <c r="E22" s="7">
        <v>8.4584095798174541</v>
      </c>
      <c r="F22" s="7">
        <v>8.6669311517890701</v>
      </c>
      <c r="G22" s="7">
        <v>8.4669602549748575</v>
      </c>
      <c r="H22" s="7">
        <v>7.9067084250202262</v>
      </c>
      <c r="I22" s="7">
        <v>7.0178388148830981</v>
      </c>
      <c r="J22" s="7">
        <v>7.1238158744048095</v>
      </c>
      <c r="K22" s="7">
        <v>7.1420482868566175</v>
      </c>
      <c r="L22" s="7">
        <v>7.0670906206206388</v>
      </c>
      <c r="M22" s="7">
        <v>7.6852532633283905</v>
      </c>
      <c r="N22" s="15">
        <f t="shared" si="9"/>
        <v>8.3015335253736691</v>
      </c>
      <c r="P22" s="7">
        <f>'Budget 2025'!N22</f>
        <v>8.0403443049370615</v>
      </c>
    </row>
    <row r="23" spans="1:16" x14ac:dyDescent="0.35">
      <c r="A23" s="5" t="s">
        <v>25</v>
      </c>
      <c r="B23" s="31">
        <v>11.489526228511828</v>
      </c>
      <c r="C23" s="31">
        <v>12.325214883139218</v>
      </c>
      <c r="D23" s="7">
        <v>14.09402798348504</v>
      </c>
      <c r="E23" s="7">
        <v>13.483771898658034</v>
      </c>
      <c r="F23" s="7">
        <v>13.692293470629648</v>
      </c>
      <c r="G23" s="7">
        <v>13.492322573815438</v>
      </c>
      <c r="H23" s="7">
        <v>12.932070743860805</v>
      </c>
      <c r="I23" s="7">
        <v>12.043201133723679</v>
      </c>
      <c r="J23" s="7">
        <v>12.149178193245387</v>
      </c>
      <c r="K23" s="7">
        <v>12.167410605697198</v>
      </c>
      <c r="L23" s="7">
        <v>12.092452939461218</v>
      </c>
      <c r="M23" s="7">
        <v>12.710615582168971</v>
      </c>
      <c r="N23" s="15">
        <f t="shared" si="9"/>
        <v>12.732389978878727</v>
      </c>
      <c r="P23" s="7">
        <f>'Budget 2025'!N23</f>
        <v>13.065706623777643</v>
      </c>
    </row>
    <row r="24" spans="1:16" s="2" customFormat="1" x14ac:dyDescent="0.35">
      <c r="A24" s="9" t="s">
        <v>26</v>
      </c>
      <c r="B24" s="10">
        <v>57.659788625580923</v>
      </c>
      <c r="C24" s="10">
        <v>65.69859253232066</v>
      </c>
      <c r="D24" s="10">
        <v>60</v>
      </c>
      <c r="E24" s="10">
        <v>59.698687938031668</v>
      </c>
      <c r="F24" s="10">
        <v>44.715053209588895</v>
      </c>
      <c r="G24" s="10">
        <v>77.43812411471886</v>
      </c>
      <c r="H24" s="10">
        <v>75.490478165545397</v>
      </c>
      <c r="I24" s="10">
        <v>77.715407636283516</v>
      </c>
      <c r="J24" s="10">
        <v>69.49028008407771</v>
      </c>
      <c r="K24" s="10">
        <v>38.334943088202671</v>
      </c>
      <c r="L24" s="10">
        <v>30.043461824570265</v>
      </c>
      <c r="M24" s="10">
        <v>0</v>
      </c>
      <c r="N24" s="10">
        <f>SUM(B24:M24)</f>
        <v>656.28481721892047</v>
      </c>
      <c r="P24" s="10">
        <f>'Budget 2025'!N24</f>
        <v>633.69684806163377</v>
      </c>
    </row>
    <row r="25" spans="1:16" x14ac:dyDescent="0.35">
      <c r="A25" s="5" t="s">
        <v>60</v>
      </c>
      <c r="B25" s="30">
        <v>5947.3931547538068</v>
      </c>
      <c r="C25" s="30">
        <v>5939.4464545088622</v>
      </c>
      <c r="D25" s="8">
        <v>5949.7232256701373</v>
      </c>
      <c r="E25" s="8">
        <v>5979.4143341031549</v>
      </c>
      <c r="F25" s="8">
        <v>5922.9506352966509</v>
      </c>
      <c r="G25" s="8">
        <v>5905.9183378672869</v>
      </c>
      <c r="H25" s="8">
        <v>5962.1308007127254</v>
      </c>
      <c r="I25" s="8">
        <v>5929.9035484588867</v>
      </c>
      <c r="J25" s="8">
        <v>6005.5198212395453</v>
      </c>
      <c r="K25" s="8">
        <v>5910.474576154973</v>
      </c>
      <c r="L25" s="8">
        <v>5956.9448123839056</v>
      </c>
      <c r="M25" s="8">
        <v>0</v>
      </c>
      <c r="N25" s="14">
        <f>SUMPRODUCT(B25:M25,$B$24:$M$24)/SUM($B$24:$M$24)</f>
        <v>5947.2239152686225</v>
      </c>
      <c r="P25" s="8">
        <f>'Budget 2025'!N25</f>
        <v>5965.7827396699631</v>
      </c>
    </row>
    <row r="26" spans="1:16" x14ac:dyDescent="0.35">
      <c r="A26" s="5" t="s">
        <v>22</v>
      </c>
      <c r="B26" s="31">
        <v>1.9789487701409629</v>
      </c>
      <c r="C26" s="31">
        <v>2.2887476533852658</v>
      </c>
      <c r="D26" s="7">
        <v>2.2418725491509655</v>
      </c>
      <c r="E26" s="7">
        <v>2.6288725017030208</v>
      </c>
      <c r="F26" s="7">
        <v>2.6138219573828039</v>
      </c>
      <c r="G26" s="7">
        <v>2.7715287432151658</v>
      </c>
      <c r="H26" s="7">
        <v>2.7619138197661033</v>
      </c>
      <c r="I26" s="7">
        <v>2.7008260313009225</v>
      </c>
      <c r="J26" s="7">
        <v>2.6091247654732062</v>
      </c>
      <c r="K26" s="7">
        <v>2.63662762088186</v>
      </c>
      <c r="L26" s="7">
        <v>2.5405787907244641</v>
      </c>
      <c r="M26" s="7">
        <v>0</v>
      </c>
      <c r="N26" s="15">
        <f t="shared" ref="N26:N28" si="10">SUMPRODUCT(B26:M26,$B$24:$M$24)/SUM($B$24:$M$24)</f>
        <v>2.5362929991425438</v>
      </c>
      <c r="P26" s="7">
        <f>'Budget 2025'!N26</f>
        <v>2.5790489447985023</v>
      </c>
    </row>
    <row r="27" spans="1:16" x14ac:dyDescent="0.35">
      <c r="A27" s="5" t="s">
        <v>23</v>
      </c>
      <c r="B27" s="31">
        <v>12.398871535373901</v>
      </c>
      <c r="C27" s="31">
        <v>11.628956260855835</v>
      </c>
      <c r="D27" s="7">
        <v>12.246911619328722</v>
      </c>
      <c r="E27" s="7">
        <v>13.360161836908906</v>
      </c>
      <c r="F27" s="7">
        <v>14.043064083384211</v>
      </c>
      <c r="G27" s="7">
        <v>14.510181576946358</v>
      </c>
      <c r="H27" s="7">
        <v>13.509719746036961</v>
      </c>
      <c r="I27" s="7">
        <v>14.343012972482946</v>
      </c>
      <c r="J27" s="7">
        <v>13.324646891323814</v>
      </c>
      <c r="K27" s="7">
        <v>14.445459978278997</v>
      </c>
      <c r="L27" s="7">
        <v>14.178063183860091</v>
      </c>
      <c r="M27" s="7">
        <v>0</v>
      </c>
      <c r="N27" s="15">
        <f t="shared" si="10"/>
        <v>13.413512400466104</v>
      </c>
      <c r="P27" s="7">
        <f>'Budget 2025'!N27</f>
        <v>13.960595439757462</v>
      </c>
    </row>
    <row r="28" spans="1:16" x14ac:dyDescent="0.35">
      <c r="A28" s="5" t="s">
        <v>24</v>
      </c>
      <c r="B28" s="31">
        <v>7.8249272357182269</v>
      </c>
      <c r="C28" s="31">
        <v>7.5595294489183651</v>
      </c>
      <c r="D28" s="7">
        <v>7.0457068034082821</v>
      </c>
      <c r="E28" s="7">
        <v>6.0471444951227404</v>
      </c>
      <c r="F28" s="7">
        <v>6.1119275600976533</v>
      </c>
      <c r="G28" s="7">
        <v>7.0494548441436384</v>
      </c>
      <c r="H28" s="7">
        <v>6.8342266733673309</v>
      </c>
      <c r="I28" s="7">
        <v>6.8366890448156932</v>
      </c>
      <c r="J28" s="7">
        <v>6.8309986931763298</v>
      </c>
      <c r="K28" s="7">
        <v>7.3539736774512452</v>
      </c>
      <c r="L28" s="7">
        <v>7.3361197741172859</v>
      </c>
      <c r="M28" s="7">
        <v>0</v>
      </c>
      <c r="N28" s="15">
        <f t="shared" si="10"/>
        <v>6.9710808868752752</v>
      </c>
      <c r="P28" s="7">
        <f>'Budget 2025'!N28</f>
        <v>6.7439986369460003</v>
      </c>
    </row>
    <row r="29" spans="1:16" x14ac:dyDescent="0.35">
      <c r="A29" s="5" t="s">
        <v>25</v>
      </c>
      <c r="B29" s="31">
        <v>10.91108071603858</v>
      </c>
      <c r="C29" s="31">
        <v>11.826968963278771</v>
      </c>
      <c r="D29" s="7">
        <v>11.813221441438802</v>
      </c>
      <c r="E29" s="7">
        <v>11.07250681396332</v>
      </c>
      <c r="F29" s="7">
        <v>11.137289878938232</v>
      </c>
      <c r="G29" s="7">
        <v>12.074817162984218</v>
      </c>
      <c r="H29" s="7">
        <v>11.859588992207909</v>
      </c>
      <c r="I29" s="7">
        <v>11.862051363656271</v>
      </c>
      <c r="J29" s="7">
        <v>11.85636101201691</v>
      </c>
      <c r="K29" s="7">
        <v>12.379335996291825</v>
      </c>
      <c r="L29" s="7">
        <v>12.361482092957864</v>
      </c>
      <c r="M29" s="7">
        <v>0</v>
      </c>
      <c r="N29" s="15">
        <f>SUMPRODUCT(B29:M29,$B$24:$M$24)/SUM($B$24:$M$24)</f>
        <v>11.726621796725427</v>
      </c>
      <c r="P29" s="7">
        <f>'Budget 2025'!N29</f>
        <v>11.769360955786579</v>
      </c>
    </row>
    <row r="30" spans="1:16" s="2" customFormat="1" x14ac:dyDescent="0.35">
      <c r="A30" s="9" t="s">
        <v>27</v>
      </c>
      <c r="B30" s="10">
        <v>4.151163242611708</v>
      </c>
      <c r="C30" s="10">
        <v>4.8753097413604509</v>
      </c>
      <c r="D30" s="10">
        <v>10</v>
      </c>
      <c r="E30" s="10">
        <v>3.7340898258119752</v>
      </c>
      <c r="F30" s="10">
        <v>2.5762113408470744</v>
      </c>
      <c r="G30" s="10">
        <v>1.3632795853760318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f>SUM(B30:M30)</f>
        <v>26.700053736007238</v>
      </c>
      <c r="P30" s="10">
        <f>'Budget 2025'!N30</f>
        <v>13.639935932123354</v>
      </c>
    </row>
    <row r="31" spans="1:16" x14ac:dyDescent="0.35">
      <c r="A31" s="5" t="s">
        <v>60</v>
      </c>
      <c r="B31" s="30">
        <v>5768.2424127002841</v>
      </c>
      <c r="C31" s="30">
        <v>5970.6106647059114</v>
      </c>
      <c r="D31" s="8">
        <v>5810.5920342438249</v>
      </c>
      <c r="E31" s="8">
        <v>5817.4110523400241</v>
      </c>
      <c r="F31" s="8">
        <v>5817.4894600404132</v>
      </c>
      <c r="G31" s="8">
        <v>5818.4347596214457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14">
        <f>SUMPRODUCT(B31:M31,$B$30:$M$30)/SUM($B$30:$M$30)</f>
        <v>5835.2460698560872</v>
      </c>
      <c r="P31" s="8">
        <f>'Budget 2025'!N31</f>
        <v>5822.4314107916898</v>
      </c>
    </row>
    <row r="32" spans="1:16" x14ac:dyDescent="0.35">
      <c r="A32" s="5" t="s">
        <v>22</v>
      </c>
      <c r="B32" s="31">
        <v>0.90470615455807502</v>
      </c>
      <c r="C32" s="31">
        <v>0.97326494377589257</v>
      </c>
      <c r="D32" s="7">
        <v>1.1088099286340156</v>
      </c>
      <c r="E32" s="7">
        <v>0.8761563499171886</v>
      </c>
      <c r="F32" s="7">
        <v>0.88922752413285477</v>
      </c>
      <c r="G32" s="7">
        <v>0.88495430985688617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15">
        <f t="shared" ref="N32:N35" si="11">SUMPRODUCT(B32:M32,$B$30:$M$30)/SUM($B$30:$M$30)</f>
        <v>0.98717310576814576</v>
      </c>
      <c r="P32" s="7">
        <f>'Budget 2025'!N32</f>
        <v>0.90072278104426418</v>
      </c>
    </row>
    <row r="33" spans="1:16" x14ac:dyDescent="0.35">
      <c r="A33" s="5" t="s">
        <v>23</v>
      </c>
      <c r="B33" s="31">
        <v>8.4980055529847291</v>
      </c>
      <c r="C33" s="31">
        <v>6.4547129611363179</v>
      </c>
      <c r="D33" s="7">
        <v>7.8569265967912481</v>
      </c>
      <c r="E33" s="7">
        <v>8.654793019220822</v>
      </c>
      <c r="F33" s="7">
        <v>8.5698962566725143</v>
      </c>
      <c r="G33" s="7">
        <v>8.5948443829876684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15">
        <f t="shared" si="11"/>
        <v>7.9186137860716537</v>
      </c>
      <c r="P33" s="7">
        <f>'Budget 2025'!N33</f>
        <v>8.5977728246687075</v>
      </c>
    </row>
    <row r="34" spans="1:16" x14ac:dyDescent="0.35">
      <c r="A34" s="5" t="s">
        <v>24</v>
      </c>
      <c r="B34" s="31">
        <v>10.861527070800557</v>
      </c>
      <c r="C34" s="31">
        <v>11.334284868810418</v>
      </c>
      <c r="D34" s="7">
        <v>12.0951</v>
      </c>
      <c r="E34" s="7">
        <v>11.393264549791434</v>
      </c>
      <c r="F34" s="7">
        <v>11.402785688696476</v>
      </c>
      <c r="G34" s="7">
        <v>11.386920943239133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15">
        <f t="shared" si="11"/>
        <v>11.563277749500598</v>
      </c>
      <c r="P34" s="7">
        <f>'Budget 2025'!N34</f>
        <v>11.354385937535314</v>
      </c>
    </row>
    <row r="35" spans="1:16" x14ac:dyDescent="0.35">
      <c r="A35" s="5" t="s">
        <v>25</v>
      </c>
      <c r="B35" s="31">
        <v>14.308472929199445</v>
      </c>
      <c r="C35" s="31">
        <v>13.9608147563622</v>
      </c>
      <c r="D35" s="7">
        <v>16.921700000000001</v>
      </c>
      <c r="E35" s="7">
        <v>16.393264549791439</v>
      </c>
      <c r="F35" s="7">
        <v>16.402785688696476</v>
      </c>
      <c r="G35" s="7">
        <v>16.386920943239137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15">
        <f t="shared" si="11"/>
        <v>15.823489604437453</v>
      </c>
      <c r="P35" s="7">
        <f>'Budget 2025'!N35</f>
        <v>16.354385937535316</v>
      </c>
    </row>
    <row r="36" spans="1:16" s="2" customFormat="1" x14ac:dyDescent="0.35">
      <c r="A36" s="9" t="s">
        <v>28</v>
      </c>
      <c r="B36" s="10">
        <v>16.38566518254413</v>
      </c>
      <c r="C36" s="10">
        <v>4.2318727287405773</v>
      </c>
      <c r="D36" s="10">
        <v>40</v>
      </c>
      <c r="E36" s="10">
        <v>5.8755960307553723</v>
      </c>
      <c r="F36" s="10">
        <v>24.038915520753935</v>
      </c>
      <c r="G36" s="10">
        <v>5.5145400196082521</v>
      </c>
      <c r="H36" s="10">
        <v>36.016493812654097</v>
      </c>
      <c r="I36" s="10">
        <v>34.999097218050316</v>
      </c>
      <c r="J36" s="10">
        <v>79.848191617390938</v>
      </c>
      <c r="K36" s="10">
        <v>87.001223582021751</v>
      </c>
      <c r="L36" s="10">
        <v>77.065800967154402</v>
      </c>
      <c r="M36" s="10">
        <v>68.081205810286221</v>
      </c>
      <c r="N36" s="10">
        <f>SUM(B36:M36)</f>
        <v>479.05860248995998</v>
      </c>
      <c r="P36" s="10">
        <f>'Budget 2025'!N36</f>
        <v>422.7154641342064</v>
      </c>
    </row>
    <row r="37" spans="1:16" x14ac:dyDescent="0.35">
      <c r="A37" s="5" t="s">
        <v>60</v>
      </c>
      <c r="B37" s="30">
        <v>6095.6967316306664</v>
      </c>
      <c r="C37" s="30">
        <v>5702.0802424913845</v>
      </c>
      <c r="D37" s="8">
        <v>5849.7131459653456</v>
      </c>
      <c r="E37" s="8">
        <v>6022.7652601633308</v>
      </c>
      <c r="F37" s="8">
        <v>5979.2130614949783</v>
      </c>
      <c r="G37" s="8">
        <v>5998.5009614490609</v>
      </c>
      <c r="H37" s="8">
        <v>6022.9085914394582</v>
      </c>
      <c r="I37" s="8">
        <v>6012.9738548640807</v>
      </c>
      <c r="J37" s="8">
        <v>6011.5797340087302</v>
      </c>
      <c r="K37" s="8">
        <v>5999.873328708426</v>
      </c>
      <c r="L37" s="8">
        <v>6040.269301911193</v>
      </c>
      <c r="M37" s="8">
        <v>6028.4071388077509</v>
      </c>
      <c r="N37" s="14">
        <f>SUMPRODUCT(B37:M37,$B$36:$M$36)/SUM($B$36:$M$36)</f>
        <v>6002.4042117739782</v>
      </c>
      <c r="P37" s="8">
        <f>'Budget 2025'!N37</f>
        <v>6013.6725198079248</v>
      </c>
    </row>
    <row r="38" spans="1:16" x14ac:dyDescent="0.35">
      <c r="A38" s="5" t="s">
        <v>22</v>
      </c>
      <c r="B38" s="31">
        <v>1.5214167643610788</v>
      </c>
      <c r="C38" s="31">
        <v>1.2568181818181818</v>
      </c>
      <c r="D38" s="7">
        <v>1.5296419667717047</v>
      </c>
      <c r="E38" s="7">
        <v>1.5468148838238052</v>
      </c>
      <c r="F38" s="7">
        <v>1.5523078901262186</v>
      </c>
      <c r="G38" s="7">
        <v>1.5467993808854719</v>
      </c>
      <c r="H38" s="7">
        <v>1.5722396432183687</v>
      </c>
      <c r="I38" s="7">
        <v>1.5804618553761873</v>
      </c>
      <c r="J38" s="7">
        <v>1.574293809992118</v>
      </c>
      <c r="K38" s="7">
        <v>1.5665537072833122</v>
      </c>
      <c r="L38" s="7">
        <v>1.5897380771930025</v>
      </c>
      <c r="M38" s="7">
        <v>1.5743595575070588</v>
      </c>
      <c r="N38" s="15">
        <f t="shared" ref="N38:N41" si="12">SUMPRODUCT(B38:M38,$B$36:$M$36)/SUM($B$36:$M$36)</f>
        <v>1.5655800265971009</v>
      </c>
      <c r="P38" s="7">
        <f>'Budget 2025'!N38</f>
        <v>1.5594733437535224</v>
      </c>
    </row>
    <row r="39" spans="1:16" x14ac:dyDescent="0.35">
      <c r="A39" s="5" t="s">
        <v>23</v>
      </c>
      <c r="B39" s="31">
        <v>5.1476459554513481</v>
      </c>
      <c r="C39" s="31">
        <v>7.9572727272727271</v>
      </c>
      <c r="D39" s="7">
        <v>6.9613497486744684</v>
      </c>
      <c r="E39" s="7">
        <v>5.2078934147946603</v>
      </c>
      <c r="F39" s="7">
        <v>5.2208847096135758</v>
      </c>
      <c r="G39" s="7">
        <v>5.2264183161203528</v>
      </c>
      <c r="H39" s="7">
        <v>5.1928676065480301</v>
      </c>
      <c r="I39" s="7">
        <v>5.2199280225771245</v>
      </c>
      <c r="J39" s="7">
        <v>5.4136752711466727</v>
      </c>
      <c r="K39" s="7">
        <v>5.4676453423692504</v>
      </c>
      <c r="L39" s="7">
        <v>5.2161471541906641</v>
      </c>
      <c r="M39" s="7">
        <v>5.2849205929374907</v>
      </c>
      <c r="N39" s="15">
        <f t="shared" si="12"/>
        <v>5.4708900222933776</v>
      </c>
      <c r="P39" s="7">
        <f>'Budget 2025'!N39</f>
        <v>5.3287414331663765</v>
      </c>
    </row>
    <row r="40" spans="1:16" x14ac:dyDescent="0.35">
      <c r="A40" s="5" t="s">
        <v>24</v>
      </c>
      <c r="B40" s="31">
        <v>11.525389800703399</v>
      </c>
      <c r="C40" s="31">
        <v>13.017272727272728</v>
      </c>
      <c r="D40" s="7">
        <v>11.230667200679607</v>
      </c>
      <c r="E40" s="7">
        <v>10.413801721459306</v>
      </c>
      <c r="F40" s="7">
        <v>10.706417132612703</v>
      </c>
      <c r="G40" s="7">
        <v>10.51623352001657</v>
      </c>
      <c r="H40" s="7">
        <v>10.490674221339191</v>
      </c>
      <c r="I40" s="7">
        <v>10.495208813331523</v>
      </c>
      <c r="J40" s="7">
        <v>10.35009135733821</v>
      </c>
      <c r="K40" s="7">
        <v>10.245067451458144</v>
      </c>
      <c r="L40" s="7">
        <v>10.12856020530773</v>
      </c>
      <c r="M40" s="7">
        <v>9.926237833280835</v>
      </c>
      <c r="N40" s="15">
        <f t="shared" si="12"/>
        <v>10.414176649712964</v>
      </c>
      <c r="P40" s="7">
        <f>'Budget 2025'!N40</f>
        <v>10.279206642306004</v>
      </c>
    </row>
    <row r="41" spans="1:16" x14ac:dyDescent="0.35">
      <c r="A41" s="5" t="s">
        <v>25</v>
      </c>
      <c r="B41" s="31">
        <v>13.645354630715124</v>
      </c>
      <c r="C41" s="31">
        <v>15.082727272727272</v>
      </c>
      <c r="D41" s="7">
        <v>16.11218499063849</v>
      </c>
      <c r="E41" s="7">
        <v>15.413801721459304</v>
      </c>
      <c r="F41" s="7">
        <v>15.706417132612705</v>
      </c>
      <c r="G41" s="7">
        <v>15.51623352001657</v>
      </c>
      <c r="H41" s="7">
        <v>15.490674221339191</v>
      </c>
      <c r="I41" s="7">
        <v>15.495208813331521</v>
      </c>
      <c r="J41" s="7">
        <v>15.350091357338208</v>
      </c>
      <c r="K41" s="7">
        <v>15.245067451458148</v>
      </c>
      <c r="L41" s="7">
        <v>15.128560205307732</v>
      </c>
      <c r="M41" s="7">
        <v>14.926237833280833</v>
      </c>
      <c r="N41" s="15">
        <f t="shared" si="12"/>
        <v>15.279852366719394</v>
      </c>
      <c r="P41" s="7">
        <f>'Budget 2025'!N41</f>
        <v>15.279206642306002</v>
      </c>
    </row>
    <row r="42" spans="1:16" s="2" customFormat="1" x14ac:dyDescent="0.35">
      <c r="A42" s="9" t="s">
        <v>29</v>
      </c>
      <c r="B42" s="10">
        <v>388.30376686164539</v>
      </c>
      <c r="C42" s="10">
        <v>362.64840991091069</v>
      </c>
      <c r="D42" s="10">
        <v>365</v>
      </c>
      <c r="E42" s="10">
        <v>380.39031415192511</v>
      </c>
      <c r="F42" s="10">
        <v>363.38487314656891</v>
      </c>
      <c r="G42" s="10">
        <v>399.62218040372312</v>
      </c>
      <c r="H42" s="10">
        <v>411.77930651410537</v>
      </c>
      <c r="I42" s="10">
        <v>445.00090279241232</v>
      </c>
      <c r="J42" s="10">
        <v>415.1518083932516</v>
      </c>
      <c r="K42" s="10">
        <v>407.24877642894324</v>
      </c>
      <c r="L42" s="10">
        <v>425.18419904398263</v>
      </c>
      <c r="M42" s="10">
        <v>446.27680612656326</v>
      </c>
      <c r="N42" s="10">
        <f>SUM(B42:M42)</f>
        <v>4809.9913437740315</v>
      </c>
      <c r="P42" s="10">
        <f>'Budget 2025'!N42</f>
        <v>4673.6446000430515</v>
      </c>
    </row>
    <row r="43" spans="1:16" x14ac:dyDescent="0.35">
      <c r="A43" s="5" t="s">
        <v>60</v>
      </c>
      <c r="B43" s="30">
        <v>5993.4452554404252</v>
      </c>
      <c r="C43" s="30">
        <v>6000.7558555057667</v>
      </c>
      <c r="D43" s="8">
        <v>5814.0359955258164</v>
      </c>
      <c r="E43" s="8">
        <v>5897.7653602492101</v>
      </c>
      <c r="F43" s="8">
        <v>5920.2366570887934</v>
      </c>
      <c r="G43" s="8">
        <v>5918.4311396247904</v>
      </c>
      <c r="H43" s="8">
        <v>5900.8519609110263</v>
      </c>
      <c r="I43" s="8">
        <v>5888.2488803895885</v>
      </c>
      <c r="J43" s="8">
        <v>5917.704795769384</v>
      </c>
      <c r="K43" s="8">
        <v>5911.2381960095681</v>
      </c>
      <c r="L43" s="8">
        <v>5936.4061605616535</v>
      </c>
      <c r="M43" s="8">
        <v>5910.0326432290803</v>
      </c>
      <c r="N43" s="14">
        <f>SUMPRODUCT(B43:M43,$B$42:$M$42)/SUM($B$42:$M$42)</f>
        <v>5917.1146932914726</v>
      </c>
      <c r="P43" s="8">
        <f>'Budget 2025'!N43</f>
        <v>5914.4155370661638</v>
      </c>
    </row>
    <row r="44" spans="1:16" x14ac:dyDescent="0.35">
      <c r="A44" s="5" t="s">
        <v>22</v>
      </c>
      <c r="B44" s="31">
        <v>2.2774465474765266</v>
      </c>
      <c r="C44" s="31">
        <v>2.2808085536365947</v>
      </c>
      <c r="D44" s="7">
        <v>2.3767417798849997</v>
      </c>
      <c r="E44" s="7">
        <v>2.475944056658383</v>
      </c>
      <c r="F44" s="7">
        <v>2.3538601062094227</v>
      </c>
      <c r="G44" s="7">
        <v>2.3467281610470021</v>
      </c>
      <c r="H44" s="7">
        <v>2.4486933377400599</v>
      </c>
      <c r="I44" s="7">
        <v>2.4915655604979281</v>
      </c>
      <c r="J44" s="7">
        <v>2.4544562372737064</v>
      </c>
      <c r="K44" s="7">
        <v>2.4642647089061502</v>
      </c>
      <c r="L44" s="7">
        <v>2.3474043156373532</v>
      </c>
      <c r="M44" s="7">
        <v>2.4277944551529815</v>
      </c>
      <c r="N44" s="15">
        <f t="shared" ref="N44:N47" si="13">SUMPRODUCT(B44:M44,$B$42:$M$42)/SUM($B$42:$M$42)</f>
        <v>2.3981599949659747</v>
      </c>
      <c r="P44" s="7">
        <f>'Budget 2025'!N44</f>
        <v>2.4107218075517403</v>
      </c>
    </row>
    <row r="45" spans="1:16" x14ac:dyDescent="0.35">
      <c r="A45" s="5" t="s">
        <v>23</v>
      </c>
      <c r="B45" s="31">
        <v>5.966425854102563</v>
      </c>
      <c r="C45" s="31">
        <v>5.8860489423321729</v>
      </c>
      <c r="D45" s="7">
        <v>6.9385934394075424</v>
      </c>
      <c r="E45" s="7">
        <v>5.6193386017426779</v>
      </c>
      <c r="F45" s="7">
        <v>5.3868138666284038</v>
      </c>
      <c r="G45" s="7">
        <v>5.7200480635729516</v>
      </c>
      <c r="H45" s="7">
        <v>5.7273215203036836</v>
      </c>
      <c r="I45" s="7">
        <v>5.8996254570421218</v>
      </c>
      <c r="J45" s="7">
        <v>5.6808485031796447</v>
      </c>
      <c r="K45" s="7">
        <v>5.7576821264142648</v>
      </c>
      <c r="L45" s="7">
        <v>5.6897174421248486</v>
      </c>
      <c r="M45" s="7">
        <v>5.6856126054267344</v>
      </c>
      <c r="N45" s="15">
        <f t="shared" si="13"/>
        <v>5.8229449727425502</v>
      </c>
      <c r="P45" s="7">
        <f>'Budget 2025'!N45</f>
        <v>5.7199741396739743</v>
      </c>
    </row>
    <row r="46" spans="1:16" x14ac:dyDescent="0.35">
      <c r="A46" s="5" t="s">
        <v>24</v>
      </c>
      <c r="B46" s="31">
        <v>11.432183440353812</v>
      </c>
      <c r="C46" s="31">
        <v>11.490454441780528</v>
      </c>
      <c r="D46" s="7">
        <v>10.968351594356932</v>
      </c>
      <c r="E46" s="7">
        <v>10.74729899642543</v>
      </c>
      <c r="F46" s="7">
        <v>10.802621320887649</v>
      </c>
      <c r="G46" s="7">
        <v>10.738112565366334</v>
      </c>
      <c r="H46" s="7">
        <v>10.624639489405308</v>
      </c>
      <c r="I46" s="7">
        <v>10.506495478068201</v>
      </c>
      <c r="J46" s="7">
        <v>10.454886761536853</v>
      </c>
      <c r="K46" s="7">
        <v>10.472078310104303</v>
      </c>
      <c r="L46" s="7">
        <v>10.47928299821702</v>
      </c>
      <c r="M46" s="7">
        <v>10.576103122271721</v>
      </c>
      <c r="N46" s="15">
        <f t="shared" si="13"/>
        <v>10.757914741387474</v>
      </c>
      <c r="P46" s="7">
        <f>'Budget 2025'!N46</f>
        <v>10.558154609501265</v>
      </c>
    </row>
    <row r="47" spans="1:16" x14ac:dyDescent="0.35">
      <c r="A47" s="5" t="s">
        <v>25</v>
      </c>
      <c r="B47" s="31">
        <v>13.742009082724026</v>
      </c>
      <c r="C47" s="31">
        <v>13.585974709326994</v>
      </c>
      <c r="D47" s="7">
        <v>15.885021092675178</v>
      </c>
      <c r="E47" s="7">
        <v>15.747298996425428</v>
      </c>
      <c r="F47" s="7">
        <v>15.802621320887649</v>
      </c>
      <c r="G47" s="7">
        <v>15.738112565366333</v>
      </c>
      <c r="H47" s="7">
        <v>15.624639489405308</v>
      </c>
      <c r="I47" s="7">
        <v>15.506495478068201</v>
      </c>
      <c r="J47" s="7">
        <v>15.454886761536853</v>
      </c>
      <c r="K47" s="7">
        <v>15.472078310104303</v>
      </c>
      <c r="L47" s="7">
        <v>15.479282998217021</v>
      </c>
      <c r="M47" s="7">
        <v>15.57610312227172</v>
      </c>
      <c r="N47" s="15">
        <f t="shared" si="13"/>
        <v>15.315434646481753</v>
      </c>
      <c r="P47" s="7">
        <f>'Budget 2025'!N47</f>
        <v>15.558154609501264</v>
      </c>
    </row>
    <row r="48" spans="1:16" s="2" customFormat="1" x14ac:dyDescent="0.35">
      <c r="A48" s="9" t="s">
        <v>68</v>
      </c>
      <c r="B48" s="10">
        <v>0</v>
      </c>
      <c r="C48" s="10">
        <v>0</v>
      </c>
      <c r="D48" s="10">
        <v>0</v>
      </c>
      <c r="E48" s="10">
        <v>4.25</v>
      </c>
      <c r="F48" s="10">
        <v>4.25</v>
      </c>
      <c r="G48" s="10">
        <v>4.25</v>
      </c>
      <c r="H48" s="10">
        <v>12.75</v>
      </c>
      <c r="I48" s="10">
        <v>12.75</v>
      </c>
      <c r="J48" s="10">
        <v>12.75</v>
      </c>
      <c r="K48" s="10">
        <v>12.75</v>
      </c>
      <c r="L48" s="10">
        <v>12.75</v>
      </c>
      <c r="M48" s="10">
        <v>12.75</v>
      </c>
      <c r="N48" s="10">
        <f>SUM(B48:M48)</f>
        <v>89.25</v>
      </c>
      <c r="P48" s="10">
        <f>'Budget 2025'!N48</f>
        <v>127.5</v>
      </c>
    </row>
    <row r="49" spans="1:17" x14ac:dyDescent="0.35">
      <c r="A49" s="5" t="s">
        <v>60</v>
      </c>
      <c r="B49" s="30">
        <v>0</v>
      </c>
      <c r="C49" s="30">
        <v>0</v>
      </c>
      <c r="D49" s="8">
        <v>3146.067415730337</v>
      </c>
      <c r="E49" s="8">
        <v>3146.067415730337</v>
      </c>
      <c r="F49" s="8">
        <v>3146.067415730337</v>
      </c>
      <c r="G49" s="8">
        <v>3146.067415730337</v>
      </c>
      <c r="H49" s="8">
        <v>3146.067415730337</v>
      </c>
      <c r="I49" s="8">
        <v>3146.067415730337</v>
      </c>
      <c r="J49" s="8">
        <v>3146.067415730337</v>
      </c>
      <c r="K49" s="8">
        <v>3146.067415730337</v>
      </c>
      <c r="L49" s="8">
        <v>3146.067415730337</v>
      </c>
      <c r="M49" s="8">
        <v>3146.067415730337</v>
      </c>
      <c r="N49" s="14">
        <f>SUMPRODUCT(B49:M49,$B$48:$M$48)/SUM($B$48:$M$48)</f>
        <v>3146.0674157303379</v>
      </c>
      <c r="P49" s="8">
        <f>'Budget 2025'!N49</f>
        <v>3146.0674157303379</v>
      </c>
    </row>
    <row r="50" spans="1:17" x14ac:dyDescent="0.35">
      <c r="A50" s="5" t="s">
        <v>22</v>
      </c>
      <c r="B50" s="31">
        <v>0</v>
      </c>
      <c r="C50" s="31">
        <v>0</v>
      </c>
      <c r="D50" s="7">
        <v>2</v>
      </c>
      <c r="E50" s="7">
        <v>2</v>
      </c>
      <c r="F50" s="7">
        <v>2</v>
      </c>
      <c r="G50" s="7">
        <v>2</v>
      </c>
      <c r="H50" s="7">
        <v>2</v>
      </c>
      <c r="I50" s="7">
        <v>2</v>
      </c>
      <c r="J50" s="7">
        <v>2</v>
      </c>
      <c r="K50" s="7">
        <v>2</v>
      </c>
      <c r="L50" s="7">
        <v>2</v>
      </c>
      <c r="M50" s="7">
        <v>2</v>
      </c>
      <c r="N50" s="15">
        <f t="shared" ref="N50:N53" si="14">SUMPRODUCT(B50:M50,$B$48:$M$48)/SUM($B$48:$M$48)</f>
        <v>2</v>
      </c>
      <c r="P50" s="7">
        <f>'Budget 2025'!N50</f>
        <v>2</v>
      </c>
    </row>
    <row r="51" spans="1:17" x14ac:dyDescent="0.35">
      <c r="A51" s="5" t="s">
        <v>23</v>
      </c>
      <c r="B51" s="31">
        <v>0</v>
      </c>
      <c r="C51" s="31">
        <v>0</v>
      </c>
      <c r="D51" s="7">
        <v>40</v>
      </c>
      <c r="E51" s="7">
        <v>40</v>
      </c>
      <c r="F51" s="7">
        <v>40</v>
      </c>
      <c r="G51" s="7">
        <v>40</v>
      </c>
      <c r="H51" s="7">
        <v>40</v>
      </c>
      <c r="I51" s="7">
        <v>40</v>
      </c>
      <c r="J51" s="7">
        <v>40</v>
      </c>
      <c r="K51" s="7">
        <v>40</v>
      </c>
      <c r="L51" s="7">
        <v>40</v>
      </c>
      <c r="M51" s="7">
        <v>40</v>
      </c>
      <c r="N51" s="15">
        <f t="shared" si="14"/>
        <v>40</v>
      </c>
      <c r="P51" s="7">
        <f>'Budget 2025'!N51</f>
        <v>40</v>
      </c>
    </row>
    <row r="52" spans="1:17" x14ac:dyDescent="0.35">
      <c r="A52" s="5" t="s">
        <v>24</v>
      </c>
      <c r="B52" s="31">
        <v>0</v>
      </c>
      <c r="C52" s="31">
        <v>0</v>
      </c>
      <c r="D52" s="7">
        <v>11</v>
      </c>
      <c r="E52" s="7">
        <v>11</v>
      </c>
      <c r="F52" s="7">
        <v>11</v>
      </c>
      <c r="G52" s="7">
        <v>11</v>
      </c>
      <c r="H52" s="7">
        <v>11</v>
      </c>
      <c r="I52" s="7">
        <v>11</v>
      </c>
      <c r="J52" s="7">
        <v>11</v>
      </c>
      <c r="K52" s="7">
        <v>11</v>
      </c>
      <c r="L52" s="7">
        <v>11</v>
      </c>
      <c r="M52" s="7">
        <v>11</v>
      </c>
      <c r="N52" s="15">
        <f t="shared" si="14"/>
        <v>11</v>
      </c>
      <c r="P52" s="7">
        <f>'Budget 2025'!N52</f>
        <v>11</v>
      </c>
    </row>
    <row r="53" spans="1:17" x14ac:dyDescent="0.35">
      <c r="A53" s="5" t="s">
        <v>25</v>
      </c>
      <c r="B53" s="31">
        <v>0</v>
      </c>
      <c r="C53" s="31">
        <v>0</v>
      </c>
      <c r="D53" s="7">
        <v>20</v>
      </c>
      <c r="E53" s="7">
        <v>20</v>
      </c>
      <c r="F53" s="7">
        <v>20</v>
      </c>
      <c r="G53" s="7">
        <v>20</v>
      </c>
      <c r="H53" s="7">
        <v>20</v>
      </c>
      <c r="I53" s="7">
        <v>20</v>
      </c>
      <c r="J53" s="7">
        <v>20</v>
      </c>
      <c r="K53" s="7">
        <v>20</v>
      </c>
      <c r="L53" s="7">
        <v>20</v>
      </c>
      <c r="M53" s="7">
        <v>20</v>
      </c>
      <c r="N53" s="15">
        <f t="shared" si="14"/>
        <v>20</v>
      </c>
      <c r="P53" s="7">
        <f>'Budget 2025'!N53</f>
        <v>20</v>
      </c>
    </row>
    <row r="55" spans="1:17" x14ac:dyDescent="0.35">
      <c r="A55" s="6" t="s">
        <v>31</v>
      </c>
      <c r="B55" s="6" t="s">
        <v>1</v>
      </c>
      <c r="C55" s="6" t="s">
        <v>2</v>
      </c>
      <c r="D55" s="6" t="s">
        <v>3</v>
      </c>
      <c r="E55" s="6" t="s">
        <v>4</v>
      </c>
      <c r="F55" s="6" t="s">
        <v>5</v>
      </c>
      <c r="G55" s="6" t="s">
        <v>6</v>
      </c>
      <c r="H55" s="6" t="s">
        <v>7</v>
      </c>
      <c r="I55" s="6" t="s">
        <v>8</v>
      </c>
      <c r="J55" s="6" t="s">
        <v>9</v>
      </c>
      <c r="K55" s="6" t="s">
        <v>10</v>
      </c>
      <c r="L55" s="6" t="s">
        <v>11</v>
      </c>
      <c r="M55" s="6" t="s">
        <v>12</v>
      </c>
      <c r="N55" s="6" t="s">
        <v>13</v>
      </c>
      <c r="O55" s="4"/>
      <c r="P55" s="6" t="s">
        <v>85</v>
      </c>
    </row>
    <row r="56" spans="1:17" s="2" customFormat="1" x14ac:dyDescent="0.35">
      <c r="A56" s="9" t="s">
        <v>14</v>
      </c>
      <c r="B56" s="10">
        <f t="shared" ref="B56:N56" si="15">SUM(B57:B59)</f>
        <v>3736.1073783000002</v>
      </c>
      <c r="C56" s="10">
        <f t="shared" si="15"/>
        <v>3365.8926857000001</v>
      </c>
      <c r="D56" s="10">
        <f t="shared" si="15"/>
        <v>3490</v>
      </c>
      <c r="E56" s="10">
        <f t="shared" si="15"/>
        <v>3720</v>
      </c>
      <c r="F56" s="10">
        <f t="shared" si="15"/>
        <v>3660</v>
      </c>
      <c r="G56" s="10">
        <f t="shared" si="15"/>
        <v>3920</v>
      </c>
      <c r="H56" s="10">
        <f t="shared" si="15"/>
        <v>4145</v>
      </c>
      <c r="I56" s="10">
        <f t="shared" si="15"/>
        <v>4240</v>
      </c>
      <c r="J56" s="10">
        <f t="shared" si="15"/>
        <v>4010</v>
      </c>
      <c r="K56" s="10">
        <f t="shared" si="15"/>
        <v>3630</v>
      </c>
      <c r="L56" s="10">
        <f t="shared" si="15"/>
        <v>3506.1994815130429</v>
      </c>
      <c r="M56" s="10">
        <f t="shared" si="15"/>
        <v>3276.8004544869564</v>
      </c>
      <c r="N56" s="10">
        <f t="shared" si="15"/>
        <v>44700</v>
      </c>
      <c r="P56" s="10">
        <f>'Budget 2025'!N56</f>
        <v>51650</v>
      </c>
      <c r="Q56" s="27">
        <f>N56/P56</f>
        <v>0.86544046466602131</v>
      </c>
    </row>
    <row r="57" spans="1:17" x14ac:dyDescent="0.35">
      <c r="A57" s="5" t="s">
        <v>57</v>
      </c>
      <c r="B57" s="30">
        <v>1350.2909304</v>
      </c>
      <c r="C57" s="30">
        <v>1037.3668819000002</v>
      </c>
      <c r="D57" s="8">
        <v>1690</v>
      </c>
      <c r="E57" s="8">
        <v>2120</v>
      </c>
      <c r="F57" s="8">
        <v>2150</v>
      </c>
      <c r="G57" s="8">
        <v>2290</v>
      </c>
      <c r="H57" s="8">
        <v>2415</v>
      </c>
      <c r="I57" s="8">
        <v>2510</v>
      </c>
      <c r="J57" s="8">
        <v>2430</v>
      </c>
      <c r="K57" s="8">
        <v>2280</v>
      </c>
      <c r="L57" s="8">
        <v>2176.1994815130429</v>
      </c>
      <c r="M57" s="8">
        <v>1951.1427061869572</v>
      </c>
      <c r="N57" s="8">
        <f t="shared" ref="N57:N59" si="16">SUM(B57:M57)</f>
        <v>24400</v>
      </c>
      <c r="P57" s="8">
        <f>'Budget 2025'!N57</f>
        <v>24400</v>
      </c>
    </row>
    <row r="58" spans="1:17" x14ac:dyDescent="0.35">
      <c r="A58" s="5" t="s">
        <v>56</v>
      </c>
      <c r="B58" s="30">
        <v>1111.1510321000001</v>
      </c>
      <c r="C58" s="30">
        <v>916.39878569999996</v>
      </c>
      <c r="D58" s="8">
        <v>900</v>
      </c>
      <c r="E58" s="8">
        <v>850</v>
      </c>
      <c r="F58" s="8">
        <v>880</v>
      </c>
      <c r="G58" s="8">
        <v>950</v>
      </c>
      <c r="H58" s="8">
        <v>1000</v>
      </c>
      <c r="I58" s="8">
        <v>1050</v>
      </c>
      <c r="J58" s="8">
        <v>950</v>
      </c>
      <c r="K58" s="8">
        <v>800</v>
      </c>
      <c r="L58" s="8">
        <v>790</v>
      </c>
      <c r="M58" s="8">
        <v>802.4501822000002</v>
      </c>
      <c r="N58" s="8">
        <f t="shared" si="16"/>
        <v>11000</v>
      </c>
      <c r="P58" s="8">
        <f>'Budget 2025'!N58</f>
        <v>11000</v>
      </c>
    </row>
    <row r="59" spans="1:17" x14ac:dyDescent="0.35">
      <c r="A59" s="5" t="s">
        <v>55</v>
      </c>
      <c r="B59" s="30">
        <v>1274.6654158000001</v>
      </c>
      <c r="C59" s="30">
        <v>1412.1270181</v>
      </c>
      <c r="D59" s="8">
        <v>900</v>
      </c>
      <c r="E59" s="8">
        <v>750</v>
      </c>
      <c r="F59" s="8">
        <v>630</v>
      </c>
      <c r="G59" s="8">
        <v>680</v>
      </c>
      <c r="H59" s="8">
        <v>730</v>
      </c>
      <c r="I59" s="8">
        <v>680</v>
      </c>
      <c r="J59" s="8">
        <v>630</v>
      </c>
      <c r="K59" s="8">
        <v>550</v>
      </c>
      <c r="L59" s="8">
        <v>540</v>
      </c>
      <c r="M59" s="8">
        <v>523.20756609999876</v>
      </c>
      <c r="N59" s="8">
        <f t="shared" si="16"/>
        <v>9299.9999999999982</v>
      </c>
      <c r="P59" s="8">
        <f>'Budget 2025'!N59</f>
        <v>16250</v>
      </c>
    </row>
    <row r="60" spans="1:17" s="2" customFormat="1" x14ac:dyDescent="0.35">
      <c r="A60" s="9" t="s">
        <v>17</v>
      </c>
      <c r="B60" s="10">
        <f>SUM(B61:B64)</f>
        <v>197.28444138867229</v>
      </c>
      <c r="C60" s="10">
        <f t="shared" ref="C60:M60" si="17">SUM(C61:C64)</f>
        <v>200.75357796750075</v>
      </c>
      <c r="D60" s="10">
        <f t="shared" si="17"/>
        <v>240</v>
      </c>
      <c r="E60" s="10">
        <f t="shared" si="17"/>
        <v>278</v>
      </c>
      <c r="F60" s="10">
        <f t="shared" si="17"/>
        <v>290</v>
      </c>
      <c r="G60" s="10">
        <f t="shared" si="17"/>
        <v>289</v>
      </c>
      <c r="H60" s="10">
        <f t="shared" si="17"/>
        <v>330</v>
      </c>
      <c r="I60" s="10">
        <f t="shared" si="17"/>
        <v>340</v>
      </c>
      <c r="J60" s="10">
        <f t="shared" si="17"/>
        <v>322</v>
      </c>
      <c r="K60" s="10">
        <f t="shared" si="17"/>
        <v>275</v>
      </c>
      <c r="L60" s="10">
        <f t="shared" si="17"/>
        <v>273.14024000000006</v>
      </c>
      <c r="M60" s="10">
        <f t="shared" si="17"/>
        <v>264.82174064382701</v>
      </c>
      <c r="N60" s="10">
        <f>SUM(B60:M60)</f>
        <v>3300.0000000000005</v>
      </c>
      <c r="P60" s="10">
        <f>'Budget 2025'!N60</f>
        <v>3300.3869731644691</v>
      </c>
      <c r="Q60" s="27">
        <f>N60/P60</f>
        <v>0.99988274915407949</v>
      </c>
    </row>
    <row r="61" spans="1:17" x14ac:dyDescent="0.35">
      <c r="A61" s="5" t="s">
        <v>57</v>
      </c>
      <c r="B61" s="30">
        <v>128.19277</v>
      </c>
      <c r="C61" s="30">
        <v>118.22784999999999</v>
      </c>
      <c r="D61" s="8">
        <v>160</v>
      </c>
      <c r="E61" s="8">
        <v>188</v>
      </c>
      <c r="F61" s="8">
        <v>195</v>
      </c>
      <c r="G61" s="8">
        <v>195</v>
      </c>
      <c r="H61" s="8">
        <v>208</v>
      </c>
      <c r="I61" s="8">
        <v>210</v>
      </c>
      <c r="J61" s="8">
        <v>202</v>
      </c>
      <c r="K61" s="8">
        <v>175</v>
      </c>
      <c r="L61" s="8">
        <v>178.14024000000006</v>
      </c>
      <c r="M61" s="8">
        <v>172.43913999999995</v>
      </c>
      <c r="N61" s="8">
        <f t="shared" ref="N61:N64" si="18">SUM(B61:M61)</f>
        <v>2130</v>
      </c>
      <c r="P61" s="8">
        <f>'Budget 2025'!N61</f>
        <v>2130</v>
      </c>
    </row>
    <row r="62" spans="1:17" x14ac:dyDescent="0.35">
      <c r="A62" s="5" t="s">
        <v>56</v>
      </c>
      <c r="B62" s="30">
        <v>31.192090000000004</v>
      </c>
      <c r="C62" s="30">
        <v>36.397179999999992</v>
      </c>
      <c r="D62" s="8">
        <v>40</v>
      </c>
      <c r="E62" s="8">
        <v>50</v>
      </c>
      <c r="F62" s="8">
        <v>50</v>
      </c>
      <c r="G62" s="8">
        <v>52</v>
      </c>
      <c r="H62" s="8">
        <v>52</v>
      </c>
      <c r="I62" s="8">
        <v>55</v>
      </c>
      <c r="J62" s="8">
        <v>50</v>
      </c>
      <c r="K62" s="8">
        <v>45</v>
      </c>
      <c r="L62" s="8">
        <v>45</v>
      </c>
      <c r="M62" s="8">
        <v>43.410730000000058</v>
      </c>
      <c r="N62" s="8">
        <f t="shared" si="18"/>
        <v>550</v>
      </c>
      <c r="P62" s="8">
        <f>'Budget 2025'!N62</f>
        <v>550</v>
      </c>
    </row>
    <row r="63" spans="1:17" x14ac:dyDescent="0.35">
      <c r="A63" s="5" t="s">
        <v>55</v>
      </c>
      <c r="B63" s="30">
        <v>37.899581388672281</v>
      </c>
      <c r="C63" s="30">
        <v>46.128547967500772</v>
      </c>
      <c r="D63" s="8">
        <v>40</v>
      </c>
      <c r="E63" s="8">
        <v>40</v>
      </c>
      <c r="F63" s="8">
        <v>45</v>
      </c>
      <c r="G63" s="8">
        <v>42</v>
      </c>
      <c r="H63" s="8">
        <v>70</v>
      </c>
      <c r="I63" s="8">
        <v>75</v>
      </c>
      <c r="J63" s="8">
        <v>70</v>
      </c>
      <c r="K63" s="8">
        <v>55</v>
      </c>
      <c r="L63" s="8">
        <v>50</v>
      </c>
      <c r="M63" s="8">
        <v>48.971870643827017</v>
      </c>
      <c r="N63" s="8">
        <f t="shared" si="18"/>
        <v>620.00000000000011</v>
      </c>
      <c r="P63" s="8">
        <f>'Budget 2025'!N63</f>
        <v>620.38697316446883</v>
      </c>
    </row>
    <row r="64" spans="1:17" hidden="1" x14ac:dyDescent="0.35">
      <c r="A64" s="5" t="s">
        <v>71</v>
      </c>
      <c r="B64" s="8">
        <v>0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f t="shared" si="18"/>
        <v>0</v>
      </c>
      <c r="P64" s="8"/>
    </row>
    <row r="65" spans="1:16" s="2" customFormat="1" x14ac:dyDescent="0.35">
      <c r="A65" s="9" t="s">
        <v>32</v>
      </c>
      <c r="B65" s="11">
        <f>B56/B60</f>
        <v>18.937668637231525</v>
      </c>
      <c r="C65" s="11">
        <f t="shared" ref="C65:N65" si="19">C56/C60</f>
        <v>16.766289895191267</v>
      </c>
      <c r="D65" s="11">
        <f t="shared" si="19"/>
        <v>14.541666666666666</v>
      </c>
      <c r="E65" s="11">
        <f t="shared" si="19"/>
        <v>13.381294964028777</v>
      </c>
      <c r="F65" s="11">
        <f t="shared" si="19"/>
        <v>12.620689655172415</v>
      </c>
      <c r="G65" s="11">
        <f t="shared" si="19"/>
        <v>13.56401384083045</v>
      </c>
      <c r="H65" s="11">
        <f t="shared" si="19"/>
        <v>12.560606060606061</v>
      </c>
      <c r="I65" s="11">
        <f t="shared" si="19"/>
        <v>12.470588235294118</v>
      </c>
      <c r="J65" s="11">
        <f t="shared" si="19"/>
        <v>12.453416149068323</v>
      </c>
      <c r="K65" s="11">
        <f t="shared" si="19"/>
        <v>13.2</v>
      </c>
      <c r="L65" s="11">
        <f t="shared" si="19"/>
        <v>12.836627373224253</v>
      </c>
      <c r="M65" s="11">
        <f t="shared" si="19"/>
        <v>12.373608173258333</v>
      </c>
      <c r="N65" s="11">
        <f t="shared" si="19"/>
        <v>13.545454545454543</v>
      </c>
      <c r="P65" s="11">
        <f>'Budget 2025'!N64</f>
        <v>15.649679998123696</v>
      </c>
    </row>
    <row r="66" spans="1:16" s="2" customFormat="1" x14ac:dyDescent="0.35">
      <c r="A66" s="9" t="s">
        <v>33</v>
      </c>
      <c r="B66" s="10">
        <f t="shared" ref="B66:N66" si="20">SUM(B67:B68)</f>
        <v>236.94320000000002</v>
      </c>
      <c r="C66" s="10">
        <f t="shared" si="20"/>
        <v>220.64958999999999</v>
      </c>
      <c r="D66" s="10">
        <f t="shared" si="20"/>
        <v>283</v>
      </c>
      <c r="E66" s="10">
        <f t="shared" si="20"/>
        <v>255</v>
      </c>
      <c r="F66" s="10">
        <f t="shared" si="20"/>
        <v>289</v>
      </c>
      <c r="G66" s="10">
        <f t="shared" si="20"/>
        <v>310</v>
      </c>
      <c r="H66" s="10">
        <f t="shared" si="20"/>
        <v>265</v>
      </c>
      <c r="I66" s="10">
        <f t="shared" si="20"/>
        <v>349</v>
      </c>
      <c r="J66" s="10">
        <f t="shared" si="20"/>
        <v>280</v>
      </c>
      <c r="K66" s="10">
        <f t="shared" si="20"/>
        <v>273</v>
      </c>
      <c r="L66" s="10">
        <f t="shared" si="20"/>
        <v>242</v>
      </c>
      <c r="M66" s="10">
        <f t="shared" si="20"/>
        <v>246.40721000000002</v>
      </c>
      <c r="N66" s="10">
        <f t="shared" si="20"/>
        <v>3250</v>
      </c>
      <c r="P66" s="10">
        <f>'Budget 2025'!N65</f>
        <v>3230</v>
      </c>
    </row>
    <row r="67" spans="1:16" x14ac:dyDescent="0.35">
      <c r="A67" s="5" t="s">
        <v>35</v>
      </c>
      <c r="B67" s="30">
        <v>162.67978000000002</v>
      </c>
      <c r="C67" s="30">
        <v>131.47763</v>
      </c>
      <c r="D67" s="8">
        <v>188</v>
      </c>
      <c r="E67" s="8">
        <v>175</v>
      </c>
      <c r="F67" s="8">
        <v>152</v>
      </c>
      <c r="G67" s="8">
        <v>174</v>
      </c>
      <c r="H67" s="8">
        <v>134</v>
      </c>
      <c r="I67" s="8">
        <v>175</v>
      </c>
      <c r="J67" s="8">
        <v>153</v>
      </c>
      <c r="K67" s="8">
        <v>127</v>
      </c>
      <c r="L67" s="8">
        <v>117</v>
      </c>
      <c r="M67" s="8">
        <v>95.842589999999916</v>
      </c>
      <c r="N67" s="8">
        <f t="shared" ref="N67:N72" si="21">SUM(B67:M67)</f>
        <v>1785</v>
      </c>
      <c r="P67" s="8">
        <f>'Budget 2025'!N66</f>
        <v>1630</v>
      </c>
    </row>
    <row r="68" spans="1:16" x14ac:dyDescent="0.35">
      <c r="A68" s="5" t="s">
        <v>39</v>
      </c>
      <c r="B68" s="30">
        <v>74.263419999999996</v>
      </c>
      <c r="C68" s="30">
        <v>89.171959999999999</v>
      </c>
      <c r="D68" s="8">
        <v>95</v>
      </c>
      <c r="E68" s="8">
        <v>80</v>
      </c>
      <c r="F68" s="8">
        <v>137</v>
      </c>
      <c r="G68" s="8">
        <v>136</v>
      </c>
      <c r="H68" s="8">
        <v>131</v>
      </c>
      <c r="I68" s="8">
        <v>174</v>
      </c>
      <c r="J68" s="8">
        <v>127</v>
      </c>
      <c r="K68" s="8">
        <v>146</v>
      </c>
      <c r="L68" s="8">
        <v>125</v>
      </c>
      <c r="M68" s="8">
        <v>150.5646200000001</v>
      </c>
      <c r="N68" s="8">
        <f t="shared" si="21"/>
        <v>1465</v>
      </c>
      <c r="P68" s="8">
        <f>'Budget 2025'!N67</f>
        <v>1480</v>
      </c>
    </row>
    <row r="69" spans="1:16" x14ac:dyDescent="0.35">
      <c r="A69" s="5" t="s">
        <v>41</v>
      </c>
      <c r="B69" s="30">
        <v>0</v>
      </c>
      <c r="C69" s="30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f t="shared" si="21"/>
        <v>0</v>
      </c>
      <c r="P69" s="8">
        <f>'Budget 2025'!N68</f>
        <v>120</v>
      </c>
    </row>
    <row r="70" spans="1:16" hidden="1" x14ac:dyDescent="0.35">
      <c r="A70" s="9" t="s">
        <v>58</v>
      </c>
      <c r="B70" s="10">
        <f>B71+B72</f>
        <v>57.125659999999996</v>
      </c>
      <c r="C70" s="10">
        <f t="shared" ref="C70:M70" si="22">C71+C72</f>
        <v>53.497250000000001</v>
      </c>
      <c r="D70" s="10">
        <f t="shared" si="22"/>
        <v>58.810299999999984</v>
      </c>
      <c r="E70" s="10">
        <f t="shared" si="22"/>
        <v>75.263139999999993</v>
      </c>
      <c r="F70" s="10">
        <f t="shared" si="22"/>
        <v>125.39815</v>
      </c>
      <c r="G70" s="10">
        <f t="shared" si="22"/>
        <v>94.756160000000008</v>
      </c>
      <c r="H70" s="10">
        <f t="shared" si="22"/>
        <v>83.146400000000028</v>
      </c>
      <c r="I70" s="10">
        <f t="shared" si="22"/>
        <v>58.183650000000014</v>
      </c>
      <c r="J70" s="10">
        <f t="shared" si="22"/>
        <v>37.139549999999993</v>
      </c>
      <c r="K70" s="10">
        <f t="shared" si="22"/>
        <v>68.754850000000019</v>
      </c>
      <c r="L70" s="10">
        <f t="shared" si="22"/>
        <v>52.997440000000012</v>
      </c>
      <c r="M70" s="10">
        <f t="shared" si="22"/>
        <v>55</v>
      </c>
      <c r="N70" s="10">
        <f>SUM(B70:M70)</f>
        <v>820.07255000000009</v>
      </c>
      <c r="O70" s="2"/>
      <c r="P70" s="10">
        <f>'Budget 2025'!N69</f>
        <v>1676.5</v>
      </c>
    </row>
    <row r="71" spans="1:16" hidden="1" x14ac:dyDescent="0.35">
      <c r="A71" s="5" t="s">
        <v>53</v>
      </c>
      <c r="B71" s="30">
        <f>B86</f>
        <v>7.10975</v>
      </c>
      <c r="C71" s="30">
        <f t="shared" ref="C71:M71" si="23">C86</f>
        <v>40.527500000000003</v>
      </c>
      <c r="D71" s="8">
        <f t="shared" si="23"/>
        <v>51.952449999999985</v>
      </c>
      <c r="E71" s="8">
        <f t="shared" si="23"/>
        <v>50.126389999999994</v>
      </c>
      <c r="F71" s="8">
        <f t="shared" si="23"/>
        <v>109.9789</v>
      </c>
      <c r="G71" s="8">
        <f t="shared" si="23"/>
        <v>87.843810000000005</v>
      </c>
      <c r="H71" s="8">
        <f t="shared" si="23"/>
        <v>83.146400000000028</v>
      </c>
      <c r="I71" s="8">
        <f t="shared" si="23"/>
        <v>58.183650000000014</v>
      </c>
      <c r="J71" s="8">
        <f t="shared" si="23"/>
        <v>37.139549999999993</v>
      </c>
      <c r="K71" s="8">
        <f t="shared" si="23"/>
        <v>60.314450000000015</v>
      </c>
      <c r="L71" s="8">
        <f t="shared" si="23"/>
        <v>52.997440000000012</v>
      </c>
      <c r="M71" s="8">
        <f t="shared" si="23"/>
        <v>45</v>
      </c>
      <c r="N71" s="8">
        <f t="shared" si="21"/>
        <v>684.32029</v>
      </c>
      <c r="P71" s="8">
        <f>'Budget 2025'!N70</f>
        <v>671.5</v>
      </c>
    </row>
    <row r="72" spans="1:16" hidden="1" x14ac:dyDescent="0.35">
      <c r="A72" s="5" t="s">
        <v>54</v>
      </c>
      <c r="B72" s="30">
        <f>B92</f>
        <v>50.015909999999998</v>
      </c>
      <c r="C72" s="30">
        <f t="shared" ref="C72:M72" si="24">C92</f>
        <v>12.969749999999998</v>
      </c>
      <c r="D72" s="8">
        <f t="shared" si="24"/>
        <v>6.85785</v>
      </c>
      <c r="E72" s="8">
        <f t="shared" si="24"/>
        <v>25.136750000000003</v>
      </c>
      <c r="F72" s="8">
        <f t="shared" si="24"/>
        <v>15.41925</v>
      </c>
      <c r="G72" s="8">
        <f t="shared" si="24"/>
        <v>6.91235</v>
      </c>
      <c r="H72" s="8">
        <f t="shared" si="24"/>
        <v>0</v>
      </c>
      <c r="I72" s="8">
        <f t="shared" si="24"/>
        <v>0</v>
      </c>
      <c r="J72" s="8">
        <f t="shared" si="24"/>
        <v>0</v>
      </c>
      <c r="K72" s="8">
        <f t="shared" si="24"/>
        <v>8.4404000000000003</v>
      </c>
      <c r="L72" s="8">
        <f t="shared" si="24"/>
        <v>0</v>
      </c>
      <c r="M72" s="8">
        <f t="shared" si="24"/>
        <v>10</v>
      </c>
      <c r="N72" s="8">
        <f t="shared" si="21"/>
        <v>135.75226000000001</v>
      </c>
      <c r="P72" s="8">
        <f>'Budget 2025'!N71</f>
        <v>1005</v>
      </c>
    </row>
    <row r="73" spans="1:16" s="2" customFormat="1" x14ac:dyDescent="0.35">
      <c r="A73" s="9" t="s">
        <v>34</v>
      </c>
      <c r="B73" s="11">
        <f t="shared" ref="B73:N73" si="25">B56/B66</f>
        <v>15.767945137484427</v>
      </c>
      <c r="C73" s="11">
        <f t="shared" si="25"/>
        <v>15.254470609711989</v>
      </c>
      <c r="D73" s="11">
        <f t="shared" si="25"/>
        <v>12.332155477031803</v>
      </c>
      <c r="E73" s="11">
        <f t="shared" si="25"/>
        <v>14.588235294117647</v>
      </c>
      <c r="F73" s="11">
        <f t="shared" si="25"/>
        <v>12.664359861591695</v>
      </c>
      <c r="G73" s="11">
        <f t="shared" si="25"/>
        <v>12.64516129032258</v>
      </c>
      <c r="H73" s="11">
        <f t="shared" si="25"/>
        <v>15.641509433962264</v>
      </c>
      <c r="I73" s="11">
        <f t="shared" si="25"/>
        <v>12.148997134670488</v>
      </c>
      <c r="J73" s="11">
        <f t="shared" si="25"/>
        <v>14.321428571428571</v>
      </c>
      <c r="K73" s="11">
        <f t="shared" si="25"/>
        <v>13.296703296703297</v>
      </c>
      <c r="L73" s="11">
        <f t="shared" si="25"/>
        <v>14.488427609558029</v>
      </c>
      <c r="M73" s="11">
        <f t="shared" si="25"/>
        <v>13.298314016407865</v>
      </c>
      <c r="N73" s="11">
        <f t="shared" si="25"/>
        <v>13.753846153846155</v>
      </c>
      <c r="P73" s="11">
        <f>'Budget 2025'!N72</f>
        <v>15.990712074303406</v>
      </c>
    </row>
    <row r="74" spans="1:16" s="2" customFormat="1" x14ac:dyDescent="0.35">
      <c r="A74" s="9" t="s">
        <v>35</v>
      </c>
      <c r="B74" s="10">
        <v>162.67978000000002</v>
      </c>
      <c r="C74" s="10">
        <v>131.47763</v>
      </c>
      <c r="D74" s="10">
        <v>188</v>
      </c>
      <c r="E74" s="10">
        <v>175</v>
      </c>
      <c r="F74" s="10">
        <v>152</v>
      </c>
      <c r="G74" s="10">
        <v>174</v>
      </c>
      <c r="H74" s="10">
        <v>134</v>
      </c>
      <c r="I74" s="10">
        <v>175</v>
      </c>
      <c r="J74" s="10">
        <v>153</v>
      </c>
      <c r="K74" s="10">
        <v>127</v>
      </c>
      <c r="L74" s="10">
        <v>117</v>
      </c>
      <c r="M74" s="10">
        <v>95.842589999999916</v>
      </c>
      <c r="N74" s="10">
        <f>SUM(B74:M74)</f>
        <v>1785</v>
      </c>
      <c r="P74" s="10">
        <f>'Budget 2025'!N73</f>
        <v>1630</v>
      </c>
    </row>
    <row r="75" spans="1:16" x14ac:dyDescent="0.35">
      <c r="A75" s="5" t="s">
        <v>60</v>
      </c>
      <c r="B75" s="30">
        <v>6732.4288086363313</v>
      </c>
      <c r="C75" s="30">
        <v>6572.6204638233148</v>
      </c>
      <c r="D75" s="8">
        <v>6596.2444685343407</v>
      </c>
      <c r="E75" s="8">
        <v>6469.7808939442084</v>
      </c>
      <c r="F75" s="8">
        <v>6369.5022581004041</v>
      </c>
      <c r="G75" s="8">
        <v>6506.9406395633068</v>
      </c>
      <c r="H75" s="8">
        <v>6531.6268262906588</v>
      </c>
      <c r="I75" s="8">
        <v>6493.9455128063182</v>
      </c>
      <c r="J75" s="8">
        <v>6530.7812774931472</v>
      </c>
      <c r="K75" s="8">
        <v>6479.010532275639</v>
      </c>
      <c r="L75" s="8">
        <v>6419.602939531921</v>
      </c>
      <c r="M75" s="8">
        <v>6460.5240869430063</v>
      </c>
      <c r="N75" s="8">
        <f>SUMPRODUCT(B75:M75,$B$74:$M$74)/SUM($B$74:$M$74)</f>
        <v>6518.8064244606876</v>
      </c>
      <c r="P75" s="8">
        <f>'Budget 2025'!N74</f>
        <v>6355.6512817964895</v>
      </c>
    </row>
    <row r="76" spans="1:16" x14ac:dyDescent="0.35">
      <c r="A76" s="5" t="s">
        <v>36</v>
      </c>
      <c r="B76" s="31">
        <v>0.62136758785397472</v>
      </c>
      <c r="C76" s="31">
        <v>0.63582598773814603</v>
      </c>
      <c r="D76" s="7">
        <v>0.77705894256234498</v>
      </c>
      <c r="E76" s="7">
        <v>0.74452778182831703</v>
      </c>
      <c r="F76" s="7">
        <v>0.69973517051805001</v>
      </c>
      <c r="G76" s="7">
        <v>0.74401579618406299</v>
      </c>
      <c r="H76" s="7">
        <v>0.70603708837776002</v>
      </c>
      <c r="I76" s="7">
        <v>0.63605988042044104</v>
      </c>
      <c r="J76" s="7">
        <v>0.54</v>
      </c>
      <c r="K76" s="7">
        <v>0.51</v>
      </c>
      <c r="L76" s="7">
        <v>0.5</v>
      </c>
      <c r="M76" s="7">
        <v>0.51</v>
      </c>
      <c r="N76" s="7">
        <f t="shared" ref="N76:N79" si="26">SUMPRODUCT(B76:M76,$B$74:$M$74)/SUM($B$74:$M$74)</f>
        <v>0.64849744747567495</v>
      </c>
      <c r="P76" s="7">
        <f>'Budget 2025'!N75</f>
        <v>0.60341465782487103</v>
      </c>
    </row>
    <row r="77" spans="1:16" x14ac:dyDescent="0.35">
      <c r="A77" s="5" t="s">
        <v>37</v>
      </c>
      <c r="B77" s="31">
        <v>3.4667263050153529</v>
      </c>
      <c r="C77" s="31">
        <v>4.5743182457352685</v>
      </c>
      <c r="D77" s="7">
        <v>4.3675199388967902</v>
      </c>
      <c r="E77" s="7">
        <v>5.0050853564250604</v>
      </c>
      <c r="F77" s="7">
        <v>5.3987402847866104</v>
      </c>
      <c r="G77" s="7">
        <v>4.84546716398832</v>
      </c>
      <c r="H77" s="7">
        <v>4.6822004298205</v>
      </c>
      <c r="I77" s="7">
        <v>5.2776227804716802</v>
      </c>
      <c r="J77" s="7">
        <v>4.9994474127857398</v>
      </c>
      <c r="K77" s="7">
        <v>4.5581624552679996</v>
      </c>
      <c r="L77" s="7">
        <v>5.0378850552256997</v>
      </c>
      <c r="M77" s="7">
        <v>5.22231329423487</v>
      </c>
      <c r="N77" s="7">
        <f t="shared" si="26"/>
        <v>4.7679797219438136</v>
      </c>
      <c r="P77" s="7">
        <f>'Budget 2025'!N76</f>
        <v>4.8411373574408625</v>
      </c>
    </row>
    <row r="78" spans="1:16" x14ac:dyDescent="0.35">
      <c r="A78" s="5" t="s">
        <v>38</v>
      </c>
      <c r="B78" s="31">
        <v>6.8418485158648927</v>
      </c>
      <c r="C78" s="31">
        <v>7.5668957260287177</v>
      </c>
      <c r="D78" s="7">
        <v>6.8217935631669997</v>
      </c>
      <c r="E78" s="7">
        <v>7.2492539833113403</v>
      </c>
      <c r="F78" s="7">
        <v>7.4604128692430898</v>
      </c>
      <c r="G78" s="7">
        <v>7.4762674764861803</v>
      </c>
      <c r="H78" s="7">
        <v>7.3996489818147504</v>
      </c>
      <c r="I78" s="7">
        <v>7.7347027885351798</v>
      </c>
      <c r="J78" s="7">
        <v>7.7449818745491799</v>
      </c>
      <c r="K78" s="7">
        <v>7.6687348583641404</v>
      </c>
      <c r="L78" s="7">
        <v>7.2882264437405899</v>
      </c>
      <c r="M78" s="7">
        <v>7.8304314893850098</v>
      </c>
      <c r="N78" s="7">
        <f t="shared" si="26"/>
        <v>7.395589185384317</v>
      </c>
      <c r="P78" s="7">
        <f>'Budget 2025'!N77</f>
        <v>7.386331839135952</v>
      </c>
    </row>
    <row r="79" spans="1:16" x14ac:dyDescent="0.35">
      <c r="A79" s="5" t="s">
        <v>25</v>
      </c>
      <c r="B79" s="31">
        <v>11.173252541794611</v>
      </c>
      <c r="C79" s="31">
        <v>12.091738836971983</v>
      </c>
      <c r="D79" s="7">
        <v>12.465839606149499</v>
      </c>
      <c r="E79" s="7">
        <v>12.8094342856055</v>
      </c>
      <c r="F79" s="7">
        <v>13.0818155114197</v>
      </c>
      <c r="G79" s="7">
        <v>11.7337147622166</v>
      </c>
      <c r="H79" s="7">
        <v>11.2284113471928</v>
      </c>
      <c r="I79" s="7">
        <v>11.374706623842901</v>
      </c>
      <c r="J79" s="7">
        <v>11.3315341219358</v>
      </c>
      <c r="K79" s="7">
        <v>12.355908519562499</v>
      </c>
      <c r="L79" s="7">
        <v>12.8338094983389</v>
      </c>
      <c r="M79" s="7">
        <v>11.6730427833647</v>
      </c>
      <c r="N79" s="7">
        <f t="shared" si="26"/>
        <v>12.011889551667933</v>
      </c>
      <c r="P79" s="7">
        <f>'Budget 2025'!N78</f>
        <v>13.846499085482177</v>
      </c>
    </row>
    <row r="80" spans="1:16" s="2" customFormat="1" x14ac:dyDescent="0.35">
      <c r="A80" s="9" t="s">
        <v>39</v>
      </c>
      <c r="B80" s="10">
        <v>74.263419999999996</v>
      </c>
      <c r="C80" s="10">
        <v>89.171959999999999</v>
      </c>
      <c r="D80" s="10">
        <v>95</v>
      </c>
      <c r="E80" s="10">
        <v>80</v>
      </c>
      <c r="F80" s="10">
        <v>137</v>
      </c>
      <c r="G80" s="10">
        <v>136</v>
      </c>
      <c r="H80" s="10">
        <v>131</v>
      </c>
      <c r="I80" s="10">
        <v>174</v>
      </c>
      <c r="J80" s="10">
        <v>127</v>
      </c>
      <c r="K80" s="10">
        <v>146</v>
      </c>
      <c r="L80" s="10">
        <v>125</v>
      </c>
      <c r="M80" s="10">
        <v>150.5646200000001</v>
      </c>
      <c r="N80" s="10">
        <f>SUM(B80:M80)</f>
        <v>1465</v>
      </c>
      <c r="P80" s="10">
        <f>'Budget 2025'!N79</f>
        <v>1480</v>
      </c>
    </row>
    <row r="81" spans="1:16" x14ac:dyDescent="0.35">
      <c r="A81" s="5" t="s">
        <v>60</v>
      </c>
      <c r="B81" s="30">
        <v>6697.6811591672858</v>
      </c>
      <c r="C81" s="30">
        <v>6682.5379240818311</v>
      </c>
      <c r="D81" s="8">
        <v>6375.2051752295674</v>
      </c>
      <c r="E81" s="8">
        <v>6355.6520396226397</v>
      </c>
      <c r="F81" s="8">
        <v>6384.3464601820551</v>
      </c>
      <c r="G81" s="8">
        <v>6573.3881259686323</v>
      </c>
      <c r="H81" s="8">
        <v>6510.984720466563</v>
      </c>
      <c r="I81" s="8">
        <v>6496.2389841565746</v>
      </c>
      <c r="J81" s="8">
        <v>6528.8989522840784</v>
      </c>
      <c r="K81" s="8">
        <v>6411.6663194285074</v>
      </c>
      <c r="L81" s="8">
        <v>6394.8976961644239</v>
      </c>
      <c r="M81" s="8">
        <v>6348.2558663835471</v>
      </c>
      <c r="N81" s="8">
        <f>SUMPRODUCT(B81:M81,$B$80:$M$80)/SUM($B$80:$M$80)</f>
        <v>6470.8283916817054</v>
      </c>
      <c r="P81" s="8">
        <f>'Budget 2025'!N80</f>
        <v>6482.8119871932486</v>
      </c>
    </row>
    <row r="82" spans="1:16" x14ac:dyDescent="0.35">
      <c r="A82" s="5" t="s">
        <v>40</v>
      </c>
      <c r="B82" s="31">
        <v>1.6301900580353075</v>
      </c>
      <c r="C82" s="31">
        <v>1.4796922293816033</v>
      </c>
      <c r="D82" s="7">
        <v>1.6016478929006499</v>
      </c>
      <c r="E82" s="7">
        <v>1.75956351933454</v>
      </c>
      <c r="F82" s="7">
        <v>1.7519771684918499</v>
      </c>
      <c r="G82" s="7">
        <v>1.8525303231262</v>
      </c>
      <c r="H82" s="7">
        <v>1.90225040195993</v>
      </c>
      <c r="I82" s="7">
        <v>1.8704342984062601</v>
      </c>
      <c r="J82" s="7">
        <v>1.8035447184992901</v>
      </c>
      <c r="K82" s="7">
        <v>1.8540093196377001</v>
      </c>
      <c r="L82" s="7">
        <v>1.83010646729588</v>
      </c>
      <c r="M82" s="7">
        <v>1.91118393131842</v>
      </c>
      <c r="N82" s="7">
        <f t="shared" ref="N82:N85" si="27">SUMPRODUCT(B82:M82,$B$80:$M$80)/SUM($B$80:$M$80)</f>
        <v>1.7944048286200014</v>
      </c>
      <c r="P82" s="7">
        <f>'Budget 2025'!N81</f>
        <v>1.8762420726514626</v>
      </c>
    </row>
    <row r="83" spans="1:16" x14ac:dyDescent="0.35">
      <c r="A83" s="5" t="s">
        <v>37</v>
      </c>
      <c r="B83" s="31">
        <v>2.9843464191303815</v>
      </c>
      <c r="C83" s="31">
        <v>3.6682929221448353</v>
      </c>
      <c r="D83" s="7">
        <v>5.3381230356324902</v>
      </c>
      <c r="E83" s="7">
        <v>7.05583886738955</v>
      </c>
      <c r="F83" s="7">
        <v>5.41273348101653</v>
      </c>
      <c r="G83" s="7">
        <v>5.41206468471003</v>
      </c>
      <c r="H83" s="7">
        <v>6.4350710978541903</v>
      </c>
      <c r="I83" s="7">
        <v>6.4480716078084797</v>
      </c>
      <c r="J83" s="7">
        <v>5.8757975442852404</v>
      </c>
      <c r="K83" s="7">
        <v>6.3610665502236996</v>
      </c>
      <c r="L83" s="7">
        <v>5.3146644150374298</v>
      </c>
      <c r="M83" s="7">
        <v>6.8876100802316298</v>
      </c>
      <c r="N83" s="7">
        <f t="shared" si="27"/>
        <v>5.7605289743478654</v>
      </c>
      <c r="P83" s="7">
        <f>'Budget 2025'!N82</f>
        <v>10.254553163544609</v>
      </c>
    </row>
    <row r="84" spans="1:16" x14ac:dyDescent="0.35">
      <c r="A84" s="5" t="s">
        <v>38</v>
      </c>
      <c r="B84" s="31">
        <v>6.3755446507246818</v>
      </c>
      <c r="C84" s="31">
        <v>6.3149361242504378</v>
      </c>
      <c r="D84" s="7">
        <v>6.5134369326499497</v>
      </c>
      <c r="E84" s="7">
        <v>6.30057671377915</v>
      </c>
      <c r="F84" s="7">
        <v>6.69491832134067</v>
      </c>
      <c r="G84" s="7">
        <v>6.5306806647478703</v>
      </c>
      <c r="H84" s="7">
        <v>6.2339477762785904</v>
      </c>
      <c r="I84" s="7">
        <v>6.3429267021866096</v>
      </c>
      <c r="J84" s="7">
        <v>6.4706386219280896</v>
      </c>
      <c r="K84" s="7">
        <v>6.0907262570452403</v>
      </c>
      <c r="L84" s="7">
        <v>6.2494029006679996</v>
      </c>
      <c r="M84" s="7">
        <v>5.6965296623495902</v>
      </c>
      <c r="N84" s="7">
        <f t="shared" si="27"/>
        <v>6.303746578589438</v>
      </c>
      <c r="P84" s="7">
        <f>'Budget 2025'!N83</f>
        <v>6.6257918257808086</v>
      </c>
    </row>
    <row r="85" spans="1:16" x14ac:dyDescent="0.35">
      <c r="A85" s="5" t="s">
        <v>25</v>
      </c>
      <c r="B85" s="31">
        <v>11.0449544225335</v>
      </c>
      <c r="C85" s="31">
        <v>10.871045849007412</v>
      </c>
      <c r="D85" s="7">
        <v>11.7658468486225</v>
      </c>
      <c r="E85" s="7">
        <v>11.629353634277599</v>
      </c>
      <c r="F85" s="7">
        <v>11.691796975206</v>
      </c>
      <c r="G85" s="7">
        <v>10.1851422628403</v>
      </c>
      <c r="H85" s="7">
        <v>10.011534770583699</v>
      </c>
      <c r="I85" s="7">
        <v>10.208853467079599</v>
      </c>
      <c r="J85" s="7">
        <v>10.266653834466799</v>
      </c>
      <c r="K85" s="7">
        <v>11.940597750044899</v>
      </c>
      <c r="L85" s="7">
        <v>12.5142020352208</v>
      </c>
      <c r="M85" s="7">
        <v>11.7820332817045</v>
      </c>
      <c r="N85" s="7">
        <f t="shared" si="27"/>
        <v>11.124890317044446</v>
      </c>
      <c r="P85" s="7">
        <f>'Budget 2025'!N84</f>
        <v>11.252249091491917</v>
      </c>
    </row>
    <row r="86" spans="1:16" hidden="1" x14ac:dyDescent="0.35">
      <c r="A86" s="9" t="s">
        <v>53</v>
      </c>
      <c r="B86" s="10">
        <v>7.10975</v>
      </c>
      <c r="C86" s="10">
        <v>40.527500000000003</v>
      </c>
      <c r="D86" s="10">
        <v>51.952449999999985</v>
      </c>
      <c r="E86" s="10">
        <v>50.126389999999994</v>
      </c>
      <c r="F86" s="10">
        <v>109.9789</v>
      </c>
      <c r="G86" s="10">
        <v>87.843810000000005</v>
      </c>
      <c r="H86" s="10">
        <v>83.146400000000028</v>
      </c>
      <c r="I86" s="10">
        <v>58.183650000000014</v>
      </c>
      <c r="J86" s="10">
        <v>37.139549999999993</v>
      </c>
      <c r="K86" s="10">
        <v>60.314450000000015</v>
      </c>
      <c r="L86" s="10">
        <v>52.997440000000012</v>
      </c>
      <c r="M86" s="10">
        <v>45</v>
      </c>
      <c r="N86" s="10">
        <f>SUM(B86:M86)</f>
        <v>684.32029</v>
      </c>
      <c r="O86" s="2"/>
      <c r="P86" s="10">
        <f>'Budget 2025'!N91</f>
        <v>671.5</v>
      </c>
    </row>
    <row r="87" spans="1:16" hidden="1" x14ac:dyDescent="0.35">
      <c r="A87" s="5" t="s">
        <v>60</v>
      </c>
      <c r="B87" s="8">
        <v>6322</v>
      </c>
      <c r="C87" s="8">
        <v>6322</v>
      </c>
      <c r="D87" s="8">
        <v>6322</v>
      </c>
      <c r="E87" s="8">
        <v>6322</v>
      </c>
      <c r="F87" s="8">
        <v>6322</v>
      </c>
      <c r="G87" s="8">
        <v>6322</v>
      </c>
      <c r="H87" s="8">
        <v>6322</v>
      </c>
      <c r="I87" s="8">
        <v>6322</v>
      </c>
      <c r="J87" s="8">
        <v>6322</v>
      </c>
      <c r="K87" s="8">
        <v>6322</v>
      </c>
      <c r="L87" s="8">
        <v>6322</v>
      </c>
      <c r="M87" s="8">
        <v>6322</v>
      </c>
      <c r="N87" s="14">
        <f>SUMPRODUCT(B87:M87,$B$86:$M$86)/SUM($B$86:$M$86)</f>
        <v>6322</v>
      </c>
      <c r="P87" s="8">
        <f>'Budget 2025'!N92</f>
        <v>6322</v>
      </c>
    </row>
    <row r="88" spans="1:16" hidden="1" x14ac:dyDescent="0.35">
      <c r="A88" s="5" t="s">
        <v>42</v>
      </c>
      <c r="B88" s="7">
        <v>0.6</v>
      </c>
      <c r="C88" s="7">
        <v>0.6</v>
      </c>
      <c r="D88" s="7">
        <v>0.6</v>
      </c>
      <c r="E88" s="7">
        <v>0.6</v>
      </c>
      <c r="F88" s="7">
        <v>0.6</v>
      </c>
      <c r="G88" s="7">
        <v>0.6</v>
      </c>
      <c r="H88" s="7">
        <v>0.6</v>
      </c>
      <c r="I88" s="7">
        <v>0.6</v>
      </c>
      <c r="J88" s="7">
        <v>0.6</v>
      </c>
      <c r="K88" s="7">
        <v>0.6</v>
      </c>
      <c r="L88" s="7">
        <v>0.6</v>
      </c>
      <c r="M88" s="7">
        <v>0.6</v>
      </c>
      <c r="N88" s="15">
        <f t="shared" ref="N88:N91" si="28">SUMPRODUCT(B88:M88,$B$86:$M$86)/SUM($B$86:$M$86)</f>
        <v>0.6</v>
      </c>
      <c r="P88" s="7">
        <f>'Budget 2025'!N93</f>
        <v>0.6</v>
      </c>
    </row>
    <row r="89" spans="1:16" hidden="1" x14ac:dyDescent="0.35">
      <c r="A89" s="5" t="s">
        <v>37</v>
      </c>
      <c r="B89" s="7">
        <v>7</v>
      </c>
      <c r="C89" s="7">
        <v>7</v>
      </c>
      <c r="D89" s="7">
        <v>7</v>
      </c>
      <c r="E89" s="7">
        <v>7</v>
      </c>
      <c r="F89" s="7">
        <v>7</v>
      </c>
      <c r="G89" s="7">
        <v>7</v>
      </c>
      <c r="H89" s="7">
        <v>7</v>
      </c>
      <c r="I89" s="7">
        <v>7</v>
      </c>
      <c r="J89" s="7">
        <v>7</v>
      </c>
      <c r="K89" s="7">
        <v>7</v>
      </c>
      <c r="L89" s="7">
        <v>7</v>
      </c>
      <c r="M89" s="7">
        <v>7</v>
      </c>
      <c r="N89" s="15">
        <f t="shared" si="28"/>
        <v>7.0000000000000009</v>
      </c>
      <c r="P89" s="7">
        <f>'Budget 2025'!N94</f>
        <v>7</v>
      </c>
    </row>
    <row r="90" spans="1:16" hidden="1" x14ac:dyDescent="0.35">
      <c r="A90" s="5" t="s">
        <v>38</v>
      </c>
      <c r="B90" s="7">
        <v>12</v>
      </c>
      <c r="C90" s="7">
        <v>12</v>
      </c>
      <c r="D90" s="7">
        <v>12</v>
      </c>
      <c r="E90" s="7">
        <v>12</v>
      </c>
      <c r="F90" s="7">
        <v>12</v>
      </c>
      <c r="G90" s="7">
        <v>12</v>
      </c>
      <c r="H90" s="7">
        <v>12</v>
      </c>
      <c r="I90" s="7">
        <v>12</v>
      </c>
      <c r="J90" s="7">
        <v>12</v>
      </c>
      <c r="K90" s="7">
        <v>12</v>
      </c>
      <c r="L90" s="7">
        <v>12</v>
      </c>
      <c r="M90" s="7">
        <v>12</v>
      </c>
      <c r="N90" s="15">
        <f t="shared" si="28"/>
        <v>12</v>
      </c>
      <c r="P90" s="7">
        <f>'Budget 2025'!N95</f>
        <v>12</v>
      </c>
    </row>
    <row r="91" spans="1:16" hidden="1" x14ac:dyDescent="0.35">
      <c r="A91" s="5" t="s">
        <v>25</v>
      </c>
      <c r="B91" s="7">
        <v>14</v>
      </c>
      <c r="C91" s="7">
        <v>14</v>
      </c>
      <c r="D91" s="7">
        <v>14</v>
      </c>
      <c r="E91" s="7">
        <v>14</v>
      </c>
      <c r="F91" s="7">
        <v>14</v>
      </c>
      <c r="G91" s="7">
        <v>14</v>
      </c>
      <c r="H91" s="7">
        <v>14</v>
      </c>
      <c r="I91" s="7">
        <v>14</v>
      </c>
      <c r="J91" s="7">
        <v>14</v>
      </c>
      <c r="K91" s="7">
        <v>14</v>
      </c>
      <c r="L91" s="7">
        <v>14</v>
      </c>
      <c r="M91" s="7">
        <v>14</v>
      </c>
      <c r="N91" s="15">
        <f t="shared" si="28"/>
        <v>14.000000000000002</v>
      </c>
      <c r="P91" s="7">
        <f>'Budget 2025'!N96</f>
        <v>14</v>
      </c>
    </row>
    <row r="92" spans="1:16" hidden="1" x14ac:dyDescent="0.35">
      <c r="A92" s="9" t="s">
        <v>54</v>
      </c>
      <c r="B92" s="10">
        <v>50.015909999999998</v>
      </c>
      <c r="C92" s="10">
        <v>12.969749999999998</v>
      </c>
      <c r="D92" s="10">
        <v>6.85785</v>
      </c>
      <c r="E92" s="10">
        <v>25.136750000000003</v>
      </c>
      <c r="F92" s="10">
        <v>15.41925</v>
      </c>
      <c r="G92" s="10">
        <v>6.91235</v>
      </c>
      <c r="H92" s="10">
        <v>0</v>
      </c>
      <c r="I92" s="10">
        <v>0</v>
      </c>
      <c r="J92" s="10">
        <v>0</v>
      </c>
      <c r="K92" s="10">
        <v>8.4404000000000003</v>
      </c>
      <c r="L92" s="10">
        <v>0</v>
      </c>
      <c r="M92" s="10">
        <v>10</v>
      </c>
      <c r="N92" s="10">
        <f>SUM(B92:M92)</f>
        <v>135.75226000000001</v>
      </c>
      <c r="O92" s="2"/>
      <c r="P92" s="10">
        <f>'Budget 2025'!N97</f>
        <v>1005</v>
      </c>
    </row>
    <row r="93" spans="1:16" hidden="1" x14ac:dyDescent="0.35">
      <c r="A93" s="5" t="s">
        <v>60</v>
      </c>
      <c r="B93" s="8">
        <v>5400</v>
      </c>
      <c r="C93" s="8">
        <v>5400</v>
      </c>
      <c r="D93" s="8">
        <v>5400</v>
      </c>
      <c r="E93" s="8">
        <v>5400</v>
      </c>
      <c r="F93" s="8">
        <v>5400</v>
      </c>
      <c r="G93" s="8">
        <v>5400</v>
      </c>
      <c r="H93" s="8">
        <v>5400</v>
      </c>
      <c r="I93" s="8">
        <v>5400</v>
      </c>
      <c r="J93" s="8">
        <v>5400</v>
      </c>
      <c r="K93" s="8">
        <v>5400</v>
      </c>
      <c r="L93" s="8">
        <v>5400</v>
      </c>
      <c r="M93" s="8">
        <v>5400</v>
      </c>
      <c r="N93" s="14">
        <f>SUMPRODUCT(B93:M93,$B$93:$M$93)/SUM($B$93:$M$93)</f>
        <v>5400</v>
      </c>
      <c r="P93" s="8">
        <f>'Budget 2025'!N98</f>
        <v>5400</v>
      </c>
    </row>
    <row r="94" spans="1:16" hidden="1" x14ac:dyDescent="0.35">
      <c r="A94" s="5" t="s">
        <v>42</v>
      </c>
      <c r="B94" s="7">
        <v>1</v>
      </c>
      <c r="C94" s="7">
        <v>1</v>
      </c>
      <c r="D94" s="7">
        <v>1</v>
      </c>
      <c r="E94" s="7">
        <v>1</v>
      </c>
      <c r="F94" s="7">
        <v>1</v>
      </c>
      <c r="G94" s="7">
        <v>1</v>
      </c>
      <c r="H94" s="7">
        <v>1</v>
      </c>
      <c r="I94" s="7">
        <v>1</v>
      </c>
      <c r="J94" s="7">
        <v>1</v>
      </c>
      <c r="K94" s="7">
        <v>1</v>
      </c>
      <c r="L94" s="7">
        <v>1</v>
      </c>
      <c r="M94" s="7">
        <v>1</v>
      </c>
      <c r="N94" s="15">
        <f t="shared" ref="N94:N97" si="29">SUMPRODUCT(B94:M94,$B$93:$M$93)/SUM($B$93:$M$93)</f>
        <v>1</v>
      </c>
      <c r="P94" s="7">
        <f>'Budget 2025'!N99</f>
        <v>1</v>
      </c>
    </row>
    <row r="95" spans="1:16" hidden="1" x14ac:dyDescent="0.35">
      <c r="A95" s="5" t="s">
        <v>37</v>
      </c>
      <c r="B95" s="7">
        <v>6</v>
      </c>
      <c r="C95" s="7">
        <v>6</v>
      </c>
      <c r="D95" s="7">
        <v>6</v>
      </c>
      <c r="E95" s="7">
        <v>6</v>
      </c>
      <c r="F95" s="7">
        <v>6</v>
      </c>
      <c r="G95" s="7">
        <v>6</v>
      </c>
      <c r="H95" s="7">
        <v>6</v>
      </c>
      <c r="I95" s="7">
        <v>6</v>
      </c>
      <c r="J95" s="7">
        <v>6</v>
      </c>
      <c r="K95" s="7">
        <v>6</v>
      </c>
      <c r="L95" s="7">
        <v>6</v>
      </c>
      <c r="M95" s="7">
        <v>6</v>
      </c>
      <c r="N95" s="15">
        <f t="shared" si="29"/>
        <v>6</v>
      </c>
      <c r="P95" s="7">
        <f>'Budget 2025'!N100</f>
        <v>6</v>
      </c>
    </row>
    <row r="96" spans="1:16" hidden="1" x14ac:dyDescent="0.35">
      <c r="A96" s="5" t="s">
        <v>38</v>
      </c>
      <c r="B96" s="7">
        <v>15</v>
      </c>
      <c r="C96" s="7">
        <v>15</v>
      </c>
      <c r="D96" s="7">
        <v>15</v>
      </c>
      <c r="E96" s="7">
        <v>15</v>
      </c>
      <c r="F96" s="7">
        <v>15</v>
      </c>
      <c r="G96" s="7">
        <v>15</v>
      </c>
      <c r="H96" s="7">
        <v>15</v>
      </c>
      <c r="I96" s="7">
        <v>15</v>
      </c>
      <c r="J96" s="7">
        <v>15</v>
      </c>
      <c r="K96" s="7">
        <v>15</v>
      </c>
      <c r="L96" s="7">
        <v>15</v>
      </c>
      <c r="M96" s="7">
        <v>15</v>
      </c>
      <c r="N96" s="15">
        <f t="shared" si="29"/>
        <v>15</v>
      </c>
      <c r="P96" s="7">
        <f>'Budget 2025'!N101</f>
        <v>15</v>
      </c>
    </row>
    <row r="97" spans="1:17" hidden="1" x14ac:dyDescent="0.35">
      <c r="A97" s="5" t="s">
        <v>25</v>
      </c>
      <c r="B97" s="7">
        <v>24</v>
      </c>
      <c r="C97" s="7">
        <v>24</v>
      </c>
      <c r="D97" s="7">
        <v>24</v>
      </c>
      <c r="E97" s="7">
        <v>24</v>
      </c>
      <c r="F97" s="7">
        <v>24</v>
      </c>
      <c r="G97" s="7">
        <v>24</v>
      </c>
      <c r="H97" s="7">
        <v>24</v>
      </c>
      <c r="I97" s="7">
        <v>24</v>
      </c>
      <c r="J97" s="7">
        <v>24</v>
      </c>
      <c r="K97" s="7">
        <v>24</v>
      </c>
      <c r="L97" s="7">
        <v>24</v>
      </c>
      <c r="M97" s="7">
        <v>24</v>
      </c>
      <c r="N97" s="15">
        <f t="shared" si="29"/>
        <v>24</v>
      </c>
      <c r="P97" s="7">
        <f>'Budget 2025'!N102</f>
        <v>24</v>
      </c>
    </row>
    <row r="99" spans="1:17" x14ac:dyDescent="0.35">
      <c r="A99" s="6" t="s">
        <v>48</v>
      </c>
      <c r="B99" s="6" t="s">
        <v>1</v>
      </c>
      <c r="C99" s="6" t="s">
        <v>2</v>
      </c>
      <c r="D99" s="6" t="s">
        <v>3</v>
      </c>
      <c r="E99" s="6" t="s">
        <v>4</v>
      </c>
      <c r="F99" s="6" t="s">
        <v>5</v>
      </c>
      <c r="G99" s="6" t="s">
        <v>6</v>
      </c>
      <c r="H99" s="6" t="s">
        <v>7</v>
      </c>
      <c r="I99" s="6" t="s">
        <v>8</v>
      </c>
      <c r="J99" s="6" t="s">
        <v>9</v>
      </c>
      <c r="K99" s="6" t="s">
        <v>10</v>
      </c>
      <c r="L99" s="6" t="s">
        <v>11</v>
      </c>
      <c r="M99" s="6" t="s">
        <v>12</v>
      </c>
      <c r="N99" s="6" t="s">
        <v>13</v>
      </c>
      <c r="O99" s="4"/>
      <c r="P99" s="6" t="s">
        <v>85</v>
      </c>
    </row>
    <row r="100" spans="1:17" s="2" customFormat="1" x14ac:dyDescent="0.35">
      <c r="A100" s="9" t="s">
        <v>14</v>
      </c>
      <c r="B100" s="10">
        <f>SUM(B101:B103)</f>
        <v>7740.8130849999998</v>
      </c>
      <c r="C100" s="10">
        <f t="shared" ref="C100:N100" si="30">SUM(C101:C103)</f>
        <v>6674.4387483499995</v>
      </c>
      <c r="D100" s="10">
        <f t="shared" si="30"/>
        <v>8167.9730909999998</v>
      </c>
      <c r="E100" s="10">
        <f t="shared" si="30"/>
        <v>7826</v>
      </c>
      <c r="F100" s="10">
        <f t="shared" si="30"/>
        <v>8127</v>
      </c>
      <c r="G100" s="10">
        <f t="shared" si="30"/>
        <v>7906.9726699999992</v>
      </c>
      <c r="H100" s="10">
        <f t="shared" si="30"/>
        <v>8022</v>
      </c>
      <c r="I100" s="10">
        <f t="shared" si="30"/>
        <v>8245</v>
      </c>
      <c r="J100" s="10">
        <f t="shared" si="30"/>
        <v>8338</v>
      </c>
      <c r="K100" s="10">
        <f t="shared" si="30"/>
        <v>7591</v>
      </c>
      <c r="L100" s="10">
        <f t="shared" si="30"/>
        <v>7310</v>
      </c>
      <c r="M100" s="10">
        <f t="shared" si="30"/>
        <v>7550.8024056499926</v>
      </c>
      <c r="N100" s="10">
        <f t="shared" si="30"/>
        <v>93500</v>
      </c>
      <c r="P100" s="10">
        <f>'Budget 2025'!N105</f>
        <v>90950</v>
      </c>
      <c r="Q100" s="27">
        <f>N100/P100</f>
        <v>1.02803738317757</v>
      </c>
    </row>
    <row r="101" spans="1:17" x14ac:dyDescent="0.35">
      <c r="A101" s="5" t="s">
        <v>30</v>
      </c>
      <c r="B101" s="30">
        <v>1657.8773700000002</v>
      </c>
      <c r="C101" s="30">
        <v>1407.4206810000001</v>
      </c>
      <c r="D101" s="8">
        <v>1695</v>
      </c>
      <c r="E101" s="8">
        <v>2231</v>
      </c>
      <c r="F101" s="8">
        <v>2222</v>
      </c>
      <c r="G101" s="8">
        <v>1981.9726699999992</v>
      </c>
      <c r="H101" s="8">
        <v>2202</v>
      </c>
      <c r="I101" s="8">
        <v>2275</v>
      </c>
      <c r="J101" s="8">
        <v>2118</v>
      </c>
      <c r="K101" s="8">
        <v>2062</v>
      </c>
      <c r="L101" s="8">
        <v>2055</v>
      </c>
      <c r="M101" s="8">
        <v>2092.7292789999992</v>
      </c>
      <c r="N101" s="8">
        <f>SUM(B101:M101)</f>
        <v>24000</v>
      </c>
      <c r="P101" s="8">
        <f>'Budget 2025'!N106</f>
        <v>24000</v>
      </c>
    </row>
    <row r="102" spans="1:17" x14ac:dyDescent="0.35">
      <c r="A102" s="5" t="s">
        <v>57</v>
      </c>
      <c r="B102" s="30">
        <v>4075.4608039999994</v>
      </c>
      <c r="C102" s="30">
        <v>3313.9760443499999</v>
      </c>
      <c r="D102" s="8">
        <v>4299</v>
      </c>
      <c r="E102" s="8">
        <v>4495</v>
      </c>
      <c r="F102" s="8">
        <v>4755</v>
      </c>
      <c r="G102" s="8">
        <v>4755</v>
      </c>
      <c r="H102" s="8">
        <v>5020</v>
      </c>
      <c r="I102" s="8">
        <v>5120</v>
      </c>
      <c r="J102" s="8">
        <v>5270</v>
      </c>
      <c r="K102" s="8">
        <v>4729</v>
      </c>
      <c r="L102" s="8">
        <v>4450</v>
      </c>
      <c r="M102" s="8">
        <v>4717.5631516499934</v>
      </c>
      <c r="N102" s="8">
        <f t="shared" ref="N102:N103" si="31">SUM(B102:M102)</f>
        <v>54999.999999999993</v>
      </c>
      <c r="P102" s="8">
        <f>'Budget 2025'!N107</f>
        <v>52450</v>
      </c>
    </row>
    <row r="103" spans="1:17" x14ac:dyDescent="0.35">
      <c r="A103" s="5" t="s">
        <v>45</v>
      </c>
      <c r="B103" s="30">
        <v>2007.474911</v>
      </c>
      <c r="C103" s="30">
        <v>1953.042023</v>
      </c>
      <c r="D103" s="8">
        <v>2173.9730909999998</v>
      </c>
      <c r="E103" s="8">
        <v>1100</v>
      </c>
      <c r="F103" s="8">
        <v>1150</v>
      </c>
      <c r="G103" s="8">
        <v>1170</v>
      </c>
      <c r="H103" s="8">
        <v>800</v>
      </c>
      <c r="I103" s="8">
        <v>850</v>
      </c>
      <c r="J103" s="8">
        <v>950</v>
      </c>
      <c r="K103" s="8">
        <v>800</v>
      </c>
      <c r="L103" s="8">
        <v>805</v>
      </c>
      <c r="M103" s="8">
        <v>740.50997499999994</v>
      </c>
      <c r="N103" s="8">
        <f t="shared" si="31"/>
        <v>14500</v>
      </c>
      <c r="P103" s="8">
        <f>'Budget 2025'!N108</f>
        <v>14500</v>
      </c>
    </row>
    <row r="104" spans="1:17" s="2" customFormat="1" x14ac:dyDescent="0.35">
      <c r="A104" s="9" t="s">
        <v>17</v>
      </c>
      <c r="B104" s="10">
        <f t="shared" ref="B104:N104" si="32">SUM(B105:B107)</f>
        <v>737.08651599999996</v>
      </c>
      <c r="C104" s="10">
        <f t="shared" si="32"/>
        <v>743.29978599999993</v>
      </c>
      <c r="D104" s="10">
        <f t="shared" si="32"/>
        <v>700</v>
      </c>
      <c r="E104" s="10">
        <f t="shared" si="32"/>
        <v>665</v>
      </c>
      <c r="F104" s="10">
        <f t="shared" si="32"/>
        <v>715</v>
      </c>
      <c r="G104" s="10">
        <f t="shared" si="32"/>
        <v>720</v>
      </c>
      <c r="H104" s="10">
        <f t="shared" si="32"/>
        <v>720</v>
      </c>
      <c r="I104" s="10">
        <f t="shared" si="32"/>
        <v>725</v>
      </c>
      <c r="J104" s="10">
        <f t="shared" si="32"/>
        <v>660</v>
      </c>
      <c r="K104" s="10">
        <f t="shared" si="32"/>
        <v>630</v>
      </c>
      <c r="L104" s="10">
        <f t="shared" si="32"/>
        <v>619.99999999999989</v>
      </c>
      <c r="M104" s="10">
        <f t="shared" si="32"/>
        <v>614.613698</v>
      </c>
      <c r="N104" s="10">
        <f t="shared" si="32"/>
        <v>8250</v>
      </c>
      <c r="P104" s="10">
        <f>'Budget 2025'!N109</f>
        <v>8000</v>
      </c>
      <c r="Q104" s="27">
        <f>N104/P104</f>
        <v>1.03125</v>
      </c>
    </row>
    <row r="105" spans="1:17" x14ac:dyDescent="0.35">
      <c r="A105" s="5" t="s">
        <v>30</v>
      </c>
      <c r="B105" s="30">
        <v>144.00795199999999</v>
      </c>
      <c r="C105" s="30">
        <v>216.67156200000002</v>
      </c>
      <c r="D105" s="8">
        <v>180</v>
      </c>
      <c r="E105" s="8">
        <v>155</v>
      </c>
      <c r="F105" s="8">
        <v>200</v>
      </c>
      <c r="G105" s="8">
        <v>209.99999999999997</v>
      </c>
      <c r="H105" s="8">
        <v>245</v>
      </c>
      <c r="I105" s="8">
        <v>250</v>
      </c>
      <c r="J105" s="8">
        <v>235</v>
      </c>
      <c r="K105" s="8">
        <v>200</v>
      </c>
      <c r="L105" s="8">
        <v>199.99999999999991</v>
      </c>
      <c r="M105" s="8">
        <v>164.32048600000007</v>
      </c>
      <c r="N105" s="8">
        <f>SUM(B105:M105)</f>
        <v>2400</v>
      </c>
      <c r="P105" s="8">
        <f>'Budget 2025'!N110</f>
        <v>2399.9999999999995</v>
      </c>
    </row>
    <row r="106" spans="1:17" x14ac:dyDescent="0.35">
      <c r="A106" s="5" t="s">
        <v>57</v>
      </c>
      <c r="B106" s="30">
        <v>410.23883599999988</v>
      </c>
      <c r="C106" s="30">
        <v>366.34674399999994</v>
      </c>
      <c r="D106" s="8">
        <v>380</v>
      </c>
      <c r="E106" s="8">
        <v>400</v>
      </c>
      <c r="F106" s="8">
        <v>400</v>
      </c>
      <c r="G106" s="8">
        <v>400</v>
      </c>
      <c r="H106" s="8">
        <v>400</v>
      </c>
      <c r="I106" s="8">
        <v>400</v>
      </c>
      <c r="J106" s="8">
        <v>350</v>
      </c>
      <c r="K106" s="8">
        <v>350</v>
      </c>
      <c r="L106" s="8">
        <v>350</v>
      </c>
      <c r="M106" s="8">
        <v>393.41442000000006</v>
      </c>
      <c r="N106" s="8">
        <f t="shared" ref="N106:N107" si="33">SUM(B106:M106)</f>
        <v>4600</v>
      </c>
      <c r="P106" s="8">
        <f>'Budget 2025'!N111</f>
        <v>4400</v>
      </c>
    </row>
    <row r="107" spans="1:17" x14ac:dyDescent="0.35">
      <c r="A107" s="5" t="s">
        <v>45</v>
      </c>
      <c r="B107" s="30">
        <v>182.83972800000004</v>
      </c>
      <c r="C107" s="30">
        <v>160.28147999999996</v>
      </c>
      <c r="D107" s="8">
        <v>140</v>
      </c>
      <c r="E107" s="8">
        <v>110</v>
      </c>
      <c r="F107" s="8">
        <v>115</v>
      </c>
      <c r="G107" s="8">
        <v>110</v>
      </c>
      <c r="H107" s="8">
        <v>75</v>
      </c>
      <c r="I107" s="8">
        <v>75</v>
      </c>
      <c r="J107" s="8">
        <v>75</v>
      </c>
      <c r="K107" s="8">
        <v>80</v>
      </c>
      <c r="L107" s="8">
        <v>70</v>
      </c>
      <c r="M107" s="8">
        <v>56.878791999999905</v>
      </c>
      <c r="N107" s="8">
        <f t="shared" si="33"/>
        <v>1250</v>
      </c>
      <c r="P107" s="8">
        <f>'Budget 2025'!N112</f>
        <v>1200</v>
      </c>
    </row>
    <row r="108" spans="1:17" s="2" customFormat="1" x14ac:dyDescent="0.35">
      <c r="A108" s="9" t="s">
        <v>43</v>
      </c>
      <c r="B108" s="11">
        <f t="shared" ref="B108:N108" si="34">IFERROR(B100/B104,0)</f>
        <v>10.501905701663928</v>
      </c>
      <c r="C108" s="11">
        <f t="shared" si="34"/>
        <v>8.9794708327145951</v>
      </c>
      <c r="D108" s="11">
        <f t="shared" si="34"/>
        <v>11.668532987142857</v>
      </c>
      <c r="E108" s="11">
        <f t="shared" si="34"/>
        <v>11.768421052631579</v>
      </c>
      <c r="F108" s="11">
        <f t="shared" si="34"/>
        <v>11.366433566433566</v>
      </c>
      <c r="G108" s="11">
        <f t="shared" si="34"/>
        <v>10.981906486111111</v>
      </c>
      <c r="H108" s="11">
        <f t="shared" si="34"/>
        <v>11.141666666666667</v>
      </c>
      <c r="I108" s="11">
        <f t="shared" si="34"/>
        <v>11.372413793103448</v>
      </c>
      <c r="J108" s="11">
        <f t="shared" si="34"/>
        <v>12.633333333333333</v>
      </c>
      <c r="K108" s="11">
        <f t="shared" si="34"/>
        <v>12.049206349206349</v>
      </c>
      <c r="L108" s="11">
        <f t="shared" si="34"/>
        <v>11.790322580645164</v>
      </c>
      <c r="M108" s="11">
        <f t="shared" si="34"/>
        <v>12.285444385995433</v>
      </c>
      <c r="N108" s="11">
        <f t="shared" si="34"/>
        <v>11.333333333333334</v>
      </c>
      <c r="P108" s="11">
        <f>'Budget 2025'!N113</f>
        <v>11.36875</v>
      </c>
    </row>
    <row r="109" spans="1:17" s="2" customFormat="1" x14ac:dyDescent="0.35">
      <c r="A109" s="9" t="s">
        <v>34</v>
      </c>
      <c r="B109" s="11">
        <f t="shared" ref="B109:N109" si="35">IFERROR(B100/B110,0)</f>
        <v>10.369454160507381</v>
      </c>
      <c r="C109" s="11">
        <f t="shared" si="35"/>
        <v>9.7156790917336799</v>
      </c>
      <c r="D109" s="11">
        <f t="shared" si="35"/>
        <v>11.536685156779662</v>
      </c>
      <c r="E109" s="11">
        <f t="shared" si="35"/>
        <v>10.869444444444444</v>
      </c>
      <c r="F109" s="11">
        <f t="shared" si="35"/>
        <v>12.04</v>
      </c>
      <c r="G109" s="11">
        <f t="shared" si="35"/>
        <v>10.584970107095046</v>
      </c>
      <c r="H109" s="11">
        <f t="shared" si="35"/>
        <v>11.203910614525139</v>
      </c>
      <c r="I109" s="11">
        <f t="shared" si="35"/>
        <v>12.214814814814815</v>
      </c>
      <c r="J109" s="11">
        <f t="shared" si="35"/>
        <v>11.743661971830987</v>
      </c>
      <c r="K109" s="11">
        <f t="shared" si="35"/>
        <v>10.844285714285714</v>
      </c>
      <c r="L109" s="11">
        <f t="shared" si="35"/>
        <v>10.442857142857143</v>
      </c>
      <c r="M109" s="11">
        <f t="shared" si="35"/>
        <v>12.071193104161265</v>
      </c>
      <c r="N109" s="11">
        <f t="shared" si="35"/>
        <v>11.117717003567181</v>
      </c>
      <c r="P109" s="11">
        <f>'Budget 2025'!N114</f>
        <v>11.228395061728396</v>
      </c>
    </row>
    <row r="110" spans="1:17" s="2" customFormat="1" x14ac:dyDescent="0.35">
      <c r="A110" s="9" t="s">
        <v>49</v>
      </c>
      <c r="B110" s="10">
        <f>B111+B117</f>
        <v>746.50149999999996</v>
      </c>
      <c r="C110" s="10">
        <f t="shared" ref="C110:N110" si="36">C111+C117</f>
        <v>686.9760399999999</v>
      </c>
      <c r="D110" s="10">
        <f t="shared" si="36"/>
        <v>708</v>
      </c>
      <c r="E110" s="10">
        <f t="shared" si="36"/>
        <v>720</v>
      </c>
      <c r="F110" s="10">
        <f t="shared" si="36"/>
        <v>675</v>
      </c>
      <c r="G110" s="10">
        <f t="shared" si="36"/>
        <v>747</v>
      </c>
      <c r="H110" s="10">
        <f t="shared" si="36"/>
        <v>716</v>
      </c>
      <c r="I110" s="10">
        <f t="shared" si="36"/>
        <v>675</v>
      </c>
      <c r="J110" s="10">
        <f t="shared" si="36"/>
        <v>710</v>
      </c>
      <c r="K110" s="10">
        <f t="shared" si="36"/>
        <v>700</v>
      </c>
      <c r="L110" s="10">
        <f t="shared" si="36"/>
        <v>700</v>
      </c>
      <c r="M110" s="10">
        <f t="shared" si="36"/>
        <v>625.52246000000014</v>
      </c>
      <c r="N110" s="10">
        <f t="shared" si="36"/>
        <v>8410</v>
      </c>
      <c r="P110" s="10">
        <f>'Budget 2025'!N115</f>
        <v>8100</v>
      </c>
    </row>
    <row r="111" spans="1:17" s="2" customFormat="1" x14ac:dyDescent="0.35">
      <c r="A111" s="9" t="s">
        <v>90</v>
      </c>
      <c r="B111" s="10">
        <v>625.84960000000001</v>
      </c>
      <c r="C111" s="10">
        <v>567.95553999999993</v>
      </c>
      <c r="D111" s="10">
        <v>525</v>
      </c>
      <c r="E111" s="10">
        <v>550</v>
      </c>
      <c r="F111" s="10">
        <v>525</v>
      </c>
      <c r="G111" s="10">
        <v>557</v>
      </c>
      <c r="H111" s="10">
        <v>496</v>
      </c>
      <c r="I111" s="10">
        <v>475</v>
      </c>
      <c r="J111" s="10">
        <v>475</v>
      </c>
      <c r="K111" s="10">
        <v>500</v>
      </c>
      <c r="L111" s="10">
        <v>450</v>
      </c>
      <c r="M111" s="10">
        <v>398.19486000000006</v>
      </c>
      <c r="N111" s="10">
        <f>SUM(B111:M111)</f>
        <v>6145</v>
      </c>
      <c r="P111" s="10">
        <f>'Budget 2025'!N116</f>
        <v>5560</v>
      </c>
    </row>
    <row r="112" spans="1:17" x14ac:dyDescent="0.35">
      <c r="A112" s="5" t="s">
        <v>60</v>
      </c>
      <c r="B112" s="30">
        <v>6097.4966620771311</v>
      </c>
      <c r="C112" s="30">
        <v>6119.1855987285335</v>
      </c>
      <c r="D112" s="8">
        <v>6126.0778692375616</v>
      </c>
      <c r="E112" s="8">
        <v>6097.8537060952021</v>
      </c>
      <c r="F112" s="8">
        <v>6272.1289185324567</v>
      </c>
      <c r="G112" s="8">
        <v>6279.5942301420991</v>
      </c>
      <c r="H112" s="8">
        <v>6227.671963890255</v>
      </c>
      <c r="I112" s="8">
        <v>6264.315776542051</v>
      </c>
      <c r="J112" s="8">
        <v>6268.7826211730098</v>
      </c>
      <c r="K112" s="8">
        <v>6208.1522406587301</v>
      </c>
      <c r="L112" s="8">
        <v>6217.6667613778454</v>
      </c>
      <c r="M112" s="8">
        <v>6213.7825601651848</v>
      </c>
      <c r="N112" s="8">
        <f>SUMPRODUCT(B112:M112,$B$111:$M$111)/SUM($B$111:$M$111)</f>
        <v>6195.3820616335561</v>
      </c>
      <c r="P112" s="8">
        <f>'Budget 2025'!N117</f>
        <v>5915.2264206877153</v>
      </c>
    </row>
    <row r="113" spans="1:17" x14ac:dyDescent="0.35">
      <c r="A113" s="5" t="s">
        <v>22</v>
      </c>
      <c r="B113" s="31">
        <v>0.54476856174772381</v>
      </c>
      <c r="C113" s="31">
        <v>0.56823755577160673</v>
      </c>
      <c r="D113" s="7">
        <v>0.47786599283452735</v>
      </c>
      <c r="E113" s="7">
        <v>0.52981429969412175</v>
      </c>
      <c r="F113" s="7">
        <v>0.52355548613110625</v>
      </c>
      <c r="G113" s="7">
        <v>0.51989702627482737</v>
      </c>
      <c r="H113" s="7">
        <v>0.5229948935223776</v>
      </c>
      <c r="I113" s="7">
        <v>0.50436083758554895</v>
      </c>
      <c r="J113" s="7">
        <v>0.64021845480800588</v>
      </c>
      <c r="K113" s="7">
        <v>0.52383797728448878</v>
      </c>
      <c r="L113" s="7">
        <v>0.52420239586689932</v>
      </c>
      <c r="M113" s="7">
        <v>0.50630476269665448</v>
      </c>
      <c r="N113" s="7">
        <f t="shared" ref="N113:N116" si="37">SUMPRODUCT(B113:M113,$B$111:$M$111)/SUM($B$111:$M$111)</f>
        <v>0.53261225242936516</v>
      </c>
      <c r="P113" s="7">
        <f>'Budget 2025'!N118</f>
        <v>0.57720242104926189</v>
      </c>
    </row>
    <row r="114" spans="1:17" x14ac:dyDescent="0.35">
      <c r="A114" s="5" t="s">
        <v>23</v>
      </c>
      <c r="B114" s="31">
        <v>4.6247036218938993</v>
      </c>
      <c r="C114" s="31">
        <v>4.6317549926095838</v>
      </c>
      <c r="D114" s="7">
        <v>3.5950925562557452</v>
      </c>
      <c r="E114" s="7">
        <v>3.8816485909256184</v>
      </c>
      <c r="F114" s="7">
        <v>3.9118403058086022</v>
      </c>
      <c r="G114" s="7">
        <v>3.9179884891498995</v>
      </c>
      <c r="H114" s="7">
        <v>3.9044831126484296</v>
      </c>
      <c r="I114" s="7">
        <v>3.9369015287571996</v>
      </c>
      <c r="J114" s="7">
        <v>3.9117038193292801</v>
      </c>
      <c r="K114" s="7">
        <v>3.8190419304896657</v>
      </c>
      <c r="L114" s="7">
        <v>3.8342874177667032</v>
      </c>
      <c r="M114" s="7">
        <v>3.8523208962671189</v>
      </c>
      <c r="N114" s="7">
        <f>(SUMPRODUCT(B114:M114,$B$111:$M$111)/SUM($B$111:$M$111))</f>
        <v>4.0060214374815626</v>
      </c>
      <c r="P114" s="7">
        <f>'Budget 2025'!N119</f>
        <v>4.8848465793008069</v>
      </c>
    </row>
    <row r="115" spans="1:17" x14ac:dyDescent="0.35">
      <c r="A115" s="5" t="s">
        <v>38</v>
      </c>
      <c r="B115" s="31">
        <v>10.459827963863422</v>
      </c>
      <c r="C115" s="31">
        <v>10.573971921117533</v>
      </c>
      <c r="D115" s="7">
        <v>10.452654557232137</v>
      </c>
      <c r="E115" s="7">
        <v>10.154636149277859</v>
      </c>
      <c r="F115" s="7">
        <v>10.485920553575593</v>
      </c>
      <c r="G115" s="7">
        <v>10.532948510156409</v>
      </c>
      <c r="H115" s="7">
        <v>10.869700924370854</v>
      </c>
      <c r="I115" s="7">
        <v>10.632308723745671</v>
      </c>
      <c r="J115" s="7">
        <v>10.636661590578505</v>
      </c>
      <c r="K115" s="7">
        <v>11.07582952848718</v>
      </c>
      <c r="L115" s="7">
        <v>11.018629959999561</v>
      </c>
      <c r="M115" s="7">
        <v>11.024305063425821</v>
      </c>
      <c r="N115" s="7">
        <f t="shared" si="37"/>
        <v>10.639012470374832</v>
      </c>
      <c r="P115" s="7">
        <f>'Budget 2025'!N120</f>
        <v>11.469446555956317</v>
      </c>
    </row>
    <row r="116" spans="1:17" x14ac:dyDescent="0.35">
      <c r="A116" s="5" t="s">
        <v>25</v>
      </c>
      <c r="B116" s="31">
        <v>16.139047791846501</v>
      </c>
      <c r="C116" s="31">
        <v>16.036590798701749</v>
      </c>
      <c r="D116" s="7">
        <v>16.064668614375485</v>
      </c>
      <c r="E116" s="7">
        <v>16.345136636368718</v>
      </c>
      <c r="F116" s="7">
        <v>14.413246681230392</v>
      </c>
      <c r="G116" s="7">
        <v>14.309069461975099</v>
      </c>
      <c r="H116" s="7">
        <v>14.68327784473629</v>
      </c>
      <c r="I116" s="7">
        <v>14.417221106250452</v>
      </c>
      <c r="J116" s="7">
        <v>14.377176055340719</v>
      </c>
      <c r="K116" s="7">
        <v>14.895524095234403</v>
      </c>
      <c r="L116" s="7">
        <v>14.83174553237123</v>
      </c>
      <c r="M116" s="7">
        <v>14.853348916420714</v>
      </c>
      <c r="N116" s="7">
        <f t="shared" si="37"/>
        <v>15.161332588200857</v>
      </c>
      <c r="P116" s="7">
        <f>'Budget 2025'!N121</f>
        <v>15.241913451679135</v>
      </c>
    </row>
    <row r="117" spans="1:17" s="2" customFormat="1" x14ac:dyDescent="0.35">
      <c r="A117" s="9" t="s">
        <v>91</v>
      </c>
      <c r="B117" s="10">
        <v>120.6519</v>
      </c>
      <c r="C117" s="10">
        <v>119.02050000000001</v>
      </c>
      <c r="D117" s="10">
        <v>183</v>
      </c>
      <c r="E117" s="10">
        <v>170</v>
      </c>
      <c r="F117" s="10">
        <v>150</v>
      </c>
      <c r="G117" s="10">
        <v>190</v>
      </c>
      <c r="H117" s="10">
        <v>220</v>
      </c>
      <c r="I117" s="10">
        <v>200</v>
      </c>
      <c r="J117" s="10">
        <v>235</v>
      </c>
      <c r="K117" s="10">
        <v>200</v>
      </c>
      <c r="L117" s="10">
        <v>250</v>
      </c>
      <c r="M117" s="10">
        <v>227.3276000000001</v>
      </c>
      <c r="N117" s="10">
        <f>SUM(B117:M117)</f>
        <v>2265</v>
      </c>
      <c r="P117" s="10">
        <f>'Budget 2025'!N122</f>
        <v>2540</v>
      </c>
    </row>
    <row r="118" spans="1:17" x14ac:dyDescent="0.35">
      <c r="A118" s="5" t="s">
        <v>60</v>
      </c>
      <c r="B118" s="30">
        <v>6099.4690130578811</v>
      </c>
      <c r="C118" s="30">
        <v>6066.5598806413072</v>
      </c>
      <c r="D118" s="8">
        <v>6086.6564736755045</v>
      </c>
      <c r="E118" s="8">
        <v>6135.3098046661189</v>
      </c>
      <c r="F118" s="8">
        <v>6181.3450508838068</v>
      </c>
      <c r="G118" s="8">
        <v>6198.4652352104931</v>
      </c>
      <c r="H118" s="8">
        <v>6212.259099013364</v>
      </c>
      <c r="I118" s="8">
        <v>6210.3034731704274</v>
      </c>
      <c r="J118" s="8">
        <v>6220.4258471649946</v>
      </c>
      <c r="K118" s="8">
        <v>6203.7745871614379</v>
      </c>
      <c r="L118" s="8">
        <v>6164.73242375063</v>
      </c>
      <c r="M118" s="8">
        <v>6197.3168898512577</v>
      </c>
      <c r="N118" s="8">
        <f>SUMPRODUCT(B118:M118,$B$117:$M$117)/SUM($B$117:$M$117)</f>
        <v>6172.6469926573718</v>
      </c>
      <c r="P118" s="8">
        <f>'Budget 2025'!N123</f>
        <v>5792.8232136227871</v>
      </c>
    </row>
    <row r="119" spans="1:17" x14ac:dyDescent="0.35">
      <c r="A119" s="5" t="s">
        <v>22</v>
      </c>
      <c r="B119" s="31">
        <v>1.9961279544590722</v>
      </c>
      <c r="C119" s="31">
        <v>1.9949662635342156</v>
      </c>
      <c r="D119" s="7">
        <v>2.004087695552919</v>
      </c>
      <c r="E119" s="7">
        <v>2.0187581779994392</v>
      </c>
      <c r="F119" s="7">
        <v>1.9885500018027178</v>
      </c>
      <c r="G119" s="7">
        <v>1.9611453563578933</v>
      </c>
      <c r="H119" s="7">
        <v>1.8024371976434719</v>
      </c>
      <c r="I119" s="7">
        <v>1.7531996277307593</v>
      </c>
      <c r="J119" s="7">
        <v>1.5883342327140835</v>
      </c>
      <c r="K119" s="7">
        <v>1.639373005413417</v>
      </c>
      <c r="L119" s="7">
        <v>1.583927099904102</v>
      </c>
      <c r="M119" s="7">
        <v>1.5059942380883586</v>
      </c>
      <c r="N119" s="7">
        <f t="shared" ref="N119:N122" si="38">SUMPRODUCT(B119:M119,$B$117:$M$117)/SUM($B$117:$M$117)</f>
        <v>1.7862077945142432</v>
      </c>
      <c r="P119" s="7">
        <f>'Budget 2025'!N124</f>
        <v>1.7606128453673298</v>
      </c>
    </row>
    <row r="120" spans="1:17" x14ac:dyDescent="0.35">
      <c r="A120" s="5" t="s">
        <v>23</v>
      </c>
      <c r="B120" s="31">
        <v>4.8307037060507492</v>
      </c>
      <c r="C120" s="31">
        <v>4.7802382800980334</v>
      </c>
      <c r="D120" s="7">
        <v>4.5862518226775109</v>
      </c>
      <c r="E120" s="7">
        <v>4.4487387341833218</v>
      </c>
      <c r="F120" s="7">
        <v>4.4562660066331965</v>
      </c>
      <c r="G120" s="7">
        <v>4.4665935512352437</v>
      </c>
      <c r="H120" s="7">
        <v>4.3811658960007653</v>
      </c>
      <c r="I120" s="7">
        <v>4.4638743155767608</v>
      </c>
      <c r="J120" s="7">
        <v>4.2786392624005884</v>
      </c>
      <c r="K120" s="7">
        <v>4.371126416860811</v>
      </c>
      <c r="L120" s="7">
        <v>4.6403187110848023</v>
      </c>
      <c r="M120" s="7">
        <v>4.1545122852698428</v>
      </c>
      <c r="N120" s="7">
        <f>(SUMPRODUCT(B120:M120,$B$117:$M$117)/SUM($B$117:$M$117))</f>
        <v>4.4614985120544057</v>
      </c>
      <c r="P120" s="7">
        <f>'Budget 2025'!N125</f>
        <v>5.7572096518405811</v>
      </c>
    </row>
    <row r="121" spans="1:17" x14ac:dyDescent="0.35">
      <c r="A121" s="5" t="s">
        <v>38</v>
      </c>
      <c r="B121" s="31">
        <v>10.559011156017789</v>
      </c>
      <c r="C121" s="31">
        <v>11.003026553086062</v>
      </c>
      <c r="D121" s="7">
        <v>10.375167978354074</v>
      </c>
      <c r="E121" s="7">
        <v>10.656616893157375</v>
      </c>
      <c r="F121" s="7">
        <v>10.541053666494603</v>
      </c>
      <c r="G121" s="7">
        <v>10.418701436539731</v>
      </c>
      <c r="H121" s="7">
        <v>10.599727857307023</v>
      </c>
      <c r="I121" s="7">
        <v>10.580190780076538</v>
      </c>
      <c r="J121" s="7">
        <v>10.773568144871998</v>
      </c>
      <c r="K121" s="7">
        <v>10.833637916197652</v>
      </c>
      <c r="L121" s="7">
        <v>10.980933825517315</v>
      </c>
      <c r="M121" s="7">
        <v>11.262290420591683</v>
      </c>
      <c r="N121" s="7">
        <f t="shared" si="38"/>
        <v>10.731346448057987</v>
      </c>
      <c r="P121" s="7">
        <f>'Budget 2025'!N126</f>
        <v>10.736864071482877</v>
      </c>
    </row>
    <row r="122" spans="1:17" x14ac:dyDescent="0.35">
      <c r="A122" s="5" t="s">
        <v>25</v>
      </c>
      <c r="B122" s="31">
        <v>15.541759210005772</v>
      </c>
      <c r="C122" s="31">
        <v>16.161000976304042</v>
      </c>
      <c r="D122" s="7">
        <v>15.622985822491231</v>
      </c>
      <c r="E122" s="7">
        <v>15.192508352840971</v>
      </c>
      <c r="F122" s="7">
        <v>14.558418562639538</v>
      </c>
      <c r="G122" s="7">
        <v>14.308397899001738</v>
      </c>
      <c r="H122" s="7">
        <v>14.389949665849359</v>
      </c>
      <c r="I122" s="7">
        <v>14.322259618490705</v>
      </c>
      <c r="J122" s="7">
        <v>14.37671504643534</v>
      </c>
      <c r="K122" s="7">
        <v>14.42644139793653</v>
      </c>
      <c r="L122" s="7">
        <v>14.62547913565124</v>
      </c>
      <c r="M122" s="7">
        <v>14.739519457732387</v>
      </c>
      <c r="N122" s="7">
        <f t="shared" si="38"/>
        <v>14.765497103095823</v>
      </c>
      <c r="P122" s="7">
        <f>'Budget 2025'!N127</f>
        <v>14.551758700752847</v>
      </c>
    </row>
    <row r="124" spans="1:17" x14ac:dyDescent="0.35">
      <c r="A124" s="6" t="s">
        <v>44</v>
      </c>
      <c r="B124" s="6" t="s">
        <v>1</v>
      </c>
      <c r="C124" s="6" t="s">
        <v>2</v>
      </c>
      <c r="D124" s="6" t="s">
        <v>3</v>
      </c>
      <c r="E124" s="6" t="s">
        <v>4</v>
      </c>
      <c r="F124" s="6" t="s">
        <v>5</v>
      </c>
      <c r="G124" s="6" t="s">
        <v>6</v>
      </c>
      <c r="H124" s="6" t="s">
        <v>7</v>
      </c>
      <c r="I124" s="6" t="s">
        <v>8</v>
      </c>
      <c r="J124" s="6" t="s">
        <v>9</v>
      </c>
      <c r="K124" s="6" t="s">
        <v>10</v>
      </c>
      <c r="L124" s="6" t="s">
        <v>11</v>
      </c>
      <c r="M124" s="6" t="s">
        <v>12</v>
      </c>
      <c r="N124" s="6" t="s">
        <v>13</v>
      </c>
      <c r="O124" s="4"/>
      <c r="P124" s="6" t="s">
        <v>85</v>
      </c>
    </row>
    <row r="125" spans="1:17" s="2" customFormat="1" x14ac:dyDescent="0.35">
      <c r="A125" s="9" t="s">
        <v>14</v>
      </c>
      <c r="B125" s="10">
        <f t="shared" ref="B125:N125" si="39">SUM(B126:B126)</f>
        <v>0</v>
      </c>
      <c r="C125" s="10">
        <f t="shared" si="39"/>
        <v>0</v>
      </c>
      <c r="D125" s="10">
        <f t="shared" si="39"/>
        <v>0</v>
      </c>
      <c r="E125" s="10">
        <f t="shared" si="39"/>
        <v>0</v>
      </c>
      <c r="F125" s="10">
        <f t="shared" si="39"/>
        <v>0</v>
      </c>
      <c r="G125" s="10">
        <f t="shared" si="39"/>
        <v>160</v>
      </c>
      <c r="H125" s="10">
        <f t="shared" si="39"/>
        <v>183</v>
      </c>
      <c r="I125" s="10">
        <f t="shared" si="39"/>
        <v>355</v>
      </c>
      <c r="J125" s="10">
        <f t="shared" si="39"/>
        <v>366</v>
      </c>
      <c r="K125" s="10">
        <f t="shared" si="39"/>
        <v>394</v>
      </c>
      <c r="L125" s="10">
        <f t="shared" si="39"/>
        <v>348</v>
      </c>
      <c r="M125" s="10">
        <f t="shared" si="39"/>
        <v>313</v>
      </c>
      <c r="N125" s="10">
        <f t="shared" si="39"/>
        <v>2119</v>
      </c>
      <c r="P125" s="10">
        <f>'Budget 2025'!N130</f>
        <v>5038.6080002984163</v>
      </c>
      <c r="Q125" s="27">
        <f>N125/P125</f>
        <v>0.42055266055118801</v>
      </c>
    </row>
    <row r="126" spans="1:17" x14ac:dyDescent="0.35">
      <c r="A126" s="5" t="s">
        <v>69</v>
      </c>
      <c r="B126" s="30">
        <v>0</v>
      </c>
      <c r="C126" s="30">
        <v>0</v>
      </c>
      <c r="D126" s="8">
        <v>0</v>
      </c>
      <c r="E126" s="8">
        <v>0</v>
      </c>
      <c r="F126" s="8">
        <v>0</v>
      </c>
      <c r="G126" s="8">
        <v>160</v>
      </c>
      <c r="H126" s="8">
        <v>183</v>
      </c>
      <c r="I126" s="8">
        <v>355</v>
      </c>
      <c r="J126" s="8">
        <v>366</v>
      </c>
      <c r="K126" s="8">
        <v>394</v>
      </c>
      <c r="L126" s="8">
        <v>348</v>
      </c>
      <c r="M126" s="8">
        <v>313</v>
      </c>
      <c r="N126" s="8">
        <f t="shared" ref="N126:N128" si="40">SUM(B126:M126)</f>
        <v>2119</v>
      </c>
      <c r="P126" s="8">
        <f>'Budget 2025'!N131</f>
        <v>5038.6080002984163</v>
      </c>
    </row>
    <row r="127" spans="1:17" s="2" customFormat="1" x14ac:dyDescent="0.35">
      <c r="A127" s="9" t="s">
        <v>17</v>
      </c>
      <c r="B127" s="10">
        <f t="shared" ref="B127:M127" si="41">SUM(B128:B128)</f>
        <v>0</v>
      </c>
      <c r="C127" s="10">
        <f t="shared" si="41"/>
        <v>0</v>
      </c>
      <c r="D127" s="10">
        <f t="shared" si="41"/>
        <v>0</v>
      </c>
      <c r="E127" s="10">
        <f t="shared" si="41"/>
        <v>0</v>
      </c>
      <c r="F127" s="10">
        <f t="shared" si="41"/>
        <v>0</v>
      </c>
      <c r="G127" s="10">
        <f t="shared" si="41"/>
        <v>0</v>
      </c>
      <c r="H127" s="10">
        <f t="shared" si="41"/>
        <v>0</v>
      </c>
      <c r="I127" s="10">
        <f t="shared" si="41"/>
        <v>2</v>
      </c>
      <c r="J127" s="10">
        <f t="shared" si="41"/>
        <v>24</v>
      </c>
      <c r="K127" s="10">
        <f t="shared" si="41"/>
        <v>59</v>
      </c>
      <c r="L127" s="10">
        <f t="shared" si="41"/>
        <v>57</v>
      </c>
      <c r="M127" s="10">
        <f t="shared" si="41"/>
        <v>58</v>
      </c>
      <c r="N127" s="10">
        <f t="shared" si="40"/>
        <v>200</v>
      </c>
      <c r="P127" s="10">
        <f>'Budget 2025'!N132</f>
        <v>448</v>
      </c>
      <c r="Q127" s="27">
        <f>N127/P127</f>
        <v>0.44642857142857145</v>
      </c>
    </row>
    <row r="128" spans="1:17" x14ac:dyDescent="0.35">
      <c r="A128" s="5" t="s">
        <v>69</v>
      </c>
      <c r="B128" s="30">
        <v>0</v>
      </c>
      <c r="C128" s="30">
        <v>0</v>
      </c>
      <c r="D128" s="8">
        <v>0</v>
      </c>
      <c r="E128" s="8">
        <v>0</v>
      </c>
      <c r="F128" s="8">
        <v>0</v>
      </c>
      <c r="G128" s="8">
        <v>0</v>
      </c>
      <c r="H128" s="8">
        <v>0</v>
      </c>
      <c r="I128" s="8">
        <v>2</v>
      </c>
      <c r="J128" s="8">
        <v>24</v>
      </c>
      <c r="K128" s="8">
        <v>59</v>
      </c>
      <c r="L128" s="8">
        <v>57</v>
      </c>
      <c r="M128" s="8">
        <v>58</v>
      </c>
      <c r="N128" s="8">
        <f t="shared" si="40"/>
        <v>200</v>
      </c>
      <c r="P128" s="8">
        <f>'Budget 2025'!N133</f>
        <v>448</v>
      </c>
    </row>
    <row r="129" spans="1:17" s="2" customFormat="1" x14ac:dyDescent="0.35">
      <c r="A129" s="9" t="s">
        <v>43</v>
      </c>
      <c r="B129" s="11">
        <f t="shared" ref="B129:M129" si="42">IFERROR(B125/B127,0)</f>
        <v>0</v>
      </c>
      <c r="C129" s="11">
        <f t="shared" si="42"/>
        <v>0</v>
      </c>
      <c r="D129" s="11">
        <f t="shared" si="42"/>
        <v>0</v>
      </c>
      <c r="E129" s="11">
        <f t="shared" si="42"/>
        <v>0</v>
      </c>
      <c r="F129" s="11">
        <f t="shared" si="42"/>
        <v>0</v>
      </c>
      <c r="G129" s="11">
        <f t="shared" si="42"/>
        <v>0</v>
      </c>
      <c r="H129" s="11">
        <f t="shared" si="42"/>
        <v>0</v>
      </c>
      <c r="I129" s="11">
        <f t="shared" si="42"/>
        <v>177.5</v>
      </c>
      <c r="J129" s="11">
        <f t="shared" si="42"/>
        <v>15.25</v>
      </c>
      <c r="K129" s="11">
        <f t="shared" si="42"/>
        <v>6.6779661016949152</v>
      </c>
      <c r="L129" s="11">
        <f t="shared" si="42"/>
        <v>6.1052631578947372</v>
      </c>
      <c r="M129" s="11">
        <f t="shared" si="42"/>
        <v>5.3965517241379306</v>
      </c>
      <c r="N129" s="11">
        <f>N125/N127</f>
        <v>10.595000000000001</v>
      </c>
      <c r="P129" s="11">
        <f>'Budget 2025'!N134</f>
        <v>11.246892857808964</v>
      </c>
    </row>
    <row r="130" spans="1:17" s="2" customFormat="1" x14ac:dyDescent="0.35">
      <c r="A130" s="9" t="s">
        <v>34</v>
      </c>
      <c r="B130" s="11">
        <f t="shared" ref="B130:M130" si="43">IFERROR(B125/B132,0)</f>
        <v>0</v>
      </c>
      <c r="C130" s="11">
        <f t="shared" si="43"/>
        <v>0</v>
      </c>
      <c r="D130" s="11">
        <f t="shared" si="43"/>
        <v>0</v>
      </c>
      <c r="E130" s="11">
        <f t="shared" si="43"/>
        <v>0</v>
      </c>
      <c r="F130" s="11">
        <f t="shared" si="43"/>
        <v>0</v>
      </c>
      <c r="G130" s="11">
        <f t="shared" si="43"/>
        <v>0</v>
      </c>
      <c r="H130" s="11">
        <f t="shared" si="43"/>
        <v>0</v>
      </c>
      <c r="I130" s="11">
        <f t="shared" si="43"/>
        <v>177.5</v>
      </c>
      <c r="J130" s="11">
        <f t="shared" si="43"/>
        <v>16.636363636363637</v>
      </c>
      <c r="K130" s="11">
        <f t="shared" si="43"/>
        <v>7.0357142857142856</v>
      </c>
      <c r="L130" s="11">
        <f t="shared" si="43"/>
        <v>6.3272727272727272</v>
      </c>
      <c r="M130" s="11">
        <f t="shared" si="43"/>
        <v>5.2166666666666668</v>
      </c>
      <c r="N130" s="11">
        <f>N125/N132</f>
        <v>10.866666666666667</v>
      </c>
      <c r="P130" s="11">
        <f>'Budget 2025'!N135</f>
        <v>11.63650808383006</v>
      </c>
    </row>
    <row r="131" spans="1:17" s="2" customFormat="1" x14ac:dyDescent="0.35">
      <c r="A131" s="9" t="s">
        <v>46</v>
      </c>
      <c r="B131" s="10">
        <v>0</v>
      </c>
      <c r="C131" s="10">
        <v>0</v>
      </c>
      <c r="D131" s="10">
        <v>0</v>
      </c>
      <c r="E131" s="10">
        <v>0</v>
      </c>
      <c r="F131" s="10">
        <v>29.8</v>
      </c>
      <c r="G131" s="10">
        <v>22.3</v>
      </c>
      <c r="H131" s="10">
        <v>0</v>
      </c>
      <c r="I131" s="10">
        <v>0</v>
      </c>
      <c r="J131" s="10">
        <v>22.3</v>
      </c>
      <c r="K131" s="10">
        <v>29.6</v>
      </c>
      <c r="L131" s="10">
        <v>51.9</v>
      </c>
      <c r="M131" s="10">
        <v>66.599999999999994</v>
      </c>
      <c r="N131" s="10">
        <f>SUM(B131:M131)</f>
        <v>222.5</v>
      </c>
      <c r="P131" s="10">
        <f>'Budget 2025'!N136</f>
        <v>430.7</v>
      </c>
    </row>
    <row r="132" spans="1:17" s="2" customFormat="1" x14ac:dyDescent="0.35">
      <c r="A132" s="9" t="s">
        <v>50</v>
      </c>
      <c r="B132" s="10">
        <v>0</v>
      </c>
      <c r="C132" s="10">
        <v>0</v>
      </c>
      <c r="D132" s="10">
        <v>0</v>
      </c>
      <c r="E132" s="10">
        <v>0</v>
      </c>
      <c r="F132" s="10">
        <v>0</v>
      </c>
      <c r="G132" s="10">
        <v>0</v>
      </c>
      <c r="H132" s="10">
        <v>0</v>
      </c>
      <c r="I132" s="10">
        <v>2</v>
      </c>
      <c r="J132" s="10">
        <v>22</v>
      </c>
      <c r="K132" s="10">
        <v>56</v>
      </c>
      <c r="L132" s="10">
        <v>55</v>
      </c>
      <c r="M132" s="10">
        <v>60</v>
      </c>
      <c r="N132" s="10">
        <f>SUM(B132:M132)</f>
        <v>195</v>
      </c>
      <c r="P132" s="10">
        <f>'Budget 2025'!N137</f>
        <v>433</v>
      </c>
    </row>
    <row r="133" spans="1:17" x14ac:dyDescent="0.35">
      <c r="A133" s="5" t="s">
        <v>60</v>
      </c>
      <c r="B133" s="30">
        <v>0</v>
      </c>
      <c r="C133" s="30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4486.6140735937261</v>
      </c>
      <c r="J133" s="8">
        <v>4432.8755135949605</v>
      </c>
      <c r="K133" s="8">
        <v>4380.2803123296153</v>
      </c>
      <c r="L133" s="8">
        <v>4389.5883815118659</v>
      </c>
      <c r="M133" s="8">
        <v>4258.127827766808</v>
      </c>
      <c r="N133" s="8">
        <f>SUMPRODUCT(B133:M133,$B$132:$M$132)/SUM($B$132:$M$132)</f>
        <v>4352.3447055686984</v>
      </c>
      <c r="P133" s="8">
        <f>'Budget 2025'!N138</f>
        <v>4423.7945910311291</v>
      </c>
    </row>
    <row r="134" spans="1:17" x14ac:dyDescent="0.35">
      <c r="A134" s="5" t="s">
        <v>22</v>
      </c>
      <c r="B134" s="30">
        <v>0</v>
      </c>
      <c r="C134" s="30">
        <v>0</v>
      </c>
      <c r="D134" s="7">
        <v>0</v>
      </c>
      <c r="E134" s="7">
        <v>0</v>
      </c>
      <c r="F134" s="7">
        <v>0</v>
      </c>
      <c r="G134" s="7">
        <v>0</v>
      </c>
      <c r="H134" s="7">
        <v>0</v>
      </c>
      <c r="I134" s="7">
        <v>0.39501179024804234</v>
      </c>
      <c r="J134" s="7">
        <v>0.42589620091698116</v>
      </c>
      <c r="K134" s="7">
        <v>0.39214311815833125</v>
      </c>
      <c r="L134" s="7">
        <v>0.38832503871255264</v>
      </c>
      <c r="M134" s="7">
        <v>0.32216667917072772</v>
      </c>
      <c r="N134" s="15">
        <f t="shared" ref="N134:N137" si="44">SUMPRODUCT(B134:M134,$B$132:$M$132)/SUM($B$132:$M$132)</f>
        <v>0.37337247434343734</v>
      </c>
      <c r="P134" s="7">
        <f>'Budget 2025'!N139</f>
        <v>0.36898824350858472</v>
      </c>
    </row>
    <row r="135" spans="1:17" x14ac:dyDescent="0.35">
      <c r="A135" s="5" t="s">
        <v>23</v>
      </c>
      <c r="B135" s="30">
        <v>0</v>
      </c>
      <c r="C135" s="30">
        <v>0</v>
      </c>
      <c r="D135" s="7">
        <v>0</v>
      </c>
      <c r="E135" s="7">
        <v>0</v>
      </c>
      <c r="F135" s="7">
        <v>0</v>
      </c>
      <c r="G135" s="7">
        <v>0</v>
      </c>
      <c r="H135" s="7">
        <v>0</v>
      </c>
      <c r="I135" s="7">
        <v>5.0566813559075587</v>
      </c>
      <c r="J135" s="7">
        <v>4.8164646593450531</v>
      </c>
      <c r="K135" s="7">
        <v>5.5125069655646994</v>
      </c>
      <c r="L135" s="7">
        <v>5.0819750404427353</v>
      </c>
      <c r="M135" s="7">
        <v>5.3704318480311368</v>
      </c>
      <c r="N135" s="15">
        <f t="shared" si="44"/>
        <v>5.2641564789499906</v>
      </c>
      <c r="P135" s="7">
        <f>'Budget 2025'!N140</f>
        <v>4.4323109091173567</v>
      </c>
    </row>
    <row r="136" spans="1:17" x14ac:dyDescent="0.35">
      <c r="A136" s="5" t="s">
        <v>38</v>
      </c>
      <c r="B136" s="30">
        <v>0</v>
      </c>
      <c r="C136" s="30">
        <v>0</v>
      </c>
      <c r="D136" s="7">
        <v>0</v>
      </c>
      <c r="E136" s="7">
        <v>0</v>
      </c>
      <c r="F136" s="7">
        <v>0</v>
      </c>
      <c r="G136" s="7">
        <v>0</v>
      </c>
      <c r="H136" s="7">
        <v>0</v>
      </c>
      <c r="I136" s="7">
        <v>18.030886665072352</v>
      </c>
      <c r="J136" s="7">
        <v>16.917822881871093</v>
      </c>
      <c r="K136" s="7">
        <v>16.565185582655097</v>
      </c>
      <c r="L136" s="7">
        <v>16.450757235952526</v>
      </c>
      <c r="M136" s="7">
        <v>15.568234572735596</v>
      </c>
      <c r="N136" s="15">
        <f t="shared" si="44"/>
        <v>16.280974316418046</v>
      </c>
      <c r="P136" s="7">
        <f>'Budget 2025'!N141</f>
        <v>16.92589236972162</v>
      </c>
    </row>
    <row r="137" spans="1:17" x14ac:dyDescent="0.35">
      <c r="A137" s="5" t="s">
        <v>25</v>
      </c>
      <c r="B137" s="30">
        <v>0</v>
      </c>
      <c r="C137" s="30">
        <v>0</v>
      </c>
      <c r="D137" s="7">
        <v>0</v>
      </c>
      <c r="E137" s="7">
        <v>0</v>
      </c>
      <c r="F137" s="7">
        <v>0</v>
      </c>
      <c r="G137" s="7">
        <v>0</v>
      </c>
      <c r="H137" s="7">
        <v>0</v>
      </c>
      <c r="I137" s="7">
        <v>29.406303157371443</v>
      </c>
      <c r="J137" s="7">
        <v>29.712125382556522</v>
      </c>
      <c r="K137" s="7">
        <v>30.393887037771364</v>
      </c>
      <c r="L137" s="7">
        <v>30.274660478416536</v>
      </c>
      <c r="M137" s="7">
        <v>29.424757489545357</v>
      </c>
      <c r="N137" s="15">
        <f t="shared" si="44"/>
        <v>29.975019561701604</v>
      </c>
      <c r="P137" s="7">
        <f>'Budget 2025'!N142</f>
        <v>30.236602375317773</v>
      </c>
    </row>
    <row r="139" spans="1:17" x14ac:dyDescent="0.35">
      <c r="A139" s="6" t="s">
        <v>52</v>
      </c>
      <c r="B139" s="6" t="s">
        <v>1</v>
      </c>
      <c r="C139" s="6" t="s">
        <v>2</v>
      </c>
      <c r="D139" s="6" t="s">
        <v>3</v>
      </c>
      <c r="E139" s="6" t="s">
        <v>4</v>
      </c>
      <c r="F139" s="6" t="s">
        <v>5</v>
      </c>
      <c r="G139" s="6" t="s">
        <v>6</v>
      </c>
      <c r="H139" s="6" t="s">
        <v>7</v>
      </c>
      <c r="I139" s="6" t="s">
        <v>8</v>
      </c>
      <c r="J139" s="6" t="s">
        <v>9</v>
      </c>
      <c r="K139" s="6" t="s">
        <v>10</v>
      </c>
      <c r="L139" s="6" t="s">
        <v>11</v>
      </c>
      <c r="M139" s="6" t="s">
        <v>12</v>
      </c>
      <c r="N139" s="6" t="s">
        <v>13</v>
      </c>
      <c r="O139" s="4"/>
      <c r="P139" s="6" t="s">
        <v>85</v>
      </c>
    </row>
    <row r="140" spans="1:17" x14ac:dyDescent="0.35">
      <c r="A140" s="9" t="s">
        <v>14</v>
      </c>
      <c r="B140" s="10">
        <f>B141</f>
        <v>534.77292739999996</v>
      </c>
      <c r="C140" s="10">
        <f t="shared" ref="C140:M140" si="45">C141</f>
        <v>568.32123179999974</v>
      </c>
      <c r="D140" s="10">
        <f t="shared" si="45"/>
        <v>650</v>
      </c>
      <c r="E140" s="10">
        <f t="shared" si="45"/>
        <v>630</v>
      </c>
      <c r="F140" s="10">
        <f t="shared" si="45"/>
        <v>720</v>
      </c>
      <c r="G140" s="10">
        <f t="shared" si="45"/>
        <v>695</v>
      </c>
      <c r="H140" s="10">
        <f t="shared" si="45"/>
        <v>775</v>
      </c>
      <c r="I140" s="10">
        <f t="shared" si="45"/>
        <v>815</v>
      </c>
      <c r="J140" s="10">
        <f t="shared" si="45"/>
        <v>796</v>
      </c>
      <c r="K140" s="10">
        <f t="shared" si="45"/>
        <v>815</v>
      </c>
      <c r="L140" s="10">
        <f t="shared" si="45"/>
        <v>730</v>
      </c>
      <c r="M140" s="10">
        <f t="shared" si="45"/>
        <v>770.90584080000008</v>
      </c>
      <c r="N140" s="10">
        <f>SUM(B140:M140)</f>
        <v>8500</v>
      </c>
      <c r="O140" s="2"/>
      <c r="P140" s="10">
        <f>'Budget 2025'!N145</f>
        <v>8500</v>
      </c>
      <c r="Q140" s="27">
        <f>N140/P140</f>
        <v>1</v>
      </c>
    </row>
    <row r="141" spans="1:17" x14ac:dyDescent="0.35">
      <c r="A141" s="5" t="s">
        <v>72</v>
      </c>
      <c r="B141" s="30">
        <v>534.77292739999996</v>
      </c>
      <c r="C141" s="30">
        <v>568.32123179999974</v>
      </c>
      <c r="D141" s="8">
        <v>650</v>
      </c>
      <c r="E141" s="8">
        <v>630</v>
      </c>
      <c r="F141" s="8">
        <v>720</v>
      </c>
      <c r="G141" s="8">
        <v>695</v>
      </c>
      <c r="H141" s="8">
        <v>775</v>
      </c>
      <c r="I141" s="8">
        <v>815</v>
      </c>
      <c r="J141" s="8">
        <v>796</v>
      </c>
      <c r="K141" s="8">
        <v>815</v>
      </c>
      <c r="L141" s="8">
        <v>730</v>
      </c>
      <c r="M141" s="8">
        <v>770.90584080000008</v>
      </c>
      <c r="N141" s="8">
        <f>SUM(B141:M141)</f>
        <v>8500</v>
      </c>
      <c r="P141" s="8">
        <f>'Budget 2025'!N146</f>
        <v>8500</v>
      </c>
    </row>
    <row r="142" spans="1:17" x14ac:dyDescent="0.35">
      <c r="A142" s="9" t="s">
        <v>17</v>
      </c>
      <c r="B142" s="10">
        <f t="shared" ref="B142:N142" si="46">SUM(B143:B145)</f>
        <v>202.94750399999998</v>
      </c>
      <c r="C142" s="10">
        <f t="shared" si="46"/>
        <v>206.07165499999999</v>
      </c>
      <c r="D142" s="10">
        <f t="shared" si="46"/>
        <v>190</v>
      </c>
      <c r="E142" s="10">
        <f t="shared" si="46"/>
        <v>200</v>
      </c>
      <c r="F142" s="10">
        <f t="shared" si="46"/>
        <v>200</v>
      </c>
      <c r="G142" s="10">
        <f t="shared" si="46"/>
        <v>175</v>
      </c>
      <c r="H142" s="10">
        <f t="shared" si="46"/>
        <v>140</v>
      </c>
      <c r="I142" s="10">
        <f t="shared" si="46"/>
        <v>147</v>
      </c>
      <c r="J142" s="10">
        <f t="shared" si="46"/>
        <v>145</v>
      </c>
      <c r="K142" s="10">
        <f t="shared" si="46"/>
        <v>150</v>
      </c>
      <c r="L142" s="10">
        <f t="shared" si="46"/>
        <v>170</v>
      </c>
      <c r="M142" s="10">
        <f t="shared" si="46"/>
        <v>173.98084100000005</v>
      </c>
      <c r="N142" s="10">
        <f t="shared" si="46"/>
        <v>2100</v>
      </c>
      <c r="O142" s="2"/>
      <c r="P142" s="10">
        <f>'Budget 2025'!N147</f>
        <v>2100</v>
      </c>
      <c r="Q142" s="27">
        <f>N142/P142</f>
        <v>1</v>
      </c>
    </row>
    <row r="143" spans="1:17" x14ac:dyDescent="0.35">
      <c r="A143" s="5" t="s">
        <v>72</v>
      </c>
      <c r="B143" s="30">
        <v>159.013825</v>
      </c>
      <c r="C143" s="30">
        <v>158.03981999999999</v>
      </c>
      <c r="D143" s="8">
        <v>138</v>
      </c>
      <c r="E143" s="8">
        <v>140</v>
      </c>
      <c r="F143" s="8">
        <v>128</v>
      </c>
      <c r="G143" s="8">
        <v>115</v>
      </c>
      <c r="H143" s="8">
        <v>101.5625</v>
      </c>
      <c r="I143" s="8">
        <v>105</v>
      </c>
      <c r="J143" s="8">
        <v>114.1875</v>
      </c>
      <c r="K143" s="8">
        <v>110</v>
      </c>
      <c r="L143" s="8">
        <v>109</v>
      </c>
      <c r="M143" s="8">
        <v>111.9649635619337</v>
      </c>
      <c r="N143" s="8">
        <f>SUM(B143:M143)</f>
        <v>1489.7686085619337</v>
      </c>
      <c r="P143" s="8">
        <f>'Budget 2025'!N148</f>
        <v>1467</v>
      </c>
    </row>
    <row r="144" spans="1:17" x14ac:dyDescent="0.35">
      <c r="A144" s="5" t="s">
        <v>73</v>
      </c>
      <c r="B144" s="30">
        <v>43.933678999999998</v>
      </c>
      <c r="C144" s="30">
        <v>48.031835000000001</v>
      </c>
      <c r="D144" s="8">
        <v>52</v>
      </c>
      <c r="E144" s="8">
        <v>60</v>
      </c>
      <c r="F144" s="8">
        <v>72</v>
      </c>
      <c r="G144" s="8">
        <v>60</v>
      </c>
      <c r="H144" s="8">
        <v>38.4375</v>
      </c>
      <c r="I144" s="8">
        <v>42</v>
      </c>
      <c r="J144" s="8">
        <v>30.8125</v>
      </c>
      <c r="K144" s="8">
        <v>40</v>
      </c>
      <c r="L144" s="8">
        <v>61</v>
      </c>
      <c r="M144" s="8">
        <v>62.015877438066362</v>
      </c>
      <c r="N144" s="8">
        <f t="shared" ref="N144:N145" si="47">SUM(B144:M144)</f>
        <v>610.23139143806634</v>
      </c>
      <c r="P144" s="8">
        <f>'Budget 2025'!N149</f>
        <v>633</v>
      </c>
    </row>
    <row r="145" spans="1:17" hidden="1" x14ac:dyDescent="0.35">
      <c r="A145" s="5" t="s">
        <v>75</v>
      </c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>
        <f t="shared" si="47"/>
        <v>0</v>
      </c>
      <c r="P145" s="8"/>
    </row>
    <row r="146" spans="1:17" x14ac:dyDescent="0.35">
      <c r="A146" s="9" t="s">
        <v>43</v>
      </c>
      <c r="B146" s="11">
        <f>IFERROR(B140/B142,0)</f>
        <v>2.6350308176246404</v>
      </c>
      <c r="C146" s="11">
        <f t="shared" ref="C146:N146" si="48">C140/C142</f>
        <v>2.7578816300572719</v>
      </c>
      <c r="D146" s="11">
        <f t="shared" si="48"/>
        <v>3.4210526315789473</v>
      </c>
      <c r="E146" s="11">
        <f t="shared" si="48"/>
        <v>3.15</v>
      </c>
      <c r="F146" s="11">
        <f t="shared" si="48"/>
        <v>3.6</v>
      </c>
      <c r="G146" s="11">
        <f t="shared" si="48"/>
        <v>3.9714285714285715</v>
      </c>
      <c r="H146" s="11">
        <f t="shared" si="48"/>
        <v>5.5357142857142856</v>
      </c>
      <c r="I146" s="11">
        <f t="shared" si="48"/>
        <v>5.5442176870748296</v>
      </c>
      <c r="J146" s="11">
        <f t="shared" si="48"/>
        <v>5.4896551724137934</v>
      </c>
      <c r="K146" s="11">
        <f t="shared" si="48"/>
        <v>5.4333333333333336</v>
      </c>
      <c r="L146" s="11">
        <f t="shared" si="48"/>
        <v>4.2941176470588234</v>
      </c>
      <c r="M146" s="11">
        <f t="shared" si="48"/>
        <v>4.4309812297090794</v>
      </c>
      <c r="N146" s="11">
        <f t="shared" si="48"/>
        <v>4.0476190476190474</v>
      </c>
      <c r="O146" s="2"/>
      <c r="P146" s="11">
        <f>'Budget 2025'!N150</f>
        <v>4.0476190476190474</v>
      </c>
    </row>
    <row r="147" spans="1:17" x14ac:dyDescent="0.35">
      <c r="A147" s="9" t="s">
        <v>34</v>
      </c>
      <c r="B147" s="11">
        <f>IFERROR(B140/B148,0)</f>
        <v>1.9919507237959937</v>
      </c>
      <c r="C147" s="11">
        <f t="shared" ref="C147:N147" si="49">C140/C148</f>
        <v>3.2809207976167176</v>
      </c>
      <c r="D147" s="11">
        <f t="shared" si="49"/>
        <v>2.9545454545454546</v>
      </c>
      <c r="E147" s="11">
        <f t="shared" si="49"/>
        <v>3.2307692307692308</v>
      </c>
      <c r="F147" s="11">
        <f t="shared" si="49"/>
        <v>3.6923076923076925</v>
      </c>
      <c r="G147" s="11">
        <f t="shared" si="49"/>
        <v>3.9714285714285715</v>
      </c>
      <c r="H147" s="11">
        <f t="shared" si="49"/>
        <v>11.071428571428571</v>
      </c>
      <c r="I147" s="11">
        <f t="shared" si="49"/>
        <v>13.583333333333334</v>
      </c>
      <c r="J147" s="11">
        <f t="shared" si="49"/>
        <v>8.844444444444445</v>
      </c>
      <c r="K147" s="11">
        <f t="shared" si="49"/>
        <v>5.3783645118113972</v>
      </c>
      <c r="L147" s="11">
        <f t="shared" si="49"/>
        <v>3.1739130434782608</v>
      </c>
      <c r="M147" s="11">
        <f t="shared" si="49"/>
        <v>3.4759941376127972</v>
      </c>
      <c r="N147" s="11">
        <f t="shared" si="49"/>
        <v>4.1463414634146343</v>
      </c>
      <c r="O147" s="2"/>
      <c r="P147" s="11">
        <f>'Budget 2025'!N151</f>
        <v>4.1463414634146343</v>
      </c>
    </row>
    <row r="148" spans="1:17" x14ac:dyDescent="0.35">
      <c r="A148" s="9" t="s">
        <v>47</v>
      </c>
      <c r="B148" s="10">
        <v>268.46694600000001</v>
      </c>
      <c r="C148" s="10">
        <v>173.22004000000001</v>
      </c>
      <c r="D148" s="10">
        <v>220</v>
      </c>
      <c r="E148" s="10">
        <v>195</v>
      </c>
      <c r="F148" s="10">
        <v>195</v>
      </c>
      <c r="G148" s="10">
        <v>175</v>
      </c>
      <c r="H148" s="10">
        <v>70</v>
      </c>
      <c r="I148" s="10">
        <v>60</v>
      </c>
      <c r="J148" s="10">
        <v>90</v>
      </c>
      <c r="K148" s="10">
        <v>151.53305399999999</v>
      </c>
      <c r="L148" s="10">
        <v>230</v>
      </c>
      <c r="M148" s="10">
        <v>221.77995999999985</v>
      </c>
      <c r="N148" s="10">
        <f>SUM(B148:M148)</f>
        <v>2050</v>
      </c>
      <c r="O148" s="2"/>
      <c r="P148" s="10">
        <f>'Budget 2025'!N152</f>
        <v>2050</v>
      </c>
    </row>
    <row r="149" spans="1:17" x14ac:dyDescent="0.35">
      <c r="A149" s="5" t="s">
        <v>60</v>
      </c>
      <c r="B149" s="30">
        <v>3724.8809012552201</v>
      </c>
      <c r="C149" s="30">
        <v>3770.9785346502144</v>
      </c>
      <c r="D149" s="8">
        <v>3672.6989226450683</v>
      </c>
      <c r="E149" s="8">
        <v>3738.6453664746691</v>
      </c>
      <c r="F149" s="8">
        <v>3719.6236731487006</v>
      </c>
      <c r="G149" s="8">
        <v>3746.9151292859119</v>
      </c>
      <c r="H149" s="8">
        <v>3739.3765989807516</v>
      </c>
      <c r="I149" s="8">
        <v>3706.5355469304636</v>
      </c>
      <c r="J149" s="8">
        <v>3706.0153945799098</v>
      </c>
      <c r="K149" s="8">
        <v>3745.2648021370856</v>
      </c>
      <c r="L149" s="8">
        <v>3744.9335748075564</v>
      </c>
      <c r="M149" s="8">
        <v>3737.1533757257794</v>
      </c>
      <c r="N149" s="14">
        <f>SUMPRODUCT(B149:M149,$B$148:$M$148)/SUM($B$148:$M$148)</f>
        <v>3730.0802770096343</v>
      </c>
      <c r="O149" s="12"/>
      <c r="P149" s="8">
        <f>'Budget 2025'!N153</f>
        <v>3727.5040431597959</v>
      </c>
    </row>
    <row r="150" spans="1:17" x14ac:dyDescent="0.35">
      <c r="A150" s="5" t="s">
        <v>22</v>
      </c>
      <c r="B150" s="31">
        <v>0.18178953948758228</v>
      </c>
      <c r="C150" s="31">
        <v>0.16189916060897536</v>
      </c>
      <c r="D150" s="7">
        <v>0.14133850203895137</v>
      </c>
      <c r="E150" s="7">
        <v>0.13380619204886532</v>
      </c>
      <c r="F150" s="7">
        <v>0.13108966094944335</v>
      </c>
      <c r="G150" s="7">
        <v>0.12821932898822294</v>
      </c>
      <c r="H150" s="7">
        <v>0.1222629189694642</v>
      </c>
      <c r="I150" s="7">
        <v>0.13042949193712444</v>
      </c>
      <c r="J150" s="7">
        <v>0.14856039027561208</v>
      </c>
      <c r="K150" s="7">
        <v>0.14654530832226353</v>
      </c>
      <c r="L150" s="7">
        <v>0.16376414085308838</v>
      </c>
      <c r="M150" s="7">
        <v>0.16464855934148237</v>
      </c>
      <c r="N150" s="15">
        <f t="shared" ref="N150:N153" si="50">SUMPRODUCT(B150:M150,$B$148:$M$148)/SUM($B$148:$M$148)</f>
        <v>0.15033111039179045</v>
      </c>
      <c r="P150" s="7">
        <f>'Budget 2025'!N154</f>
        <v>0.15227341108882345</v>
      </c>
    </row>
    <row r="151" spans="1:17" x14ac:dyDescent="0.35">
      <c r="A151" s="5" t="s">
        <v>23</v>
      </c>
      <c r="B151" s="31">
        <v>9.3880395190102508</v>
      </c>
      <c r="C151" s="31">
        <v>9.0395142472422201</v>
      </c>
      <c r="D151" s="7">
        <v>9.1063225720182945</v>
      </c>
      <c r="E151" s="7">
        <v>8.0503728260473437</v>
      </c>
      <c r="F151" s="7">
        <v>8.4132239971386138</v>
      </c>
      <c r="G151" s="7">
        <v>7.6705941644208648</v>
      </c>
      <c r="H151" s="7">
        <v>7.6915501404783768</v>
      </c>
      <c r="I151" s="7">
        <v>8.6141007954802333</v>
      </c>
      <c r="J151" s="7">
        <v>8.8749155925563219</v>
      </c>
      <c r="K151" s="7">
        <v>7.5008662506708239</v>
      </c>
      <c r="L151" s="7">
        <v>7.1654349788634164</v>
      </c>
      <c r="M151" s="7">
        <v>7.1138529085359057</v>
      </c>
      <c r="N151" s="15">
        <f t="shared" si="50"/>
        <v>8.2237735772509311</v>
      </c>
      <c r="P151" s="7">
        <f>'Budget 2025'!N155</f>
        <v>7.9761081652071226</v>
      </c>
    </row>
    <row r="152" spans="1:17" x14ac:dyDescent="0.35">
      <c r="A152" s="5" t="s">
        <v>38</v>
      </c>
      <c r="B152" s="31">
        <v>21.063572858906412</v>
      </c>
      <c r="C152" s="31">
        <v>19.287261528899752</v>
      </c>
      <c r="D152" s="7">
        <v>21.533810250931058</v>
      </c>
      <c r="E152" s="7">
        <v>21.977914995407509</v>
      </c>
      <c r="F152" s="7">
        <v>21.767375361251894</v>
      </c>
      <c r="G152" s="7">
        <v>22.717291533722392</v>
      </c>
      <c r="H152" s="7">
        <v>23.553305204421921</v>
      </c>
      <c r="I152" s="7">
        <v>23.303542262353748</v>
      </c>
      <c r="J152" s="7">
        <v>22.585212196801475</v>
      </c>
      <c r="K152" s="7">
        <v>20.987553181446462</v>
      </c>
      <c r="L152" s="7">
        <v>22.36065632863982</v>
      </c>
      <c r="M152" s="7">
        <v>23.116664938193647</v>
      </c>
      <c r="N152" s="15">
        <f>SUMPRODUCT(B152:M152,$B$148:$M$148)/SUM($B$148:$M$148)</f>
        <v>21.838436191321193</v>
      </c>
      <c r="P152" s="7">
        <f>'Budget 2025'!N156</f>
        <v>27.254555501550691</v>
      </c>
    </row>
    <row r="153" spans="1:17" x14ac:dyDescent="0.35">
      <c r="A153" s="5" t="s">
        <v>25</v>
      </c>
      <c r="B153" s="31">
        <v>38.34719394905261</v>
      </c>
      <c r="C153" s="31">
        <v>38.205865635397664</v>
      </c>
      <c r="D153" s="7">
        <v>37.696067341117455</v>
      </c>
      <c r="E153" s="7">
        <v>37.964292926259503</v>
      </c>
      <c r="F153" s="7">
        <v>37.786461052264379</v>
      </c>
      <c r="G153" s="7">
        <v>38.129053408737249</v>
      </c>
      <c r="H153" s="7">
        <v>37.908507447194893</v>
      </c>
      <c r="I153" s="7">
        <v>37.538217291972387</v>
      </c>
      <c r="J153" s="7">
        <v>37.744115413111864</v>
      </c>
      <c r="K153" s="7">
        <v>37.878689804636508</v>
      </c>
      <c r="L153" s="7">
        <v>38.151226793590858</v>
      </c>
      <c r="M153" s="7">
        <v>38.233647283044476</v>
      </c>
      <c r="N153" s="15">
        <f t="shared" si="50"/>
        <v>38.022957672872167</v>
      </c>
      <c r="P153" s="7">
        <f>'Budget 2025'!N157</f>
        <v>38.285233081479049</v>
      </c>
    </row>
    <row r="155" spans="1:17" x14ac:dyDescent="0.35">
      <c r="A155" s="6" t="s">
        <v>51</v>
      </c>
      <c r="B155" s="6" t="s">
        <v>1</v>
      </c>
      <c r="C155" s="6" t="s">
        <v>2</v>
      </c>
      <c r="D155" s="6" t="s">
        <v>3</v>
      </c>
      <c r="E155" s="6" t="s">
        <v>4</v>
      </c>
      <c r="F155" s="6" t="s">
        <v>5</v>
      </c>
      <c r="G155" s="6" t="s">
        <v>6</v>
      </c>
      <c r="H155" s="6" t="s">
        <v>7</v>
      </c>
      <c r="I155" s="6" t="s">
        <v>8</v>
      </c>
      <c r="J155" s="6" t="s">
        <v>9</v>
      </c>
      <c r="K155" s="6" t="s">
        <v>10</v>
      </c>
      <c r="L155" s="6" t="s">
        <v>11</v>
      </c>
      <c r="M155" s="6" t="s">
        <v>12</v>
      </c>
      <c r="N155" s="6" t="s">
        <v>13</v>
      </c>
      <c r="P155" s="6" t="s">
        <v>85</v>
      </c>
    </row>
    <row r="156" spans="1:17" x14ac:dyDescent="0.35">
      <c r="A156" s="9" t="s">
        <v>14</v>
      </c>
      <c r="B156" s="10">
        <f t="shared" ref="B156" si="51">SUM(B157:B157)</f>
        <v>661.74428069999999</v>
      </c>
      <c r="C156" s="10">
        <f t="shared" ref="C156" si="52">SUM(C157:C157)</f>
        <v>587.57625299999995</v>
      </c>
      <c r="D156" s="10">
        <f t="shared" ref="D156" si="53">SUM(D157:D157)</f>
        <v>866.43850810000185</v>
      </c>
      <c r="E156" s="10">
        <f t="shared" ref="E156" si="54">SUM(E157:E157)</f>
        <v>841.68553230666657</v>
      </c>
      <c r="F156" s="10">
        <f t="shared" ref="F156" si="55">SUM(F157:F157)</f>
        <v>870.1291347066666</v>
      </c>
      <c r="G156" s="10">
        <f t="shared" ref="G156" si="56">SUM(G157:G157)</f>
        <v>927.01633950666655</v>
      </c>
      <c r="H156" s="10">
        <f t="shared" ref="H156" si="57">SUM(H157:H157)</f>
        <v>1069.1564215121966</v>
      </c>
      <c r="I156" s="10">
        <f t="shared" ref="I156" si="58">SUM(I157:I157)</f>
        <v>1066.3405048745967</v>
      </c>
      <c r="J156" s="10">
        <f t="shared" ref="J156" si="59">SUM(J157:J157)</f>
        <v>1036.3003603338366</v>
      </c>
      <c r="K156" s="10">
        <f t="shared" ref="K156" si="60">SUM(K157:K157)</f>
        <v>989.62914939583356</v>
      </c>
      <c r="L156" s="10">
        <f t="shared" ref="L156" si="61">SUM(L157:L157)</f>
        <v>877.85631335866663</v>
      </c>
      <c r="M156" s="10">
        <f t="shared" ref="M156" si="62">SUM(M157:M157)</f>
        <v>914.31390073486659</v>
      </c>
      <c r="N156" s="10">
        <f t="shared" ref="N156" si="63">SUM(N157:N157)</f>
        <v>10708.18669853</v>
      </c>
      <c r="P156" s="10">
        <f>'Budget 2025'!N160</f>
        <v>10708.18669853</v>
      </c>
      <c r="Q156" s="27">
        <f>N156/P156</f>
        <v>1</v>
      </c>
    </row>
    <row r="157" spans="1:17" x14ac:dyDescent="0.35">
      <c r="A157" s="5" t="s">
        <v>55</v>
      </c>
      <c r="B157" s="30">
        <v>661.74428069999999</v>
      </c>
      <c r="C157" s="30">
        <v>587.57625299999995</v>
      </c>
      <c r="D157" s="8">
        <v>866.43850810000185</v>
      </c>
      <c r="E157" s="8">
        <v>841.68553230666657</v>
      </c>
      <c r="F157" s="8">
        <v>870.1291347066666</v>
      </c>
      <c r="G157" s="8">
        <v>927.01633950666655</v>
      </c>
      <c r="H157" s="8">
        <v>1069.1564215121966</v>
      </c>
      <c r="I157" s="8">
        <v>1066.3405048745967</v>
      </c>
      <c r="J157" s="8">
        <v>1036.3003603338366</v>
      </c>
      <c r="K157" s="8">
        <v>989.62914939583356</v>
      </c>
      <c r="L157" s="8">
        <v>877.85631335866663</v>
      </c>
      <c r="M157" s="8">
        <v>914.31390073486659</v>
      </c>
      <c r="N157" s="8">
        <f>SUM(B157:M157)</f>
        <v>10708.18669853</v>
      </c>
      <c r="P157" s="8">
        <f>'Budget 2025'!N161</f>
        <v>10708.18669853</v>
      </c>
    </row>
    <row r="158" spans="1:17" x14ac:dyDescent="0.35">
      <c r="A158" s="9" t="s">
        <v>17</v>
      </c>
      <c r="B158" s="10">
        <f t="shared" ref="B158" si="64">SUM(B159:B159)</f>
        <v>36.66854</v>
      </c>
      <c r="C158" s="10">
        <f t="shared" ref="C158" si="65">SUM(C159:C159)</f>
        <v>40.429600000000001</v>
      </c>
      <c r="D158" s="10">
        <f t="shared" ref="D158" si="66">SUM(D159:D159)</f>
        <v>42.726734000742844</v>
      </c>
      <c r="E158" s="10">
        <f t="shared" ref="E158" si="67">SUM(E159:E159)</f>
        <v>47.591945111028572</v>
      </c>
      <c r="F158" s="10">
        <f t="shared" ref="F158" si="68">SUM(F159:F159)</f>
        <v>57.591945111028572</v>
      </c>
      <c r="G158" s="10">
        <f t="shared" ref="G158" si="69">SUM(G159:G159)</f>
        <v>54.591945111028572</v>
      </c>
      <c r="H158" s="10">
        <f t="shared" ref="H158" si="70">SUM(H159:H159)</f>
        <v>59.591945111028572</v>
      </c>
      <c r="I158" s="10">
        <f t="shared" ref="I158" si="71">SUM(I159:I159)</f>
        <v>62.591945111028572</v>
      </c>
      <c r="J158" s="10">
        <f t="shared" ref="J158" si="72">SUM(J159:J159)</f>
        <v>57.591945111028572</v>
      </c>
      <c r="K158" s="10">
        <f t="shared" ref="K158" si="73">SUM(K159:K159)</f>
        <v>51.591945111028572</v>
      </c>
      <c r="L158" s="10">
        <f t="shared" ref="L158" si="74">SUM(L159:L159)</f>
        <v>47.591945111028572</v>
      </c>
      <c r="M158" s="10">
        <f t="shared" ref="M158" si="75">SUM(M159:M159)</f>
        <v>47.439565111028571</v>
      </c>
      <c r="N158" s="10">
        <f t="shared" ref="N158" si="76">SUM(N159:N159)</f>
        <v>606</v>
      </c>
      <c r="P158" s="10">
        <f>'Budget 2025'!N162</f>
        <v>605.9998925264573</v>
      </c>
      <c r="Q158" s="27">
        <f>N158/P158</f>
        <v>1.0000001773491118</v>
      </c>
    </row>
    <row r="159" spans="1:17" x14ac:dyDescent="0.35">
      <c r="A159" s="5" t="s">
        <v>55</v>
      </c>
      <c r="B159" s="30">
        <v>36.66854</v>
      </c>
      <c r="C159" s="30">
        <v>40.429600000000001</v>
      </c>
      <c r="D159" s="8">
        <v>42.726734000742844</v>
      </c>
      <c r="E159" s="8">
        <v>47.591945111028572</v>
      </c>
      <c r="F159" s="8">
        <v>57.591945111028572</v>
      </c>
      <c r="G159" s="8">
        <v>54.591945111028572</v>
      </c>
      <c r="H159" s="8">
        <v>59.591945111028572</v>
      </c>
      <c r="I159" s="8">
        <v>62.591945111028572</v>
      </c>
      <c r="J159" s="8">
        <v>57.591945111028572</v>
      </c>
      <c r="K159" s="8">
        <v>51.591945111028572</v>
      </c>
      <c r="L159" s="8">
        <v>47.591945111028572</v>
      </c>
      <c r="M159" s="8">
        <v>47.439565111028571</v>
      </c>
      <c r="N159" s="8">
        <f>SUM(B159:M159)</f>
        <v>606</v>
      </c>
      <c r="P159" s="8">
        <f>'Budget 2025'!N163</f>
        <v>605.9998925264573</v>
      </c>
    </row>
    <row r="160" spans="1:17" x14ac:dyDescent="0.35">
      <c r="A160" s="9" t="s">
        <v>43</v>
      </c>
      <c r="B160" s="11">
        <f>IFERROR(B156/B158,0)</f>
        <v>18.046649272100826</v>
      </c>
      <c r="C160" s="11">
        <f t="shared" ref="C160:M160" si="77">IFERROR(C156/C158,0)</f>
        <v>14.533318484476718</v>
      </c>
      <c r="D160" s="11">
        <f t="shared" si="77"/>
        <v>20.278603744553422</v>
      </c>
      <c r="E160" s="11">
        <f t="shared" si="77"/>
        <v>17.68546190627584</v>
      </c>
      <c r="F160" s="11">
        <f t="shared" si="77"/>
        <v>15.10852139182292</v>
      </c>
      <c r="G160" s="11">
        <f t="shared" si="77"/>
        <v>16.980826340246892</v>
      </c>
      <c r="H160" s="11">
        <f t="shared" si="77"/>
        <v>17.941290882856748</v>
      </c>
      <c r="I160" s="11">
        <f t="shared" si="77"/>
        <v>17.036385480321329</v>
      </c>
      <c r="J160" s="11">
        <f t="shared" si="77"/>
        <v>17.993841991896716</v>
      </c>
      <c r="K160" s="11">
        <f t="shared" si="77"/>
        <v>19.181853819740653</v>
      </c>
      <c r="L160" s="11">
        <f t="shared" si="77"/>
        <v>18.445480875192036</v>
      </c>
      <c r="M160" s="11">
        <f t="shared" si="77"/>
        <v>19.273235296212913</v>
      </c>
      <c r="N160" s="11">
        <f t="shared" ref="N160" si="78">N156/N158</f>
        <v>17.670275080082508</v>
      </c>
      <c r="P160" s="11">
        <f>'Budget 2025'!N164</f>
        <v>17.6702782138901</v>
      </c>
    </row>
    <row r="161" spans="1:16" x14ac:dyDescent="0.35">
      <c r="A161" s="9" t="s">
        <v>34</v>
      </c>
      <c r="B161" s="11">
        <f>IFERROR(B156/B162,0)</f>
        <v>69.670860188563026</v>
      </c>
      <c r="C161" s="11">
        <f t="shared" ref="C161:M161" si="79">IFERROR(C156/C162,0)</f>
        <v>99.011071455652996</v>
      </c>
      <c r="D161" s="11">
        <f t="shared" si="79"/>
        <v>53.931456321134462</v>
      </c>
      <c r="E161" s="11">
        <f t="shared" si="79"/>
        <v>111.62938094252873</v>
      </c>
      <c r="F161" s="11">
        <f t="shared" si="79"/>
        <v>115.55499796901283</v>
      </c>
      <c r="G161" s="11">
        <f t="shared" si="79"/>
        <v>0</v>
      </c>
      <c r="H161" s="11">
        <f t="shared" si="79"/>
        <v>13.004922738641262</v>
      </c>
      <c r="I161" s="11">
        <f t="shared" si="79"/>
        <v>11.028256112228327</v>
      </c>
      <c r="J161" s="11">
        <f t="shared" si="79"/>
        <v>11.074828901652515</v>
      </c>
      <c r="K161" s="11">
        <f t="shared" si="79"/>
        <v>10.23489557582492</v>
      </c>
      <c r="L161" s="11">
        <f t="shared" si="79"/>
        <v>9.3815546561720584</v>
      </c>
      <c r="M161" s="11">
        <f t="shared" si="79"/>
        <v>9.4559737890294517</v>
      </c>
      <c r="N161" s="11">
        <f t="shared" ref="N161" si="80">N156/N162</f>
        <v>17.670275080082508</v>
      </c>
      <c r="P161" s="11">
        <f>'Budget 2025'!N165</f>
        <v>18.118759219170897</v>
      </c>
    </row>
    <row r="162" spans="1:16" x14ac:dyDescent="0.35">
      <c r="A162" s="9" t="s">
        <v>47</v>
      </c>
      <c r="B162" s="10">
        <v>9.4981500000000008</v>
      </c>
      <c r="C162" s="10">
        <v>5.93445</v>
      </c>
      <c r="D162" s="10">
        <v>16.065550000000002</v>
      </c>
      <c r="E162" s="10">
        <v>7.54</v>
      </c>
      <c r="F162" s="10">
        <v>7.53</v>
      </c>
      <c r="G162" s="10">
        <v>0</v>
      </c>
      <c r="H162" s="10">
        <v>82.211670380434782</v>
      </c>
      <c r="I162" s="10">
        <v>96.6916703804348</v>
      </c>
      <c r="J162" s="10">
        <v>93.572584239130464</v>
      </c>
      <c r="K162" s="10">
        <v>96.6916703804348</v>
      </c>
      <c r="L162" s="10">
        <v>93.572584239130464</v>
      </c>
      <c r="M162" s="10">
        <v>96.691670380434772</v>
      </c>
      <c r="N162" s="10">
        <f>SUM(B162:M162)</f>
        <v>606</v>
      </c>
      <c r="P162" s="10">
        <f>'Budget 2025'!N166</f>
        <v>591</v>
      </c>
    </row>
    <row r="163" spans="1:16" x14ac:dyDescent="0.35">
      <c r="A163" s="9" t="s">
        <v>74</v>
      </c>
      <c r="B163" s="10">
        <v>9.4981500000000008</v>
      </c>
      <c r="C163" s="10">
        <v>5.93445</v>
      </c>
      <c r="D163" s="10">
        <v>16.065550000000002</v>
      </c>
      <c r="E163" s="10">
        <v>7.54</v>
      </c>
      <c r="F163" s="10">
        <v>7.53</v>
      </c>
      <c r="G163" s="10">
        <v>0</v>
      </c>
      <c r="H163" s="10">
        <v>82.211670380434782</v>
      </c>
      <c r="I163" s="10">
        <v>96.6916703804348</v>
      </c>
      <c r="J163" s="10">
        <v>93.572584239130464</v>
      </c>
      <c r="K163" s="10">
        <v>96.6916703804348</v>
      </c>
      <c r="L163" s="10">
        <v>93.572584239130464</v>
      </c>
      <c r="M163" s="10">
        <v>96.691670380434772</v>
      </c>
      <c r="N163" s="10">
        <f>SUM(B163:M163)</f>
        <v>606</v>
      </c>
      <c r="P163" s="10">
        <f>'Budget 2025'!N166</f>
        <v>591</v>
      </c>
    </row>
    <row r="164" spans="1:16" x14ac:dyDescent="0.35">
      <c r="A164" s="5" t="s">
        <v>60</v>
      </c>
      <c r="B164" s="30">
        <v>6571.5022289184244</v>
      </c>
      <c r="C164" s="30">
        <v>6870.6132266666664</v>
      </c>
      <c r="D164" s="8">
        <v>6629.4215484569577</v>
      </c>
      <c r="E164" s="8">
        <v>6964.0422830339085</v>
      </c>
      <c r="F164" s="8">
        <v>6975.7067804434209</v>
      </c>
      <c r="G164" s="8">
        <v>0</v>
      </c>
      <c r="H164" s="8">
        <v>7170.8012083554231</v>
      </c>
      <c r="I164" s="8">
        <v>7120.471735202098</v>
      </c>
      <c r="J164" s="8">
        <v>7114.1618167604029</v>
      </c>
      <c r="K164" s="8">
        <v>7057.5158196921284</v>
      </c>
      <c r="L164" s="8">
        <v>7128.241660552203</v>
      </c>
      <c r="M164" s="8">
        <v>7107.8177935208832</v>
      </c>
      <c r="N164" s="14">
        <f>SUMPRODUCT(B164:M164,$B$162:$M$162)/SUM($B$162:$M$162)</f>
        <v>7087.6465309764499</v>
      </c>
      <c r="P164" s="8">
        <f>'Budget 2025'!N167</f>
        <v>6914.924833624611</v>
      </c>
    </row>
    <row r="165" spans="1:16" x14ac:dyDescent="0.35">
      <c r="A165" s="5" t="s">
        <v>22</v>
      </c>
      <c r="B165" s="31">
        <v>1.7712264150943398</v>
      </c>
      <c r="C165" s="31">
        <v>0.82</v>
      </c>
      <c r="D165" s="7">
        <v>0.87</v>
      </c>
      <c r="E165" s="7">
        <v>1.5621303378870663</v>
      </c>
      <c r="F165" s="7">
        <v>1.5601819207001197</v>
      </c>
      <c r="G165" s="7">
        <v>0</v>
      </c>
      <c r="H165" s="7">
        <v>1.2004599752956906</v>
      </c>
      <c r="I165" s="7">
        <v>1.1423948539907762</v>
      </c>
      <c r="J165" s="7">
        <v>1.0304020685316981</v>
      </c>
      <c r="K165" s="7">
        <v>1.1182066041397265</v>
      </c>
      <c r="L165" s="7">
        <v>1.0679987381406124</v>
      </c>
      <c r="M165" s="7">
        <v>1.1310143267275918</v>
      </c>
      <c r="N165" s="15">
        <f t="shared" ref="N165:N168" si="81">SUMPRODUCT(B165:M165,$B$162:$M$162)/SUM($B$162:$M$162)</f>
        <v>1.1257077324345965</v>
      </c>
      <c r="P165" s="7">
        <f>'Budget 2025'!N168</f>
        <v>0.97967782668745695</v>
      </c>
    </row>
    <row r="166" spans="1:16" x14ac:dyDescent="0.35">
      <c r="A166" s="5" t="s">
        <v>23</v>
      </c>
      <c r="B166" s="31">
        <v>4.8215801886792455</v>
      </c>
      <c r="C166" s="31">
        <v>2.9799999999999995</v>
      </c>
      <c r="D166" s="7">
        <v>2.1</v>
      </c>
      <c r="E166" s="7">
        <v>3.4445823273260721</v>
      </c>
      <c r="F166" s="7">
        <v>3.413274914781582</v>
      </c>
      <c r="G166" s="7">
        <v>0</v>
      </c>
      <c r="H166" s="7">
        <v>3.3028669448279713</v>
      </c>
      <c r="I166" s="7">
        <v>3.201736523727607</v>
      </c>
      <c r="J166" s="7">
        <v>3.1825265861798613</v>
      </c>
      <c r="K166" s="7">
        <v>3.2214729976030991</v>
      </c>
      <c r="L166" s="7">
        <v>3.2524107419019885</v>
      </c>
      <c r="M166" s="7">
        <v>3.2158858141440989</v>
      </c>
      <c r="N166" s="15">
        <f t="shared" si="81"/>
        <v>3.2253806459618128</v>
      </c>
      <c r="P166" s="7">
        <f>'Budget 2025'!N169</f>
        <v>3.7673803156838583</v>
      </c>
    </row>
    <row r="167" spans="1:16" x14ac:dyDescent="0.35">
      <c r="A167" s="5" t="s">
        <v>38</v>
      </c>
      <c r="B167" s="31">
        <v>5.7297523584905656</v>
      </c>
      <c r="C167" s="31">
        <v>6.2500000000000009</v>
      </c>
      <c r="D167" s="7">
        <v>7.65</v>
      </c>
      <c r="E167" s="7">
        <v>4.9403909266637944</v>
      </c>
      <c r="F167" s="7">
        <v>4.9946915994209817</v>
      </c>
      <c r="G167" s="7">
        <v>0</v>
      </c>
      <c r="H167" s="7">
        <v>4.9561465019444109</v>
      </c>
      <c r="I167" s="7">
        <v>4.7991444794938314</v>
      </c>
      <c r="J167" s="7">
        <v>4.7940025264328074</v>
      </c>
      <c r="K167" s="7">
        <v>4.7934010734556134</v>
      </c>
      <c r="L167" s="7">
        <v>4.7040961628423341</v>
      </c>
      <c r="M167" s="7">
        <v>4.7619162609867587</v>
      </c>
      <c r="N167" s="15">
        <f t="shared" si="81"/>
        <v>4.9066765762127256</v>
      </c>
      <c r="P167" s="7">
        <f>'Budget 2025'!N170</f>
        <v>8.6903071606236697</v>
      </c>
    </row>
    <row r="168" spans="1:16" x14ac:dyDescent="0.35">
      <c r="A168" s="5" t="s">
        <v>25</v>
      </c>
      <c r="B168" s="31">
        <v>10.061898584905659</v>
      </c>
      <c r="C168" s="31">
        <v>11.07</v>
      </c>
      <c r="D168" s="7">
        <v>13.88</v>
      </c>
      <c r="E168" s="7">
        <v>7.8149569813624105</v>
      </c>
      <c r="F168" s="7">
        <v>7.8609202652977954</v>
      </c>
      <c r="G168" s="7">
        <v>0</v>
      </c>
      <c r="H168" s="7">
        <v>7.8709799248795873</v>
      </c>
      <c r="I168" s="7">
        <v>7.7227668725770675</v>
      </c>
      <c r="J168" s="7">
        <v>7.7090217137695403</v>
      </c>
      <c r="K168" s="7">
        <v>7.7324900031993202</v>
      </c>
      <c r="L168" s="7">
        <v>7.7435726406299361</v>
      </c>
      <c r="M168" s="7">
        <v>7.8519401445049821</v>
      </c>
      <c r="N168" s="15">
        <f t="shared" si="81"/>
        <v>8.0016642387024124</v>
      </c>
      <c r="P168" s="7">
        <f>'Budget 2025'!N171</f>
        <v>4.734175124469358</v>
      </c>
    </row>
    <row r="170" spans="1:16" x14ac:dyDescent="0.35">
      <c r="A170" s="6" t="s">
        <v>87</v>
      </c>
      <c r="B170" s="6" t="s">
        <v>1</v>
      </c>
      <c r="C170" s="6" t="s">
        <v>2</v>
      </c>
      <c r="D170" s="6" t="s">
        <v>3</v>
      </c>
      <c r="E170" s="6" t="s">
        <v>4</v>
      </c>
      <c r="F170" s="6" t="s">
        <v>5</v>
      </c>
      <c r="G170" s="6" t="s">
        <v>6</v>
      </c>
      <c r="H170" s="6" t="s">
        <v>7</v>
      </c>
      <c r="I170" s="6" t="s">
        <v>8</v>
      </c>
      <c r="J170" s="6" t="s">
        <v>9</v>
      </c>
      <c r="K170" s="6" t="s">
        <v>10</v>
      </c>
      <c r="L170" s="6" t="s">
        <v>11</v>
      </c>
      <c r="M170" s="6" t="s">
        <v>12</v>
      </c>
      <c r="N170" s="6" t="s">
        <v>13</v>
      </c>
      <c r="O170" s="4"/>
      <c r="P170" s="6" t="s">
        <v>85</v>
      </c>
    </row>
    <row r="171" spans="1:16" x14ac:dyDescent="0.35">
      <c r="A171" s="9" t="s">
        <v>14</v>
      </c>
      <c r="B171" s="10">
        <f>B172</f>
        <v>0</v>
      </c>
      <c r="C171" s="10">
        <f t="shared" ref="C171:M171" si="82">C172</f>
        <v>0</v>
      </c>
      <c r="D171" s="10">
        <f t="shared" si="82"/>
        <v>0</v>
      </c>
      <c r="E171" s="10">
        <f t="shared" si="82"/>
        <v>110</v>
      </c>
      <c r="F171" s="10">
        <f t="shared" si="82"/>
        <v>354</v>
      </c>
      <c r="G171" s="10">
        <f t="shared" si="82"/>
        <v>565</v>
      </c>
      <c r="H171" s="10">
        <f t="shared" si="82"/>
        <v>722</v>
      </c>
      <c r="I171" s="10">
        <f t="shared" si="82"/>
        <v>847</v>
      </c>
      <c r="J171" s="10">
        <f t="shared" si="82"/>
        <v>823</v>
      </c>
      <c r="K171" s="10">
        <f t="shared" si="82"/>
        <v>782</v>
      </c>
      <c r="L171" s="10">
        <f t="shared" si="82"/>
        <v>709</v>
      </c>
      <c r="M171" s="10">
        <f t="shared" si="82"/>
        <v>771.5</v>
      </c>
      <c r="N171" s="10">
        <f>SUM(B171:M171)</f>
        <v>5683.5</v>
      </c>
      <c r="O171" s="2"/>
      <c r="P171" s="10">
        <f>'Budget 2025'!N174</f>
        <v>5683.5</v>
      </c>
    </row>
    <row r="172" spans="1:16" x14ac:dyDescent="0.35">
      <c r="A172" s="5" t="s">
        <v>57</v>
      </c>
      <c r="B172" s="30">
        <v>0</v>
      </c>
      <c r="C172" s="30">
        <v>0</v>
      </c>
      <c r="D172" s="8">
        <v>0</v>
      </c>
      <c r="E172" s="8">
        <v>110</v>
      </c>
      <c r="F172" s="8">
        <v>354</v>
      </c>
      <c r="G172" s="8">
        <v>565</v>
      </c>
      <c r="H172" s="8">
        <v>722</v>
      </c>
      <c r="I172" s="8">
        <v>847</v>
      </c>
      <c r="J172" s="8">
        <v>823</v>
      </c>
      <c r="K172" s="8">
        <v>782</v>
      </c>
      <c r="L172" s="8">
        <v>709</v>
      </c>
      <c r="M172" s="8">
        <v>771.5</v>
      </c>
      <c r="N172" s="8">
        <f>SUM(B172:M172)</f>
        <v>5683.5</v>
      </c>
      <c r="P172" s="8">
        <f>'Budget 2025'!N175</f>
        <v>5683.5</v>
      </c>
    </row>
    <row r="173" spans="1:16" x14ac:dyDescent="0.35">
      <c r="A173" s="9" t="s">
        <v>17</v>
      </c>
      <c r="B173" s="10">
        <f t="shared" ref="B173:N173" si="83">SUM(B174:B174)</f>
        <v>0</v>
      </c>
      <c r="C173" s="10">
        <f t="shared" si="83"/>
        <v>0</v>
      </c>
      <c r="D173" s="10">
        <f t="shared" si="83"/>
        <v>0</v>
      </c>
      <c r="E173" s="10">
        <f t="shared" si="83"/>
        <v>0</v>
      </c>
      <c r="F173" s="10">
        <f t="shared" si="83"/>
        <v>0</v>
      </c>
      <c r="G173" s="10">
        <f t="shared" si="83"/>
        <v>25</v>
      </c>
      <c r="H173" s="10">
        <f t="shared" si="83"/>
        <v>50</v>
      </c>
      <c r="I173" s="10">
        <f t="shared" si="83"/>
        <v>60</v>
      </c>
      <c r="J173" s="10">
        <f t="shared" si="83"/>
        <v>60</v>
      </c>
      <c r="K173" s="10">
        <f t="shared" si="83"/>
        <v>97</v>
      </c>
      <c r="L173" s="10">
        <f t="shared" si="83"/>
        <v>86</v>
      </c>
      <c r="M173" s="10">
        <f t="shared" si="83"/>
        <v>72</v>
      </c>
      <c r="N173" s="10">
        <f t="shared" si="83"/>
        <v>450</v>
      </c>
      <c r="O173" s="2"/>
      <c r="P173" s="10">
        <f>'Budget 2025'!N176</f>
        <v>450</v>
      </c>
    </row>
    <row r="174" spans="1:16" x14ac:dyDescent="0.35">
      <c r="A174" s="5" t="s">
        <v>57</v>
      </c>
      <c r="B174" s="30">
        <v>0</v>
      </c>
      <c r="C174" s="30">
        <v>0</v>
      </c>
      <c r="D174" s="8">
        <v>0</v>
      </c>
      <c r="E174" s="8">
        <v>0</v>
      </c>
      <c r="F174" s="8">
        <v>0</v>
      </c>
      <c r="G174" s="8">
        <v>25</v>
      </c>
      <c r="H174" s="8">
        <v>50</v>
      </c>
      <c r="I174" s="8">
        <v>60</v>
      </c>
      <c r="J174" s="8">
        <v>60</v>
      </c>
      <c r="K174" s="8">
        <v>97</v>
      </c>
      <c r="L174" s="8">
        <v>86</v>
      </c>
      <c r="M174" s="8">
        <v>72</v>
      </c>
      <c r="N174" s="8">
        <f>SUM(B174:M174)</f>
        <v>450</v>
      </c>
      <c r="P174" s="8">
        <f>'Budget 2025'!N177</f>
        <v>450</v>
      </c>
    </row>
    <row r="175" spans="1:16" x14ac:dyDescent="0.35">
      <c r="A175" s="9" t="s">
        <v>43</v>
      </c>
      <c r="B175" s="11">
        <f>IFERROR(B171/B173,0)</f>
        <v>0</v>
      </c>
      <c r="C175" s="11">
        <f t="shared" ref="C175:M175" si="84">IFERROR(C171/C173,0)</f>
        <v>0</v>
      </c>
      <c r="D175" s="11">
        <f t="shared" si="84"/>
        <v>0</v>
      </c>
      <c r="E175" s="11">
        <f t="shared" si="84"/>
        <v>0</v>
      </c>
      <c r="F175" s="11">
        <f t="shared" si="84"/>
        <v>0</v>
      </c>
      <c r="G175" s="11">
        <f t="shared" si="84"/>
        <v>22.6</v>
      </c>
      <c r="H175" s="11">
        <f t="shared" si="84"/>
        <v>14.44</v>
      </c>
      <c r="I175" s="11">
        <f t="shared" si="84"/>
        <v>14.116666666666667</v>
      </c>
      <c r="J175" s="11">
        <f t="shared" si="84"/>
        <v>13.716666666666667</v>
      </c>
      <c r="K175" s="11">
        <f t="shared" si="84"/>
        <v>8.0618556701030926</v>
      </c>
      <c r="L175" s="11">
        <f t="shared" si="84"/>
        <v>8.2441860465116275</v>
      </c>
      <c r="M175" s="11">
        <f t="shared" si="84"/>
        <v>10.715277777777779</v>
      </c>
      <c r="N175" s="11">
        <f>N171/N173</f>
        <v>12.63</v>
      </c>
      <c r="O175" s="2"/>
      <c r="P175" s="11">
        <f>'Budget 2025'!N178</f>
        <v>12.63</v>
      </c>
    </row>
    <row r="176" spans="1:16" x14ac:dyDescent="0.35">
      <c r="A176" s="9" t="s">
        <v>34</v>
      </c>
      <c r="B176" s="11">
        <f>IFERROR(B171/B177,0)</f>
        <v>0</v>
      </c>
      <c r="C176" s="11">
        <f t="shared" ref="C176:M176" si="85">IFERROR(C171/C177,0)</f>
        <v>0</v>
      </c>
      <c r="D176" s="11">
        <f t="shared" si="85"/>
        <v>0</v>
      </c>
      <c r="E176" s="11">
        <f t="shared" si="85"/>
        <v>0</v>
      </c>
      <c r="F176" s="11">
        <f t="shared" si="85"/>
        <v>0</v>
      </c>
      <c r="G176" s="11">
        <f t="shared" si="85"/>
        <v>0</v>
      </c>
      <c r="H176" s="11">
        <f t="shared" si="85"/>
        <v>0</v>
      </c>
      <c r="I176" s="11">
        <f t="shared" si="85"/>
        <v>22.891891891891891</v>
      </c>
      <c r="J176" s="11">
        <f t="shared" si="85"/>
        <v>11.757142857142858</v>
      </c>
      <c r="K176" s="11">
        <f t="shared" si="85"/>
        <v>11.671641791044776</v>
      </c>
      <c r="L176" s="11">
        <f t="shared" si="85"/>
        <v>11.816666666666666</v>
      </c>
      <c r="M176" s="11">
        <f t="shared" si="85"/>
        <v>11.689393939393939</v>
      </c>
      <c r="N176" s="11">
        <f>N171/N177</f>
        <v>18.945</v>
      </c>
      <c r="O176" s="2"/>
      <c r="P176" s="11">
        <f>'Budget 2025'!N179</f>
        <v>18.945</v>
      </c>
    </row>
    <row r="177" spans="1:16" x14ac:dyDescent="0.35">
      <c r="A177" s="9" t="s">
        <v>47</v>
      </c>
      <c r="B177" s="10">
        <v>0</v>
      </c>
      <c r="C177" s="10">
        <v>0</v>
      </c>
      <c r="D177" s="10">
        <v>0</v>
      </c>
      <c r="E177" s="10">
        <v>0</v>
      </c>
      <c r="F177" s="10">
        <v>0</v>
      </c>
      <c r="G177" s="10">
        <v>0</v>
      </c>
      <c r="H177" s="10">
        <v>0</v>
      </c>
      <c r="I177" s="10">
        <v>37</v>
      </c>
      <c r="J177" s="10">
        <v>70</v>
      </c>
      <c r="K177" s="10">
        <v>67</v>
      </c>
      <c r="L177" s="10">
        <v>60</v>
      </c>
      <c r="M177" s="10">
        <v>66</v>
      </c>
      <c r="N177" s="10">
        <f>SUM(B177:M177)</f>
        <v>300</v>
      </c>
      <c r="O177" s="2"/>
      <c r="P177" s="10">
        <f>'Budget 2025'!N180</f>
        <v>300</v>
      </c>
    </row>
    <row r="178" spans="1:16" x14ac:dyDescent="0.35">
      <c r="A178" s="5" t="s">
        <v>60</v>
      </c>
      <c r="B178" s="30"/>
      <c r="C178" s="30"/>
      <c r="D178" s="8"/>
      <c r="E178" s="8"/>
      <c r="F178" s="8"/>
      <c r="G178" s="8">
        <v>5756.0052150881711</v>
      </c>
      <c r="H178" s="8">
        <v>5622.3538831300411</v>
      </c>
      <c r="I178" s="8">
        <v>5864.0556577822626</v>
      </c>
      <c r="J178" s="8">
        <v>5996.2951074107523</v>
      </c>
      <c r="K178" s="8">
        <v>5894.1972415417267</v>
      </c>
      <c r="L178" s="8">
        <v>5911.0858197095004</v>
      </c>
      <c r="M178" s="8">
        <v>5944.2131711278762</v>
      </c>
      <c r="N178" s="14">
        <f>SUMPRODUCT(B178:M178,$B$177:$M$177)/SUM($B$177:$M$177)</f>
        <v>5928.6838350566732</v>
      </c>
      <c r="O178" s="12"/>
      <c r="P178" s="8">
        <f>'Budget 2025'!N181</f>
        <v>5016.4002721866818</v>
      </c>
    </row>
    <row r="179" spans="1:16" x14ac:dyDescent="0.35">
      <c r="A179" s="5" t="s">
        <v>22</v>
      </c>
      <c r="B179" s="31">
        <v>0</v>
      </c>
      <c r="C179" s="31">
        <v>0</v>
      </c>
      <c r="D179" s="7">
        <v>0</v>
      </c>
      <c r="E179" s="7">
        <v>0</v>
      </c>
      <c r="F179" s="7">
        <v>0</v>
      </c>
      <c r="G179" s="7">
        <v>1.214144002562372</v>
      </c>
      <c r="H179" s="7">
        <v>1.1044789605808154</v>
      </c>
      <c r="I179" s="7">
        <v>1.2842851176892631</v>
      </c>
      <c r="J179" s="7">
        <v>1.4995102444768351</v>
      </c>
      <c r="K179" s="7">
        <v>1.357942463228536</v>
      </c>
      <c r="L179" s="7">
        <v>1.4163988235024911</v>
      </c>
      <c r="M179" s="7">
        <v>1.401684253880118</v>
      </c>
      <c r="N179" s="15">
        <f t="shared" ref="N179:N182" si="86">SUMPRODUCT(B179:M179,$B$177:$M$177)/SUM($B$177:$M$177)</f>
        <v>1.4032050055681013</v>
      </c>
      <c r="P179" s="7">
        <f>'Budget 2025'!N182</f>
        <v>0.85231442995617068</v>
      </c>
    </row>
    <row r="180" spans="1:16" x14ac:dyDescent="0.35">
      <c r="A180" s="5" t="s">
        <v>23</v>
      </c>
      <c r="B180" s="31">
        <v>0</v>
      </c>
      <c r="C180" s="31">
        <v>0</v>
      </c>
      <c r="D180" s="7">
        <v>0</v>
      </c>
      <c r="E180" s="7">
        <v>0</v>
      </c>
      <c r="F180" s="7">
        <v>0</v>
      </c>
      <c r="G180" s="7">
        <v>6.1319570499346581</v>
      </c>
      <c r="H180" s="7">
        <v>6.7551927368885316</v>
      </c>
      <c r="I180" s="7">
        <v>7.4159300991284134</v>
      </c>
      <c r="J180" s="7">
        <v>6.7138849615069631</v>
      </c>
      <c r="K180" s="7">
        <v>7.6323689231947869</v>
      </c>
      <c r="L180" s="7">
        <v>7.5063806617304607</v>
      </c>
      <c r="M180" s="7">
        <v>7.1788868378443436</v>
      </c>
      <c r="N180" s="15">
        <f t="shared" si="86"/>
        <v>7.2663981660961463</v>
      </c>
      <c r="P180" s="7">
        <f>'Budget 2025'!N183</f>
        <v>4.6059680600780979</v>
      </c>
    </row>
    <row r="181" spans="1:16" x14ac:dyDescent="0.35">
      <c r="A181" s="5" t="s">
        <v>38</v>
      </c>
      <c r="B181" s="31">
        <v>0</v>
      </c>
      <c r="C181" s="31">
        <v>0</v>
      </c>
      <c r="D181" s="7">
        <v>0</v>
      </c>
      <c r="E181" s="7">
        <v>0</v>
      </c>
      <c r="F181" s="7">
        <v>0</v>
      </c>
      <c r="G181" s="7">
        <v>11.142819956708635</v>
      </c>
      <c r="H181" s="7">
        <v>11.356123833990731</v>
      </c>
      <c r="I181" s="7">
        <v>10.917550258640039</v>
      </c>
      <c r="J181" s="7">
        <v>10.288274567162814</v>
      </c>
      <c r="K181" s="7">
        <v>10.465228177351763</v>
      </c>
      <c r="L181" s="7">
        <v>10.708345437364635</v>
      </c>
      <c r="M181" s="7">
        <v>11.062477988693622</v>
      </c>
      <c r="N181" s="15">
        <f t="shared" si="86"/>
        <v>10.659743802164344</v>
      </c>
      <c r="P181" s="7">
        <f>'Budget 2025'!N184</f>
        <v>5.8143085963157821</v>
      </c>
    </row>
    <row r="182" spans="1:16" x14ac:dyDescent="0.35">
      <c r="A182" s="5" t="s">
        <v>25</v>
      </c>
      <c r="B182" s="31">
        <v>0</v>
      </c>
      <c r="C182" s="31">
        <v>0</v>
      </c>
      <c r="D182" s="7">
        <v>0</v>
      </c>
      <c r="E182" s="7">
        <v>0</v>
      </c>
      <c r="F182" s="7">
        <v>0</v>
      </c>
      <c r="G182" s="7">
        <v>16.875280587559789</v>
      </c>
      <c r="H182" s="7">
        <v>16.62166674805421</v>
      </c>
      <c r="I182" s="7">
        <v>16.453308732754582</v>
      </c>
      <c r="J182" s="7">
        <v>15.747979447559102</v>
      </c>
      <c r="K182" s="7">
        <v>15.941460210529698</v>
      </c>
      <c r="L182" s="7">
        <v>15.918367400428616</v>
      </c>
      <c r="M182" s="7">
        <v>15.977918537254798</v>
      </c>
      <c r="N182" s="15">
        <f t="shared" si="86"/>
        <v>15.962844953436933</v>
      </c>
      <c r="P182" s="7">
        <f>'Budget 2025'!N185</f>
        <v>11.20202059508415</v>
      </c>
    </row>
  </sheetData>
  <pageMargins left="0.7" right="0.7" top="0.75" bottom="0.75" header="0.3" footer="0.3"/>
  <pageSetup paperSize="9" orientation="portrait" r:id="rId1"/>
  <ignoredErrors>
    <ignoredError sqref="N12 N17 N73 P129 N157:N158 N142 N104 N120 N114" formula="1"/>
    <ignoredError sqref="M60 B66:M66" formulaRange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83F89-1306-4854-B1CA-7CA656BB35AE}">
  <dimension ref="B2:L11"/>
  <sheetViews>
    <sheetView workbookViewId="0">
      <selection activeCell="F11" sqref="F11"/>
    </sheetView>
  </sheetViews>
  <sheetFormatPr defaultRowHeight="14.5" x14ac:dyDescent="0.35"/>
  <cols>
    <col min="2" max="2" width="12.90625" customWidth="1"/>
    <col min="3" max="3" width="11.453125" bestFit="1" customWidth="1"/>
    <col min="4" max="4" width="10.08984375" bestFit="1" customWidth="1"/>
    <col min="5" max="5" width="9.1796875" bestFit="1" customWidth="1"/>
    <col min="6" max="6" width="9.08984375" bestFit="1" customWidth="1"/>
    <col min="7" max="7" width="9.1796875" bestFit="1" customWidth="1"/>
    <col min="8" max="8" width="9.08984375" bestFit="1" customWidth="1"/>
  </cols>
  <sheetData>
    <row r="2" spans="2:12" x14ac:dyDescent="0.35">
      <c r="B2" s="32" t="s">
        <v>76</v>
      </c>
      <c r="C2" s="32" t="s">
        <v>77</v>
      </c>
      <c r="D2" s="32"/>
      <c r="E2" s="32" t="s">
        <v>80</v>
      </c>
      <c r="F2" s="32"/>
      <c r="G2" s="32" t="s">
        <v>83</v>
      </c>
      <c r="H2" s="32"/>
      <c r="I2" s="32" t="s">
        <v>84</v>
      </c>
      <c r="J2" s="32"/>
      <c r="K2" s="33" t="s">
        <v>81</v>
      </c>
      <c r="L2" s="33"/>
    </row>
    <row r="3" spans="2:12" x14ac:dyDescent="0.35">
      <c r="B3" s="32"/>
      <c r="C3" s="22" t="s">
        <v>78</v>
      </c>
      <c r="D3" s="22" t="s">
        <v>79</v>
      </c>
      <c r="E3" s="22" t="s">
        <v>78</v>
      </c>
      <c r="F3" s="22" t="s">
        <v>79</v>
      </c>
      <c r="G3" s="22" t="s">
        <v>78</v>
      </c>
      <c r="H3" s="22" t="s">
        <v>79</v>
      </c>
      <c r="I3" s="22" t="s">
        <v>78</v>
      </c>
      <c r="J3" s="22" t="s">
        <v>79</v>
      </c>
      <c r="K3" s="22" t="s">
        <v>77</v>
      </c>
      <c r="L3" s="22" t="s">
        <v>80</v>
      </c>
    </row>
    <row r="4" spans="2:12" ht="21.5" customHeight="1" x14ac:dyDescent="0.35">
      <c r="B4" s="16" t="s">
        <v>0</v>
      </c>
      <c r="C4" s="18">
        <f>SUM('Budget 2025'!B5:G5)</f>
        <v>45360.043140994094</v>
      </c>
      <c r="D4" s="19">
        <f>SUM('Outlook 2+10'!B5:G5)</f>
        <v>44890.548237546944</v>
      </c>
      <c r="E4" s="19">
        <f>SUM('Budget 2025'!B8:G8)</f>
        <v>3220.0000000692289</v>
      </c>
      <c r="F4" s="19">
        <f>SUM('Outlook 2+10'!B8:G8)</f>
        <v>3284.619085285869</v>
      </c>
      <c r="G4" s="19">
        <f>SUM('Budget 2025'!B13:G13)</f>
        <v>3275.5000000692298</v>
      </c>
      <c r="H4" s="19">
        <f>SUM('Outlook 2+10'!B13:G13)</f>
        <v>3445.3478710351519</v>
      </c>
      <c r="I4" s="20">
        <f>C4/E4</f>
        <v>14.086969919260518</v>
      </c>
      <c r="J4" s="20">
        <f>D4/F4</f>
        <v>13.666896243355415</v>
      </c>
      <c r="K4" s="21">
        <f>D4/C4</f>
        <v>0.98964959310140421</v>
      </c>
      <c r="L4" s="21">
        <f>F4/E4</f>
        <v>1.0200680388867238</v>
      </c>
    </row>
    <row r="5" spans="2:12" ht="21.5" customHeight="1" x14ac:dyDescent="0.35">
      <c r="B5" s="16" t="s">
        <v>31</v>
      </c>
      <c r="C5" s="18">
        <f>SUM('Budget 2025'!B56:G56)</f>
        <v>25550</v>
      </c>
      <c r="D5" s="19">
        <f>SUM('Outlook 2+10'!B56:G56)</f>
        <v>21892.000064</v>
      </c>
      <c r="E5" s="19">
        <f>SUM('Budget 2025'!B60:G60)</f>
        <v>1487</v>
      </c>
      <c r="F5" s="19">
        <f>SUM('Outlook 2+10'!B60:G60)</f>
        <v>1495.038019356173</v>
      </c>
      <c r="G5" s="19">
        <f>SUM('Budget 2025'!B65:G65)</f>
        <v>1562</v>
      </c>
      <c r="H5" s="19">
        <f>SUM('Outlook 2+10'!B66:G66)</f>
        <v>1594.5927900000002</v>
      </c>
      <c r="I5" s="20">
        <f t="shared" ref="I5:J9" si="0">C5/E5</f>
        <v>17.182246133154003</v>
      </c>
      <c r="J5" s="20">
        <f t="shared" si="0"/>
        <v>14.643105914742975</v>
      </c>
      <c r="K5" s="21">
        <f t="shared" ref="K5:K9" si="1">D5/C5</f>
        <v>0.85682974810176127</v>
      </c>
      <c r="L5" s="21">
        <f t="shared" ref="L5:L9" si="2">F5/E5</f>
        <v>1.0054055274755702</v>
      </c>
    </row>
    <row r="6" spans="2:12" ht="21.5" customHeight="1" x14ac:dyDescent="0.35">
      <c r="B6" s="16" t="s">
        <v>48</v>
      </c>
      <c r="C6" s="18">
        <f>SUM('Budget 2025'!B105:G105)</f>
        <v>45094</v>
      </c>
      <c r="D6" s="19">
        <f>SUM('Outlook 2+10'!B100:G100)</f>
        <v>46443.19759435</v>
      </c>
      <c r="E6" s="19">
        <f>SUM('Budget 2025'!B109:G109)</f>
        <v>3966.5</v>
      </c>
      <c r="F6" s="19">
        <f>SUM('Outlook 2+10'!B104:G104)</f>
        <v>4280.3863019999999</v>
      </c>
      <c r="G6" s="19">
        <f>SUM('Budget 2025'!B115:G115)</f>
        <v>4050</v>
      </c>
      <c r="H6" s="19">
        <f>SUM('Outlook 2+10'!B110:G110)</f>
        <v>4283.4775399999999</v>
      </c>
      <c r="I6" s="20">
        <f t="shared" si="0"/>
        <v>11.368712971133242</v>
      </c>
      <c r="J6" s="20">
        <f t="shared" si="0"/>
        <v>10.850235076364376</v>
      </c>
      <c r="K6" s="21">
        <f t="shared" si="1"/>
        <v>1.0299196698973256</v>
      </c>
      <c r="L6" s="21">
        <f t="shared" si="2"/>
        <v>1.0791343254758603</v>
      </c>
    </row>
    <row r="7" spans="2:12" ht="21.5" customHeight="1" x14ac:dyDescent="0.35">
      <c r="B7" s="16" t="s">
        <v>44</v>
      </c>
      <c r="C7" s="18">
        <f>SUM('Budget 2025'!B130:G130)</f>
        <v>1603.028000262656</v>
      </c>
      <c r="D7" s="19">
        <f>SUM('Outlook 2+10'!B125:G125)</f>
        <v>160</v>
      </c>
      <c r="E7" s="19">
        <f>SUM('Budget 2025'!B132:G132)</f>
        <v>57</v>
      </c>
      <c r="F7" s="19">
        <f>SUM('Outlook 2+10'!B127:G127)</f>
        <v>0</v>
      </c>
      <c r="G7" s="19">
        <f>SUM('Budget 2025'!B137:G137)</f>
        <v>53</v>
      </c>
      <c r="H7" s="19">
        <f>SUM('Outlook 2+10'!B132:G132)</f>
        <v>0</v>
      </c>
      <c r="I7" s="20">
        <f t="shared" si="0"/>
        <v>28.123298250222035</v>
      </c>
      <c r="J7" s="20" t="e">
        <f t="shared" si="0"/>
        <v>#DIV/0!</v>
      </c>
      <c r="K7" s="21">
        <f t="shared" si="1"/>
        <v>9.9811107462741772E-2</v>
      </c>
      <c r="L7" s="21">
        <f t="shared" si="2"/>
        <v>0</v>
      </c>
    </row>
    <row r="8" spans="2:12" ht="21.5" customHeight="1" x14ac:dyDescent="0.35">
      <c r="B8" s="16" t="s">
        <v>52</v>
      </c>
      <c r="C8" s="18">
        <f>SUM('Budget 2025'!B145:G145)</f>
        <v>3825</v>
      </c>
      <c r="D8" s="19">
        <f>SUM('Outlook 2+10'!B140:G140)</f>
        <v>3798.0941591999999</v>
      </c>
      <c r="E8" s="19">
        <f>SUM('Budget 2025'!B147:G147)</f>
        <v>1062</v>
      </c>
      <c r="F8" s="19">
        <f>SUM('Outlook 2+10'!B142:G142)</f>
        <v>1174.0191589999999</v>
      </c>
      <c r="G8" s="19">
        <f>SUM('Budget 2025'!B152:G152)</f>
        <v>1100</v>
      </c>
      <c r="H8" s="19">
        <f>SUM('Outlook 2+10'!B148:G148)</f>
        <v>1226.6869860000002</v>
      </c>
      <c r="I8" s="20">
        <f t="shared" si="0"/>
        <v>3.6016949152542375</v>
      </c>
      <c r="J8" s="20">
        <f t="shared" si="0"/>
        <v>3.2351211052084712</v>
      </c>
      <c r="K8" s="21">
        <f t="shared" si="1"/>
        <v>0.99296579325490197</v>
      </c>
      <c r="L8" s="21">
        <f t="shared" si="2"/>
        <v>1.105479434086629</v>
      </c>
    </row>
    <row r="9" spans="2:12" ht="21.5" customHeight="1" x14ac:dyDescent="0.35">
      <c r="B9" s="16" t="s">
        <v>51</v>
      </c>
      <c r="C9" s="18">
        <f>SUM('Budget 2025'!B160:G160)</f>
        <v>4924.4290320110003</v>
      </c>
      <c r="D9" s="19">
        <f>SUM('Outlook 2+10'!B156:G156)</f>
        <v>4754.5900483200021</v>
      </c>
      <c r="E9" s="19">
        <f>SUM('Budget 2025'!B162:G162)</f>
        <v>270.88602230931434</v>
      </c>
      <c r="F9" s="19">
        <f>SUM('Outlook 2+10'!B158:G158)</f>
        <v>279.60070933382855</v>
      </c>
      <c r="G9" s="19">
        <f>SUM('Budget 2025'!B166:G166)</f>
        <v>245</v>
      </c>
      <c r="H9" s="19">
        <f>SUM('Outlook 2+10'!B162:G162)</f>
        <v>46.568150000000003</v>
      </c>
      <c r="I9" s="20">
        <f t="shared" si="0"/>
        <v>18.17897058707586</v>
      </c>
      <c r="J9" s="20">
        <f t="shared" si="0"/>
        <v>17.004928419703226</v>
      </c>
      <c r="K9" s="21">
        <f t="shared" si="1"/>
        <v>0.96551092876210243</v>
      </c>
      <c r="L9" s="21">
        <f t="shared" si="2"/>
        <v>1.0321710472553036</v>
      </c>
    </row>
    <row r="10" spans="2:12" ht="21.5" customHeight="1" x14ac:dyDescent="0.35">
      <c r="B10" s="23" t="s">
        <v>82</v>
      </c>
      <c r="C10" s="24">
        <f>SUM(C4:C9)</f>
        <v>126356.50017326775</v>
      </c>
      <c r="D10" s="24">
        <f t="shared" ref="D10:F10" si="3">SUM(D4:D9)</f>
        <v>121938.43010341696</v>
      </c>
      <c r="E10" s="24">
        <f t="shared" si="3"/>
        <v>10063.386022378543</v>
      </c>
      <c r="F10" s="24">
        <f t="shared" si="3"/>
        <v>10513.66327497587</v>
      </c>
      <c r="G10" s="24">
        <f t="shared" ref="G10" si="4">SUM(G4:G9)</f>
        <v>10285.500000069231</v>
      </c>
      <c r="H10" s="24">
        <f t="shared" ref="H10" si="5">SUM(H4:H9)</f>
        <v>10596.673337035152</v>
      </c>
      <c r="I10" s="25">
        <f t="shared" ref="I10" si="6">C10/E10</f>
        <v>12.556062133786915</v>
      </c>
      <c r="J10" s="25">
        <f t="shared" ref="J10" si="7">D10/F10</f>
        <v>11.598091636970066</v>
      </c>
      <c r="K10" s="26">
        <f t="shared" ref="K10" si="8">D10/C10</f>
        <v>0.9650348809614665</v>
      </c>
      <c r="L10" s="26">
        <f t="shared" ref="L10" si="9">F10/E10</f>
        <v>1.0447441101430492</v>
      </c>
    </row>
    <row r="11" spans="2:12" x14ac:dyDescent="0.35">
      <c r="F11" s="17">
        <f>F10/E10</f>
        <v>1.0447441101430492</v>
      </c>
      <c r="H11" s="17">
        <f>H10/G10</f>
        <v>1.0302535935991275</v>
      </c>
    </row>
  </sheetData>
  <mergeCells count="6">
    <mergeCell ref="B2:B3"/>
    <mergeCell ref="C2:D2"/>
    <mergeCell ref="E2:F2"/>
    <mergeCell ref="I2:J2"/>
    <mergeCell ref="K2:L2"/>
    <mergeCell ref="G2:H2"/>
  </mergeCells>
  <pageMargins left="0.7" right="0.7" top="0.75" bottom="0.75" header="0.3" footer="0.3"/>
  <ignoredErrors>
    <ignoredError sqref="G7:H9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Budget 2025</vt:lpstr>
      <vt:lpstr>Outlook 2+10</vt:lpstr>
      <vt:lpstr>BudgVSact. June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Warodom Likitanupak</dc:creator>
  <cp:lastModifiedBy>Yasmine Safitri</cp:lastModifiedBy>
  <cp:lastPrinted>2024-08-09T09:31:08Z</cp:lastPrinted>
  <dcterms:created xsi:type="dcterms:W3CDTF">2022-01-11T13:46:11Z</dcterms:created>
  <dcterms:modified xsi:type="dcterms:W3CDTF">2025-03-18T09:20:46Z</dcterms:modified>
</cp:coreProperties>
</file>